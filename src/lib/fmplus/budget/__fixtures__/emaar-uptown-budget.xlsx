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l mostawred AH\Downloads\"/>
    </mc:Choice>
  </mc:AlternateContent>
  <xr:revisionPtr revIDLastSave="0" documentId="13_ncr:1_{588B7B1C-3353-44A8-B131-B36908706E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K Budget (2)" sheetId="25" r:id="rId1"/>
    <sheet name="BOQ Basic -Residential (2)" sheetId="33" r:id="rId2"/>
    <sheet name="BOQ A (2)" sheetId="34" r:id="rId3"/>
    <sheet name="Sheet1" sheetId="32" r:id="rId4"/>
    <sheet name="BOQ Basic -Residential" sheetId="31" r:id="rId5"/>
    <sheet name="BOQ A" sheetId="16" r:id="rId6"/>
    <sheet name="Manpower Cost" sheetId="20" r:id="rId7"/>
    <sheet name="Equipment &amp; Tools Cost" sheetId="21" r:id="rId8"/>
    <sheet name="Consumables Cost " sheetId="23" r:id="rId9"/>
    <sheet name="Per Zone" sheetId="2" r:id="rId10"/>
    <sheet name="Items Pricelist" sheetId="5" r:id="rId11"/>
    <sheet name="Unit rates" sheetId="4" r:id="rId12"/>
    <sheet name="Summery" sheetId="1" r:id="rId13"/>
    <sheet name="Facades Cleaning Cost" sheetId="27" r:id="rId14"/>
    <sheet name="Pricing Cost" sheetId="29" r:id="rId15"/>
    <sheet name="Paid Services" sheetId="30" r:id="rId16"/>
    <sheet name="Transportation Cost" sheetId="24" r:id="rId17"/>
    <sheet name="Others Cost " sheetId="28" r:id="rId18"/>
    <sheet name="Mobilization &amp; Over Head Cost" sheetId="19" r:id="rId19"/>
    <sheet name="BOQ Zone A Equipment" sheetId="22" r:id="rId20"/>
    <sheet name="Manpower CTC" sheetId="8" r:id="rId21"/>
    <sheet name="Maning" sheetId="17" r:id="rId22"/>
    <sheet name="BOQ Zone A Manpower" sheetId="18" r:id="rId23"/>
    <sheet name="BOQ Zone A" sheetId="9" r:id="rId24"/>
    <sheet name="Equipment&amp; Tools" sheetId="13" r:id="rId25"/>
  </sheets>
  <externalReferences>
    <externalReference r:id="rId26"/>
    <externalReference r:id="rId27"/>
    <externalReference r:id="rId28"/>
  </externalReferences>
  <definedNames>
    <definedName name="Datew">'[1]12%'!$A$6:$A$101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34" l="1"/>
  <c r="O13" i="34"/>
  <c r="O14" i="34"/>
  <c r="O15" i="34"/>
  <c r="O16" i="34"/>
  <c r="P42" i="34"/>
  <c r="R14" i="25"/>
  <c r="T14" i="25"/>
  <c r="V14" i="25"/>
  <c r="G46" i="34"/>
  <c r="L46" i="34" s="1"/>
  <c r="M46" i="34" s="1"/>
  <c r="M43" i="34"/>
  <c r="L43" i="34"/>
  <c r="J43" i="34"/>
  <c r="H43" i="34"/>
  <c r="I43" i="34" s="1"/>
  <c r="G43" i="34"/>
  <c r="H40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41" i="34" s="1"/>
  <c r="H23" i="34"/>
  <c r="H22" i="34"/>
  <c r="H21" i="34"/>
  <c r="H20" i="34"/>
  <c r="H19" i="34"/>
  <c r="K17" i="34"/>
  <c r="L15" i="34"/>
  <c r="M15" i="34" s="1"/>
  <c r="H15" i="34"/>
  <c r="L13" i="34"/>
  <c r="M13" i="34" s="1"/>
  <c r="H13" i="34"/>
  <c r="L11" i="34"/>
  <c r="M11" i="34" s="1"/>
  <c r="H11" i="34"/>
  <c r="L10" i="34"/>
  <c r="M10" i="34" s="1"/>
  <c r="H10" i="34"/>
  <c r="L9" i="34"/>
  <c r="M9" i="34" s="1"/>
  <c r="H9" i="34"/>
  <c r="L8" i="34"/>
  <c r="M8" i="34" s="1"/>
  <c r="H8" i="34"/>
  <c r="L7" i="34"/>
  <c r="M7" i="34" s="1"/>
  <c r="H7" i="34"/>
  <c r="L6" i="34"/>
  <c r="M6" i="34" s="1"/>
  <c r="H6" i="34"/>
  <c r="L5" i="34"/>
  <c r="M5" i="34" s="1"/>
  <c r="H5" i="34"/>
  <c r="L4" i="34"/>
  <c r="M4" i="34" s="1"/>
  <c r="H4" i="34"/>
  <c r="L3" i="34"/>
  <c r="M3" i="34" s="1"/>
  <c r="H3" i="34"/>
  <c r="E16" i="25"/>
  <c r="D31" i="33"/>
  <c r="H31" i="33" s="1"/>
  <c r="D30" i="33"/>
  <c r="H30" i="33" s="1"/>
  <c r="D29" i="33"/>
  <c r="H29" i="33" s="1"/>
  <c r="D20" i="33"/>
  <c r="H20" i="33" s="1"/>
  <c r="D18" i="33"/>
  <c r="H18" i="33" s="1"/>
  <c r="D17" i="33"/>
  <c r="H17" i="33" s="1"/>
  <c r="D16" i="33"/>
  <c r="H16" i="33" s="1"/>
  <c r="D15" i="33"/>
  <c r="H15" i="33" s="1"/>
  <c r="D14" i="33"/>
  <c r="H14" i="33" s="1"/>
  <c r="D13" i="33"/>
  <c r="H13" i="33" s="1"/>
  <c r="F14" i="20"/>
  <c r="I14" i="25"/>
  <c r="C37" i="25"/>
  <c r="H46" i="34" l="1"/>
  <c r="G49" i="34"/>
  <c r="J46" i="34"/>
  <c r="C51" i="25"/>
  <c r="C52" i="25" s="1"/>
  <c r="C50" i="25"/>
  <c r="C38" i="25"/>
  <c r="E20" i="25"/>
  <c r="D20" i="25"/>
  <c r="F55" i="21"/>
  <c r="L49" i="34" l="1"/>
  <c r="M49" i="34" s="1"/>
  <c r="J49" i="34"/>
  <c r="G52" i="34"/>
  <c r="H49" i="34"/>
  <c r="I46" i="34"/>
  <c r="C53" i="25"/>
  <c r="C49" i="25" s="1"/>
  <c r="C18" i="31" s="1"/>
  <c r="L66" i="21"/>
  <c r="J52" i="34" l="1"/>
  <c r="L52" i="34"/>
  <c r="M52" i="34" s="1"/>
  <c r="H52" i="34"/>
  <c r="I49" i="34"/>
  <c r="D18" i="31"/>
  <c r="I52" i="34" l="1"/>
  <c r="J20" i="21"/>
  <c r="G6" i="24"/>
  <c r="G33" i="23" l="1"/>
  <c r="D12" i="25"/>
  <c r="L12" i="25"/>
  <c r="K12" i="25"/>
  <c r="J12" i="25"/>
  <c r="I12" i="25"/>
  <c r="E6" i="24"/>
  <c r="R10" i="27"/>
  <c r="S10" i="27" s="1"/>
  <c r="P9" i="27"/>
  <c r="Q9" i="27" s="1"/>
  <c r="N8" i="27"/>
  <c r="L7" i="27"/>
  <c r="L6" i="27"/>
  <c r="M6" i="27" s="1"/>
  <c r="C27" i="27"/>
  <c r="C28" i="27"/>
  <c r="C29" i="27"/>
  <c r="O8" i="27"/>
  <c r="M7" i="27"/>
  <c r="G11" i="27"/>
  <c r="G12" i="27"/>
  <c r="G13" i="27"/>
  <c r="I9" i="28" l="1"/>
  <c r="J9" i="28"/>
  <c r="J11" i="19"/>
  <c r="J12" i="19"/>
  <c r="J13" i="19"/>
  <c r="G6" i="19"/>
  <c r="F9" i="19"/>
  <c r="F6" i="24"/>
  <c r="G2" i="29"/>
  <c r="E2" i="29"/>
  <c r="L19" i="1"/>
  <c r="G15" i="4"/>
  <c r="H15" i="4" s="1"/>
  <c r="G16" i="4"/>
  <c r="H16" i="4" s="1"/>
  <c r="G40" i="4"/>
  <c r="H40" i="4" s="1"/>
  <c r="G41" i="4"/>
  <c r="H41" i="4"/>
  <c r="G42" i="4"/>
  <c r="H42" i="4" s="1"/>
  <c r="G43" i="4"/>
  <c r="H43" i="4" s="1"/>
  <c r="G44" i="4"/>
  <c r="H44" i="4" s="1"/>
  <c r="G45" i="4"/>
  <c r="H45" i="4"/>
  <c r="G46" i="4"/>
  <c r="H46" i="4" s="1"/>
  <c r="G47" i="4"/>
  <c r="H47" i="4" s="1"/>
  <c r="G48" i="4"/>
  <c r="H48" i="4" s="1"/>
  <c r="G49" i="4"/>
  <c r="H49" i="4"/>
  <c r="G50" i="4"/>
  <c r="H50" i="4" s="1"/>
  <c r="G51" i="4"/>
  <c r="H51" i="4" s="1"/>
  <c r="G52" i="4"/>
  <c r="H52" i="4" s="1"/>
  <c r="G53" i="4"/>
  <c r="H53" i="4"/>
  <c r="M43" i="16"/>
  <c r="M46" i="16"/>
  <c r="M49" i="16"/>
  <c r="M52" i="16"/>
  <c r="L43" i="16"/>
  <c r="L46" i="16"/>
  <c r="L49" i="16"/>
  <c r="L52" i="16"/>
  <c r="K17" i="16"/>
  <c r="D47" i="4"/>
  <c r="D48" i="4"/>
  <c r="D49" i="4"/>
  <c r="D50" i="4"/>
  <c r="D51" i="4"/>
  <c r="D52" i="4"/>
  <c r="D53" i="4"/>
  <c r="D41" i="4"/>
  <c r="D42" i="4"/>
  <c r="D43" i="4"/>
  <c r="D44" i="4"/>
  <c r="D45" i="4"/>
  <c r="D46" i="4"/>
  <c r="D40" i="4"/>
  <c r="H12" i="30" l="1"/>
  <c r="G11" i="30"/>
  <c r="H11" i="30" s="1"/>
  <c r="G12" i="30"/>
  <c r="G4" i="30"/>
  <c r="F5" i="30"/>
  <c r="F6" i="30"/>
  <c r="G6" i="30" s="1"/>
  <c r="H6" i="30" s="1"/>
  <c r="F7" i="30"/>
  <c r="G7" i="30" s="1"/>
  <c r="F8" i="30"/>
  <c r="F9" i="30"/>
  <c r="G9" i="30" s="1"/>
  <c r="F10" i="30"/>
  <c r="F11" i="30"/>
  <c r="F12" i="30"/>
  <c r="F13" i="30"/>
  <c r="G13" i="30" s="1"/>
  <c r="H13" i="30" s="1"/>
  <c r="F14" i="30"/>
  <c r="F15" i="30"/>
  <c r="G15" i="30" s="1"/>
  <c r="H15" i="30" s="1"/>
  <c r="F16" i="30"/>
  <c r="G16" i="30" s="1"/>
  <c r="F17" i="30"/>
  <c r="G17" i="30" s="1"/>
  <c r="F4" i="30"/>
  <c r="H4" i="30" s="1"/>
  <c r="D35" i="4"/>
  <c r="G35" i="4" s="1"/>
  <c r="H35" i="4" s="1"/>
  <c r="D34" i="4"/>
  <c r="G34" i="4" s="1"/>
  <c r="H34" i="4" s="1"/>
  <c r="D31" i="4"/>
  <c r="G31" i="4" s="1"/>
  <c r="H31" i="4" s="1"/>
  <c r="I102" i="29"/>
  <c r="D25" i="4" s="1"/>
  <c r="G25" i="4" s="1"/>
  <c r="H25" i="4" s="1"/>
  <c r="E104" i="29"/>
  <c r="F104" i="29" s="1"/>
  <c r="E105" i="29"/>
  <c r="F105" i="29" s="1"/>
  <c r="E106" i="29"/>
  <c r="F106" i="29" s="1"/>
  <c r="E107" i="29"/>
  <c r="F107" i="29" s="1"/>
  <c r="E108" i="29"/>
  <c r="F108" i="29" s="1"/>
  <c r="E109" i="29"/>
  <c r="F109" i="29" s="1"/>
  <c r="E110" i="29"/>
  <c r="F110" i="29" s="1"/>
  <c r="E111" i="29"/>
  <c r="F111" i="29" s="1"/>
  <c r="E80" i="29"/>
  <c r="F80" i="29" s="1"/>
  <c r="E81" i="29"/>
  <c r="F81" i="29" s="1"/>
  <c r="E82" i="29"/>
  <c r="F82" i="29" s="1"/>
  <c r="E83" i="29"/>
  <c r="F83" i="29" s="1"/>
  <c r="E84" i="29"/>
  <c r="F84" i="29" s="1"/>
  <c r="E85" i="29"/>
  <c r="F85" i="29" s="1"/>
  <c r="E86" i="29"/>
  <c r="F86" i="29" s="1"/>
  <c r="E87" i="29"/>
  <c r="F87" i="29" s="1"/>
  <c r="E88" i="29"/>
  <c r="F88" i="29" s="1"/>
  <c r="E89" i="29"/>
  <c r="F89" i="29" s="1"/>
  <c r="E90" i="29"/>
  <c r="F90" i="29" s="1"/>
  <c r="E91" i="29"/>
  <c r="F91" i="29" s="1"/>
  <c r="E92" i="29"/>
  <c r="F92" i="29" s="1"/>
  <c r="E93" i="29"/>
  <c r="F93" i="29" s="1"/>
  <c r="E94" i="29"/>
  <c r="F94" i="29" s="1"/>
  <c r="E95" i="29"/>
  <c r="F95" i="29" s="1"/>
  <c r="E96" i="29"/>
  <c r="F96" i="29" s="1"/>
  <c r="E97" i="29"/>
  <c r="F97" i="29" s="1"/>
  <c r="E98" i="29"/>
  <c r="F98" i="29" s="1"/>
  <c r="E99" i="29"/>
  <c r="F99" i="29" s="1"/>
  <c r="E100" i="29"/>
  <c r="F100" i="29" s="1"/>
  <c r="E101" i="29"/>
  <c r="F101" i="29" s="1"/>
  <c r="E102" i="29"/>
  <c r="F102" i="29" s="1"/>
  <c r="E103" i="29"/>
  <c r="F103" i="29" s="1"/>
  <c r="D40" i="29"/>
  <c r="E40" i="29" s="1"/>
  <c r="F40" i="29" s="1"/>
  <c r="D62" i="29"/>
  <c r="E62" i="29" s="1"/>
  <c r="F62" i="29" s="1"/>
  <c r="E76" i="29"/>
  <c r="F76" i="29" s="1"/>
  <c r="E79" i="29"/>
  <c r="F79" i="29" s="1"/>
  <c r="D12" i="29"/>
  <c r="E12" i="29" s="1"/>
  <c r="F12" i="29" s="1"/>
  <c r="D13" i="29"/>
  <c r="E13" i="29" s="1"/>
  <c r="D14" i="29"/>
  <c r="E14" i="29" s="1"/>
  <c r="F14" i="29" s="1"/>
  <c r="D15" i="29"/>
  <c r="E15" i="29" s="1"/>
  <c r="F15" i="29" s="1"/>
  <c r="D16" i="29"/>
  <c r="E16" i="29" s="1"/>
  <c r="F16" i="29" s="1"/>
  <c r="D17" i="29"/>
  <c r="E17" i="29" s="1"/>
  <c r="D18" i="29"/>
  <c r="E18" i="29" s="1"/>
  <c r="F18" i="29" s="1"/>
  <c r="D19" i="29"/>
  <c r="D20" i="29"/>
  <c r="E20" i="29" s="1"/>
  <c r="F20" i="29" s="1"/>
  <c r="D21" i="29"/>
  <c r="E21" i="29" s="1"/>
  <c r="D22" i="29"/>
  <c r="E22" i="29" s="1"/>
  <c r="F22" i="29" s="1"/>
  <c r="D23" i="29"/>
  <c r="E23" i="29" s="1"/>
  <c r="F23" i="29" s="1"/>
  <c r="D24" i="29"/>
  <c r="E24" i="29" s="1"/>
  <c r="F24" i="29" s="1"/>
  <c r="D25" i="29"/>
  <c r="E25" i="29" s="1"/>
  <c r="D26" i="29"/>
  <c r="E26" i="29" s="1"/>
  <c r="F26" i="29" s="1"/>
  <c r="D27" i="29"/>
  <c r="E27" i="29" s="1"/>
  <c r="D28" i="29"/>
  <c r="E28" i="29" s="1"/>
  <c r="F28" i="29" s="1"/>
  <c r="D29" i="29"/>
  <c r="E29" i="29" s="1"/>
  <c r="D30" i="29"/>
  <c r="E30" i="29" s="1"/>
  <c r="F30" i="29" s="1"/>
  <c r="D31" i="29"/>
  <c r="E31" i="29" s="1"/>
  <c r="F31" i="29" s="1"/>
  <c r="D32" i="29"/>
  <c r="E32" i="29" s="1"/>
  <c r="F32" i="29" s="1"/>
  <c r="D33" i="29"/>
  <c r="E33" i="29" s="1"/>
  <c r="D34" i="29"/>
  <c r="E34" i="29" s="1"/>
  <c r="F34" i="29" s="1"/>
  <c r="D35" i="29"/>
  <c r="D36" i="29"/>
  <c r="E36" i="29" s="1"/>
  <c r="F36" i="29" s="1"/>
  <c r="D37" i="29"/>
  <c r="E37" i="29" s="1"/>
  <c r="D38" i="29"/>
  <c r="E38" i="29" s="1"/>
  <c r="F38" i="29" s="1"/>
  <c r="D39" i="29"/>
  <c r="E39" i="29" s="1"/>
  <c r="F39" i="29" s="1"/>
  <c r="D41" i="29"/>
  <c r="E41" i="29" s="1"/>
  <c r="F41" i="29" s="1"/>
  <c r="D42" i="29"/>
  <c r="E42" i="29" s="1"/>
  <c r="F42" i="29" s="1"/>
  <c r="D43" i="29"/>
  <c r="E43" i="29" s="1"/>
  <c r="D44" i="29"/>
  <c r="E44" i="29" s="1"/>
  <c r="F44" i="29" s="1"/>
  <c r="D45" i="29"/>
  <c r="E45" i="29" s="1"/>
  <c r="D46" i="29"/>
  <c r="E46" i="29" s="1"/>
  <c r="F46" i="29" s="1"/>
  <c r="D47" i="29"/>
  <c r="E47" i="29" s="1"/>
  <c r="F47" i="29" s="1"/>
  <c r="D48" i="29"/>
  <c r="E48" i="29" s="1"/>
  <c r="F48" i="29" s="1"/>
  <c r="D49" i="29"/>
  <c r="D50" i="29"/>
  <c r="E50" i="29" s="1"/>
  <c r="F50" i="29" s="1"/>
  <c r="D51" i="29"/>
  <c r="E51" i="29" s="1"/>
  <c r="D52" i="29"/>
  <c r="E52" i="29" s="1"/>
  <c r="F52" i="29" s="1"/>
  <c r="D53" i="29"/>
  <c r="D54" i="29"/>
  <c r="E54" i="29" s="1"/>
  <c r="F54" i="29" s="1"/>
  <c r="D55" i="29"/>
  <c r="E55" i="29" s="1"/>
  <c r="D56" i="29"/>
  <c r="E56" i="29" s="1"/>
  <c r="F56" i="29" s="1"/>
  <c r="D57" i="29"/>
  <c r="E57" i="29" s="1"/>
  <c r="F57" i="29" s="1"/>
  <c r="D58" i="29"/>
  <c r="E58" i="29" s="1"/>
  <c r="F58" i="29" s="1"/>
  <c r="D59" i="29"/>
  <c r="E59" i="29" s="1"/>
  <c r="D60" i="29"/>
  <c r="E60" i="29" s="1"/>
  <c r="F60" i="29" s="1"/>
  <c r="D61" i="29"/>
  <c r="D63" i="29"/>
  <c r="D64" i="29"/>
  <c r="E64" i="29" s="1"/>
  <c r="F64" i="29" s="1"/>
  <c r="D65" i="29"/>
  <c r="E65" i="29" s="1"/>
  <c r="F65" i="29" s="1"/>
  <c r="D66" i="29"/>
  <c r="E66" i="29" s="1"/>
  <c r="F66" i="29" s="1"/>
  <c r="D67" i="29"/>
  <c r="E67" i="29" s="1"/>
  <c r="F67" i="29" s="1"/>
  <c r="D68" i="29"/>
  <c r="E68" i="29" s="1"/>
  <c r="F68" i="29" s="1"/>
  <c r="D69" i="29"/>
  <c r="D70" i="29"/>
  <c r="E70" i="29" s="1"/>
  <c r="F70" i="29" s="1"/>
  <c r="D71" i="29"/>
  <c r="E71" i="29" s="1"/>
  <c r="D72" i="29"/>
  <c r="E72" i="29" s="1"/>
  <c r="F72" i="29" s="1"/>
  <c r="D73" i="29"/>
  <c r="D74" i="29"/>
  <c r="E74" i="29" s="1"/>
  <c r="F74" i="29" s="1"/>
  <c r="D75" i="29"/>
  <c r="E75" i="29" s="1"/>
  <c r="F75" i="29" s="1"/>
  <c r="D77" i="29"/>
  <c r="E77" i="29" s="1"/>
  <c r="D78" i="29"/>
  <c r="E78" i="29" s="1"/>
  <c r="F78" i="29" s="1"/>
  <c r="D6" i="29"/>
  <c r="E6" i="29" s="1"/>
  <c r="F6" i="29" s="1"/>
  <c r="D7" i="29"/>
  <c r="E7" i="29" s="1"/>
  <c r="D8" i="29"/>
  <c r="E8" i="29" s="1"/>
  <c r="F8" i="29" s="1"/>
  <c r="D9" i="29"/>
  <c r="E9" i="29" s="1"/>
  <c r="D10" i="29"/>
  <c r="E10" i="29" s="1"/>
  <c r="F10" i="29" s="1"/>
  <c r="D11" i="29"/>
  <c r="E11" i="29" s="1"/>
  <c r="D5" i="29"/>
  <c r="E5" i="29" s="1"/>
  <c r="D4" i="29"/>
  <c r="E4" i="29" s="1"/>
  <c r="F4" i="29" s="1"/>
  <c r="E17" i="21"/>
  <c r="E16" i="21"/>
  <c r="E15" i="21"/>
  <c r="E14" i="21"/>
  <c r="E13" i="21"/>
  <c r="E12" i="21"/>
  <c r="E11" i="21"/>
  <c r="E10" i="21"/>
  <c r="E8" i="21"/>
  <c r="E7" i="21"/>
  <c r="E6" i="21"/>
  <c r="G81" i="29" l="1"/>
  <c r="H81" i="29" s="1"/>
  <c r="I81" i="29" s="1"/>
  <c r="G60" i="29"/>
  <c r="H60" i="29" s="1"/>
  <c r="I60" i="29" s="1"/>
  <c r="D58" i="5" s="1"/>
  <c r="F58" i="5" s="1"/>
  <c r="G58" i="5" s="1"/>
  <c r="G79" i="29"/>
  <c r="H79" i="29" s="1"/>
  <c r="I79" i="29" s="1"/>
  <c r="D77" i="5" s="1"/>
  <c r="F77" i="5" s="1"/>
  <c r="G77" i="5" s="1"/>
  <c r="G18" i="29"/>
  <c r="H18" i="29" s="1"/>
  <c r="I18" i="29" s="1"/>
  <c r="D16" i="5" s="1"/>
  <c r="F16" i="5" s="1"/>
  <c r="G16" i="5" s="1"/>
  <c r="G67" i="29"/>
  <c r="H67" i="29" s="1"/>
  <c r="I67" i="29" s="1"/>
  <c r="D65" i="5" s="1"/>
  <c r="F65" i="5" s="1"/>
  <c r="G65" i="5" s="1"/>
  <c r="G20" i="29"/>
  <c r="H20" i="29" s="1"/>
  <c r="I20" i="29" s="1"/>
  <c r="D18" i="5" s="1"/>
  <c r="F18" i="5" s="1"/>
  <c r="G18" i="5" s="1"/>
  <c r="H82" i="29"/>
  <c r="I82" i="29" s="1"/>
  <c r="D5" i="4" s="1"/>
  <c r="G5" i="4" s="1"/>
  <c r="H5" i="4" s="1"/>
  <c r="G10" i="29"/>
  <c r="H10" i="29" s="1"/>
  <c r="I10" i="29" s="1"/>
  <c r="D8" i="5" s="1"/>
  <c r="F8" i="5" s="1"/>
  <c r="G8" i="5" s="1"/>
  <c r="G57" i="29"/>
  <c r="H57" i="29" s="1"/>
  <c r="I57" i="29" s="1"/>
  <c r="D55" i="5" s="1"/>
  <c r="F55" i="5" s="1"/>
  <c r="G55" i="5" s="1"/>
  <c r="G32" i="29"/>
  <c r="H32" i="29" s="1"/>
  <c r="I32" i="29" s="1"/>
  <c r="D30" i="5" s="1"/>
  <c r="F30" i="5" s="1"/>
  <c r="G30" i="5" s="1"/>
  <c r="G62" i="29"/>
  <c r="H62" i="29" s="1"/>
  <c r="I62" i="29" s="1"/>
  <c r="D60" i="5" s="1"/>
  <c r="F60" i="5" s="1"/>
  <c r="G60" i="5" s="1"/>
  <c r="G48" i="29"/>
  <c r="H48" i="29" s="1"/>
  <c r="I48" i="29" s="1"/>
  <c r="D46" i="5" s="1"/>
  <c r="F46" i="5" s="1"/>
  <c r="G46" i="5" s="1"/>
  <c r="G23" i="29"/>
  <c r="H23" i="29" s="1"/>
  <c r="I23" i="29" s="1"/>
  <c r="D21" i="5" s="1"/>
  <c r="F21" i="5" s="1"/>
  <c r="G21" i="5" s="1"/>
  <c r="G40" i="29"/>
  <c r="H40" i="29" s="1"/>
  <c r="I40" i="29" s="1"/>
  <c r="D38" i="5" s="1"/>
  <c r="F38" i="5" s="1"/>
  <c r="G38" i="5" s="1"/>
  <c r="G80" i="29"/>
  <c r="H80" i="29" s="1"/>
  <c r="I80" i="29" s="1"/>
  <c r="G8" i="29"/>
  <c r="H8" i="29" s="1"/>
  <c r="I8" i="29" s="1"/>
  <c r="D6" i="5" s="1"/>
  <c r="F6" i="5" s="1"/>
  <c r="G6" i="5" s="1"/>
  <c r="G47" i="29"/>
  <c r="H47" i="29" s="1"/>
  <c r="I47" i="29" s="1"/>
  <c r="D45" i="5" s="1"/>
  <c r="F45" i="5" s="1"/>
  <c r="G45" i="5" s="1"/>
  <c r="G22" i="29"/>
  <c r="H22" i="29" s="1"/>
  <c r="I22" i="29" s="1"/>
  <c r="D20" i="5" s="1"/>
  <c r="F20" i="5" s="1"/>
  <c r="G20" i="5" s="1"/>
  <c r="G14" i="29"/>
  <c r="H14" i="29" s="1"/>
  <c r="I14" i="29" s="1"/>
  <c r="D12" i="5" s="1"/>
  <c r="F12" i="5" s="1"/>
  <c r="G12" i="5" s="1"/>
  <c r="G103" i="29"/>
  <c r="H103" i="29" s="1"/>
  <c r="G95" i="29"/>
  <c r="H95" i="29" s="1"/>
  <c r="I95" i="29" s="1"/>
  <c r="D18" i="4" s="1"/>
  <c r="G18" i="4" s="1"/>
  <c r="H18" i="4" s="1"/>
  <c r="G87" i="29"/>
  <c r="H87" i="29" s="1"/>
  <c r="G111" i="29"/>
  <c r="H111" i="29" s="1"/>
  <c r="G78" i="29"/>
  <c r="H78" i="29" s="1"/>
  <c r="I78" i="29" s="1"/>
  <c r="D76" i="5" s="1"/>
  <c r="F76" i="5" s="1"/>
  <c r="G76" i="5" s="1"/>
  <c r="H84" i="29"/>
  <c r="I84" i="29" s="1"/>
  <c r="D7" i="4" s="1"/>
  <c r="G7" i="4" s="1"/>
  <c r="H7" i="4" s="1"/>
  <c r="G68" i="29"/>
  <c r="H68" i="29" s="1"/>
  <c r="I68" i="29" s="1"/>
  <c r="D66" i="5" s="1"/>
  <c r="F66" i="5" s="1"/>
  <c r="G66" i="5" s="1"/>
  <c r="G26" i="29"/>
  <c r="H26" i="29" s="1"/>
  <c r="I26" i="29" s="1"/>
  <c r="D24" i="5" s="1"/>
  <c r="F24" i="5" s="1"/>
  <c r="G24" i="5" s="1"/>
  <c r="G50" i="29"/>
  <c r="H50" i="29" s="1"/>
  <c r="I50" i="29" s="1"/>
  <c r="D48" i="5" s="1"/>
  <c r="F48" i="5" s="1"/>
  <c r="G48" i="5" s="1"/>
  <c r="G90" i="29"/>
  <c r="H90" i="29" s="1"/>
  <c r="G66" i="29"/>
  <c r="H66" i="29" s="1"/>
  <c r="I66" i="29" s="1"/>
  <c r="D64" i="5" s="1"/>
  <c r="F64" i="5" s="1"/>
  <c r="G64" i="5" s="1"/>
  <c r="G24" i="29"/>
  <c r="H24" i="29" s="1"/>
  <c r="I24" i="29" s="1"/>
  <c r="D22" i="5" s="1"/>
  <c r="F22" i="5" s="1"/>
  <c r="G22" i="5" s="1"/>
  <c r="G89" i="29"/>
  <c r="H89" i="29" s="1"/>
  <c r="I89" i="29" s="1"/>
  <c r="D12" i="4" s="1"/>
  <c r="G12" i="4" s="1"/>
  <c r="H12" i="4" s="1"/>
  <c r="G56" i="29"/>
  <c r="H56" i="29" s="1"/>
  <c r="I56" i="29" s="1"/>
  <c r="D54" i="5" s="1"/>
  <c r="F54" i="5" s="1"/>
  <c r="G54" i="5" s="1"/>
  <c r="G31" i="29"/>
  <c r="H31" i="29" s="1"/>
  <c r="I31" i="29" s="1"/>
  <c r="D29" i="5" s="1"/>
  <c r="F29" i="5" s="1"/>
  <c r="G29" i="5" s="1"/>
  <c r="G96" i="29"/>
  <c r="H96" i="29" s="1"/>
  <c r="I96" i="29" s="1"/>
  <c r="D19" i="4" s="1"/>
  <c r="G19" i="4" s="1"/>
  <c r="H19" i="4" s="1"/>
  <c r="G72" i="29"/>
  <c r="H72" i="29" s="1"/>
  <c r="I72" i="29" s="1"/>
  <c r="D70" i="5" s="1"/>
  <c r="F70" i="5" s="1"/>
  <c r="G70" i="5" s="1"/>
  <c r="G38" i="29"/>
  <c r="H38" i="29" s="1"/>
  <c r="I38" i="29" s="1"/>
  <c r="D36" i="5" s="1"/>
  <c r="F36" i="5" s="1"/>
  <c r="G36" i="5" s="1"/>
  <c r="G54" i="29"/>
  <c r="H54" i="29" s="1"/>
  <c r="I54" i="29" s="1"/>
  <c r="D52" i="5" s="1"/>
  <c r="F52" i="5" s="1"/>
  <c r="G52" i="5" s="1"/>
  <c r="G46" i="29"/>
  <c r="H46" i="29" s="1"/>
  <c r="I46" i="29" s="1"/>
  <c r="D44" i="5" s="1"/>
  <c r="F44" i="5" s="1"/>
  <c r="G44" i="5" s="1"/>
  <c r="G102" i="29"/>
  <c r="H102" i="29" s="1"/>
  <c r="G94" i="29"/>
  <c r="H94" i="29" s="1"/>
  <c r="I94" i="29" s="1"/>
  <c r="D17" i="4" s="1"/>
  <c r="G17" i="4" s="1"/>
  <c r="H17" i="4" s="1"/>
  <c r="G86" i="29"/>
  <c r="H86" i="29" s="1"/>
  <c r="G110" i="29"/>
  <c r="H110" i="29" s="1"/>
  <c r="G52" i="29"/>
  <c r="H52" i="29" s="1"/>
  <c r="I52" i="29" s="1"/>
  <c r="D50" i="5" s="1"/>
  <c r="F50" i="5" s="1"/>
  <c r="G50" i="5" s="1"/>
  <c r="G100" i="29"/>
  <c r="H100" i="29" s="1"/>
  <c r="G75" i="29"/>
  <c r="H75" i="29" s="1"/>
  <c r="I75" i="29" s="1"/>
  <c r="D73" i="5" s="1"/>
  <c r="F73" i="5" s="1"/>
  <c r="G73" i="5" s="1"/>
  <c r="G42" i="29"/>
  <c r="H42" i="29" s="1"/>
  <c r="I42" i="29" s="1"/>
  <c r="D40" i="5" s="1"/>
  <c r="F40" i="5" s="1"/>
  <c r="G40" i="5" s="1"/>
  <c r="G98" i="29"/>
  <c r="H98" i="29" s="1"/>
  <c r="G106" i="29"/>
  <c r="H106" i="29" s="1"/>
  <c r="G74" i="29"/>
  <c r="H74" i="29" s="1"/>
  <c r="I74" i="29" s="1"/>
  <c r="D72" i="5" s="1"/>
  <c r="F72" i="5" s="1"/>
  <c r="G72" i="5" s="1"/>
  <c r="G41" i="29"/>
  <c r="H41" i="29" s="1"/>
  <c r="I41" i="29" s="1"/>
  <c r="D39" i="5" s="1"/>
  <c r="F39" i="5" s="1"/>
  <c r="G39" i="5" s="1"/>
  <c r="G16" i="29"/>
  <c r="H16" i="29" s="1"/>
  <c r="I16" i="29" s="1"/>
  <c r="D14" i="5" s="1"/>
  <c r="F14" i="5" s="1"/>
  <c r="G14" i="5" s="1"/>
  <c r="G105" i="29"/>
  <c r="H105" i="29" s="1"/>
  <c r="G65" i="29"/>
  <c r="H65" i="29" s="1"/>
  <c r="I65" i="29" s="1"/>
  <c r="D63" i="5" s="1"/>
  <c r="F63" i="5" s="1"/>
  <c r="G63" i="5" s="1"/>
  <c r="G39" i="29"/>
  <c r="H39" i="29" s="1"/>
  <c r="I39" i="29" s="1"/>
  <c r="D37" i="5" s="1"/>
  <c r="F37" i="5" s="1"/>
  <c r="G37" i="5" s="1"/>
  <c r="G15" i="29"/>
  <c r="H15" i="29" s="1"/>
  <c r="I15" i="29" s="1"/>
  <c r="D13" i="5" s="1"/>
  <c r="F13" i="5" s="1"/>
  <c r="G13" i="5" s="1"/>
  <c r="G88" i="29"/>
  <c r="H88" i="29" s="1"/>
  <c r="G104" i="29"/>
  <c r="H104" i="29" s="1"/>
  <c r="G64" i="29"/>
  <c r="H64" i="29" s="1"/>
  <c r="I64" i="29" s="1"/>
  <c r="D62" i="5" s="1"/>
  <c r="F62" i="5" s="1"/>
  <c r="G62" i="5" s="1"/>
  <c r="G30" i="29"/>
  <c r="H30" i="29" s="1"/>
  <c r="I30" i="29" s="1"/>
  <c r="D28" i="5" s="1"/>
  <c r="F28" i="5" s="1"/>
  <c r="G28" i="5" s="1"/>
  <c r="G6" i="29"/>
  <c r="H6" i="29" s="1"/>
  <c r="I6" i="29" s="1"/>
  <c r="D4" i="5" s="1"/>
  <c r="F4" i="5" s="1"/>
  <c r="G4" i="5" s="1"/>
  <c r="G70" i="29"/>
  <c r="H70" i="29" s="1"/>
  <c r="I70" i="29" s="1"/>
  <c r="D68" i="5" s="1"/>
  <c r="F68" i="5" s="1"/>
  <c r="G68" i="5" s="1"/>
  <c r="G36" i="29"/>
  <c r="H36" i="29" s="1"/>
  <c r="I36" i="29" s="1"/>
  <c r="D34" i="5" s="1"/>
  <c r="F34" i="5" s="1"/>
  <c r="G34" i="5" s="1"/>
  <c r="G28" i="29"/>
  <c r="H28" i="29" s="1"/>
  <c r="I28" i="29" s="1"/>
  <c r="D26" i="5" s="1"/>
  <c r="F26" i="5" s="1"/>
  <c r="G26" i="5" s="1"/>
  <c r="G12" i="29"/>
  <c r="H12" i="29" s="1"/>
  <c r="I12" i="29" s="1"/>
  <c r="D10" i="5" s="1"/>
  <c r="F10" i="5" s="1"/>
  <c r="G10" i="5" s="1"/>
  <c r="G101" i="29"/>
  <c r="H101" i="29" s="1"/>
  <c r="G93" i="29"/>
  <c r="H93" i="29" s="1"/>
  <c r="H85" i="29"/>
  <c r="G109" i="29"/>
  <c r="H109" i="29" s="1"/>
  <c r="G44" i="29"/>
  <c r="H44" i="29" s="1"/>
  <c r="I44" i="29" s="1"/>
  <c r="D42" i="5" s="1"/>
  <c r="F42" i="5" s="1"/>
  <c r="G42" i="5" s="1"/>
  <c r="G92" i="29"/>
  <c r="H92" i="29" s="1"/>
  <c r="G76" i="29"/>
  <c r="H76" i="29" s="1"/>
  <c r="I76" i="29" s="1"/>
  <c r="D74" i="5" s="1"/>
  <c r="F74" i="5" s="1"/>
  <c r="G74" i="5" s="1"/>
  <c r="G99" i="29"/>
  <c r="H99" i="29" s="1"/>
  <c r="G91" i="29"/>
  <c r="H91" i="29" s="1"/>
  <c r="G83" i="29"/>
  <c r="H83" i="29" s="1"/>
  <c r="G107" i="29"/>
  <c r="H107" i="29" s="1"/>
  <c r="G4" i="29"/>
  <c r="H4" i="29" s="1"/>
  <c r="I4" i="29" s="1"/>
  <c r="D2" i="5" s="1"/>
  <c r="F2" i="5" s="1"/>
  <c r="G2" i="5" s="1"/>
  <c r="G108" i="29"/>
  <c r="H108" i="29" s="1"/>
  <c r="G34" i="29"/>
  <c r="H34" i="29" s="1"/>
  <c r="I34" i="29" s="1"/>
  <c r="D32" i="5" s="1"/>
  <c r="F32" i="5" s="1"/>
  <c r="G32" i="5" s="1"/>
  <c r="G58" i="29"/>
  <c r="H58" i="29" s="1"/>
  <c r="I58" i="29" s="1"/>
  <c r="D56" i="5" s="1"/>
  <c r="F56" i="5" s="1"/>
  <c r="G56" i="5" s="1"/>
  <c r="G97" i="29"/>
  <c r="H97" i="29" s="1"/>
  <c r="I4" i="30"/>
  <c r="J4" i="30" s="1"/>
  <c r="J11" i="30"/>
  <c r="I11" i="30"/>
  <c r="I12" i="30"/>
  <c r="J12" i="30" s="1"/>
  <c r="G5" i="30"/>
  <c r="H5" i="30" s="1"/>
  <c r="H17" i="30"/>
  <c r="H16" i="30"/>
  <c r="I15" i="30"/>
  <c r="J15" i="30" s="1"/>
  <c r="G14" i="30"/>
  <c r="H14" i="30" s="1"/>
  <c r="I13" i="30"/>
  <c r="J13" i="30" s="1"/>
  <c r="G10" i="30"/>
  <c r="H10" i="30" s="1"/>
  <c r="H9" i="30"/>
  <c r="G8" i="30"/>
  <c r="H8" i="30" s="1"/>
  <c r="H7" i="30"/>
  <c r="I6" i="30"/>
  <c r="J6" i="30" s="1"/>
  <c r="E73" i="29"/>
  <c r="F73" i="29" s="1"/>
  <c r="F9" i="29"/>
  <c r="E53" i="29"/>
  <c r="F53" i="29" s="1"/>
  <c r="F11" i="29"/>
  <c r="E49" i="29"/>
  <c r="F49" i="29" s="1"/>
  <c r="F25" i="29"/>
  <c r="E63" i="29"/>
  <c r="F63" i="29" s="1"/>
  <c r="F51" i="29"/>
  <c r="E35" i="29"/>
  <c r="F35" i="29" s="1"/>
  <c r="F29" i="29"/>
  <c r="E19" i="29"/>
  <c r="F19" i="29" s="1"/>
  <c r="F13" i="29"/>
  <c r="E69" i="29"/>
  <c r="F69" i="29" s="1"/>
  <c r="F45" i="29"/>
  <c r="F7" i="29"/>
  <c r="F77" i="29"/>
  <c r="E61" i="29"/>
  <c r="F61" i="29" s="1"/>
  <c r="F55" i="29"/>
  <c r="F33" i="29"/>
  <c r="F17" i="29"/>
  <c r="F71" i="29"/>
  <c r="F27" i="29"/>
  <c r="F59" i="29"/>
  <c r="F43" i="29"/>
  <c r="F37" i="29"/>
  <c r="F21" i="29"/>
  <c r="F5" i="29"/>
  <c r="I86" i="29" l="1"/>
  <c r="D9" i="4" s="1"/>
  <c r="G9" i="4" s="1"/>
  <c r="H9" i="4" s="1"/>
  <c r="G27" i="29"/>
  <c r="H27" i="29" s="1"/>
  <c r="I27" i="29" s="1"/>
  <c r="D25" i="5" s="1"/>
  <c r="F25" i="5" s="1"/>
  <c r="G25" i="5" s="1"/>
  <c r="G11" i="29"/>
  <c r="H11" i="29" s="1"/>
  <c r="I11" i="29" s="1"/>
  <c r="D9" i="5" s="1"/>
  <c r="F9" i="5" s="1"/>
  <c r="G9" i="5" s="1"/>
  <c r="G29" i="29"/>
  <c r="H29" i="29" s="1"/>
  <c r="I29" i="29" s="1"/>
  <c r="D27" i="5" s="1"/>
  <c r="F27" i="5" s="1"/>
  <c r="G27" i="5" s="1"/>
  <c r="G37" i="29"/>
  <c r="H37" i="29" s="1"/>
  <c r="I37" i="29" s="1"/>
  <c r="D35" i="5" s="1"/>
  <c r="F35" i="5" s="1"/>
  <c r="G35" i="5" s="1"/>
  <c r="G73" i="29"/>
  <c r="H73" i="29" s="1"/>
  <c r="I73" i="29" s="1"/>
  <c r="D71" i="5" s="1"/>
  <c r="F71" i="5" s="1"/>
  <c r="G71" i="5" s="1"/>
  <c r="G17" i="29"/>
  <c r="H17" i="29" s="1"/>
  <c r="I17" i="29" s="1"/>
  <c r="D15" i="5" s="1"/>
  <c r="F15" i="5" s="1"/>
  <c r="G15" i="5" s="1"/>
  <c r="G21" i="29"/>
  <c r="H21" i="29" s="1"/>
  <c r="I21" i="29" s="1"/>
  <c r="D19" i="5" s="1"/>
  <c r="F19" i="5" s="1"/>
  <c r="G19" i="5" s="1"/>
  <c r="G35" i="29"/>
  <c r="H35" i="29" s="1"/>
  <c r="I35" i="29" s="1"/>
  <c r="D33" i="5" s="1"/>
  <c r="F33" i="5" s="1"/>
  <c r="G33" i="5" s="1"/>
  <c r="G51" i="29"/>
  <c r="H51" i="29" s="1"/>
  <c r="I51" i="29" s="1"/>
  <c r="D49" i="5" s="1"/>
  <c r="F49" i="5" s="1"/>
  <c r="G49" i="5" s="1"/>
  <c r="I87" i="29"/>
  <c r="D10" i="4" s="1"/>
  <c r="G10" i="4" s="1"/>
  <c r="H10" i="4" s="1"/>
  <c r="G13" i="29"/>
  <c r="H13" i="29" s="1"/>
  <c r="I13" i="29" s="1"/>
  <c r="D11" i="5" s="1"/>
  <c r="F11" i="5" s="1"/>
  <c r="G11" i="5" s="1"/>
  <c r="G55" i="29"/>
  <c r="H55" i="29" s="1"/>
  <c r="I55" i="29" s="1"/>
  <c r="D53" i="5" s="1"/>
  <c r="F53" i="5" s="1"/>
  <c r="G53" i="5" s="1"/>
  <c r="G9" i="29"/>
  <c r="H9" i="29" s="1"/>
  <c r="I9" i="29" s="1"/>
  <c r="D7" i="5" s="1"/>
  <c r="F7" i="5" s="1"/>
  <c r="G7" i="5" s="1"/>
  <c r="G61" i="29"/>
  <c r="H61" i="29" s="1"/>
  <c r="I61" i="29" s="1"/>
  <c r="D59" i="5" s="1"/>
  <c r="F59" i="5" s="1"/>
  <c r="G59" i="5" s="1"/>
  <c r="G43" i="29"/>
  <c r="H43" i="29" s="1"/>
  <c r="I43" i="29" s="1"/>
  <c r="D41" i="5" s="1"/>
  <c r="F41" i="5" s="1"/>
  <c r="G41" i="5" s="1"/>
  <c r="G77" i="29"/>
  <c r="H77" i="29" s="1"/>
  <c r="I77" i="29" s="1"/>
  <c r="D75" i="5" s="1"/>
  <c r="F75" i="5" s="1"/>
  <c r="G75" i="5" s="1"/>
  <c r="G59" i="29"/>
  <c r="H59" i="29" s="1"/>
  <c r="I59" i="29" s="1"/>
  <c r="D57" i="5" s="1"/>
  <c r="F57" i="5" s="1"/>
  <c r="G57" i="5" s="1"/>
  <c r="G7" i="29"/>
  <c r="H7" i="29" s="1"/>
  <c r="I7" i="29" s="1"/>
  <c r="D5" i="5" s="1"/>
  <c r="F5" i="5" s="1"/>
  <c r="G5" i="5" s="1"/>
  <c r="G63" i="29"/>
  <c r="H63" i="29" s="1"/>
  <c r="I63" i="29" s="1"/>
  <c r="D61" i="5" s="1"/>
  <c r="F61" i="5" s="1"/>
  <c r="G61" i="5" s="1"/>
  <c r="G45" i="29"/>
  <c r="H45" i="29" s="1"/>
  <c r="I45" i="29" s="1"/>
  <c r="D43" i="5" s="1"/>
  <c r="F43" i="5" s="1"/>
  <c r="G43" i="5" s="1"/>
  <c r="G71" i="29"/>
  <c r="H71" i="29" s="1"/>
  <c r="I71" i="29" s="1"/>
  <c r="D69" i="5" s="1"/>
  <c r="F69" i="5" s="1"/>
  <c r="G69" i="5" s="1"/>
  <c r="G69" i="29"/>
  <c r="H69" i="29" s="1"/>
  <c r="I69" i="29" s="1"/>
  <c r="D67" i="5" s="1"/>
  <c r="F67" i="5" s="1"/>
  <c r="G67" i="5" s="1"/>
  <c r="G49" i="29"/>
  <c r="H49" i="29" s="1"/>
  <c r="I49" i="29" s="1"/>
  <c r="D47" i="5" s="1"/>
  <c r="F47" i="5" s="1"/>
  <c r="G47" i="5" s="1"/>
  <c r="G25" i="29"/>
  <c r="H25" i="29" s="1"/>
  <c r="I25" i="29" s="1"/>
  <c r="D23" i="5" s="1"/>
  <c r="F23" i="5" s="1"/>
  <c r="G23" i="5" s="1"/>
  <c r="G5" i="29"/>
  <c r="H5" i="29" s="1"/>
  <c r="I5" i="29" s="1"/>
  <c r="D3" i="5" s="1"/>
  <c r="F3" i="5" s="1"/>
  <c r="G3" i="5" s="1"/>
  <c r="G33" i="29"/>
  <c r="H33" i="29" s="1"/>
  <c r="I33" i="29" s="1"/>
  <c r="D31" i="5" s="1"/>
  <c r="F31" i="5" s="1"/>
  <c r="G31" i="5" s="1"/>
  <c r="G19" i="29"/>
  <c r="H19" i="29" s="1"/>
  <c r="I19" i="29" s="1"/>
  <c r="D17" i="5" s="1"/>
  <c r="F17" i="5" s="1"/>
  <c r="G17" i="5" s="1"/>
  <c r="G53" i="29"/>
  <c r="H53" i="29"/>
  <c r="I53" i="29" s="1"/>
  <c r="D51" i="5" s="1"/>
  <c r="F51" i="5" s="1"/>
  <c r="G51" i="5" s="1"/>
  <c r="I5" i="30"/>
  <c r="J5" i="30" s="1"/>
  <c r="I17" i="30"/>
  <c r="J17" i="30" s="1"/>
  <c r="I16" i="30"/>
  <c r="J16" i="30" s="1"/>
  <c r="I14" i="30"/>
  <c r="J14" i="30" s="1"/>
  <c r="I10" i="30"/>
  <c r="J10" i="30" s="1"/>
  <c r="I9" i="30"/>
  <c r="J9" i="30" s="1"/>
  <c r="I8" i="30"/>
  <c r="J8" i="30" s="1"/>
  <c r="I7" i="30"/>
  <c r="J7" i="30" s="1"/>
  <c r="B24" i="8" l="1"/>
  <c r="S19" i="9" l="1"/>
  <c r="R19" i="9"/>
  <c r="K19" i="9"/>
  <c r="T31" i="17"/>
  <c r="T30" i="17"/>
  <c r="T22" i="17"/>
  <c r="T23" i="17"/>
  <c r="T24" i="17"/>
  <c r="T25" i="17"/>
  <c r="T26" i="17"/>
  <c r="T27" i="17"/>
  <c r="T28" i="17"/>
  <c r="T29" i="17"/>
  <c r="T21" i="17"/>
  <c r="I18" i="28"/>
  <c r="I17" i="28"/>
  <c r="I16" i="28"/>
  <c r="I15" i="28"/>
  <c r="F15" i="28"/>
  <c r="I14" i="28"/>
  <c r="I13" i="28"/>
  <c r="F13" i="28"/>
  <c r="C12" i="28"/>
  <c r="AM11" i="28"/>
  <c r="AK11" i="28"/>
  <c r="AI11" i="28"/>
  <c r="AG11" i="28"/>
  <c r="AE11" i="28"/>
  <c r="AC11" i="28"/>
  <c r="AA11" i="28"/>
  <c r="Y11" i="28"/>
  <c r="W11" i="28"/>
  <c r="U11" i="28"/>
  <c r="S11" i="28"/>
  <c r="Q11" i="28"/>
  <c r="O11" i="28"/>
  <c r="M11" i="28"/>
  <c r="G11" i="28"/>
  <c r="AM10" i="28"/>
  <c r="AK10" i="28"/>
  <c r="AI10" i="28"/>
  <c r="AG10" i="28"/>
  <c r="AE10" i="28"/>
  <c r="AC10" i="28"/>
  <c r="AA10" i="28"/>
  <c r="Y10" i="28"/>
  <c r="W10" i="28"/>
  <c r="U10" i="28"/>
  <c r="S10" i="28"/>
  <c r="Q10" i="28"/>
  <c r="O10" i="28"/>
  <c r="M10" i="28"/>
  <c r="G10" i="28"/>
  <c r="AM9" i="28"/>
  <c r="AK9" i="28"/>
  <c r="AI9" i="28"/>
  <c r="AG9" i="28"/>
  <c r="AE9" i="28"/>
  <c r="AC9" i="28"/>
  <c r="AA9" i="28"/>
  <c r="Y9" i="28"/>
  <c r="W9" i="28"/>
  <c r="U9" i="28"/>
  <c r="S9" i="28"/>
  <c r="Q9" i="28"/>
  <c r="O9" i="28"/>
  <c r="M9" i="28"/>
  <c r="G9" i="28"/>
  <c r="F7" i="28"/>
  <c r="F6" i="28"/>
  <c r="H35" i="8"/>
  <c r="I35" i="8"/>
  <c r="E9" i="27"/>
  <c r="E8" i="27"/>
  <c r="E7" i="27"/>
  <c r="C10" i="27"/>
  <c r="C9" i="27"/>
  <c r="C8" i="27"/>
  <c r="S16" i="17"/>
  <c r="C12" i="27"/>
  <c r="C11" i="27"/>
  <c r="C7" i="27"/>
  <c r="E8" i="24"/>
  <c r="E7" i="24"/>
  <c r="AV14" i="24"/>
  <c r="AV33" i="23"/>
  <c r="AN10" i="23"/>
  <c r="AN14" i="23"/>
  <c r="AN17" i="23"/>
  <c r="AN18" i="23"/>
  <c r="I43" i="16"/>
  <c r="I46" i="16"/>
  <c r="I49" i="16"/>
  <c r="I52" i="16"/>
  <c r="J43" i="16"/>
  <c r="J46" i="16"/>
  <c r="J49" i="16"/>
  <c r="J52" i="16"/>
  <c r="H52" i="16"/>
  <c r="G52" i="16"/>
  <c r="G49" i="16"/>
  <c r="G46" i="16"/>
  <c r="H46" i="16"/>
  <c r="G43" i="16"/>
  <c r="H41" i="16"/>
  <c r="H43" i="16"/>
  <c r="I36" i="8"/>
  <c r="H36" i="8"/>
  <c r="G36" i="8"/>
  <c r="G35" i="8"/>
  <c r="F36" i="8"/>
  <c r="F35" i="8"/>
  <c r="E36" i="8"/>
  <c r="E35" i="8"/>
  <c r="N11" i="8"/>
  <c r="L17" i="8"/>
  <c r="M18" i="8"/>
  <c r="O5" i="8"/>
  <c r="C5" i="8" s="1"/>
  <c r="G10" i="27" l="1"/>
  <c r="G9" i="27"/>
  <c r="G8" i="27"/>
  <c r="G7" i="27"/>
  <c r="G7" i="28"/>
  <c r="G6" i="28"/>
  <c r="AN9" i="28"/>
  <c r="AN10" i="28"/>
  <c r="G12" i="28"/>
  <c r="D11" i="25" s="1"/>
  <c r="AN11" i="28"/>
  <c r="F17" i="27"/>
  <c r="F15" i="27"/>
  <c r="F17" i="19"/>
  <c r="F15" i="19"/>
  <c r="F17" i="24"/>
  <c r="F15" i="24"/>
  <c r="I34" i="23"/>
  <c r="I35" i="23"/>
  <c r="I36" i="23"/>
  <c r="I37" i="23"/>
  <c r="I38" i="23"/>
  <c r="I39" i="23"/>
  <c r="F36" i="23"/>
  <c r="H18" i="20"/>
  <c r="I15" i="27"/>
  <c r="I16" i="27"/>
  <c r="I17" i="27"/>
  <c r="I18" i="27"/>
  <c r="I19" i="27"/>
  <c r="I20" i="27"/>
  <c r="I15" i="19"/>
  <c r="I16" i="19"/>
  <c r="I17" i="19"/>
  <c r="I18" i="19"/>
  <c r="I19" i="19"/>
  <c r="I20" i="19"/>
  <c r="I15" i="24"/>
  <c r="I16" i="24"/>
  <c r="I17" i="24"/>
  <c r="I18" i="24"/>
  <c r="I19" i="24"/>
  <c r="I20" i="24"/>
  <c r="I52" i="21"/>
  <c r="H17" i="20"/>
  <c r="H19" i="20"/>
  <c r="H20" i="20"/>
  <c r="H21" i="20"/>
  <c r="H22" i="20"/>
  <c r="J24" i="8"/>
  <c r="J25" i="8"/>
  <c r="J26" i="8"/>
  <c r="J27" i="8"/>
  <c r="J28" i="8"/>
  <c r="J29" i="8"/>
  <c r="J30" i="8"/>
  <c r="J31" i="8"/>
  <c r="J32" i="8"/>
  <c r="K32" i="8" s="1"/>
  <c r="J23" i="8"/>
  <c r="I30" i="8"/>
  <c r="I31" i="8"/>
  <c r="I32" i="8"/>
  <c r="J33" i="8"/>
  <c r="E19" i="20"/>
  <c r="E17" i="20"/>
  <c r="F53" i="21"/>
  <c r="F34" i="23"/>
  <c r="O6" i="8"/>
  <c r="C6" i="8" s="1"/>
  <c r="O7" i="8"/>
  <c r="O8" i="8"/>
  <c r="O9" i="8"/>
  <c r="O11" i="8"/>
  <c r="I17" i="8"/>
  <c r="H22" i="8"/>
  <c r="F8" i="24"/>
  <c r="I13" i="27"/>
  <c r="I11" i="27"/>
  <c r="I10" i="27"/>
  <c r="I9" i="27"/>
  <c r="AF14" i="27"/>
  <c r="V14" i="27"/>
  <c r="T14" i="27"/>
  <c r="R17" i="20" l="1"/>
  <c r="T17" i="20"/>
  <c r="F17" i="20"/>
  <c r="N17" i="20"/>
  <c r="L17" i="20"/>
  <c r="P17" i="20"/>
  <c r="AO17" i="23"/>
  <c r="AP17" i="23" s="1"/>
  <c r="AO10" i="23"/>
  <c r="AP10" i="23" s="1"/>
  <c r="AO14" i="23"/>
  <c r="AP14" i="23" s="1"/>
  <c r="AO18" i="23"/>
  <c r="AP18" i="23" s="1"/>
  <c r="AO11" i="28"/>
  <c r="AP11" i="28" s="1"/>
  <c r="AO10" i="28"/>
  <c r="AP10" i="28" s="1"/>
  <c r="G13" i="28"/>
  <c r="AO9" i="28"/>
  <c r="AP9" i="28" s="1"/>
  <c r="K31" i="8"/>
  <c r="K30" i="8"/>
  <c r="X14" i="27"/>
  <c r="I7" i="27"/>
  <c r="N14" i="27"/>
  <c r="P14" i="27"/>
  <c r="AL14" i="27"/>
  <c r="I12" i="27"/>
  <c r="AD14" i="27"/>
  <c r="I8" i="27"/>
  <c r="R14" i="27"/>
  <c r="Z14" i="27"/>
  <c r="AB14" i="27"/>
  <c r="AJ14" i="27"/>
  <c r="AH14" i="27"/>
  <c r="AQ14" i="23" l="1"/>
  <c r="AR14" i="23" s="1"/>
  <c r="AS14" i="23" s="1"/>
  <c r="AT14" i="23" s="1"/>
  <c r="AU14" i="23" s="1"/>
  <c r="AQ10" i="23"/>
  <c r="AR10" i="23" s="1"/>
  <c r="AQ17" i="23"/>
  <c r="AR17" i="23" s="1"/>
  <c r="AQ18" i="23"/>
  <c r="AR18" i="23" s="1"/>
  <c r="AQ10" i="28"/>
  <c r="AR10" i="28" s="1"/>
  <c r="AQ9" i="28"/>
  <c r="AR9" i="28" s="1"/>
  <c r="AQ11" i="28"/>
  <c r="AR11" i="28" s="1"/>
  <c r="G14" i="28"/>
  <c r="AN7" i="27"/>
  <c r="AO7" i="27" s="1"/>
  <c r="AP7" i="27" s="1"/>
  <c r="AQ7" i="27" s="1"/>
  <c r="AK14" i="27"/>
  <c r="AN10" i="27"/>
  <c r="AO10" i="27" s="1"/>
  <c r="AP10" i="27" s="1"/>
  <c r="AQ10" i="27" s="1"/>
  <c r="AR10" i="27" s="1"/>
  <c r="AN13" i="27"/>
  <c r="AN12" i="27"/>
  <c r="AO12" i="27" s="1"/>
  <c r="AP12" i="27" s="1"/>
  <c r="AN11" i="27"/>
  <c r="AO11" i="27" s="1"/>
  <c r="AP11" i="27" s="1"/>
  <c r="AN8" i="27"/>
  <c r="J7" i="27"/>
  <c r="J10" i="27"/>
  <c r="J12" i="27"/>
  <c r="J13" i="27"/>
  <c r="J11" i="27"/>
  <c r="S14" i="27"/>
  <c r="AI14" i="27"/>
  <c r="AC14" i="27"/>
  <c r="AG14" i="27"/>
  <c r="AM14" i="27"/>
  <c r="W14" i="27"/>
  <c r="O14" i="27"/>
  <c r="AE14" i="27"/>
  <c r="AE15" i="27" s="1"/>
  <c r="AE16" i="27" s="1"/>
  <c r="AE17" i="27" s="1"/>
  <c r="AE18" i="27" s="1"/>
  <c r="AE19" i="27" s="1"/>
  <c r="AE20" i="27" s="1"/>
  <c r="Q14" i="27"/>
  <c r="Y14" i="27"/>
  <c r="AA14" i="27"/>
  <c r="J8" i="27"/>
  <c r="U14" i="27"/>
  <c r="U15" i="27" s="1"/>
  <c r="U16" i="27" s="1"/>
  <c r="U17" i="27" s="1"/>
  <c r="O13" i="8"/>
  <c r="O12" i="8"/>
  <c r="G17" i="8"/>
  <c r="E20" i="21"/>
  <c r="E9" i="24"/>
  <c r="AS17" i="23" l="1"/>
  <c r="AT17" i="23" s="1"/>
  <c r="AU17" i="23" s="1"/>
  <c r="AS18" i="23"/>
  <c r="AT18" i="23" s="1"/>
  <c r="AU18" i="23" s="1"/>
  <c r="AS10" i="23"/>
  <c r="AT10" i="23" s="1"/>
  <c r="AU10" i="23" s="1"/>
  <c r="AS11" i="28"/>
  <c r="AT11" i="28" s="1"/>
  <c r="AU11" i="28" s="1"/>
  <c r="AS9" i="28"/>
  <c r="AT9" i="28" s="1"/>
  <c r="AU9" i="28" s="1"/>
  <c r="AS10" i="28"/>
  <c r="AT10" i="28" s="1"/>
  <c r="AU10" i="28" s="1"/>
  <c r="G15" i="28"/>
  <c r="AR7" i="27"/>
  <c r="AS7" i="27" s="1"/>
  <c r="AA15" i="27"/>
  <c r="AA16" i="27" s="1"/>
  <c r="AA17" i="27" s="1"/>
  <c r="AA18" i="27" s="1"/>
  <c r="AA19" i="27" s="1"/>
  <c r="AA20" i="27" s="1"/>
  <c r="Y15" i="27"/>
  <c r="Y16" i="27" s="1"/>
  <c r="Y17" i="27" s="1"/>
  <c r="Y18" i="27" s="1"/>
  <c r="Y19" i="27" s="1"/>
  <c r="Y20" i="27" s="1"/>
  <c r="AG15" i="27"/>
  <c r="AG16" i="27" s="1"/>
  <c r="AG17" i="27" s="1"/>
  <c r="AG18" i="27" s="1"/>
  <c r="AG19" i="27" s="1"/>
  <c r="AG20" i="27" s="1"/>
  <c r="AM15" i="27"/>
  <c r="AM16" i="27" s="1"/>
  <c r="AM17" i="27" s="1"/>
  <c r="AM18" i="27" s="1"/>
  <c r="AM19" i="27" s="1"/>
  <c r="AM20" i="27" s="1"/>
  <c r="Q15" i="27"/>
  <c r="Q16" i="27" s="1"/>
  <c r="Q17" i="27" s="1"/>
  <c r="Q18" i="27" s="1"/>
  <c r="Q19" i="27" s="1"/>
  <c r="Q20" i="27" s="1"/>
  <c r="H7" i="1" s="1"/>
  <c r="AC15" i="27"/>
  <c r="AC16" i="27" s="1"/>
  <c r="AC17" i="27" s="1"/>
  <c r="AC18" i="27" s="1"/>
  <c r="AC19" i="27" s="1"/>
  <c r="AC20" i="27" s="1"/>
  <c r="AI15" i="27"/>
  <c r="AI16" i="27" s="1"/>
  <c r="AI17" i="27" s="1"/>
  <c r="AI18" i="27" s="1"/>
  <c r="AI19" i="27" s="1"/>
  <c r="AI20" i="27" s="1"/>
  <c r="AK15" i="27"/>
  <c r="AK16" i="27" s="1"/>
  <c r="AK17" i="27" s="1"/>
  <c r="AK18" i="27" s="1"/>
  <c r="AK19" i="27" s="1"/>
  <c r="AK20" i="27" s="1"/>
  <c r="S15" i="27"/>
  <c r="S16" i="27" s="1"/>
  <c r="S17" i="27" s="1"/>
  <c r="O15" i="27"/>
  <c r="O16" i="27" s="1"/>
  <c r="O17" i="27" s="1"/>
  <c r="O18" i="27" s="1"/>
  <c r="O19" i="27" s="1"/>
  <c r="O20" i="27" s="1"/>
  <c r="H6" i="1" s="1"/>
  <c r="W15" i="27"/>
  <c r="W16" i="27" s="1"/>
  <c r="W17" i="27" s="1"/>
  <c r="AO13" i="27"/>
  <c r="AP13" i="27" s="1"/>
  <c r="AQ12" i="27"/>
  <c r="AR12" i="27" s="1"/>
  <c r="AQ11" i="27"/>
  <c r="AR11" i="27" s="1"/>
  <c r="AS10" i="27"/>
  <c r="AT10" i="27" s="1"/>
  <c r="AU10" i="27" s="1"/>
  <c r="AN9" i="27"/>
  <c r="AO9" i="27" s="1"/>
  <c r="AP9" i="27" s="1"/>
  <c r="AO8" i="27"/>
  <c r="AP8" i="27" s="1"/>
  <c r="AQ8" i="27" s="1"/>
  <c r="AR8" i="27" s="1"/>
  <c r="U18" i="27"/>
  <c r="U19" i="27" s="1"/>
  <c r="U20" i="27" s="1"/>
  <c r="J9" i="27"/>
  <c r="G16" i="28" l="1"/>
  <c r="AT7" i="27"/>
  <c r="AU7" i="27" s="1"/>
  <c r="W18" i="27"/>
  <c r="W19" i="27" s="1"/>
  <c r="W20" i="27" s="1"/>
  <c r="S18" i="27"/>
  <c r="S19" i="27" s="1"/>
  <c r="S20" i="27" s="1"/>
  <c r="H8" i="1" s="1"/>
  <c r="AQ13" i="27"/>
  <c r="AR13" i="27" s="1"/>
  <c r="AS12" i="27"/>
  <c r="AT12" i="27" s="1"/>
  <c r="AU12" i="27" s="1"/>
  <c r="AS11" i="27"/>
  <c r="AT11" i="27" s="1"/>
  <c r="AU11" i="27" s="1"/>
  <c r="AQ9" i="27"/>
  <c r="AR9" i="27" s="1"/>
  <c r="AS8" i="27"/>
  <c r="AT8" i="27" s="1"/>
  <c r="AU8" i="27" s="1"/>
  <c r="F11" i="24"/>
  <c r="F10" i="24"/>
  <c r="G17" i="28" l="1"/>
  <c r="AS13" i="27"/>
  <c r="AT13" i="27" s="1"/>
  <c r="AU13" i="27" s="1"/>
  <c r="AS9" i="27"/>
  <c r="AT9" i="27" s="1"/>
  <c r="AU9" i="27" s="1"/>
  <c r="G11" i="24"/>
  <c r="G10" i="24"/>
  <c r="G18" i="28" l="1"/>
  <c r="F26" i="20" s="1"/>
  <c r="F12" i="24" l="1"/>
  <c r="G12" i="24" s="1"/>
  <c r="F27" i="24"/>
  <c r="G27" i="24" s="1"/>
  <c r="C36" i="24"/>
  <c r="G35" i="24"/>
  <c r="G34" i="24"/>
  <c r="G33" i="24"/>
  <c r="G32" i="24"/>
  <c r="F31" i="24"/>
  <c r="G31" i="24" s="1"/>
  <c r="F30" i="24"/>
  <c r="G30" i="24" s="1"/>
  <c r="F29" i="24"/>
  <c r="G29" i="24" s="1"/>
  <c r="F28" i="24"/>
  <c r="G28" i="24" s="1"/>
  <c r="C14" i="24"/>
  <c r="F9" i="24"/>
  <c r="G9" i="24" s="1"/>
  <c r="G8" i="24"/>
  <c r="F7" i="24"/>
  <c r="G7" i="24" s="1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6" i="23"/>
  <c r="F6" i="21"/>
  <c r="G36" i="24" l="1"/>
  <c r="E18" i="21" s="1"/>
  <c r="G14" i="24"/>
  <c r="D9" i="25" l="1"/>
  <c r="G15" i="24"/>
  <c r="G16" i="24" l="1"/>
  <c r="G17" i="24" l="1"/>
  <c r="G18" i="24" l="1"/>
  <c r="F21" i="21"/>
  <c r="AM21" i="21" s="1"/>
  <c r="C21" i="21"/>
  <c r="I21" i="21" s="1"/>
  <c r="AE32" i="23"/>
  <c r="C32" i="23"/>
  <c r="AK31" i="23"/>
  <c r="C31" i="23"/>
  <c r="I31" i="23" s="1"/>
  <c r="AA30" i="23"/>
  <c r="C30" i="23"/>
  <c r="G30" i="23" s="1"/>
  <c r="U29" i="23"/>
  <c r="C29" i="23"/>
  <c r="U28" i="23"/>
  <c r="C28" i="23"/>
  <c r="G28" i="23" s="1"/>
  <c r="AC27" i="23"/>
  <c r="C27" i="23"/>
  <c r="I27" i="23" s="1"/>
  <c r="AM26" i="23"/>
  <c r="AN26" i="23" s="1"/>
  <c r="AO26" i="23" s="1"/>
  <c r="AP26" i="23" s="1"/>
  <c r="AQ26" i="23" s="1"/>
  <c r="AR26" i="23" s="1"/>
  <c r="AS26" i="23" s="1"/>
  <c r="AT26" i="23" s="1"/>
  <c r="AU26" i="23" s="1"/>
  <c r="C26" i="23"/>
  <c r="I26" i="23" s="1"/>
  <c r="AK25" i="23"/>
  <c r="C25" i="23"/>
  <c r="I25" i="23" s="1"/>
  <c r="AE24" i="23"/>
  <c r="C24" i="23"/>
  <c r="AK23" i="23"/>
  <c r="C23" i="23"/>
  <c r="I23" i="23" s="1"/>
  <c r="AC22" i="23"/>
  <c r="AM22" i="23"/>
  <c r="C22" i="23"/>
  <c r="AK21" i="23"/>
  <c r="C21" i="23"/>
  <c r="AE20" i="23"/>
  <c r="AC20" i="23"/>
  <c r="Q20" i="23"/>
  <c r="O20" i="23"/>
  <c r="C20" i="23"/>
  <c r="I20" i="23" s="1"/>
  <c r="Y20" i="23"/>
  <c r="M19" i="23"/>
  <c r="S18" i="23"/>
  <c r="AI17" i="23"/>
  <c r="M17" i="23"/>
  <c r="AG16" i="23"/>
  <c r="AC15" i="23"/>
  <c r="Y15" i="23"/>
  <c r="W15" i="23"/>
  <c r="S15" i="23"/>
  <c r="O15" i="23"/>
  <c r="U15" i="23"/>
  <c r="Q14" i="23"/>
  <c r="AI14" i="23"/>
  <c r="W13" i="23"/>
  <c r="C12" i="23"/>
  <c r="Q12" i="23"/>
  <c r="AK11" i="23"/>
  <c r="AG11" i="23"/>
  <c r="O11" i="23"/>
  <c r="AI11" i="23"/>
  <c r="C11" i="23"/>
  <c r="I11" i="23" s="1"/>
  <c r="M10" i="23"/>
  <c r="Q9" i="23"/>
  <c r="AK9" i="23"/>
  <c r="C9" i="23"/>
  <c r="I9" i="23" s="1"/>
  <c r="C8" i="23"/>
  <c r="M8" i="23"/>
  <c r="AG7" i="23"/>
  <c r="Y7" i="23"/>
  <c r="U7" i="23"/>
  <c r="Q7" i="23"/>
  <c r="M7" i="23"/>
  <c r="C7" i="23"/>
  <c r="AM7" i="23"/>
  <c r="AJ33" i="23"/>
  <c r="AH33" i="23"/>
  <c r="AB33" i="23"/>
  <c r="Z33" i="23"/>
  <c r="X33" i="23"/>
  <c r="T33" i="23"/>
  <c r="R33" i="23"/>
  <c r="L33" i="23"/>
  <c r="M6" i="23"/>
  <c r="AL7" i="21"/>
  <c r="AL8" i="21"/>
  <c r="AL9" i="21"/>
  <c r="AL10" i="21"/>
  <c r="AL11" i="21"/>
  <c r="AL12" i="21"/>
  <c r="AL13" i="21"/>
  <c r="AL14" i="21"/>
  <c r="AL15" i="21"/>
  <c r="AL16" i="21"/>
  <c r="AL6" i="21"/>
  <c r="AJ7" i="21"/>
  <c r="AJ8" i="21"/>
  <c r="AJ9" i="21"/>
  <c r="AJ10" i="21"/>
  <c r="AJ11" i="21"/>
  <c r="AJ12" i="21"/>
  <c r="AJ13" i="21"/>
  <c r="AJ14" i="21"/>
  <c r="AJ15" i="21"/>
  <c r="AJ16" i="21"/>
  <c r="AJ6" i="21"/>
  <c r="AH7" i="21"/>
  <c r="AH8" i="21"/>
  <c r="AH9" i="21"/>
  <c r="AH10" i="21"/>
  <c r="AH11" i="21"/>
  <c r="AH12" i="21"/>
  <c r="AH13" i="21"/>
  <c r="AH14" i="21"/>
  <c r="AH15" i="21"/>
  <c r="AH16" i="21"/>
  <c r="AH6" i="21"/>
  <c r="AF7" i="21"/>
  <c r="AF8" i="21"/>
  <c r="AF9" i="21"/>
  <c r="AF10" i="21"/>
  <c r="AF11" i="21"/>
  <c r="AF12" i="21"/>
  <c r="AF13" i="21"/>
  <c r="AF14" i="21"/>
  <c r="AF15" i="21"/>
  <c r="AF16" i="21"/>
  <c r="AF6" i="21"/>
  <c r="AD7" i="21"/>
  <c r="AD8" i="21"/>
  <c r="AD9" i="21"/>
  <c r="AD10" i="21"/>
  <c r="AD11" i="21"/>
  <c r="AD12" i="21"/>
  <c r="AD13" i="21"/>
  <c r="AD14" i="21"/>
  <c r="AD15" i="21"/>
  <c r="AD16" i="21"/>
  <c r="AD6" i="21"/>
  <c r="AB7" i="21"/>
  <c r="AB8" i="21"/>
  <c r="AB9" i="21"/>
  <c r="AB10" i="21"/>
  <c r="AB11" i="21"/>
  <c r="AB12" i="21"/>
  <c r="AB13" i="21"/>
  <c r="AB14" i="21"/>
  <c r="AB15" i="21"/>
  <c r="AB16" i="21"/>
  <c r="AB6" i="21"/>
  <c r="Z7" i="21"/>
  <c r="Z8" i="21"/>
  <c r="Z9" i="21"/>
  <c r="Z10" i="21"/>
  <c r="Z11" i="21"/>
  <c r="Z12" i="21"/>
  <c r="Z13" i="21"/>
  <c r="Z14" i="21"/>
  <c r="Z15" i="21"/>
  <c r="Z16" i="21"/>
  <c r="Z6" i="21"/>
  <c r="X7" i="21"/>
  <c r="X8" i="21"/>
  <c r="X9" i="21"/>
  <c r="X10" i="21"/>
  <c r="X11" i="21"/>
  <c r="X12" i="21"/>
  <c r="X13" i="21"/>
  <c r="X14" i="21"/>
  <c r="X15" i="21"/>
  <c r="X16" i="21"/>
  <c r="X6" i="21"/>
  <c r="V7" i="21"/>
  <c r="V8" i="21"/>
  <c r="V9" i="21"/>
  <c r="V10" i="21"/>
  <c r="V11" i="21"/>
  <c r="V12" i="21"/>
  <c r="V13" i="21"/>
  <c r="V14" i="21"/>
  <c r="V15" i="21"/>
  <c r="V16" i="21"/>
  <c r="V6" i="21"/>
  <c r="T7" i="21"/>
  <c r="T8" i="21"/>
  <c r="T9" i="21"/>
  <c r="T10" i="21"/>
  <c r="T11" i="21"/>
  <c r="T12" i="21"/>
  <c r="T13" i="21"/>
  <c r="T14" i="21"/>
  <c r="T15" i="21"/>
  <c r="T16" i="21"/>
  <c r="T6" i="21"/>
  <c r="R7" i="21"/>
  <c r="R8" i="21"/>
  <c r="R9" i="21"/>
  <c r="R10" i="21"/>
  <c r="R11" i="21"/>
  <c r="R12" i="21"/>
  <c r="R13" i="21"/>
  <c r="R14" i="21"/>
  <c r="R15" i="21"/>
  <c r="R16" i="21"/>
  <c r="R6" i="21"/>
  <c r="P7" i="21"/>
  <c r="P8" i="21"/>
  <c r="P9" i="21"/>
  <c r="P10" i="21"/>
  <c r="P11" i="21"/>
  <c r="P12" i="21"/>
  <c r="P13" i="21"/>
  <c r="P14" i="21"/>
  <c r="P15" i="21"/>
  <c r="P16" i="21"/>
  <c r="P6" i="21"/>
  <c r="N7" i="21"/>
  <c r="N8" i="21"/>
  <c r="N9" i="21"/>
  <c r="N10" i="21"/>
  <c r="N11" i="21"/>
  <c r="N12" i="21"/>
  <c r="N13" i="21"/>
  <c r="N14" i="21"/>
  <c r="N15" i="21"/>
  <c r="N16" i="21"/>
  <c r="N6" i="21"/>
  <c r="L7" i="21"/>
  <c r="L8" i="21"/>
  <c r="L9" i="21"/>
  <c r="L10" i="21"/>
  <c r="L11" i="21"/>
  <c r="L12" i="21"/>
  <c r="L13" i="21"/>
  <c r="L14" i="21"/>
  <c r="L15" i="21"/>
  <c r="L16" i="21"/>
  <c r="L6" i="21"/>
  <c r="E6" i="22"/>
  <c r="E7" i="22"/>
  <c r="E8" i="22"/>
  <c r="E9" i="22"/>
  <c r="E10" i="22"/>
  <c r="E11" i="22"/>
  <c r="E12" i="22"/>
  <c r="E13" i="22"/>
  <c r="E14" i="22"/>
  <c r="E15" i="22"/>
  <c r="E19" i="22"/>
  <c r="E5" i="22"/>
  <c r="T19" i="22"/>
  <c r="T15" i="22"/>
  <c r="T14" i="22"/>
  <c r="T13" i="22"/>
  <c r="T12" i="22"/>
  <c r="T11" i="22"/>
  <c r="T10" i="22"/>
  <c r="T9" i="22"/>
  <c r="T8" i="22"/>
  <c r="T7" i="22"/>
  <c r="T6" i="22"/>
  <c r="T5" i="22"/>
  <c r="G19" i="24" l="1"/>
  <c r="I30" i="23"/>
  <c r="S31" i="23"/>
  <c r="W31" i="23"/>
  <c r="M30" i="23"/>
  <c r="Y30" i="23"/>
  <c r="AC30" i="23"/>
  <c r="AG30" i="23"/>
  <c r="G22" i="23"/>
  <c r="M24" i="23"/>
  <c r="AG31" i="23"/>
  <c r="I22" i="23"/>
  <c r="O24" i="23"/>
  <c r="AI31" i="23"/>
  <c r="AI22" i="23"/>
  <c r="W24" i="23"/>
  <c r="AA18" i="23"/>
  <c r="AC24" i="23"/>
  <c r="I28" i="23"/>
  <c r="O30" i="23"/>
  <c r="O31" i="23"/>
  <c r="Q24" i="23"/>
  <c r="AM31" i="23"/>
  <c r="AN31" i="23" s="1"/>
  <c r="AO31" i="23" s="1"/>
  <c r="AP31" i="23" s="1"/>
  <c r="AQ31" i="23" s="1"/>
  <c r="AR31" i="23" s="1"/>
  <c r="AS31" i="23" s="1"/>
  <c r="AT31" i="23" s="1"/>
  <c r="AU31" i="23" s="1"/>
  <c r="M31" i="23"/>
  <c r="S30" i="23"/>
  <c r="Q31" i="23"/>
  <c r="U8" i="23"/>
  <c r="S10" i="23"/>
  <c r="AM11" i="23"/>
  <c r="AN11" i="23" s="1"/>
  <c r="AO11" i="23" s="1"/>
  <c r="AP11" i="23" s="1"/>
  <c r="AQ11" i="23" s="1"/>
  <c r="AR11" i="23" s="1"/>
  <c r="AS11" i="23" s="1"/>
  <c r="AT11" i="23" s="1"/>
  <c r="AU11" i="23" s="1"/>
  <c r="O17" i="23"/>
  <c r="Q25" i="23"/>
  <c r="O27" i="23"/>
  <c r="O29" i="23"/>
  <c r="U10" i="23"/>
  <c r="S17" i="23"/>
  <c r="Y25" i="23"/>
  <c r="AE27" i="23"/>
  <c r="M25" i="23"/>
  <c r="AK8" i="23"/>
  <c r="AG6" i="23"/>
  <c r="Y10" i="23"/>
  <c r="S11" i="23"/>
  <c r="M12" i="23"/>
  <c r="AA14" i="23"/>
  <c r="U17" i="23"/>
  <c r="AG18" i="23"/>
  <c r="M22" i="23"/>
  <c r="W23" i="23"/>
  <c r="AA25" i="23"/>
  <c r="AC7" i="23"/>
  <c r="AC10" i="23"/>
  <c r="U11" i="23"/>
  <c r="AE14" i="23"/>
  <c r="AE15" i="23"/>
  <c r="Y17" i="23"/>
  <c r="AI18" i="23"/>
  <c r="AM20" i="23"/>
  <c r="O22" i="23"/>
  <c r="AI23" i="23"/>
  <c r="AG24" i="23"/>
  <c r="AM25" i="23"/>
  <c r="AI30" i="23"/>
  <c r="Y31" i="23"/>
  <c r="AK10" i="23"/>
  <c r="Q10" i="23"/>
  <c r="Q6" i="23"/>
  <c r="AG10" i="23"/>
  <c r="W11" i="23"/>
  <c r="Y12" i="23"/>
  <c r="AI15" i="23"/>
  <c r="AC17" i="23"/>
  <c r="Y22" i="23"/>
  <c r="AM24" i="23"/>
  <c r="AN24" i="23" s="1"/>
  <c r="AO24" i="23" s="1"/>
  <c r="AP24" i="23" s="1"/>
  <c r="AQ24" i="23" s="1"/>
  <c r="AR24" i="23" s="1"/>
  <c r="AS24" i="23" s="1"/>
  <c r="AT24" i="23" s="1"/>
  <c r="AU24" i="23" s="1"/>
  <c r="AA31" i="23"/>
  <c r="Q13" i="23"/>
  <c r="AK17" i="23"/>
  <c r="AK7" i="23"/>
  <c r="AI9" i="23"/>
  <c r="AI10" i="23"/>
  <c r="Y11" i="23"/>
  <c r="AG12" i="23"/>
  <c r="M15" i="23"/>
  <c r="AM15" i="23"/>
  <c r="AN15" i="23" s="1"/>
  <c r="AO15" i="23" s="1"/>
  <c r="AP15" i="23" s="1"/>
  <c r="AQ15" i="23" s="1"/>
  <c r="AR15" i="23" s="1"/>
  <c r="AS15" i="23" s="1"/>
  <c r="AT15" i="23" s="1"/>
  <c r="AE17" i="23"/>
  <c r="AA22" i="23"/>
  <c r="AE31" i="23"/>
  <c r="M21" i="21"/>
  <c r="Q21" i="21"/>
  <c r="O21" i="21"/>
  <c r="Y21" i="21"/>
  <c r="AA21" i="21"/>
  <c r="G21" i="21"/>
  <c r="AC21" i="21"/>
  <c r="AE21" i="21"/>
  <c r="AG21" i="21"/>
  <c r="S21" i="21"/>
  <c r="AI21" i="21"/>
  <c r="U21" i="21"/>
  <c r="AK21" i="21"/>
  <c r="W21" i="21"/>
  <c r="AM9" i="23"/>
  <c r="U14" i="23"/>
  <c r="O16" i="23"/>
  <c r="AC16" i="23"/>
  <c r="O19" i="23"/>
  <c r="AK19" i="23"/>
  <c r="S32" i="23"/>
  <c r="AC8" i="23"/>
  <c r="AE9" i="23"/>
  <c r="AA10" i="23"/>
  <c r="AC11" i="23"/>
  <c r="O13" i="23"/>
  <c r="AC13" i="23"/>
  <c r="M14" i="23"/>
  <c r="W14" i="23"/>
  <c r="AA19" i="23"/>
  <c r="AM23" i="23"/>
  <c r="O25" i="23"/>
  <c r="AG27" i="23"/>
  <c r="W32" i="23"/>
  <c r="Y19" i="23"/>
  <c r="AC19" i="23"/>
  <c r="AE8" i="23"/>
  <c r="W9" i="23"/>
  <c r="AG14" i="23"/>
  <c r="S16" i="23"/>
  <c r="Q19" i="23"/>
  <c r="AM19" i="23"/>
  <c r="AN19" i="23" s="1"/>
  <c r="AO19" i="23" s="1"/>
  <c r="AP19" i="23" s="1"/>
  <c r="AC32" i="23"/>
  <c r="S7" i="23"/>
  <c r="AN7" i="23" s="1"/>
  <c r="AO7" i="23" s="1"/>
  <c r="AP7" i="23" s="1"/>
  <c r="AQ7" i="23" s="1"/>
  <c r="AR7" i="23" s="1"/>
  <c r="AS7" i="23" s="1"/>
  <c r="AT7" i="23" s="1"/>
  <c r="AU7" i="23" s="1"/>
  <c r="AA7" i="23"/>
  <c r="AI7" i="23"/>
  <c r="Q8" i="23"/>
  <c r="AG8" i="23"/>
  <c r="O9" i="23"/>
  <c r="AG9" i="23"/>
  <c r="O10" i="23"/>
  <c r="AE10" i="23"/>
  <c r="M11" i="23"/>
  <c r="AE11" i="23"/>
  <c r="U12" i="23"/>
  <c r="S13" i="23"/>
  <c r="O14" i="23"/>
  <c r="Y14" i="23"/>
  <c r="Q15" i="23"/>
  <c r="AA15" i="23"/>
  <c r="AK15" i="23"/>
  <c r="U16" i="23"/>
  <c r="AI16" i="23"/>
  <c r="Q17" i="23"/>
  <c r="AA17" i="23"/>
  <c r="AM17" i="23"/>
  <c r="W18" i="23"/>
  <c r="S19" i="23"/>
  <c r="S22" i="23"/>
  <c r="M23" i="23"/>
  <c r="AI24" i="23"/>
  <c r="W25" i="23"/>
  <c r="AE30" i="23"/>
  <c r="AG32" i="23"/>
  <c r="AA8" i="23"/>
  <c r="O8" i="23"/>
  <c r="S8" i="23"/>
  <c r="AI8" i="23"/>
  <c r="Y9" i="23"/>
  <c r="AK14" i="23"/>
  <c r="AM18" i="23"/>
  <c r="U19" i="23"/>
  <c r="AE19" i="23"/>
  <c r="S23" i="23"/>
  <c r="AI32" i="23"/>
  <c r="AK16" i="23"/>
  <c r="AM32" i="23"/>
  <c r="AN32" i="23" s="1"/>
  <c r="AO32" i="23" s="1"/>
  <c r="AP32" i="23" s="1"/>
  <c r="AQ32" i="23" s="1"/>
  <c r="AR32" i="23" s="1"/>
  <c r="AS32" i="23" s="1"/>
  <c r="AT32" i="23" s="1"/>
  <c r="AU32" i="23" s="1"/>
  <c r="W16" i="23"/>
  <c r="W8" i="23"/>
  <c r="AA9" i="23"/>
  <c r="Y13" i="23"/>
  <c r="AM14" i="23"/>
  <c r="AG19" i="23"/>
  <c r="Y23" i="23"/>
  <c r="Q27" i="23"/>
  <c r="M32" i="23"/>
  <c r="AM8" i="23"/>
  <c r="AK13" i="23"/>
  <c r="AC14" i="23"/>
  <c r="W19" i="23"/>
  <c r="AC25" i="23"/>
  <c r="O7" i="23"/>
  <c r="W7" i="23"/>
  <c r="AE7" i="23"/>
  <c r="Y8" i="23"/>
  <c r="S9" i="23"/>
  <c r="W10" i="23"/>
  <c r="AM10" i="23"/>
  <c r="Q11" i="23"/>
  <c r="AA11" i="23"/>
  <c r="O12" i="23"/>
  <c r="AA13" i="23"/>
  <c r="S14" i="23"/>
  <c r="AG15" i="23"/>
  <c r="AA16" i="23"/>
  <c r="W17" i="23"/>
  <c r="AG17" i="23"/>
  <c r="AI19" i="23"/>
  <c r="AG20" i="23"/>
  <c r="AE22" i="23"/>
  <c r="AC23" i="23"/>
  <c r="S24" i="23"/>
  <c r="G25" i="23"/>
  <c r="AG25" i="23"/>
  <c r="AA27" i="23"/>
  <c r="Q30" i="23"/>
  <c r="AC31" i="23"/>
  <c r="Q32" i="23"/>
  <c r="W6" i="23"/>
  <c r="AM6" i="23"/>
  <c r="I12" i="23"/>
  <c r="G12" i="23"/>
  <c r="I8" i="23"/>
  <c r="G8" i="23"/>
  <c r="G7" i="23"/>
  <c r="I7" i="23"/>
  <c r="AF33" i="23"/>
  <c r="S6" i="23"/>
  <c r="AA6" i="23"/>
  <c r="AI6" i="23"/>
  <c r="C10" i="23"/>
  <c r="W12" i="23"/>
  <c r="AK18" i="23"/>
  <c r="AC18" i="23"/>
  <c r="U18" i="23"/>
  <c r="M18" i="23"/>
  <c r="I21" i="23"/>
  <c r="G21" i="23"/>
  <c r="G26" i="23"/>
  <c r="AM28" i="23"/>
  <c r="AN28" i="23" s="1"/>
  <c r="AO28" i="23" s="1"/>
  <c r="AP28" i="23" s="1"/>
  <c r="AQ28" i="23" s="1"/>
  <c r="AR28" i="23" s="1"/>
  <c r="AS28" i="23" s="1"/>
  <c r="AT28" i="23" s="1"/>
  <c r="AU28" i="23" s="1"/>
  <c r="W28" i="23"/>
  <c r="AI28" i="23"/>
  <c r="S28" i="23"/>
  <c r="AG28" i="23"/>
  <c r="Q28" i="23"/>
  <c r="AE28" i="23"/>
  <c r="O28" i="23"/>
  <c r="AC28" i="23"/>
  <c r="M28" i="23"/>
  <c r="AG29" i="23"/>
  <c r="Q29" i="23"/>
  <c r="AC29" i="23"/>
  <c r="M29" i="23"/>
  <c r="AA29" i="23"/>
  <c r="Y29" i="23"/>
  <c r="AM29" i="23"/>
  <c r="AN29" i="23" s="1"/>
  <c r="AO29" i="23" s="1"/>
  <c r="AP29" i="23" s="1"/>
  <c r="AQ29" i="23" s="1"/>
  <c r="AR29" i="23" s="1"/>
  <c r="AS29" i="23" s="1"/>
  <c r="AT29" i="23" s="1"/>
  <c r="AU29" i="23" s="1"/>
  <c r="W29" i="23"/>
  <c r="AG21" i="23"/>
  <c r="Q21" i="23"/>
  <c r="AC21" i="23"/>
  <c r="M21" i="23"/>
  <c r="AA21" i="23"/>
  <c r="Y21" i="23"/>
  <c r="AM21" i="23"/>
  <c r="W21" i="23"/>
  <c r="G9" i="23"/>
  <c r="Q26" i="23"/>
  <c r="U6" i="23"/>
  <c r="AC6" i="23"/>
  <c r="AK6" i="23"/>
  <c r="AM12" i="23"/>
  <c r="AM13" i="23"/>
  <c r="Y18" i="23"/>
  <c r="O21" i="23"/>
  <c r="U26" i="23"/>
  <c r="S29" i="23"/>
  <c r="N33" i="23"/>
  <c r="G11" i="23"/>
  <c r="AD33" i="23"/>
  <c r="C13" i="23"/>
  <c r="S21" i="23"/>
  <c r="W26" i="23"/>
  <c r="C6" i="23"/>
  <c r="O6" i="23"/>
  <c r="AE6" i="23"/>
  <c r="U13" i="23"/>
  <c r="AE13" i="23"/>
  <c r="C17" i="23"/>
  <c r="O18" i="23"/>
  <c r="C19" i="23"/>
  <c r="U20" i="23"/>
  <c r="U21" i="23"/>
  <c r="AG26" i="23"/>
  <c r="Y28" i="23"/>
  <c r="AE29" i="23"/>
  <c r="V33" i="23"/>
  <c r="AK12" i="23"/>
  <c r="AC12" i="23"/>
  <c r="AI12" i="23"/>
  <c r="AA12" i="23"/>
  <c r="I32" i="23"/>
  <c r="G32" i="23"/>
  <c r="M9" i="23"/>
  <c r="U9" i="23"/>
  <c r="AC9" i="23"/>
  <c r="S12" i="23"/>
  <c r="AE12" i="23"/>
  <c r="AG13" i="23"/>
  <c r="C16" i="23"/>
  <c r="Q18" i="23"/>
  <c r="M20" i="23"/>
  <c r="AI20" i="23"/>
  <c r="AA20" i="23"/>
  <c r="S20" i="23"/>
  <c r="W20" i="23"/>
  <c r="AE21" i="23"/>
  <c r="G23" i="23"/>
  <c r="AK26" i="23"/>
  <c r="AA28" i="23"/>
  <c r="AI29" i="23"/>
  <c r="G31" i="23"/>
  <c r="P33" i="23"/>
  <c r="AL33" i="23"/>
  <c r="C14" i="23"/>
  <c r="C18" i="23"/>
  <c r="Y6" i="23"/>
  <c r="M13" i="23"/>
  <c r="AI13" i="23"/>
  <c r="C15" i="23"/>
  <c r="M16" i="23"/>
  <c r="AE18" i="23"/>
  <c r="G20" i="23"/>
  <c r="AK20" i="23"/>
  <c r="AI21" i="23"/>
  <c r="I24" i="23"/>
  <c r="G24" i="23"/>
  <c r="AK28" i="23"/>
  <c r="AK29" i="23"/>
  <c r="AI26" i="23"/>
  <c r="S26" i="23"/>
  <c r="AE26" i="23"/>
  <c r="O26" i="23"/>
  <c r="AC26" i="23"/>
  <c r="M26" i="23"/>
  <c r="AA26" i="23"/>
  <c r="Y26" i="23"/>
  <c r="I29" i="23"/>
  <c r="G29" i="23"/>
  <c r="Q22" i="23"/>
  <c r="AG22" i="23"/>
  <c r="AN22" i="23" s="1"/>
  <c r="AO22" i="23" s="1"/>
  <c r="AP22" i="23" s="1"/>
  <c r="AQ22" i="23" s="1"/>
  <c r="AR22" i="23" s="1"/>
  <c r="AS22" i="23" s="1"/>
  <c r="AT22" i="23" s="1"/>
  <c r="AU22" i="23" s="1"/>
  <c r="AA23" i="23"/>
  <c r="U24" i="23"/>
  <c r="AK24" i="23"/>
  <c r="AE25" i="23"/>
  <c r="S27" i="23"/>
  <c r="AI27" i="23"/>
  <c r="U32" i="23"/>
  <c r="AK32" i="23"/>
  <c r="AE16" i="23"/>
  <c r="AM16" i="23"/>
  <c r="AN16" i="23" s="1"/>
  <c r="AO16" i="23" s="1"/>
  <c r="AP16" i="23" s="1"/>
  <c r="AQ16" i="23" s="1"/>
  <c r="AR16" i="23" s="1"/>
  <c r="AS16" i="23" s="1"/>
  <c r="AT16" i="23" s="1"/>
  <c r="AU16" i="23" s="1"/>
  <c r="U27" i="23"/>
  <c r="AK27" i="23"/>
  <c r="U22" i="23"/>
  <c r="AK22" i="23"/>
  <c r="O23" i="23"/>
  <c r="AE23" i="23"/>
  <c r="Y24" i="23"/>
  <c r="S25" i="23"/>
  <c r="AI25" i="23"/>
  <c r="G27" i="23"/>
  <c r="W27" i="23"/>
  <c r="AM27" i="23"/>
  <c r="AN27" i="23" s="1"/>
  <c r="AO27" i="23" s="1"/>
  <c r="AP27" i="23" s="1"/>
  <c r="AQ27" i="23" s="1"/>
  <c r="AR27" i="23" s="1"/>
  <c r="AS27" i="23" s="1"/>
  <c r="AT27" i="23" s="1"/>
  <c r="AU27" i="23" s="1"/>
  <c r="U30" i="23"/>
  <c r="AK30" i="23"/>
  <c r="Y32" i="23"/>
  <c r="Q16" i="23"/>
  <c r="Y16" i="23"/>
  <c r="W22" i="23"/>
  <c r="Q23" i="23"/>
  <c r="AG23" i="23"/>
  <c r="AN23" i="23" s="1"/>
  <c r="AO23" i="23" s="1"/>
  <c r="AP23" i="23" s="1"/>
  <c r="AQ23" i="23" s="1"/>
  <c r="AR23" i="23" s="1"/>
  <c r="AS23" i="23" s="1"/>
  <c r="AT23" i="23" s="1"/>
  <c r="AU23" i="23" s="1"/>
  <c r="AA24" i="23"/>
  <c r="U25" i="23"/>
  <c r="Y27" i="23"/>
  <c r="W30" i="23"/>
  <c r="AM30" i="23"/>
  <c r="AA32" i="23"/>
  <c r="U23" i="23"/>
  <c r="M27" i="23"/>
  <c r="U31" i="23"/>
  <c r="O32" i="23"/>
  <c r="F72" i="22"/>
  <c r="G72" i="22"/>
  <c r="H72" i="22"/>
  <c r="I72" i="22"/>
  <c r="J72" i="22"/>
  <c r="K72" i="22"/>
  <c r="L72" i="22"/>
  <c r="M72" i="22"/>
  <c r="N72" i="22"/>
  <c r="O72" i="22"/>
  <c r="P72" i="22"/>
  <c r="Q72" i="22"/>
  <c r="R72" i="22"/>
  <c r="S72" i="22"/>
  <c r="T72" i="22"/>
  <c r="E72" i="22"/>
  <c r="O46" i="22"/>
  <c r="P46" i="22"/>
  <c r="Q46" i="22"/>
  <c r="R46" i="22"/>
  <c r="S46" i="22"/>
  <c r="T46" i="22"/>
  <c r="L46" i="22"/>
  <c r="M46" i="22"/>
  <c r="N46" i="22"/>
  <c r="F46" i="22"/>
  <c r="G46" i="22"/>
  <c r="H46" i="22"/>
  <c r="I46" i="22"/>
  <c r="J46" i="22"/>
  <c r="K46" i="22"/>
  <c r="E46" i="22"/>
  <c r="F7" i="21"/>
  <c r="U7" i="21" s="1"/>
  <c r="F8" i="21"/>
  <c r="W8" i="21" s="1"/>
  <c r="F9" i="21"/>
  <c r="W9" i="21" s="1"/>
  <c r="F10" i="21"/>
  <c r="W10" i="21" s="1"/>
  <c r="F11" i="21"/>
  <c r="W11" i="21" s="1"/>
  <c r="F12" i="21"/>
  <c r="AA12" i="21" s="1"/>
  <c r="F13" i="21"/>
  <c r="AA13" i="21" s="1"/>
  <c r="F14" i="21"/>
  <c r="AA14" i="21" s="1"/>
  <c r="F15" i="21"/>
  <c r="O15" i="21" s="1"/>
  <c r="F16" i="21"/>
  <c r="M16" i="21" s="1"/>
  <c r="F17" i="21"/>
  <c r="F18" i="21"/>
  <c r="F19" i="21"/>
  <c r="F20" i="21"/>
  <c r="F22" i="21"/>
  <c r="S22" i="21" s="1"/>
  <c r="F23" i="21"/>
  <c r="F24" i="21"/>
  <c r="Q24" i="21" s="1"/>
  <c r="F25" i="21"/>
  <c r="O25" i="21" s="1"/>
  <c r="F26" i="21"/>
  <c r="W26" i="21" s="1"/>
  <c r="F27" i="21"/>
  <c r="AC27" i="21" s="1"/>
  <c r="F28" i="21"/>
  <c r="S28" i="21" s="1"/>
  <c r="F29" i="21"/>
  <c r="O29" i="21" s="1"/>
  <c r="F30" i="21"/>
  <c r="O30" i="21" s="1"/>
  <c r="F31" i="21"/>
  <c r="Q31" i="21" s="1"/>
  <c r="F32" i="21"/>
  <c r="Q32" i="21" s="1"/>
  <c r="F33" i="21"/>
  <c r="Q33" i="21" s="1"/>
  <c r="F34" i="21"/>
  <c r="W34" i="21" s="1"/>
  <c r="F35" i="21"/>
  <c r="AC35" i="21" s="1"/>
  <c r="F36" i="21"/>
  <c r="Y36" i="21" s="1"/>
  <c r="F37" i="21"/>
  <c r="Y37" i="21" s="1"/>
  <c r="F38" i="21"/>
  <c r="O38" i="21" s="1"/>
  <c r="F39" i="21"/>
  <c r="W39" i="21" s="1"/>
  <c r="F40" i="21"/>
  <c r="Q40" i="21" s="1"/>
  <c r="F41" i="21"/>
  <c r="W41" i="21" s="1"/>
  <c r="F42" i="21"/>
  <c r="AC42" i="21" s="1"/>
  <c r="F43" i="21"/>
  <c r="AE43" i="21" s="1"/>
  <c r="F44" i="21"/>
  <c r="Y44" i="21" s="1"/>
  <c r="F45" i="21"/>
  <c r="O45" i="21" s="1"/>
  <c r="F46" i="21"/>
  <c r="AE46" i="21" s="1"/>
  <c r="F47" i="21"/>
  <c r="U47" i="21" s="1"/>
  <c r="F48" i="21"/>
  <c r="O48" i="21" s="1"/>
  <c r="F49" i="21"/>
  <c r="U49" i="21" s="1"/>
  <c r="F50" i="21"/>
  <c r="AA50" i="21" s="1"/>
  <c r="F51" i="21"/>
  <c r="Q51" i="21" s="1"/>
  <c r="C7" i="21"/>
  <c r="C8" i="21"/>
  <c r="I8" i="21" s="1"/>
  <c r="C9" i="21"/>
  <c r="I9" i="21" s="1"/>
  <c r="C10" i="21"/>
  <c r="C11" i="21"/>
  <c r="C12" i="21"/>
  <c r="I12" i="21" s="1"/>
  <c r="C13" i="21"/>
  <c r="I13" i="21" s="1"/>
  <c r="C14" i="21"/>
  <c r="I14" i="21" s="1"/>
  <c r="C15" i="21"/>
  <c r="C16" i="21"/>
  <c r="I16" i="21" s="1"/>
  <c r="C22" i="21"/>
  <c r="I22" i="21" s="1"/>
  <c r="C23" i="21"/>
  <c r="C24" i="21"/>
  <c r="I24" i="21" s="1"/>
  <c r="C25" i="21"/>
  <c r="C26" i="21"/>
  <c r="C27" i="21"/>
  <c r="C28" i="21"/>
  <c r="I28" i="21" s="1"/>
  <c r="C29" i="21"/>
  <c r="C30" i="21"/>
  <c r="I30" i="21" s="1"/>
  <c r="C31" i="21"/>
  <c r="C32" i="21"/>
  <c r="I32" i="21" s="1"/>
  <c r="C33" i="21"/>
  <c r="I33" i="21" s="1"/>
  <c r="C34" i="21"/>
  <c r="C35" i="21"/>
  <c r="C36" i="21"/>
  <c r="I36" i="21" s="1"/>
  <c r="C37" i="21"/>
  <c r="I37" i="21" s="1"/>
  <c r="C38" i="21"/>
  <c r="I38" i="21" s="1"/>
  <c r="C39" i="21"/>
  <c r="I39" i="21" s="1"/>
  <c r="C40" i="21"/>
  <c r="I40" i="21" s="1"/>
  <c r="C41" i="21"/>
  <c r="I41" i="21" s="1"/>
  <c r="C42" i="21"/>
  <c r="C43" i="21"/>
  <c r="I43" i="21" s="1"/>
  <c r="C44" i="21"/>
  <c r="I44" i="21" s="1"/>
  <c r="C45" i="21"/>
  <c r="I45" i="21" s="1"/>
  <c r="C46" i="21"/>
  <c r="C47" i="21"/>
  <c r="I47" i="21" s="1"/>
  <c r="C48" i="21"/>
  <c r="I48" i="21" s="1"/>
  <c r="C49" i="21"/>
  <c r="I49" i="21" s="1"/>
  <c r="C50" i="21"/>
  <c r="I50" i="21" s="1"/>
  <c r="C51" i="21"/>
  <c r="I51" i="21" s="1"/>
  <c r="AK15" i="20"/>
  <c r="C15" i="20" s="1"/>
  <c r="H34" i="25" s="1"/>
  <c r="AI15" i="20"/>
  <c r="AG15" i="20"/>
  <c r="AE15" i="20"/>
  <c r="AC15" i="20"/>
  <c r="AA15" i="20"/>
  <c r="Y15" i="20"/>
  <c r="W15" i="20"/>
  <c r="U15" i="20"/>
  <c r="S15" i="20"/>
  <c r="Q15" i="20"/>
  <c r="O15" i="20"/>
  <c r="M15" i="20"/>
  <c r="K15" i="20"/>
  <c r="B15" i="20"/>
  <c r="AK14" i="20"/>
  <c r="C14" i="20" s="1"/>
  <c r="H33" i="25" s="1"/>
  <c r="AI14" i="20"/>
  <c r="AG14" i="20"/>
  <c r="AE14" i="20"/>
  <c r="AC14" i="20"/>
  <c r="AA14" i="20"/>
  <c r="Y14" i="20"/>
  <c r="W14" i="20"/>
  <c r="U14" i="20"/>
  <c r="S14" i="20"/>
  <c r="Q14" i="20"/>
  <c r="O14" i="20"/>
  <c r="M14" i="20"/>
  <c r="K14" i="20"/>
  <c r="B14" i="20"/>
  <c r="AK13" i="20"/>
  <c r="AI13" i="20"/>
  <c r="AG13" i="20"/>
  <c r="AE13" i="20"/>
  <c r="AC13" i="20"/>
  <c r="AA13" i="20"/>
  <c r="Y13" i="20"/>
  <c r="W13" i="20"/>
  <c r="U13" i="20"/>
  <c r="S13" i="20"/>
  <c r="Q13" i="20"/>
  <c r="O13" i="20"/>
  <c r="M13" i="20"/>
  <c r="K13" i="20"/>
  <c r="B13" i="20"/>
  <c r="AK12" i="20"/>
  <c r="B12" i="20"/>
  <c r="AK11" i="20"/>
  <c r="B11" i="20"/>
  <c r="AK10" i="20"/>
  <c r="B10" i="20"/>
  <c r="AK9" i="20"/>
  <c r="AI9" i="20"/>
  <c r="AG9" i="20"/>
  <c r="AE9" i="20"/>
  <c r="AA9" i="20"/>
  <c r="Y9" i="20"/>
  <c r="W9" i="20"/>
  <c r="U9" i="20"/>
  <c r="S9" i="20"/>
  <c r="Q9" i="20"/>
  <c r="O9" i="20"/>
  <c r="M9" i="20"/>
  <c r="K9" i="20"/>
  <c r="B9" i="20"/>
  <c r="AK8" i="20"/>
  <c r="AI8" i="20"/>
  <c r="AG8" i="20"/>
  <c r="AE8" i="20"/>
  <c r="AA8" i="20"/>
  <c r="Y8" i="20"/>
  <c r="W8" i="20"/>
  <c r="U8" i="20"/>
  <c r="S8" i="20"/>
  <c r="Q8" i="20"/>
  <c r="O8" i="20"/>
  <c r="M8" i="20"/>
  <c r="K8" i="20"/>
  <c r="B8" i="20"/>
  <c r="AK7" i="20"/>
  <c r="AI7" i="20"/>
  <c r="AG7" i="20"/>
  <c r="AE7" i="20"/>
  <c r="AA7" i="20"/>
  <c r="Y7" i="20"/>
  <c r="W7" i="20"/>
  <c r="U7" i="20"/>
  <c r="S7" i="20"/>
  <c r="Q7" i="20"/>
  <c r="O7" i="20"/>
  <c r="M7" i="20"/>
  <c r="K7" i="20"/>
  <c r="B7" i="20"/>
  <c r="AK6" i="20"/>
  <c r="AI6" i="20"/>
  <c r="AG6" i="20"/>
  <c r="AE6" i="20"/>
  <c r="AA6" i="20"/>
  <c r="Y6" i="20"/>
  <c r="W6" i="20"/>
  <c r="U6" i="20"/>
  <c r="S6" i="20"/>
  <c r="Q6" i="20"/>
  <c r="O6" i="20"/>
  <c r="M6" i="20"/>
  <c r="K6" i="20"/>
  <c r="B6" i="20"/>
  <c r="D13" i="17"/>
  <c r="D14" i="17"/>
  <c r="D15" i="17"/>
  <c r="F7" i="19"/>
  <c r="G7" i="19" s="1"/>
  <c r="F8" i="19"/>
  <c r="G8" i="19" s="1"/>
  <c r="G9" i="19"/>
  <c r="F6" i="19"/>
  <c r="O11" i="19"/>
  <c r="O12" i="19"/>
  <c r="C33" i="17"/>
  <c r="C25" i="17"/>
  <c r="AM13" i="19"/>
  <c r="AK13" i="19"/>
  <c r="AI13" i="19"/>
  <c r="AG13" i="19"/>
  <c r="AE13" i="19"/>
  <c r="AC13" i="19"/>
  <c r="AA13" i="19"/>
  <c r="Y13" i="19"/>
  <c r="W13" i="19"/>
  <c r="U13" i="19"/>
  <c r="S13" i="19"/>
  <c r="Q13" i="19"/>
  <c r="O13" i="19"/>
  <c r="M13" i="19"/>
  <c r="G13" i="19"/>
  <c r="AM12" i="19"/>
  <c r="AK12" i="19"/>
  <c r="AI12" i="19"/>
  <c r="AG12" i="19"/>
  <c r="AE12" i="19"/>
  <c r="AC12" i="19"/>
  <c r="AA12" i="19"/>
  <c r="Y12" i="19"/>
  <c r="W12" i="19"/>
  <c r="U12" i="19"/>
  <c r="S12" i="19"/>
  <c r="Q12" i="19"/>
  <c r="M12" i="19"/>
  <c r="G12" i="19"/>
  <c r="AM11" i="19"/>
  <c r="AK11" i="19"/>
  <c r="AI11" i="19"/>
  <c r="AG11" i="19"/>
  <c r="AE11" i="19"/>
  <c r="AC11" i="19"/>
  <c r="AA11" i="19"/>
  <c r="Y11" i="19"/>
  <c r="W11" i="19"/>
  <c r="U11" i="19"/>
  <c r="S11" i="19"/>
  <c r="Q11" i="19"/>
  <c r="M11" i="19"/>
  <c r="G11" i="19"/>
  <c r="C13" i="17"/>
  <c r="S15" i="17"/>
  <c r="S14" i="17"/>
  <c r="S13" i="17"/>
  <c r="J7" i="17"/>
  <c r="K7" i="17"/>
  <c r="L7" i="17"/>
  <c r="M7" i="17"/>
  <c r="N7" i="17"/>
  <c r="O7" i="17"/>
  <c r="AC7" i="20" s="1"/>
  <c r="P7" i="17"/>
  <c r="Q7" i="17"/>
  <c r="R7" i="17"/>
  <c r="G8" i="17"/>
  <c r="H8" i="17"/>
  <c r="I8" i="17"/>
  <c r="J8" i="17"/>
  <c r="K8" i="17"/>
  <c r="M8" i="17"/>
  <c r="N8" i="17"/>
  <c r="O8" i="17"/>
  <c r="AC8" i="20" s="1"/>
  <c r="Q8" i="17"/>
  <c r="G9" i="17"/>
  <c r="H9" i="17"/>
  <c r="J9" i="17"/>
  <c r="K9" i="17"/>
  <c r="L9" i="17"/>
  <c r="M9" i="17"/>
  <c r="N9" i="17"/>
  <c r="O9" i="17"/>
  <c r="AC9" i="20" s="1"/>
  <c r="P9" i="17"/>
  <c r="Q9" i="17"/>
  <c r="R9" i="17"/>
  <c r="F8" i="17"/>
  <c r="G6" i="17"/>
  <c r="H6" i="17"/>
  <c r="C23" i="17" s="1"/>
  <c r="I6" i="17"/>
  <c r="C24" i="17" s="1"/>
  <c r="J6" i="17"/>
  <c r="K6" i="17"/>
  <c r="L6" i="17"/>
  <c r="M6" i="17"/>
  <c r="C28" i="17" s="1"/>
  <c r="N6" i="17"/>
  <c r="O6" i="17"/>
  <c r="C6" i="17" s="1"/>
  <c r="I23" i="8" s="1"/>
  <c r="K23" i="8" s="1"/>
  <c r="P6" i="17"/>
  <c r="C31" i="17" s="1"/>
  <c r="Q6" i="17"/>
  <c r="C32" i="17" s="1"/>
  <c r="R6" i="17"/>
  <c r="F6" i="17"/>
  <c r="F9" i="18"/>
  <c r="I7" i="17" s="1"/>
  <c r="D9" i="18"/>
  <c r="G7" i="17" s="1"/>
  <c r="C9" i="18"/>
  <c r="F7" i="17" s="1"/>
  <c r="G3" i="18"/>
  <c r="E9" i="18" s="1"/>
  <c r="H7" i="17" s="1"/>
  <c r="Y19" i="18"/>
  <c r="D24" i="18"/>
  <c r="E24" i="18"/>
  <c r="F24" i="18"/>
  <c r="G24" i="18"/>
  <c r="H24" i="18"/>
  <c r="I24" i="18"/>
  <c r="J24" i="18"/>
  <c r="K24" i="18"/>
  <c r="L24" i="18"/>
  <c r="O24" i="18"/>
  <c r="P24" i="18"/>
  <c r="Q24" i="18"/>
  <c r="R24" i="18"/>
  <c r="S24" i="18"/>
  <c r="T24" i="18"/>
  <c r="D25" i="18"/>
  <c r="E25" i="18"/>
  <c r="F25" i="18"/>
  <c r="G25" i="18"/>
  <c r="H25" i="18"/>
  <c r="I25" i="18"/>
  <c r="J25" i="18"/>
  <c r="K25" i="18"/>
  <c r="L25" i="18"/>
  <c r="O25" i="18"/>
  <c r="P25" i="18"/>
  <c r="Q25" i="18"/>
  <c r="R25" i="18"/>
  <c r="S25" i="18"/>
  <c r="T25" i="18"/>
  <c r="C25" i="18"/>
  <c r="C24" i="18"/>
  <c r="D23" i="18"/>
  <c r="E23" i="18"/>
  <c r="F23" i="18"/>
  <c r="G23" i="18"/>
  <c r="H23" i="18"/>
  <c r="I23" i="18"/>
  <c r="J23" i="18"/>
  <c r="K23" i="18"/>
  <c r="L23" i="18"/>
  <c r="O23" i="18"/>
  <c r="P23" i="18"/>
  <c r="Q23" i="18"/>
  <c r="R23" i="18"/>
  <c r="S23" i="18"/>
  <c r="T23" i="18"/>
  <c r="C23" i="18"/>
  <c r="S22" i="18"/>
  <c r="T22" i="18"/>
  <c r="R22" i="18"/>
  <c r="D22" i="18"/>
  <c r="E22" i="18"/>
  <c r="F22" i="18"/>
  <c r="G22" i="18"/>
  <c r="H22" i="18"/>
  <c r="I22" i="18"/>
  <c r="J22" i="18"/>
  <c r="K22" i="18"/>
  <c r="L22" i="18"/>
  <c r="O22" i="18"/>
  <c r="P22" i="18"/>
  <c r="Q22" i="18"/>
  <c r="C22" i="18"/>
  <c r="W21" i="18"/>
  <c r="V21" i="18"/>
  <c r="S21" i="18"/>
  <c r="T21" i="18"/>
  <c r="R21" i="18"/>
  <c r="N21" i="18"/>
  <c r="O21" i="18"/>
  <c r="P21" i="18"/>
  <c r="Q21" i="18"/>
  <c r="M21" i="18"/>
  <c r="K21" i="18"/>
  <c r="L21" i="18"/>
  <c r="J21" i="18"/>
  <c r="H21" i="18"/>
  <c r="I21" i="18"/>
  <c r="G21" i="18"/>
  <c r="D21" i="18"/>
  <c r="E21" i="18"/>
  <c r="F21" i="18"/>
  <c r="C21" i="18"/>
  <c r="N20" i="18"/>
  <c r="N24" i="18" s="1"/>
  <c r="M20" i="18"/>
  <c r="M25" i="18" s="1"/>
  <c r="D11" i="18"/>
  <c r="E11" i="18"/>
  <c r="F11" i="18"/>
  <c r="I9" i="17" s="1"/>
  <c r="C11" i="18"/>
  <c r="F9" i="17" s="1"/>
  <c r="O10" i="18"/>
  <c r="R8" i="17" s="1"/>
  <c r="N10" i="18"/>
  <c r="M10" i="18"/>
  <c r="P8" i="17" s="1"/>
  <c r="I10" i="18"/>
  <c r="L8" i="17" s="1"/>
  <c r="H10" i="18"/>
  <c r="Q8" i="18"/>
  <c r="F19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5" i="1"/>
  <c r="C14" i="17"/>
  <c r="B15" i="17"/>
  <c r="B14" i="17"/>
  <c r="B13" i="17"/>
  <c r="B12" i="17"/>
  <c r="B11" i="17"/>
  <c r="B10" i="17"/>
  <c r="B9" i="17"/>
  <c r="B8" i="17"/>
  <c r="B7" i="17"/>
  <c r="B6" i="17"/>
  <c r="H40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AD19" i="9"/>
  <c r="AC19" i="9"/>
  <c r="AB19" i="9"/>
  <c r="AA19" i="9"/>
  <c r="Z19" i="9"/>
  <c r="Y19" i="9"/>
  <c r="X19" i="9"/>
  <c r="W19" i="9"/>
  <c r="V19" i="9"/>
  <c r="U19" i="9"/>
  <c r="T19" i="9"/>
  <c r="Q19" i="9"/>
  <c r="P19" i="9"/>
  <c r="O19" i="9"/>
  <c r="N19" i="9"/>
  <c r="M19" i="9"/>
  <c r="L19" i="9"/>
  <c r="J19" i="9"/>
  <c r="I19" i="9"/>
  <c r="H19" i="9"/>
  <c r="G19" i="9"/>
  <c r="AN21" i="21" l="1"/>
  <c r="AO21" i="21" s="1"/>
  <c r="AP21" i="21" s="1"/>
  <c r="AQ21" i="21" s="1"/>
  <c r="AR21" i="21" s="1"/>
  <c r="AS21" i="21" s="1"/>
  <c r="AT21" i="21" s="1"/>
  <c r="AU21" i="21" s="1"/>
  <c r="AN21" i="23"/>
  <c r="AO21" i="23" s="1"/>
  <c r="AP21" i="23" s="1"/>
  <c r="AQ21" i="23" s="1"/>
  <c r="AR21" i="23" s="1"/>
  <c r="AS21" i="23" s="1"/>
  <c r="AT21" i="23" s="1"/>
  <c r="AU21" i="23" s="1"/>
  <c r="AQ19" i="23"/>
  <c r="AR19" i="23" s="1"/>
  <c r="AS19" i="23" s="1"/>
  <c r="AT19" i="23" s="1"/>
  <c r="AU19" i="23" s="1"/>
  <c r="AU15" i="23"/>
  <c r="AM33" i="23"/>
  <c r="V8" i="25" s="1"/>
  <c r="AN25" i="23"/>
  <c r="AO25" i="23" s="1"/>
  <c r="AP25" i="23" s="1"/>
  <c r="AQ25" i="23" s="1"/>
  <c r="AR25" i="23" s="1"/>
  <c r="AS25" i="23" s="1"/>
  <c r="AT25" i="23" s="1"/>
  <c r="AU25" i="23" s="1"/>
  <c r="AN30" i="23"/>
  <c r="AO30" i="23" s="1"/>
  <c r="AP30" i="23" s="1"/>
  <c r="AQ30" i="23" s="1"/>
  <c r="AR30" i="23" s="1"/>
  <c r="AS30" i="23" s="1"/>
  <c r="AT30" i="23" s="1"/>
  <c r="AU30" i="23" s="1"/>
  <c r="AN20" i="23"/>
  <c r="AO20" i="23" s="1"/>
  <c r="AP20" i="23" s="1"/>
  <c r="AQ20" i="23" s="1"/>
  <c r="AR20" i="23" s="1"/>
  <c r="AS20" i="23" s="1"/>
  <c r="AT20" i="23" s="1"/>
  <c r="AU20" i="23" s="1"/>
  <c r="AN13" i="23"/>
  <c r="AO13" i="23" s="1"/>
  <c r="AP13" i="23" s="1"/>
  <c r="AQ13" i="23" s="1"/>
  <c r="AR13" i="23" s="1"/>
  <c r="AS13" i="23" s="1"/>
  <c r="AT13" i="23" s="1"/>
  <c r="AU13" i="23" s="1"/>
  <c r="AN12" i="23"/>
  <c r="AO12" i="23" s="1"/>
  <c r="AP12" i="23" s="1"/>
  <c r="AQ12" i="23" s="1"/>
  <c r="AR12" i="23" s="1"/>
  <c r="AS12" i="23" s="1"/>
  <c r="AT12" i="23" s="1"/>
  <c r="AU12" i="23" s="1"/>
  <c r="AN9" i="23"/>
  <c r="AO9" i="23" s="1"/>
  <c r="AP9" i="23" s="1"/>
  <c r="AQ9" i="23" s="1"/>
  <c r="AR9" i="23" s="1"/>
  <c r="AS9" i="23" s="1"/>
  <c r="AT9" i="23" s="1"/>
  <c r="AU9" i="23" s="1"/>
  <c r="AN8" i="23"/>
  <c r="AO8" i="23" s="1"/>
  <c r="AP8" i="23" s="1"/>
  <c r="AQ8" i="23" s="1"/>
  <c r="AR8" i="23" s="1"/>
  <c r="AS8" i="23" s="1"/>
  <c r="AT8" i="23" s="1"/>
  <c r="AU8" i="23" s="1"/>
  <c r="AN6" i="23"/>
  <c r="AO6" i="23" s="1"/>
  <c r="D6" i="17"/>
  <c r="AC6" i="20"/>
  <c r="C6" i="20" s="1"/>
  <c r="H25" i="25" s="1"/>
  <c r="AN11" i="19"/>
  <c r="AN13" i="19"/>
  <c r="AN12" i="19"/>
  <c r="G20" i="24"/>
  <c r="W33" i="23"/>
  <c r="W34" i="23" s="1"/>
  <c r="W35" i="23" s="1"/>
  <c r="W36" i="23" s="1"/>
  <c r="W37" i="23" s="1"/>
  <c r="W38" i="23" s="1"/>
  <c r="W39" i="23" s="1"/>
  <c r="E10" i="1" s="1"/>
  <c r="AI33" i="23"/>
  <c r="AI34" i="23" s="1"/>
  <c r="AI35" i="23" s="1"/>
  <c r="AI36" i="23" s="1"/>
  <c r="AI37" i="23" s="1"/>
  <c r="AI38" i="23" s="1"/>
  <c r="AI39" i="23" s="1"/>
  <c r="E16" i="1" s="1"/>
  <c r="AG33" i="23"/>
  <c r="AG34" i="23" s="1"/>
  <c r="AG35" i="23" s="1"/>
  <c r="AG36" i="23" s="1"/>
  <c r="AG37" i="23" s="1"/>
  <c r="AG38" i="23" s="1"/>
  <c r="AG39" i="23" s="1"/>
  <c r="E15" i="1" s="1"/>
  <c r="AE33" i="23"/>
  <c r="AE34" i="23" s="1"/>
  <c r="AE35" i="23" s="1"/>
  <c r="AE36" i="23" s="1"/>
  <c r="AE37" i="23" s="1"/>
  <c r="AE38" i="23" s="1"/>
  <c r="AE39" i="23" s="1"/>
  <c r="E14" i="1" s="1"/>
  <c r="U33" i="23"/>
  <c r="U34" i="23" s="1"/>
  <c r="U35" i="23" s="1"/>
  <c r="U36" i="23" s="1"/>
  <c r="U37" i="23" s="1"/>
  <c r="U38" i="23" s="1"/>
  <c r="U39" i="23" s="1"/>
  <c r="E9" i="1" s="1"/>
  <c r="AK33" i="23"/>
  <c r="AK34" i="23" s="1"/>
  <c r="AK35" i="23" s="1"/>
  <c r="AK36" i="23" s="1"/>
  <c r="AK37" i="23" s="1"/>
  <c r="AK38" i="23" s="1"/>
  <c r="AK39" i="23" s="1"/>
  <c r="E17" i="1" s="1"/>
  <c r="AC33" i="23"/>
  <c r="AC34" i="23" s="1"/>
  <c r="AC35" i="23" s="1"/>
  <c r="AC36" i="23" s="1"/>
  <c r="AC37" i="23" s="1"/>
  <c r="AC38" i="23" s="1"/>
  <c r="AC39" i="23" s="1"/>
  <c r="E13" i="1" s="1"/>
  <c r="AA33" i="23"/>
  <c r="AA34" i="23" s="1"/>
  <c r="AA35" i="23" s="1"/>
  <c r="AA36" i="23" s="1"/>
  <c r="AA37" i="23" s="1"/>
  <c r="AA38" i="23" s="1"/>
  <c r="AA39" i="23" s="1"/>
  <c r="E12" i="1" s="1"/>
  <c r="Y33" i="23"/>
  <c r="Y34" i="23" s="1"/>
  <c r="Y35" i="23" s="1"/>
  <c r="Y36" i="23" s="1"/>
  <c r="Y37" i="23" s="1"/>
  <c r="Y38" i="23" s="1"/>
  <c r="Y39" i="23" s="1"/>
  <c r="E11" i="1" s="1"/>
  <c r="O33" i="23"/>
  <c r="O34" i="23" s="1"/>
  <c r="O35" i="23" s="1"/>
  <c r="O36" i="23" s="1"/>
  <c r="O37" i="23" s="1"/>
  <c r="O38" i="23" s="1"/>
  <c r="O39" i="23" s="1"/>
  <c r="E6" i="1" s="1"/>
  <c r="S33" i="23"/>
  <c r="L8" i="25" s="1"/>
  <c r="Q33" i="23"/>
  <c r="Q34" i="23" s="1"/>
  <c r="Q35" i="23" s="1"/>
  <c r="Q36" i="23" s="1"/>
  <c r="Q37" i="23" s="1"/>
  <c r="Q38" i="23" s="1"/>
  <c r="Q39" i="23" s="1"/>
  <c r="E7" i="1" s="1"/>
  <c r="C33" i="23"/>
  <c r="I33" i="23" s="1"/>
  <c r="M33" i="23"/>
  <c r="M34" i="23" s="1"/>
  <c r="M35" i="23" s="1"/>
  <c r="M36" i="23" s="1"/>
  <c r="M37" i="23" s="1"/>
  <c r="M38" i="23" s="1"/>
  <c r="M39" i="23" s="1"/>
  <c r="E5" i="1" s="1"/>
  <c r="C12" i="8"/>
  <c r="E13" i="20" s="1"/>
  <c r="T13" i="20" s="1"/>
  <c r="C13" i="8"/>
  <c r="E14" i="20" s="1"/>
  <c r="H15" i="20"/>
  <c r="H14" i="20"/>
  <c r="G26" i="21"/>
  <c r="J11" i="23"/>
  <c r="J21" i="21"/>
  <c r="AA11" i="21"/>
  <c r="AC48" i="21"/>
  <c r="J7" i="23"/>
  <c r="J8" i="23"/>
  <c r="J31" i="23"/>
  <c r="J22" i="23"/>
  <c r="J25" i="23"/>
  <c r="J28" i="23"/>
  <c r="J30" i="23"/>
  <c r="R8" i="25"/>
  <c r="U8" i="25"/>
  <c r="J23" i="23"/>
  <c r="G16" i="23"/>
  <c r="J16" i="23" s="1"/>
  <c r="I16" i="23"/>
  <c r="J32" i="23"/>
  <c r="J8" i="25"/>
  <c r="I13" i="23"/>
  <c r="G13" i="23"/>
  <c r="J13" i="23" s="1"/>
  <c r="J27" i="23"/>
  <c r="I15" i="23"/>
  <c r="G15" i="23"/>
  <c r="J15" i="23" s="1"/>
  <c r="G6" i="23"/>
  <c r="I6" i="23"/>
  <c r="J24" i="23"/>
  <c r="I19" i="23"/>
  <c r="G19" i="23"/>
  <c r="J19" i="23" s="1"/>
  <c r="J26" i="23"/>
  <c r="J12" i="23"/>
  <c r="J29" i="23"/>
  <c r="I10" i="23"/>
  <c r="G10" i="23"/>
  <c r="J10" i="23" s="1"/>
  <c r="I17" i="23"/>
  <c r="G17" i="23"/>
  <c r="J17" i="23" s="1"/>
  <c r="J9" i="23"/>
  <c r="J21" i="23"/>
  <c r="T8" i="25"/>
  <c r="G18" i="23"/>
  <c r="J18" i="23" s="1"/>
  <c r="I18" i="23"/>
  <c r="J20" i="23"/>
  <c r="I14" i="23"/>
  <c r="G14" i="23"/>
  <c r="J14" i="23" s="1"/>
  <c r="M49" i="21"/>
  <c r="M45" i="21"/>
  <c r="G34" i="21"/>
  <c r="AE33" i="21"/>
  <c r="M26" i="21"/>
  <c r="AM40" i="21"/>
  <c r="AA35" i="21"/>
  <c r="G11" i="21"/>
  <c r="AG31" i="21"/>
  <c r="Y27" i="21"/>
  <c r="AI42" i="21"/>
  <c r="AK37" i="21"/>
  <c r="AA31" i="21"/>
  <c r="Q46" i="21"/>
  <c r="G15" i="21"/>
  <c r="M48" i="21"/>
  <c r="S41" i="21"/>
  <c r="AE37" i="21"/>
  <c r="W16" i="21"/>
  <c r="O46" i="21"/>
  <c r="M30" i="21"/>
  <c r="AE40" i="21"/>
  <c r="AM33" i="21"/>
  <c r="AC25" i="21"/>
  <c r="Q11" i="21"/>
  <c r="Q39" i="21"/>
  <c r="AM24" i="21"/>
  <c r="AG50" i="21"/>
  <c r="U45" i="21"/>
  <c r="AC33" i="21"/>
  <c r="AG24" i="21"/>
  <c r="Q49" i="21"/>
  <c r="G42" i="21"/>
  <c r="G35" i="21"/>
  <c r="G27" i="21"/>
  <c r="AM44" i="21"/>
  <c r="AI31" i="21"/>
  <c r="AK48" i="21"/>
  <c r="AK44" i="21"/>
  <c r="AM37" i="21"/>
  <c r="O16" i="21"/>
  <c r="AM14" i="21"/>
  <c r="AA42" i="21"/>
  <c r="S35" i="21"/>
  <c r="M41" i="21"/>
  <c r="AE44" i="21"/>
  <c r="S42" i="21"/>
  <c r="AC40" i="21"/>
  <c r="W37" i="21"/>
  <c r="AK34" i="21"/>
  <c r="W33" i="21"/>
  <c r="S31" i="21"/>
  <c r="Y28" i="21"/>
  <c r="AI26" i="21"/>
  <c r="AG14" i="21"/>
  <c r="AE51" i="21"/>
  <c r="Q50" i="21"/>
  <c r="AA48" i="21"/>
  <c r="Q22" i="21"/>
  <c r="Y35" i="21"/>
  <c r="S27" i="21"/>
  <c r="Y50" i="21"/>
  <c r="AE28" i="21"/>
  <c r="W50" i="21"/>
  <c r="M40" i="21"/>
  <c r="W44" i="21"/>
  <c r="AK41" i="21"/>
  <c r="W40" i="21"/>
  <c r="AK38" i="21"/>
  <c r="U37" i="21"/>
  <c r="AI34" i="21"/>
  <c r="O33" i="21"/>
  <c r="AK30" i="21"/>
  <c r="Q28" i="21"/>
  <c r="AC26" i="21"/>
  <c r="Y14" i="21"/>
  <c r="AC51" i="21"/>
  <c r="AI49" i="21"/>
  <c r="U48" i="21"/>
  <c r="M38" i="21"/>
  <c r="AK45" i="21"/>
  <c r="U44" i="21"/>
  <c r="AI41" i="21"/>
  <c r="O40" i="21"/>
  <c r="AC38" i="21"/>
  <c r="O37" i="21"/>
  <c r="AC34" i="21"/>
  <c r="AM32" i="21"/>
  <c r="AC30" i="21"/>
  <c r="O28" i="21"/>
  <c r="U26" i="21"/>
  <c r="AG22" i="21"/>
  <c r="W14" i="21"/>
  <c r="W51" i="21"/>
  <c r="AG49" i="21"/>
  <c r="AK47" i="21"/>
  <c r="AG28" i="21"/>
  <c r="O22" i="21"/>
  <c r="Y42" i="21"/>
  <c r="AK26" i="21"/>
  <c r="AM51" i="21"/>
  <c r="M34" i="21"/>
  <c r="AC45" i="21"/>
  <c r="O44" i="21"/>
  <c r="AC41" i="21"/>
  <c r="Y39" i="21"/>
  <c r="AA38" i="21"/>
  <c r="U34" i="21"/>
  <c r="W32" i="21"/>
  <c r="AA30" i="21"/>
  <c r="AI27" i="21"/>
  <c r="S26" i="21"/>
  <c r="AE22" i="21"/>
  <c r="Q14" i="21"/>
  <c r="O51" i="21"/>
  <c r="AA49" i="21"/>
  <c r="AE47" i="21"/>
  <c r="I35" i="21"/>
  <c r="M33" i="21"/>
  <c r="AA45" i="21"/>
  <c r="U41" i="21"/>
  <c r="U38" i="21"/>
  <c r="AI35" i="21"/>
  <c r="S34" i="21"/>
  <c r="U30" i="21"/>
  <c r="AA27" i="21"/>
  <c r="AE25" i="21"/>
  <c r="Y22" i="21"/>
  <c r="AG11" i="21"/>
  <c r="AM50" i="21"/>
  <c r="S49" i="21"/>
  <c r="O47" i="21"/>
  <c r="Y23" i="21"/>
  <c r="AA23" i="21"/>
  <c r="AC23" i="21"/>
  <c r="M23" i="21"/>
  <c r="Q23" i="21"/>
  <c r="AG23" i="21"/>
  <c r="S23" i="21"/>
  <c r="AI23" i="21"/>
  <c r="G29" i="21"/>
  <c r="G23" i="21"/>
  <c r="G50" i="21"/>
  <c r="S43" i="21"/>
  <c r="AI43" i="21"/>
  <c r="U43" i="21"/>
  <c r="AK43" i="21"/>
  <c r="M43" i="21"/>
  <c r="W43" i="21"/>
  <c r="AM43" i="21"/>
  <c r="AA43" i="21"/>
  <c r="AC43" i="21"/>
  <c r="S36" i="21"/>
  <c r="AI36" i="21"/>
  <c r="U36" i="21"/>
  <c r="AK36" i="21"/>
  <c r="M36" i="21"/>
  <c r="W36" i="21"/>
  <c r="AM36" i="21"/>
  <c r="AA36" i="21"/>
  <c r="AC36" i="21"/>
  <c r="M25" i="21"/>
  <c r="AG36" i="21"/>
  <c r="W25" i="21"/>
  <c r="AM23" i="21"/>
  <c r="Y8" i="21"/>
  <c r="W47" i="21"/>
  <c r="Y29" i="21"/>
  <c r="AA29" i="21"/>
  <c r="AC29" i="21"/>
  <c r="M29" i="21"/>
  <c r="Q29" i="21"/>
  <c r="AG29" i="21"/>
  <c r="S29" i="21"/>
  <c r="AI29" i="21"/>
  <c r="AG43" i="21"/>
  <c r="AE36" i="21"/>
  <c r="AM29" i="21"/>
  <c r="AK23" i="21"/>
  <c r="AE23" i="21"/>
  <c r="Q25" i="21"/>
  <c r="AG25" i="21"/>
  <c r="S25" i="21"/>
  <c r="AI25" i="21"/>
  <c r="U25" i="21"/>
  <c r="AK25" i="21"/>
  <c r="Y25" i="21"/>
  <c r="AA25" i="21"/>
  <c r="Q16" i="21"/>
  <c r="AG16" i="21"/>
  <c r="S16" i="21"/>
  <c r="AI16" i="21"/>
  <c r="U16" i="21"/>
  <c r="AK16" i="21"/>
  <c r="Y16" i="21"/>
  <c r="AA16" i="21"/>
  <c r="U8" i="21"/>
  <c r="AE8" i="21"/>
  <c r="AG8" i="21"/>
  <c r="AM8" i="21"/>
  <c r="O8" i="21"/>
  <c r="Q8" i="21"/>
  <c r="Y43" i="21"/>
  <c r="Q36" i="21"/>
  <c r="AE29" i="21"/>
  <c r="W23" i="21"/>
  <c r="AM16" i="21"/>
  <c r="AG46" i="21"/>
  <c r="G25" i="21"/>
  <c r="Y47" i="21"/>
  <c r="AA47" i="21"/>
  <c r="AC47" i="21"/>
  <c r="Q47" i="21"/>
  <c r="AG47" i="21"/>
  <c r="S47" i="21"/>
  <c r="AI47" i="21"/>
  <c r="M47" i="21"/>
  <c r="AA39" i="21"/>
  <c r="AC39" i="21"/>
  <c r="O39" i="21"/>
  <c r="AE39" i="21"/>
  <c r="S39" i="21"/>
  <c r="AI39" i="21"/>
  <c r="U39" i="21"/>
  <c r="AK39" i="21"/>
  <c r="M39" i="21"/>
  <c r="AA32" i="21"/>
  <c r="AC32" i="21"/>
  <c r="O32" i="21"/>
  <c r="AE32" i="21"/>
  <c r="S32" i="21"/>
  <c r="AI32" i="21"/>
  <c r="U32" i="21"/>
  <c r="AK32" i="21"/>
  <c r="M32" i="21"/>
  <c r="AA24" i="21"/>
  <c r="AC24" i="21"/>
  <c r="O24" i="21"/>
  <c r="AE24" i="21"/>
  <c r="S24" i="21"/>
  <c r="AI24" i="21"/>
  <c r="U24" i="21"/>
  <c r="AK24" i="21"/>
  <c r="M24" i="21"/>
  <c r="Q43" i="21"/>
  <c r="AM39" i="21"/>
  <c r="O36" i="21"/>
  <c r="AG32" i="21"/>
  <c r="W29" i="21"/>
  <c r="Y24" i="21"/>
  <c r="U23" i="21"/>
  <c r="AE16" i="21"/>
  <c r="AK29" i="21"/>
  <c r="S46" i="21"/>
  <c r="AI46" i="21"/>
  <c r="U46" i="21"/>
  <c r="AK46" i="21"/>
  <c r="W46" i="21"/>
  <c r="AM46" i="21"/>
  <c r="AA46" i="21"/>
  <c r="M46" i="21"/>
  <c r="AC46" i="21"/>
  <c r="U31" i="21"/>
  <c r="AK31" i="21"/>
  <c r="W31" i="21"/>
  <c r="AM31" i="21"/>
  <c r="Y31" i="21"/>
  <c r="AC31" i="21"/>
  <c r="M31" i="21"/>
  <c r="O31" i="21"/>
  <c r="AE31" i="21"/>
  <c r="O43" i="21"/>
  <c r="AG39" i="21"/>
  <c r="Y32" i="21"/>
  <c r="U29" i="21"/>
  <c r="AM25" i="21"/>
  <c r="W24" i="21"/>
  <c r="O23" i="21"/>
  <c r="AC16" i="21"/>
  <c r="AM47" i="21"/>
  <c r="Y46" i="21"/>
  <c r="G46" i="21"/>
  <c r="G31" i="21"/>
  <c r="G30" i="21"/>
  <c r="I46" i="21"/>
  <c r="M14" i="21"/>
  <c r="Y45" i="21"/>
  <c r="AI44" i="21"/>
  <c r="S44" i="21"/>
  <c r="AM42" i="21"/>
  <c r="W42" i="21"/>
  <c r="AG41" i="21"/>
  <c r="Q41" i="21"/>
  <c r="AA40" i="21"/>
  <c r="Y38" i="21"/>
  <c r="AI37" i="21"/>
  <c r="S37" i="21"/>
  <c r="AM35" i="21"/>
  <c r="W35" i="21"/>
  <c r="AG34" i="21"/>
  <c r="Q34" i="21"/>
  <c r="AA33" i="21"/>
  <c r="Y30" i="21"/>
  <c r="AC28" i="21"/>
  <c r="AM27" i="21"/>
  <c r="W27" i="21"/>
  <c r="AG26" i="21"/>
  <c r="Q26" i="21"/>
  <c r="AC22" i="21"/>
  <c r="AK14" i="21"/>
  <c r="U14" i="21"/>
  <c r="Y11" i="21"/>
  <c r="AA51" i="21"/>
  <c r="AK50" i="21"/>
  <c r="U50" i="21"/>
  <c r="AE49" i="21"/>
  <c r="O49" i="21"/>
  <c r="Y48" i="21"/>
  <c r="I42" i="21"/>
  <c r="AM45" i="21"/>
  <c r="W45" i="21"/>
  <c r="AG44" i="21"/>
  <c r="Q44" i="21"/>
  <c r="AK42" i="21"/>
  <c r="U42" i="21"/>
  <c r="AE41" i="21"/>
  <c r="O41" i="21"/>
  <c r="Y40" i="21"/>
  <c r="AM38" i="21"/>
  <c r="W38" i="21"/>
  <c r="AG37" i="21"/>
  <c r="Q37" i="21"/>
  <c r="AK35" i="21"/>
  <c r="U35" i="21"/>
  <c r="AE34" i="21"/>
  <c r="O34" i="21"/>
  <c r="Y33" i="21"/>
  <c r="AM30" i="21"/>
  <c r="W30" i="21"/>
  <c r="AA28" i="21"/>
  <c r="AK27" i="21"/>
  <c r="U27" i="21"/>
  <c r="AE26" i="21"/>
  <c r="O26" i="21"/>
  <c r="AA22" i="21"/>
  <c r="AI14" i="21"/>
  <c r="S14" i="21"/>
  <c r="S11" i="21"/>
  <c r="Y51" i="21"/>
  <c r="AI50" i="21"/>
  <c r="S50" i="21"/>
  <c r="AC49" i="21"/>
  <c r="AM48" i="21"/>
  <c r="W48" i="21"/>
  <c r="M44" i="21"/>
  <c r="M37" i="21"/>
  <c r="AI45" i="21"/>
  <c r="S45" i="21"/>
  <c r="AC44" i="21"/>
  <c r="AG42" i="21"/>
  <c r="Q42" i="21"/>
  <c r="AA41" i="21"/>
  <c r="AK40" i="21"/>
  <c r="U40" i="21"/>
  <c r="AI38" i="21"/>
  <c r="S38" i="21"/>
  <c r="AC37" i="21"/>
  <c r="AG35" i="21"/>
  <c r="Q35" i="21"/>
  <c r="AA34" i="21"/>
  <c r="AK33" i="21"/>
  <c r="U33" i="21"/>
  <c r="AI30" i="21"/>
  <c r="S30" i="21"/>
  <c r="AM28" i="21"/>
  <c r="W28" i="21"/>
  <c r="AG27" i="21"/>
  <c r="Q27" i="21"/>
  <c r="AA26" i="21"/>
  <c r="AM22" i="21"/>
  <c r="W22" i="21"/>
  <c r="AE14" i="21"/>
  <c r="O14" i="21"/>
  <c r="AK51" i="21"/>
  <c r="U51" i="21"/>
  <c r="AE50" i="21"/>
  <c r="O50" i="21"/>
  <c r="Y49" i="21"/>
  <c r="AI48" i="21"/>
  <c r="S48" i="21"/>
  <c r="M51" i="21"/>
  <c r="AN51" i="21" s="1"/>
  <c r="AO51" i="21" s="1"/>
  <c r="AP51" i="21" s="1"/>
  <c r="AQ51" i="21" s="1"/>
  <c r="AR51" i="21" s="1"/>
  <c r="AS51" i="21" s="1"/>
  <c r="AT51" i="21" s="1"/>
  <c r="AU51" i="21" s="1"/>
  <c r="M28" i="21"/>
  <c r="M22" i="21"/>
  <c r="AG45" i="21"/>
  <c r="Q45" i="21"/>
  <c r="AA44" i="21"/>
  <c r="AE42" i="21"/>
  <c r="O42" i="21"/>
  <c r="Y41" i="21"/>
  <c r="AI40" i="21"/>
  <c r="S40" i="21"/>
  <c r="AG38" i="21"/>
  <c r="Q38" i="21"/>
  <c r="AA37" i="21"/>
  <c r="AE35" i="21"/>
  <c r="O35" i="21"/>
  <c r="Y34" i="21"/>
  <c r="AI33" i="21"/>
  <c r="S33" i="21"/>
  <c r="AG30" i="21"/>
  <c r="Q30" i="21"/>
  <c r="AK28" i="21"/>
  <c r="U28" i="21"/>
  <c r="AE27" i="21"/>
  <c r="O27" i="21"/>
  <c r="Y26" i="21"/>
  <c r="AK22" i="21"/>
  <c r="U22" i="21"/>
  <c r="AC14" i="21"/>
  <c r="O13" i="21"/>
  <c r="AI51" i="21"/>
  <c r="S51" i="21"/>
  <c r="AC50" i="21"/>
  <c r="AM49" i="21"/>
  <c r="W49" i="21"/>
  <c r="AG48" i="21"/>
  <c r="Q48" i="21"/>
  <c r="M50" i="21"/>
  <c r="M42" i="21"/>
  <c r="M35" i="21"/>
  <c r="M27" i="21"/>
  <c r="AE45" i="21"/>
  <c r="AM41" i="21"/>
  <c r="AG40" i="21"/>
  <c r="AE38" i="21"/>
  <c r="AM34" i="21"/>
  <c r="AG33" i="21"/>
  <c r="AE30" i="21"/>
  <c r="AI28" i="21"/>
  <c r="AM26" i="21"/>
  <c r="AI22" i="21"/>
  <c r="AI11" i="21"/>
  <c r="AG51" i="21"/>
  <c r="AK49" i="21"/>
  <c r="AE48" i="21"/>
  <c r="I11" i="21"/>
  <c r="AC15" i="21"/>
  <c r="AA15" i="21"/>
  <c r="AM15" i="21"/>
  <c r="W15" i="21"/>
  <c r="Y15" i="21"/>
  <c r="AK15" i="21"/>
  <c r="U15" i="21"/>
  <c r="AI15" i="21"/>
  <c r="S15" i="21"/>
  <c r="M15" i="21"/>
  <c r="AG15" i="21"/>
  <c r="Q15" i="21"/>
  <c r="AE15" i="21"/>
  <c r="Y13" i="21"/>
  <c r="AM13" i="21"/>
  <c r="W13" i="21"/>
  <c r="AK13" i="21"/>
  <c r="U13" i="21"/>
  <c r="M13" i="21"/>
  <c r="AI13" i="21"/>
  <c r="S13" i="21"/>
  <c r="AG13" i="21"/>
  <c r="Q13" i="21"/>
  <c r="AE13" i="21"/>
  <c r="AC13" i="21"/>
  <c r="Y12" i="21"/>
  <c r="AM12" i="21"/>
  <c r="W12" i="21"/>
  <c r="AK12" i="21"/>
  <c r="U12" i="21"/>
  <c r="AI12" i="21"/>
  <c r="S12" i="21"/>
  <c r="AG12" i="21"/>
  <c r="Q12" i="21"/>
  <c r="AE12" i="21"/>
  <c r="O12" i="21"/>
  <c r="M12" i="21"/>
  <c r="AC12" i="21"/>
  <c r="AK11" i="21"/>
  <c r="U11" i="21"/>
  <c r="AE11" i="21"/>
  <c r="O11" i="21"/>
  <c r="AC11" i="21"/>
  <c r="M11" i="21"/>
  <c r="AM11" i="21"/>
  <c r="AK10" i="21"/>
  <c r="U10" i="21"/>
  <c r="AI10" i="21"/>
  <c r="S10" i="21"/>
  <c r="M10" i="21"/>
  <c r="AG10" i="21"/>
  <c r="Q10" i="21"/>
  <c r="AE10" i="21"/>
  <c r="O10" i="21"/>
  <c r="G10" i="21"/>
  <c r="AC10" i="21"/>
  <c r="AA10" i="21"/>
  <c r="Y10" i="21"/>
  <c r="AM10" i="21"/>
  <c r="G9" i="21"/>
  <c r="AK9" i="21"/>
  <c r="U9" i="21"/>
  <c r="AI9" i="21"/>
  <c r="S9" i="21"/>
  <c r="AG9" i="21"/>
  <c r="Q9" i="21"/>
  <c r="AE9" i="21"/>
  <c r="O9" i="21"/>
  <c r="AC9" i="21"/>
  <c r="M9" i="21"/>
  <c r="AA9" i="21"/>
  <c r="Y9" i="21"/>
  <c r="AM9" i="21"/>
  <c r="AI8" i="21"/>
  <c r="S8" i="21"/>
  <c r="AC8" i="21"/>
  <c r="AA8" i="21"/>
  <c r="M8" i="21"/>
  <c r="AK8" i="21"/>
  <c r="AI7" i="21"/>
  <c r="S7" i="21"/>
  <c r="AG7" i="21"/>
  <c r="Q7" i="21"/>
  <c r="M7" i="21"/>
  <c r="AE7" i="21"/>
  <c r="O7" i="21"/>
  <c r="G7" i="21"/>
  <c r="AC7" i="21"/>
  <c r="AA7" i="21"/>
  <c r="Y7" i="21"/>
  <c r="AM7" i="21"/>
  <c r="W7" i="21"/>
  <c r="AK7" i="21"/>
  <c r="I31" i="21"/>
  <c r="I7" i="21"/>
  <c r="G45" i="21"/>
  <c r="G33" i="21"/>
  <c r="G14" i="21"/>
  <c r="I27" i="21"/>
  <c r="G38" i="21"/>
  <c r="G24" i="21"/>
  <c r="G41" i="21"/>
  <c r="I15" i="21"/>
  <c r="G37" i="21"/>
  <c r="G28" i="21"/>
  <c r="G13" i="21"/>
  <c r="G49" i="21"/>
  <c r="G40" i="21"/>
  <c r="G32" i="21"/>
  <c r="G8" i="21"/>
  <c r="I34" i="21"/>
  <c r="I26" i="21"/>
  <c r="I10" i="21"/>
  <c r="G44" i="21"/>
  <c r="G36" i="21"/>
  <c r="G48" i="21"/>
  <c r="G39" i="21"/>
  <c r="G16" i="21"/>
  <c r="I29" i="21"/>
  <c r="I25" i="21"/>
  <c r="I23" i="21"/>
  <c r="G43" i="21"/>
  <c r="G47" i="21"/>
  <c r="G51" i="21"/>
  <c r="G22" i="21"/>
  <c r="G12" i="21"/>
  <c r="C13" i="20"/>
  <c r="H32" i="25" s="1"/>
  <c r="C9" i="20"/>
  <c r="H28" i="25" s="1"/>
  <c r="AK16" i="20"/>
  <c r="C7" i="20"/>
  <c r="H26" i="25" s="1"/>
  <c r="C8" i="20"/>
  <c r="H27" i="25" s="1"/>
  <c r="C26" i="17"/>
  <c r="C34" i="17"/>
  <c r="C27" i="17"/>
  <c r="C15" i="17"/>
  <c r="C21" i="17"/>
  <c r="C29" i="17"/>
  <c r="C22" i="17"/>
  <c r="C30" i="17"/>
  <c r="G14" i="19"/>
  <c r="G15" i="19" s="1"/>
  <c r="C7" i="17"/>
  <c r="C9" i="17"/>
  <c r="C8" i="17"/>
  <c r="Y20" i="18"/>
  <c r="Y21" i="18"/>
  <c r="N22" i="18"/>
  <c r="Q10" i="18"/>
  <c r="N25" i="18"/>
  <c r="M24" i="18"/>
  <c r="Y24" i="18" s="1"/>
  <c r="Y25" i="18"/>
  <c r="Q11" i="18"/>
  <c r="N23" i="18"/>
  <c r="M23" i="18"/>
  <c r="M22" i="18"/>
  <c r="AN28" i="21" l="1"/>
  <c r="AO28" i="21" s="1"/>
  <c r="AP28" i="21" s="1"/>
  <c r="AQ28" i="21" s="1"/>
  <c r="AR28" i="21" s="1"/>
  <c r="AS28" i="21" s="1"/>
  <c r="AT28" i="21" s="1"/>
  <c r="AU28" i="21" s="1"/>
  <c r="AN36" i="21"/>
  <c r="AO36" i="21" s="1"/>
  <c r="AP36" i="21" s="1"/>
  <c r="AQ36" i="21" s="1"/>
  <c r="AR36" i="21" s="1"/>
  <c r="AS36" i="21" s="1"/>
  <c r="AT36" i="21" s="1"/>
  <c r="AU36" i="21" s="1"/>
  <c r="AN33" i="21"/>
  <c r="AO33" i="21" s="1"/>
  <c r="AP33" i="21" s="1"/>
  <c r="AQ33" i="21" s="1"/>
  <c r="AR33" i="21" s="1"/>
  <c r="AS33" i="21" s="1"/>
  <c r="AT33" i="21" s="1"/>
  <c r="AU33" i="21" s="1"/>
  <c r="AN43" i="21"/>
  <c r="AO43" i="21" s="1"/>
  <c r="AP43" i="21" s="1"/>
  <c r="AQ43" i="21" s="1"/>
  <c r="AR43" i="21" s="1"/>
  <c r="AS43" i="21" s="1"/>
  <c r="AT43" i="21" s="1"/>
  <c r="AU43" i="21" s="1"/>
  <c r="AN34" i="21"/>
  <c r="AO34" i="21" s="1"/>
  <c r="AP34" i="21" s="1"/>
  <c r="AQ34" i="21" s="1"/>
  <c r="AR34" i="21" s="1"/>
  <c r="AS34" i="21" s="1"/>
  <c r="AT34" i="21" s="1"/>
  <c r="AU34" i="21" s="1"/>
  <c r="AN42" i="21"/>
  <c r="AO42" i="21" s="1"/>
  <c r="AP42" i="21" s="1"/>
  <c r="AQ42" i="21" s="1"/>
  <c r="AR42" i="21" s="1"/>
  <c r="AS42" i="21" s="1"/>
  <c r="AT42" i="21" s="1"/>
  <c r="AU42" i="21" s="1"/>
  <c r="AN41" i="21"/>
  <c r="AO41" i="21" s="1"/>
  <c r="AP41" i="21" s="1"/>
  <c r="AQ41" i="21" s="1"/>
  <c r="AR41" i="21" s="1"/>
  <c r="AS41" i="21" s="1"/>
  <c r="AT41" i="21" s="1"/>
  <c r="AU41" i="21" s="1"/>
  <c r="AN30" i="21"/>
  <c r="AO30" i="21" s="1"/>
  <c r="AP30" i="21" s="1"/>
  <c r="AQ30" i="21" s="1"/>
  <c r="AR30" i="21" s="1"/>
  <c r="AS30" i="21" s="1"/>
  <c r="AT30" i="21" s="1"/>
  <c r="AU30" i="21" s="1"/>
  <c r="AN9" i="21"/>
  <c r="AO9" i="21" s="1"/>
  <c r="AP9" i="21" s="1"/>
  <c r="AQ9" i="21" s="1"/>
  <c r="AR9" i="21" s="1"/>
  <c r="AS9" i="21" s="1"/>
  <c r="AT9" i="21" s="1"/>
  <c r="AU9" i="21" s="1"/>
  <c r="AN50" i="21"/>
  <c r="AO50" i="21" s="1"/>
  <c r="AP50" i="21" s="1"/>
  <c r="AQ50" i="21" s="1"/>
  <c r="AR50" i="21" s="1"/>
  <c r="AS50" i="21" s="1"/>
  <c r="AT50" i="21" s="1"/>
  <c r="AU50" i="21" s="1"/>
  <c r="AN24" i="21"/>
  <c r="AO24" i="21" s="1"/>
  <c r="AP24" i="21" s="1"/>
  <c r="AQ24" i="21" s="1"/>
  <c r="AR24" i="21" s="1"/>
  <c r="AS24" i="21" s="1"/>
  <c r="AT24" i="21" s="1"/>
  <c r="AU24" i="21" s="1"/>
  <c r="AN44" i="21"/>
  <c r="AO44" i="21" s="1"/>
  <c r="AP44" i="21" s="1"/>
  <c r="AQ44" i="21" s="1"/>
  <c r="AR44" i="21" s="1"/>
  <c r="AS44" i="21" s="1"/>
  <c r="AT44" i="21" s="1"/>
  <c r="AU44" i="21" s="1"/>
  <c r="AN46" i="21"/>
  <c r="AO46" i="21" s="1"/>
  <c r="AP46" i="21" s="1"/>
  <c r="AQ46" i="21" s="1"/>
  <c r="AR46" i="21" s="1"/>
  <c r="AS46" i="21" s="1"/>
  <c r="AT46" i="21" s="1"/>
  <c r="AU46" i="21" s="1"/>
  <c r="AN35" i="21"/>
  <c r="AO35" i="21" s="1"/>
  <c r="AP35" i="21" s="1"/>
  <c r="AQ35" i="21" s="1"/>
  <c r="AR35" i="21" s="1"/>
  <c r="AS35" i="21" s="1"/>
  <c r="AT35" i="21" s="1"/>
  <c r="AU35" i="21" s="1"/>
  <c r="AN31" i="21"/>
  <c r="AO31" i="21" s="1"/>
  <c r="AP31" i="21" s="1"/>
  <c r="AQ31" i="21" s="1"/>
  <c r="AR31" i="21" s="1"/>
  <c r="AS31" i="21" s="1"/>
  <c r="AT31" i="21" s="1"/>
  <c r="AU31" i="21" s="1"/>
  <c r="AN29" i="21"/>
  <c r="AO29" i="21" s="1"/>
  <c r="AP29" i="21" s="1"/>
  <c r="AQ29" i="21" s="1"/>
  <c r="AR29" i="21" s="1"/>
  <c r="AS29" i="21" s="1"/>
  <c r="AT29" i="21" s="1"/>
  <c r="AU29" i="21" s="1"/>
  <c r="AN25" i="21"/>
  <c r="AO25" i="21" s="1"/>
  <c r="AP25" i="21" s="1"/>
  <c r="AQ25" i="21" s="1"/>
  <c r="AR25" i="21" s="1"/>
  <c r="AS25" i="21" s="1"/>
  <c r="AT25" i="21" s="1"/>
  <c r="AU25" i="21" s="1"/>
  <c r="AN22" i="21"/>
  <c r="AO22" i="21" s="1"/>
  <c r="AP22" i="21" s="1"/>
  <c r="AQ22" i="21" s="1"/>
  <c r="AR22" i="21" s="1"/>
  <c r="AS22" i="21" s="1"/>
  <c r="AT22" i="21" s="1"/>
  <c r="AU22" i="21" s="1"/>
  <c r="AN48" i="21"/>
  <c r="AO48" i="21" s="1"/>
  <c r="AP48" i="21" s="1"/>
  <c r="AQ48" i="21" s="1"/>
  <c r="AR48" i="21" s="1"/>
  <c r="AS48" i="21" s="1"/>
  <c r="AT48" i="21" s="1"/>
  <c r="AU48" i="21" s="1"/>
  <c r="AN38" i="21"/>
  <c r="AO38" i="21" s="1"/>
  <c r="AP38" i="21" s="1"/>
  <c r="AQ38" i="21" s="1"/>
  <c r="AR38" i="21" s="1"/>
  <c r="AS38" i="21" s="1"/>
  <c r="AT38" i="21" s="1"/>
  <c r="AU38" i="21" s="1"/>
  <c r="AN27" i="21"/>
  <c r="AO27" i="21" s="1"/>
  <c r="AP27" i="21" s="1"/>
  <c r="AQ27" i="21" s="1"/>
  <c r="AR27" i="21" s="1"/>
  <c r="AS27" i="21" s="1"/>
  <c r="AT27" i="21" s="1"/>
  <c r="AU27" i="21" s="1"/>
  <c r="AN40" i="21"/>
  <c r="AO40" i="21" s="1"/>
  <c r="AP40" i="21" s="1"/>
  <c r="AQ40" i="21" s="1"/>
  <c r="AR40" i="21" s="1"/>
  <c r="AS40" i="21" s="1"/>
  <c r="AT40" i="21" s="1"/>
  <c r="AU40" i="21" s="1"/>
  <c r="AN26" i="21"/>
  <c r="AO26" i="21" s="1"/>
  <c r="AP26" i="21" s="1"/>
  <c r="AQ26" i="21" s="1"/>
  <c r="AR26" i="21" s="1"/>
  <c r="AS26" i="21" s="1"/>
  <c r="AT26" i="21" s="1"/>
  <c r="AU26" i="21" s="1"/>
  <c r="AN49" i="21"/>
  <c r="AO49" i="21" s="1"/>
  <c r="AP49" i="21" s="1"/>
  <c r="AQ49" i="21" s="1"/>
  <c r="AR49" i="21" s="1"/>
  <c r="AS49" i="21" s="1"/>
  <c r="AT49" i="21" s="1"/>
  <c r="AU49" i="21" s="1"/>
  <c r="AN45" i="21"/>
  <c r="AO45" i="21" s="1"/>
  <c r="AP45" i="21" s="1"/>
  <c r="AQ45" i="21" s="1"/>
  <c r="AR45" i="21" s="1"/>
  <c r="AS45" i="21" s="1"/>
  <c r="AT45" i="21" s="1"/>
  <c r="AU45" i="21" s="1"/>
  <c r="AN47" i="21"/>
  <c r="AO47" i="21" s="1"/>
  <c r="AP47" i="21" s="1"/>
  <c r="AQ47" i="21" s="1"/>
  <c r="AR47" i="21" s="1"/>
  <c r="AS47" i="21" s="1"/>
  <c r="AT47" i="21" s="1"/>
  <c r="AU47" i="21" s="1"/>
  <c r="AN23" i="21"/>
  <c r="AO23" i="21" s="1"/>
  <c r="AP23" i="21" s="1"/>
  <c r="AQ23" i="21" s="1"/>
  <c r="AR23" i="21" s="1"/>
  <c r="AS23" i="21" s="1"/>
  <c r="AT23" i="21" s="1"/>
  <c r="AU23" i="21" s="1"/>
  <c r="AN32" i="21"/>
  <c r="AO32" i="21" s="1"/>
  <c r="AP32" i="21" s="1"/>
  <c r="AQ32" i="21" s="1"/>
  <c r="AR32" i="21" s="1"/>
  <c r="AS32" i="21" s="1"/>
  <c r="AT32" i="21" s="1"/>
  <c r="AU32" i="21" s="1"/>
  <c r="AN37" i="21"/>
  <c r="AO37" i="21" s="1"/>
  <c r="AP37" i="21" s="1"/>
  <c r="AQ37" i="21" s="1"/>
  <c r="AR37" i="21" s="1"/>
  <c r="AS37" i="21" s="1"/>
  <c r="AT37" i="21" s="1"/>
  <c r="AU37" i="21" s="1"/>
  <c r="AN39" i="21"/>
  <c r="AO39" i="21" s="1"/>
  <c r="AP39" i="21" s="1"/>
  <c r="AQ39" i="21" s="1"/>
  <c r="AR39" i="21" s="1"/>
  <c r="AS39" i="21" s="1"/>
  <c r="AT39" i="21" s="1"/>
  <c r="AU39" i="21" s="1"/>
  <c r="S8" i="25"/>
  <c r="Q8" i="25"/>
  <c r="N8" i="25"/>
  <c r="M8" i="25"/>
  <c r="AN33" i="23"/>
  <c r="AP6" i="23"/>
  <c r="AO33" i="23"/>
  <c r="I25" i="8"/>
  <c r="K25" i="8" s="1"/>
  <c r="D8" i="17"/>
  <c r="I26" i="8"/>
  <c r="K26" i="8" s="1"/>
  <c r="E19" i="17"/>
  <c r="D9" i="17"/>
  <c r="R21" i="17"/>
  <c r="D17" i="8"/>
  <c r="D20" i="8" s="1"/>
  <c r="I24" i="8"/>
  <c r="K24" i="8" s="1"/>
  <c r="E18" i="17"/>
  <c r="F18" i="8" s="1"/>
  <c r="D7" i="17"/>
  <c r="AN8" i="21"/>
  <c r="AO8" i="21" s="1"/>
  <c r="AP8" i="21" s="1"/>
  <c r="AQ8" i="21" s="1"/>
  <c r="AR8" i="21" s="1"/>
  <c r="AN16" i="21"/>
  <c r="AO16" i="21" s="1"/>
  <c r="AP16" i="21" s="1"/>
  <c r="F24" i="20"/>
  <c r="AO12" i="19"/>
  <c r="AP12" i="19" s="1"/>
  <c r="AO13" i="19"/>
  <c r="AP13" i="19" s="1"/>
  <c r="G16" i="19"/>
  <c r="AO11" i="19"/>
  <c r="AP11" i="19" s="1"/>
  <c r="AQ11" i="19" s="1"/>
  <c r="AR11" i="19" s="1"/>
  <c r="AS11" i="19" s="1"/>
  <c r="AT11" i="19" s="1"/>
  <c r="AU11" i="19" s="1"/>
  <c r="AN7" i="21"/>
  <c r="AN11" i="21"/>
  <c r="AO11" i="21" s="1"/>
  <c r="AP11" i="21" s="1"/>
  <c r="AN13" i="21"/>
  <c r="AN10" i="21"/>
  <c r="AO10" i="21" s="1"/>
  <c r="AP10" i="21" s="1"/>
  <c r="AN15" i="21"/>
  <c r="AN12" i="21"/>
  <c r="AO12" i="21" s="1"/>
  <c r="AP12" i="21" s="1"/>
  <c r="AN14" i="21"/>
  <c r="AM34" i="23"/>
  <c r="AM35" i="23" s="1"/>
  <c r="AM36" i="23" s="1"/>
  <c r="AM37" i="23" s="1"/>
  <c r="AM38" i="23" s="1"/>
  <c r="AM39" i="23" s="1"/>
  <c r="E69" i="21" s="1"/>
  <c r="O8" i="25"/>
  <c r="P8" i="25"/>
  <c r="S34" i="23"/>
  <c r="S35" i="23" s="1"/>
  <c r="K8" i="25"/>
  <c r="I8" i="25"/>
  <c r="AB13" i="20"/>
  <c r="L13" i="20"/>
  <c r="Z13" i="20"/>
  <c r="AF13" i="20"/>
  <c r="P13" i="20"/>
  <c r="V13" i="20"/>
  <c r="R13" i="20"/>
  <c r="F13" i="20"/>
  <c r="AH13" i="20"/>
  <c r="AD13" i="20"/>
  <c r="AJ13" i="20"/>
  <c r="X13" i="20"/>
  <c r="AL13" i="20"/>
  <c r="N13" i="20"/>
  <c r="D10" i="25"/>
  <c r="T14" i="20"/>
  <c r="AL14" i="20"/>
  <c r="X14" i="20"/>
  <c r="L14" i="20"/>
  <c r="AJ14" i="20"/>
  <c r="AB14" i="20"/>
  <c r="AD14" i="20"/>
  <c r="V14" i="20"/>
  <c r="R14" i="20"/>
  <c r="P14" i="20"/>
  <c r="Z14" i="20"/>
  <c r="N14" i="20"/>
  <c r="AF14" i="20"/>
  <c r="AH14" i="20"/>
  <c r="H6" i="20"/>
  <c r="H9" i="20"/>
  <c r="H8" i="20"/>
  <c r="H13" i="20"/>
  <c r="H7" i="20"/>
  <c r="G34" i="23"/>
  <c r="J6" i="23"/>
  <c r="J31" i="21"/>
  <c r="J46" i="21"/>
  <c r="J49" i="21"/>
  <c r="J34" i="21"/>
  <c r="J26" i="21"/>
  <c r="J16" i="21"/>
  <c r="J25" i="21"/>
  <c r="J27" i="21"/>
  <c r="J35" i="21"/>
  <c r="J42" i="21"/>
  <c r="J22" i="21"/>
  <c r="J51" i="21"/>
  <c r="J14" i="21"/>
  <c r="J33" i="21"/>
  <c r="J50" i="21"/>
  <c r="J39" i="21"/>
  <c r="J24" i="21"/>
  <c r="J30" i="21"/>
  <c r="J48" i="21"/>
  <c r="J36" i="21"/>
  <c r="J23" i="21"/>
  <c r="J37" i="21"/>
  <c r="J45" i="21"/>
  <c r="J44" i="21"/>
  <c r="J32" i="21"/>
  <c r="J41" i="21"/>
  <c r="J11" i="21"/>
  <c r="J15" i="21"/>
  <c r="J29" i="21"/>
  <c r="J28" i="21"/>
  <c r="J47" i="21"/>
  <c r="J43" i="21"/>
  <c r="J40" i="21"/>
  <c r="J38" i="21"/>
  <c r="J7" i="21"/>
  <c r="J13" i="21"/>
  <c r="J12" i="21"/>
  <c r="J10" i="21"/>
  <c r="J9" i="21"/>
  <c r="J8" i="21"/>
  <c r="C35" i="17"/>
  <c r="D21" i="17" s="1"/>
  <c r="Q9" i="18"/>
  <c r="Y22" i="18"/>
  <c r="Y23" i="18"/>
  <c r="H49" i="16"/>
  <c r="C43" i="31" l="1"/>
  <c r="D43" i="33"/>
  <c r="H43" i="33" s="1"/>
  <c r="C42" i="31"/>
  <c r="D42" i="33"/>
  <c r="H42" i="33" s="1"/>
  <c r="C46" i="31"/>
  <c r="D46" i="31" s="1"/>
  <c r="D46" i="33"/>
  <c r="H46" i="33" s="1"/>
  <c r="D43" i="31"/>
  <c r="D42" i="31"/>
  <c r="C39" i="25"/>
  <c r="AQ6" i="23"/>
  <c r="AQ33" i="23" s="1"/>
  <c r="AP33" i="23"/>
  <c r="D22" i="17"/>
  <c r="D29" i="17"/>
  <c r="D26" i="17"/>
  <c r="K20" i="22" s="1"/>
  <c r="V20" i="21" s="1"/>
  <c r="W20" i="21" s="1"/>
  <c r="D34" i="17"/>
  <c r="AL10" i="24" s="1"/>
  <c r="AM10" i="24" s="1"/>
  <c r="D30" i="17"/>
  <c r="AD10" i="24" s="1"/>
  <c r="AE10" i="24" s="1"/>
  <c r="L7" i="28"/>
  <c r="L6" i="28"/>
  <c r="L9" i="24"/>
  <c r="F17" i="22"/>
  <c r="F20" i="22"/>
  <c r="F18" i="22"/>
  <c r="F16" i="22"/>
  <c r="L11" i="24"/>
  <c r="L10" i="24"/>
  <c r="L6" i="24"/>
  <c r="L7" i="24"/>
  <c r="L8" i="24"/>
  <c r="L6" i="19"/>
  <c r="M6" i="19" s="1"/>
  <c r="L12" i="24"/>
  <c r="V6" i="28"/>
  <c r="V7" i="28"/>
  <c r="W7" i="28" s="1"/>
  <c r="S20" i="22"/>
  <c r="AL20" i="21" s="1"/>
  <c r="AM20" i="21" s="1"/>
  <c r="S16" i="22"/>
  <c r="AL17" i="21" s="1"/>
  <c r="AM17" i="21" s="1"/>
  <c r="AL6" i="24"/>
  <c r="N7" i="28"/>
  <c r="O7" i="28" s="1"/>
  <c r="N6" i="28"/>
  <c r="G20" i="22"/>
  <c r="N20" i="21" s="1"/>
  <c r="O20" i="21" s="1"/>
  <c r="G16" i="22"/>
  <c r="N17" i="21" s="1"/>
  <c r="O17" i="21" s="1"/>
  <c r="G18" i="22"/>
  <c r="N19" i="21" s="1"/>
  <c r="O19" i="21" s="1"/>
  <c r="G17" i="22"/>
  <c r="N18" i="21" s="1"/>
  <c r="O18" i="21" s="1"/>
  <c r="N11" i="24"/>
  <c r="O11" i="24" s="1"/>
  <c r="N10" i="24"/>
  <c r="O10" i="24" s="1"/>
  <c r="N6" i="24"/>
  <c r="N7" i="24"/>
  <c r="O7" i="24" s="1"/>
  <c r="N8" i="24"/>
  <c r="O8" i="24" s="1"/>
  <c r="N12" i="24"/>
  <c r="O12" i="24" s="1"/>
  <c r="N9" i="24"/>
  <c r="O9" i="24" s="1"/>
  <c r="AB7" i="28"/>
  <c r="AC7" i="28" s="1"/>
  <c r="AB6" i="28"/>
  <c r="N17" i="22"/>
  <c r="AB18" i="21" s="1"/>
  <c r="AC18" i="21" s="1"/>
  <c r="N20" i="22"/>
  <c r="AB20" i="21" s="1"/>
  <c r="AC20" i="21" s="1"/>
  <c r="N16" i="22"/>
  <c r="AB17" i="21" s="1"/>
  <c r="AC17" i="21" s="1"/>
  <c r="N18" i="22"/>
  <c r="AB19" i="21" s="1"/>
  <c r="AC19" i="21" s="1"/>
  <c r="AB11" i="24"/>
  <c r="AC11" i="24" s="1"/>
  <c r="AB10" i="24"/>
  <c r="AC10" i="24" s="1"/>
  <c r="AB9" i="24"/>
  <c r="AC9" i="24" s="1"/>
  <c r="AB12" i="24"/>
  <c r="AC12" i="24" s="1"/>
  <c r="AB6" i="24"/>
  <c r="AB7" i="24"/>
  <c r="AC7" i="24" s="1"/>
  <c r="AB8" i="24"/>
  <c r="AC8" i="24" s="1"/>
  <c r="I20" i="8"/>
  <c r="J20" i="8" s="1"/>
  <c r="K20" i="8" s="1"/>
  <c r="L20" i="8" s="1"/>
  <c r="E20" i="8"/>
  <c r="F20" i="8" s="1"/>
  <c r="G20" i="8" s="1"/>
  <c r="F22" i="8"/>
  <c r="G22" i="8" s="1"/>
  <c r="G23" i="8" s="1"/>
  <c r="G24" i="8" s="1"/>
  <c r="R24" i="17"/>
  <c r="R25" i="17" s="1"/>
  <c r="R30" i="17"/>
  <c r="E18" i="1"/>
  <c r="AJ74" i="21"/>
  <c r="AM13" i="20"/>
  <c r="AM14" i="20"/>
  <c r="AQ13" i="19"/>
  <c r="AR13" i="19" s="1"/>
  <c r="AQ12" i="19"/>
  <c r="AR12" i="19" s="1"/>
  <c r="G17" i="19"/>
  <c r="AQ16" i="21"/>
  <c r="AR16" i="21" s="1"/>
  <c r="AS8" i="21"/>
  <c r="AT8" i="21" s="1"/>
  <c r="AU8" i="21" s="1"/>
  <c r="AO13" i="21"/>
  <c r="AP13" i="21" s="1"/>
  <c r="AQ10" i="21"/>
  <c r="AR10" i="21" s="1"/>
  <c r="AO14" i="21"/>
  <c r="AP14" i="21" s="1"/>
  <c r="AO7" i="21"/>
  <c r="AP7" i="21" s="1"/>
  <c r="AQ11" i="21"/>
  <c r="AR11" i="21" s="1"/>
  <c r="AQ12" i="21"/>
  <c r="AR12" i="21" s="1"/>
  <c r="AO15" i="21"/>
  <c r="AP15" i="21" s="1"/>
  <c r="S36" i="23"/>
  <c r="S37" i="23" s="1"/>
  <c r="S38" i="23" s="1"/>
  <c r="S39" i="23" s="1"/>
  <c r="E8" i="1" s="1"/>
  <c r="G35" i="23"/>
  <c r="J34" i="23"/>
  <c r="I13" i="20"/>
  <c r="I14" i="20"/>
  <c r="J33" i="23"/>
  <c r="D8" i="25"/>
  <c r="AB7" i="19"/>
  <c r="AC7" i="19" s="1"/>
  <c r="AB8" i="19"/>
  <c r="AC8" i="19" s="1"/>
  <c r="AB9" i="19"/>
  <c r="AC9" i="19" s="1"/>
  <c r="AB6" i="19"/>
  <c r="AC6" i="19" s="1"/>
  <c r="AL6" i="19"/>
  <c r="AL7" i="19"/>
  <c r="AM7" i="19" s="1"/>
  <c r="AL8" i="19"/>
  <c r="AM8" i="19" s="1"/>
  <c r="AL9" i="19"/>
  <c r="AM9" i="19" s="1"/>
  <c r="D31" i="17"/>
  <c r="D25" i="17"/>
  <c r="D32" i="17"/>
  <c r="D28" i="17"/>
  <c r="D23" i="17"/>
  <c r="D24" i="17"/>
  <c r="D33" i="17"/>
  <c r="V7" i="19"/>
  <c r="W7" i="19" s="1"/>
  <c r="V6" i="19"/>
  <c r="V8" i="19"/>
  <c r="W8" i="19" s="1"/>
  <c r="V9" i="19"/>
  <c r="W9" i="19" s="1"/>
  <c r="N9" i="19"/>
  <c r="O9" i="19" s="1"/>
  <c r="N6" i="19"/>
  <c r="N8" i="19"/>
  <c r="O8" i="19" s="1"/>
  <c r="N7" i="19"/>
  <c r="O7" i="19" s="1"/>
  <c r="L7" i="19"/>
  <c r="L8" i="19"/>
  <c r="L9" i="19"/>
  <c r="D27" i="17"/>
  <c r="L14" i="18"/>
  <c r="O12" i="17" s="1"/>
  <c r="AC12" i="20" s="1"/>
  <c r="I13" i="18"/>
  <c r="L11" i="17" s="1"/>
  <c r="W11" i="20" s="1"/>
  <c r="D12" i="18"/>
  <c r="G10" i="17" s="1"/>
  <c r="M10" i="20" s="1"/>
  <c r="L12" i="18"/>
  <c r="O10" i="17" s="1"/>
  <c r="AC10" i="20" s="1"/>
  <c r="F13" i="18"/>
  <c r="I11" i="17" s="1"/>
  <c r="Q11" i="20" s="1"/>
  <c r="H12" i="18"/>
  <c r="K10" i="17" s="1"/>
  <c r="U10" i="20" s="1"/>
  <c r="N13" i="18"/>
  <c r="Q11" i="17" s="1"/>
  <c r="AG11" i="20" s="1"/>
  <c r="E13" i="18"/>
  <c r="H11" i="17" s="1"/>
  <c r="O11" i="20" s="1"/>
  <c r="M13" i="18"/>
  <c r="P11" i="17" s="1"/>
  <c r="AE11" i="20" s="1"/>
  <c r="C12" i="18"/>
  <c r="F10" i="17" s="1"/>
  <c r="K10" i="20" s="1"/>
  <c r="I12" i="18"/>
  <c r="L10" i="17" s="1"/>
  <c r="W10" i="20" s="1"/>
  <c r="H13" i="18"/>
  <c r="K11" i="17" s="1"/>
  <c r="U11" i="20" s="1"/>
  <c r="C13" i="18"/>
  <c r="F11" i="17" s="1"/>
  <c r="K11" i="20" s="1"/>
  <c r="K12" i="18"/>
  <c r="N10" i="17" s="1"/>
  <c r="AA10" i="20" s="1"/>
  <c r="J13" i="18"/>
  <c r="M11" i="17" s="1"/>
  <c r="Y11" i="20" s="1"/>
  <c r="N12" i="18"/>
  <c r="Q10" i="17" s="1"/>
  <c r="AG10" i="20" s="1"/>
  <c r="J12" i="18"/>
  <c r="M10" i="17" s="1"/>
  <c r="Y10" i="20" s="1"/>
  <c r="F12" i="18"/>
  <c r="I10" i="17" s="1"/>
  <c r="Q10" i="20" s="1"/>
  <c r="O13" i="18"/>
  <c r="R11" i="17" s="1"/>
  <c r="AI11" i="20" s="1"/>
  <c r="K13" i="18"/>
  <c r="N11" i="17" s="1"/>
  <c r="AA11" i="20" s="1"/>
  <c r="E12" i="18"/>
  <c r="H10" i="17" s="1"/>
  <c r="O10" i="20" s="1"/>
  <c r="G13" i="18"/>
  <c r="J11" i="17" s="1"/>
  <c r="S11" i="20" s="1"/>
  <c r="M12" i="18"/>
  <c r="P10" i="17" s="1"/>
  <c r="AE10" i="20" s="1"/>
  <c r="O12" i="18"/>
  <c r="R10" i="17" s="1"/>
  <c r="AI10" i="20" s="1"/>
  <c r="G12" i="18"/>
  <c r="J10" i="17" s="1"/>
  <c r="S10" i="20" s="1"/>
  <c r="L13" i="18"/>
  <c r="O11" i="17" s="1"/>
  <c r="AC11" i="20" s="1"/>
  <c r="D13" i="18"/>
  <c r="G11" i="17" s="1"/>
  <c r="M11" i="20" s="1"/>
  <c r="K14" i="18"/>
  <c r="N12" i="17" s="1"/>
  <c r="AA12" i="20" s="1"/>
  <c r="H14" i="18"/>
  <c r="K12" i="17" s="1"/>
  <c r="U12" i="20" s="1"/>
  <c r="I14" i="18"/>
  <c r="L12" i="17" s="1"/>
  <c r="W12" i="20" s="1"/>
  <c r="E14" i="18"/>
  <c r="H12" i="17" s="1"/>
  <c r="O12" i="20" s="1"/>
  <c r="M14" i="18"/>
  <c r="P12" i="17" s="1"/>
  <c r="AE12" i="20" s="1"/>
  <c r="D14" i="18"/>
  <c r="G12" i="17" s="1"/>
  <c r="M12" i="20" s="1"/>
  <c r="O14" i="18"/>
  <c r="R12" i="17" s="1"/>
  <c r="AI12" i="20" s="1"/>
  <c r="N14" i="18"/>
  <c r="Q12" i="17" s="1"/>
  <c r="AG12" i="20" s="1"/>
  <c r="G14" i="18"/>
  <c r="J12" i="17" s="1"/>
  <c r="S12" i="20" s="1"/>
  <c r="J14" i="18"/>
  <c r="M12" i="17" s="1"/>
  <c r="Y12" i="20" s="1"/>
  <c r="C14" i="18"/>
  <c r="F12" i="17" s="1"/>
  <c r="K12" i="20" s="1"/>
  <c r="F14" i="18"/>
  <c r="I12" i="17" s="1"/>
  <c r="Q12" i="20" s="1"/>
  <c r="D22" i="33" l="1"/>
  <c r="H22" i="33" s="1"/>
  <c r="D36" i="33"/>
  <c r="H36" i="33" s="1"/>
  <c r="C36" i="31"/>
  <c r="C22" i="31"/>
  <c r="C40" i="25"/>
  <c r="F8" i="25"/>
  <c r="AR6" i="23"/>
  <c r="AS6" i="23" s="1"/>
  <c r="AS33" i="23" s="1"/>
  <c r="AD9" i="24"/>
  <c r="AE9" i="24" s="1"/>
  <c r="AL9" i="24"/>
  <c r="AM9" i="24" s="1"/>
  <c r="V8" i="24"/>
  <c r="W8" i="24" s="1"/>
  <c r="AL12" i="24"/>
  <c r="AM12" i="24" s="1"/>
  <c r="V7" i="24"/>
  <c r="W7" i="24" s="1"/>
  <c r="S17" i="22"/>
  <c r="AL18" i="21" s="1"/>
  <c r="AM18" i="21" s="1"/>
  <c r="V10" i="24"/>
  <c r="W10" i="24" s="1"/>
  <c r="S18" i="22"/>
  <c r="AL19" i="21" s="1"/>
  <c r="AM19" i="21" s="1"/>
  <c r="V11" i="24"/>
  <c r="W11" i="24" s="1"/>
  <c r="O17" i="22"/>
  <c r="AD18" i="21" s="1"/>
  <c r="AE18" i="21" s="1"/>
  <c r="O18" i="22"/>
  <c r="AD19" i="21" s="1"/>
  <c r="AE19" i="21" s="1"/>
  <c r="O20" i="22"/>
  <c r="AD20" i="21" s="1"/>
  <c r="AE20" i="21" s="1"/>
  <c r="AL8" i="24"/>
  <c r="AM8" i="24" s="1"/>
  <c r="AL7" i="28"/>
  <c r="AM7" i="28" s="1"/>
  <c r="K16" i="22"/>
  <c r="V17" i="21" s="1"/>
  <c r="W17" i="21" s="1"/>
  <c r="AL7" i="24"/>
  <c r="AM7" i="24" s="1"/>
  <c r="AL6" i="28"/>
  <c r="V6" i="24"/>
  <c r="K18" i="22"/>
  <c r="V19" i="21" s="1"/>
  <c r="W19" i="21" s="1"/>
  <c r="AE16" i="20"/>
  <c r="AL11" i="24"/>
  <c r="AM11" i="24" s="1"/>
  <c r="AD12" i="24"/>
  <c r="AE12" i="24" s="1"/>
  <c r="V9" i="24"/>
  <c r="W9" i="24" s="1"/>
  <c r="K17" i="22"/>
  <c r="V18" i="21" s="1"/>
  <c r="W18" i="21" s="1"/>
  <c r="AD7" i="24"/>
  <c r="AE7" i="24" s="1"/>
  <c r="V12" i="24"/>
  <c r="W12" i="24" s="1"/>
  <c r="AD8" i="24"/>
  <c r="AE8" i="24" s="1"/>
  <c r="O16" i="22"/>
  <c r="AD17" i="21" s="1"/>
  <c r="AE17" i="21" s="1"/>
  <c r="AD7" i="19"/>
  <c r="AE7" i="19" s="1"/>
  <c r="AD6" i="24"/>
  <c r="AD6" i="28"/>
  <c r="AE6" i="28" s="1"/>
  <c r="AC16" i="20"/>
  <c r="AD8" i="19"/>
  <c r="AE8" i="19" s="1"/>
  <c r="AD7" i="28"/>
  <c r="AE7" i="28" s="1"/>
  <c r="W16" i="20"/>
  <c r="AD6" i="19"/>
  <c r="AE6" i="19" s="1"/>
  <c r="AD11" i="24"/>
  <c r="AE11" i="24" s="1"/>
  <c r="AD9" i="19"/>
  <c r="AE9" i="19" s="1"/>
  <c r="AJ6" i="28"/>
  <c r="AJ7" i="28"/>
  <c r="AK7" i="28" s="1"/>
  <c r="R17" i="22"/>
  <c r="AJ18" i="21" s="1"/>
  <c r="AK18" i="21" s="1"/>
  <c r="R20" i="22"/>
  <c r="AJ20" i="21" s="1"/>
  <c r="AK20" i="21" s="1"/>
  <c r="R18" i="22"/>
  <c r="AJ19" i="21" s="1"/>
  <c r="AK19" i="21" s="1"/>
  <c r="R16" i="22"/>
  <c r="AJ17" i="21" s="1"/>
  <c r="AK17" i="21" s="1"/>
  <c r="AJ10" i="24"/>
  <c r="AK10" i="24" s="1"/>
  <c r="AJ11" i="24"/>
  <c r="AK11" i="24" s="1"/>
  <c r="AJ6" i="24"/>
  <c r="AJ7" i="24"/>
  <c r="AK7" i="24" s="1"/>
  <c r="AJ8" i="24"/>
  <c r="AK8" i="24" s="1"/>
  <c r="AJ12" i="24"/>
  <c r="AK12" i="24" s="1"/>
  <c r="AJ9" i="24"/>
  <c r="AK9" i="24" s="1"/>
  <c r="M11" i="24"/>
  <c r="M16" i="20"/>
  <c r="R6" i="28"/>
  <c r="R7" i="28"/>
  <c r="S7" i="28" s="1"/>
  <c r="I20" i="22"/>
  <c r="R20" i="21" s="1"/>
  <c r="S20" i="21" s="1"/>
  <c r="I18" i="22"/>
  <c r="R19" i="21" s="1"/>
  <c r="S19" i="21" s="1"/>
  <c r="I17" i="22"/>
  <c r="R18" i="21" s="1"/>
  <c r="S18" i="21" s="1"/>
  <c r="I16" i="22"/>
  <c r="R17" i="21" s="1"/>
  <c r="S17" i="21" s="1"/>
  <c r="R11" i="24"/>
  <c r="S11" i="24" s="1"/>
  <c r="R10" i="24"/>
  <c r="S10" i="24" s="1"/>
  <c r="R6" i="24"/>
  <c r="R7" i="24"/>
  <c r="S7" i="24" s="1"/>
  <c r="R8" i="24"/>
  <c r="S8" i="24" s="1"/>
  <c r="R12" i="24"/>
  <c r="S12" i="24" s="1"/>
  <c r="R9" i="24"/>
  <c r="S9" i="24" s="1"/>
  <c r="AE6" i="24"/>
  <c r="M12" i="24"/>
  <c r="L17" i="21"/>
  <c r="Q16" i="20"/>
  <c r="K16" i="20"/>
  <c r="C10" i="20"/>
  <c r="P6" i="28"/>
  <c r="P7" i="28"/>
  <c r="Q7" i="28" s="1"/>
  <c r="H16" i="22"/>
  <c r="P17" i="21" s="1"/>
  <c r="Q17" i="21" s="1"/>
  <c r="H18" i="22"/>
  <c r="P19" i="21" s="1"/>
  <c r="Q19" i="21" s="1"/>
  <c r="H20" i="22"/>
  <c r="P20" i="21" s="1"/>
  <c r="Q20" i="21" s="1"/>
  <c r="H17" i="22"/>
  <c r="P18" i="21" s="1"/>
  <c r="Q18" i="21" s="1"/>
  <c r="P10" i="24"/>
  <c r="Q10" i="24" s="1"/>
  <c r="P11" i="24"/>
  <c r="Q11" i="24" s="1"/>
  <c r="P6" i="24"/>
  <c r="P7" i="24"/>
  <c r="Q7" i="24" s="1"/>
  <c r="P8" i="24"/>
  <c r="Q8" i="24" s="1"/>
  <c r="P12" i="24"/>
  <c r="Q12" i="24" s="1"/>
  <c r="P9" i="24"/>
  <c r="Q9" i="24" s="1"/>
  <c r="L19" i="21"/>
  <c r="Y16" i="20"/>
  <c r="Z6" i="28"/>
  <c r="Z7" i="28"/>
  <c r="AA7" i="28" s="1"/>
  <c r="M20" i="22"/>
  <c r="Z20" i="21" s="1"/>
  <c r="AA20" i="21" s="1"/>
  <c r="M16" i="22"/>
  <c r="Z17" i="21" s="1"/>
  <c r="AA17" i="21" s="1"/>
  <c r="M18" i="22"/>
  <c r="Z19" i="21" s="1"/>
  <c r="AA19" i="21" s="1"/>
  <c r="M17" i="22"/>
  <c r="Z18" i="21" s="1"/>
  <c r="AA18" i="21" s="1"/>
  <c r="Z10" i="24"/>
  <c r="AA10" i="24" s="1"/>
  <c r="Z11" i="24"/>
  <c r="AA11" i="24" s="1"/>
  <c r="Z12" i="24"/>
  <c r="AA12" i="24" s="1"/>
  <c r="Z9" i="24"/>
  <c r="AA9" i="24" s="1"/>
  <c r="Z8" i="24"/>
  <c r="AA8" i="24" s="1"/>
  <c r="Z6" i="24"/>
  <c r="Z7" i="24"/>
  <c r="AA7" i="24" s="1"/>
  <c r="M8" i="24"/>
  <c r="L20" i="21"/>
  <c r="S16" i="20"/>
  <c r="AI16" i="20"/>
  <c r="AG16" i="20"/>
  <c r="X6" i="28"/>
  <c r="X7" i="28"/>
  <c r="Y7" i="28" s="1"/>
  <c r="L17" i="22"/>
  <c r="X18" i="21" s="1"/>
  <c r="Y18" i="21" s="1"/>
  <c r="L16" i="22"/>
  <c r="X17" i="21" s="1"/>
  <c r="Y17" i="21" s="1"/>
  <c r="L18" i="22"/>
  <c r="X19" i="21" s="1"/>
  <c r="Y19" i="21" s="1"/>
  <c r="L20" i="22"/>
  <c r="X20" i="21" s="1"/>
  <c r="Y20" i="21" s="1"/>
  <c r="X10" i="24"/>
  <c r="Y10" i="24" s="1"/>
  <c r="X11" i="24"/>
  <c r="Y11" i="24" s="1"/>
  <c r="X8" i="24"/>
  <c r="Y8" i="24" s="1"/>
  <c r="X12" i="24"/>
  <c r="Y12" i="24" s="1"/>
  <c r="X9" i="24"/>
  <c r="Y9" i="24" s="1"/>
  <c r="X7" i="24"/>
  <c r="Y7" i="24" s="1"/>
  <c r="X6" i="24"/>
  <c r="AH6" i="28"/>
  <c r="AH7" i="28"/>
  <c r="AI7" i="28" s="1"/>
  <c r="Q20" i="22"/>
  <c r="AH20" i="21" s="1"/>
  <c r="AI20" i="21" s="1"/>
  <c r="Q18" i="22"/>
  <c r="AH19" i="21" s="1"/>
  <c r="AI19" i="21" s="1"/>
  <c r="Q17" i="22"/>
  <c r="AH18" i="21" s="1"/>
  <c r="AI18" i="21" s="1"/>
  <c r="Q16" i="22"/>
  <c r="AH17" i="21" s="1"/>
  <c r="AI17" i="21" s="1"/>
  <c r="AH10" i="24"/>
  <c r="AI10" i="24" s="1"/>
  <c r="AH11" i="24"/>
  <c r="AI11" i="24" s="1"/>
  <c r="AH6" i="24"/>
  <c r="AH7" i="24"/>
  <c r="AI7" i="24" s="1"/>
  <c r="AH8" i="24"/>
  <c r="AI8" i="24" s="1"/>
  <c r="AH12" i="24"/>
  <c r="AI12" i="24" s="1"/>
  <c r="AH9" i="24"/>
  <c r="AI9" i="24" s="1"/>
  <c r="AC6" i="24"/>
  <c r="AC14" i="24" s="1"/>
  <c r="AB14" i="24"/>
  <c r="O6" i="24"/>
  <c r="O14" i="24" s="1"/>
  <c r="N14" i="24"/>
  <c r="N12" i="28"/>
  <c r="O6" i="28"/>
  <c r="O12" i="28" s="1"/>
  <c r="AL12" i="28"/>
  <c r="AM6" i="28"/>
  <c r="AM12" i="28" s="1"/>
  <c r="V14" i="24"/>
  <c r="W6" i="24"/>
  <c r="W14" i="24" s="1"/>
  <c r="M7" i="24"/>
  <c r="L18" i="21"/>
  <c r="D35" i="17"/>
  <c r="T6" i="28"/>
  <c r="T7" i="28"/>
  <c r="U7" i="28" s="1"/>
  <c r="J20" i="22"/>
  <c r="T20" i="21" s="1"/>
  <c r="U20" i="21" s="1"/>
  <c r="J17" i="22"/>
  <c r="T18" i="21" s="1"/>
  <c r="U18" i="21" s="1"/>
  <c r="J16" i="22"/>
  <c r="T17" i="21" s="1"/>
  <c r="U17" i="21" s="1"/>
  <c r="J18" i="22"/>
  <c r="T19" i="21" s="1"/>
  <c r="U19" i="21" s="1"/>
  <c r="T10" i="24"/>
  <c r="U10" i="24" s="1"/>
  <c r="T11" i="24"/>
  <c r="U11" i="24" s="1"/>
  <c r="T6" i="24"/>
  <c r="T7" i="24"/>
  <c r="U7" i="24" s="1"/>
  <c r="T8" i="24"/>
  <c r="U8" i="24" s="1"/>
  <c r="T12" i="24"/>
  <c r="U12" i="24" s="1"/>
  <c r="T9" i="24"/>
  <c r="U9" i="24" s="1"/>
  <c r="L14" i="24"/>
  <c r="M6" i="24"/>
  <c r="M9" i="24"/>
  <c r="C12" i="20"/>
  <c r="AA16" i="20"/>
  <c r="U16" i="20"/>
  <c r="AF6" i="28"/>
  <c r="AF7" i="28"/>
  <c r="AG7" i="28" s="1"/>
  <c r="P16" i="22"/>
  <c r="AF17" i="21" s="1"/>
  <c r="AG17" i="21" s="1"/>
  <c r="P17" i="22"/>
  <c r="AF18" i="21" s="1"/>
  <c r="AG18" i="21" s="1"/>
  <c r="P20" i="22"/>
  <c r="AF20" i="21" s="1"/>
  <c r="AG20" i="21" s="1"/>
  <c r="P18" i="22"/>
  <c r="AF19" i="21" s="1"/>
  <c r="AG19" i="21" s="1"/>
  <c r="AF11" i="24"/>
  <c r="AG11" i="24" s="1"/>
  <c r="AF10" i="24"/>
  <c r="AG10" i="24" s="1"/>
  <c r="AF6" i="24"/>
  <c r="AF7" i="24"/>
  <c r="AG7" i="24" s="1"/>
  <c r="AF8" i="24"/>
  <c r="AG8" i="24" s="1"/>
  <c r="AF12" i="24"/>
  <c r="AG12" i="24" s="1"/>
  <c r="AF9" i="24"/>
  <c r="AG9" i="24" s="1"/>
  <c r="AB12" i="28"/>
  <c r="AC6" i="28"/>
  <c r="AC12" i="28" s="1"/>
  <c r="L12" i="28"/>
  <c r="M6" i="28"/>
  <c r="V12" i="28"/>
  <c r="W6" i="28"/>
  <c r="W12" i="28" s="1"/>
  <c r="O16" i="20"/>
  <c r="C11" i="20"/>
  <c r="AL14" i="24"/>
  <c r="AM6" i="24"/>
  <c r="AM14" i="24" s="1"/>
  <c r="M10" i="24"/>
  <c r="M7" i="28"/>
  <c r="E19" i="1"/>
  <c r="AN14" i="20"/>
  <c r="AO14" i="20" s="1"/>
  <c r="AN13" i="20"/>
  <c r="AO13" i="20" s="1"/>
  <c r="AS13" i="19"/>
  <c r="AT13" i="19" s="1"/>
  <c r="AU13" i="19" s="1"/>
  <c r="G18" i="19"/>
  <c r="AS12" i="19"/>
  <c r="AT12" i="19" s="1"/>
  <c r="AU12" i="19" s="1"/>
  <c r="AS16" i="21"/>
  <c r="AT16" i="21" s="1"/>
  <c r="AU16" i="21" s="1"/>
  <c r="AQ15" i="21"/>
  <c r="AR15" i="21" s="1"/>
  <c r="AS12" i="21"/>
  <c r="AT12" i="21" s="1"/>
  <c r="AU12" i="21" s="1"/>
  <c r="AQ7" i="21"/>
  <c r="AR7" i="21" s="1"/>
  <c r="AS11" i="21"/>
  <c r="AT11" i="21" s="1"/>
  <c r="AU11" i="21" s="1"/>
  <c r="AS10" i="21"/>
  <c r="AT10" i="21" s="1"/>
  <c r="AU10" i="21" s="1"/>
  <c r="AQ14" i="21"/>
  <c r="AR14" i="21" s="1"/>
  <c r="AQ13" i="21"/>
  <c r="AR13" i="21" s="1"/>
  <c r="G36" i="23"/>
  <c r="J35" i="23"/>
  <c r="L16" i="17"/>
  <c r="Z7" i="19"/>
  <c r="AA7" i="19" s="1"/>
  <c r="Z8" i="19"/>
  <c r="AA8" i="19" s="1"/>
  <c r="Z6" i="19"/>
  <c r="Z9" i="19"/>
  <c r="AA9" i="19" s="1"/>
  <c r="M9" i="19"/>
  <c r="V14" i="19"/>
  <c r="W6" i="19"/>
  <c r="W14" i="19" s="1"/>
  <c r="R16" i="17"/>
  <c r="Q16" i="17"/>
  <c r="X8" i="19"/>
  <c r="Y8" i="19" s="1"/>
  <c r="X9" i="19"/>
  <c r="Y9" i="19" s="1"/>
  <c r="X7" i="19"/>
  <c r="Y7" i="19" s="1"/>
  <c r="X6" i="19"/>
  <c r="M8" i="19"/>
  <c r="AF6" i="19"/>
  <c r="AF7" i="19"/>
  <c r="AG7" i="19" s="1"/>
  <c r="AF8" i="19"/>
  <c r="AG8" i="19" s="1"/>
  <c r="AF9" i="19"/>
  <c r="AG9" i="19" s="1"/>
  <c r="G16" i="17"/>
  <c r="L14" i="19"/>
  <c r="F16" i="17"/>
  <c r="AH7" i="19"/>
  <c r="AI7" i="19" s="1"/>
  <c r="AH8" i="19"/>
  <c r="AI8" i="19" s="1"/>
  <c r="AH6" i="19"/>
  <c r="AH9" i="19"/>
  <c r="AI9" i="19" s="1"/>
  <c r="J16" i="17"/>
  <c r="T6" i="19"/>
  <c r="T9" i="19"/>
  <c r="U9" i="19" s="1"/>
  <c r="T7" i="19"/>
  <c r="U7" i="19" s="1"/>
  <c r="T8" i="19"/>
  <c r="U8" i="19" s="1"/>
  <c r="P16" i="17"/>
  <c r="M7" i="19"/>
  <c r="I16" i="17"/>
  <c r="K16" i="17"/>
  <c r="AJ6" i="19"/>
  <c r="AK6" i="19" s="1"/>
  <c r="AJ9" i="19"/>
  <c r="AK9" i="19" s="1"/>
  <c r="AJ7" i="19"/>
  <c r="AK7" i="19" s="1"/>
  <c r="AJ8" i="19"/>
  <c r="AK8" i="19" s="1"/>
  <c r="H16" i="17"/>
  <c r="AB14" i="19"/>
  <c r="R7" i="19"/>
  <c r="S7" i="19" s="1"/>
  <c r="R8" i="19"/>
  <c r="S8" i="19" s="1"/>
  <c r="R6" i="19"/>
  <c r="R9" i="19"/>
  <c r="S9" i="19" s="1"/>
  <c r="M16" i="17"/>
  <c r="N16" i="17"/>
  <c r="O16" i="17"/>
  <c r="O6" i="19"/>
  <c r="N14" i="19"/>
  <c r="P6" i="19"/>
  <c r="P7" i="19"/>
  <c r="Q7" i="19" s="1"/>
  <c r="P8" i="19"/>
  <c r="Q8" i="19" s="1"/>
  <c r="P9" i="19"/>
  <c r="Q9" i="19" s="1"/>
  <c r="AC14" i="19"/>
  <c r="AM6" i="19"/>
  <c r="AM14" i="19" s="1"/>
  <c r="AL14" i="19"/>
  <c r="C12" i="17"/>
  <c r="C11" i="17"/>
  <c r="C10" i="17"/>
  <c r="Q14" i="18"/>
  <c r="Q13" i="18"/>
  <c r="Q12" i="18"/>
  <c r="D24" i="33" l="1"/>
  <c r="H24" i="33" s="1"/>
  <c r="D38" i="33"/>
  <c r="H38" i="33" s="1"/>
  <c r="D33" i="33"/>
  <c r="H33" i="33" s="1"/>
  <c r="D45" i="33"/>
  <c r="H45" i="33" s="1"/>
  <c r="D32" i="33"/>
  <c r="H32" i="33" s="1"/>
  <c r="D44" i="33"/>
  <c r="H44" i="33" s="1"/>
  <c r="AR33" i="23"/>
  <c r="D23" i="33"/>
  <c r="H23" i="33" s="1"/>
  <c r="D37" i="33"/>
  <c r="H37" i="33" s="1"/>
  <c r="C37" i="31"/>
  <c r="C23" i="31"/>
  <c r="C44" i="31"/>
  <c r="C32" i="31"/>
  <c r="C38" i="31"/>
  <c r="C24" i="31"/>
  <c r="C45" i="31"/>
  <c r="C33" i="31"/>
  <c r="AT6" i="23"/>
  <c r="AU6" i="23" s="1"/>
  <c r="D22" i="31"/>
  <c r="D36" i="31"/>
  <c r="C36" i="25"/>
  <c r="F31" i="25" s="1"/>
  <c r="AD12" i="28"/>
  <c r="AE14" i="19"/>
  <c r="AE12" i="28"/>
  <c r="R11" i="25" s="1"/>
  <c r="E17" i="22"/>
  <c r="AD14" i="19"/>
  <c r="AE14" i="24"/>
  <c r="AE15" i="24" s="1"/>
  <c r="AE16" i="24" s="1"/>
  <c r="AE17" i="24" s="1"/>
  <c r="AE18" i="24" s="1"/>
  <c r="AE19" i="24" s="1"/>
  <c r="AE20" i="24" s="1"/>
  <c r="G14" i="1" s="1"/>
  <c r="AD14" i="24"/>
  <c r="I6" i="24"/>
  <c r="T17" i="22"/>
  <c r="M14" i="24"/>
  <c r="J13" i="24"/>
  <c r="V11" i="25"/>
  <c r="AM13" i="28"/>
  <c r="AM14" i="28" s="1"/>
  <c r="AM15" i="28" s="1"/>
  <c r="AM16" i="28" s="1"/>
  <c r="AM17" i="28" s="1"/>
  <c r="AM18" i="28" s="1"/>
  <c r="I18" i="1" s="1"/>
  <c r="T20" i="22"/>
  <c r="E16" i="22"/>
  <c r="AN11" i="24"/>
  <c r="AO11" i="24" s="1"/>
  <c r="AP11" i="24" s="1"/>
  <c r="AQ11" i="24" s="1"/>
  <c r="AR11" i="24" s="1"/>
  <c r="AS11" i="24" s="1"/>
  <c r="AT11" i="24" s="1"/>
  <c r="AU11" i="24" s="1"/>
  <c r="J11" i="24"/>
  <c r="T14" i="24"/>
  <c r="U6" i="24"/>
  <c r="U14" i="24" s="1"/>
  <c r="E20" i="17"/>
  <c r="I27" i="8"/>
  <c r="K27" i="8" s="1"/>
  <c r="D10" i="17"/>
  <c r="AG6" i="24"/>
  <c r="AG14" i="24" s="1"/>
  <c r="AF14" i="24"/>
  <c r="AF12" i="28"/>
  <c r="AG6" i="28"/>
  <c r="AG12" i="28" s="1"/>
  <c r="C20" i="21"/>
  <c r="M20" i="21"/>
  <c r="AN20" i="21" s="1"/>
  <c r="AO20" i="21" s="1"/>
  <c r="AP20" i="21" s="1"/>
  <c r="AQ20" i="21" s="1"/>
  <c r="AR20" i="21" s="1"/>
  <c r="AS20" i="21" s="1"/>
  <c r="AT20" i="21" s="1"/>
  <c r="AA6" i="28"/>
  <c r="AA12" i="28" s="1"/>
  <c r="Z12" i="28"/>
  <c r="C17" i="21"/>
  <c r="M17" i="21"/>
  <c r="AN17" i="21" s="1"/>
  <c r="AO17" i="21" s="1"/>
  <c r="AP17" i="21" s="1"/>
  <c r="AQ17" i="21" s="1"/>
  <c r="AR17" i="21" s="1"/>
  <c r="AS17" i="21" s="1"/>
  <c r="AT17" i="21" s="1"/>
  <c r="I28" i="8"/>
  <c r="K28" i="8" s="1"/>
  <c r="D11" i="17"/>
  <c r="Q11" i="25"/>
  <c r="AC13" i="28"/>
  <c r="AC14" i="28" s="1"/>
  <c r="AC15" i="28" s="1"/>
  <c r="AC16" i="28" s="1"/>
  <c r="AC17" i="28" s="1"/>
  <c r="AC18" i="28" s="1"/>
  <c r="I13" i="1" s="1"/>
  <c r="J11" i="25"/>
  <c r="O13" i="28"/>
  <c r="O14" i="28" s="1"/>
  <c r="O15" i="28" s="1"/>
  <c r="O16" i="28" s="1"/>
  <c r="O17" i="28" s="1"/>
  <c r="O18" i="28" s="1"/>
  <c r="I6" i="1" s="1"/>
  <c r="I8" i="24"/>
  <c r="AN12" i="24"/>
  <c r="AO12" i="24" s="1"/>
  <c r="AP12" i="24" s="1"/>
  <c r="AQ12" i="24" s="1"/>
  <c r="AR12" i="24" s="1"/>
  <c r="AS12" i="24" s="1"/>
  <c r="AT12" i="24" s="1"/>
  <c r="AU12" i="24" s="1"/>
  <c r="J12" i="24"/>
  <c r="V9" i="25"/>
  <c r="AM15" i="24"/>
  <c r="AM16" i="24" s="1"/>
  <c r="AM17" i="24" s="1"/>
  <c r="AM18" i="24" s="1"/>
  <c r="AM19" i="24" s="1"/>
  <c r="AM20" i="24" s="1"/>
  <c r="G18" i="1" s="1"/>
  <c r="I29" i="8"/>
  <c r="K29" i="8" s="1"/>
  <c r="D12" i="17"/>
  <c r="J7" i="28"/>
  <c r="AN7" i="28"/>
  <c r="AO7" i="28" s="1"/>
  <c r="AP7" i="28" s="1"/>
  <c r="AQ7" i="28" s="1"/>
  <c r="AR7" i="28" s="1"/>
  <c r="AS7" i="28" s="1"/>
  <c r="AT7" i="28" s="1"/>
  <c r="AU7" i="28" s="1"/>
  <c r="N11" i="25"/>
  <c r="W13" i="28"/>
  <c r="W14" i="28" s="1"/>
  <c r="W15" i="28" s="1"/>
  <c r="W16" i="28" s="1"/>
  <c r="W17" i="28" s="1"/>
  <c r="W18" i="28" s="1"/>
  <c r="I10" i="1" s="1"/>
  <c r="C18" i="21"/>
  <c r="M18" i="21"/>
  <c r="AN18" i="21" s="1"/>
  <c r="X12" i="28"/>
  <c r="Y6" i="28"/>
  <c r="Y12" i="28" s="1"/>
  <c r="AN8" i="24"/>
  <c r="AO8" i="24" s="1"/>
  <c r="AP8" i="24" s="1"/>
  <c r="AQ8" i="24" s="1"/>
  <c r="AR8" i="24" s="1"/>
  <c r="AS8" i="24" s="1"/>
  <c r="AT8" i="24" s="1"/>
  <c r="AU8" i="24" s="1"/>
  <c r="J8" i="24"/>
  <c r="E18" i="22"/>
  <c r="Q6" i="24"/>
  <c r="Q14" i="24" s="1"/>
  <c r="P14" i="24"/>
  <c r="P12" i="28"/>
  <c r="Q6" i="28"/>
  <c r="Q12" i="28" s="1"/>
  <c r="I12" i="24"/>
  <c r="I7" i="28"/>
  <c r="H31" i="25"/>
  <c r="H12" i="20"/>
  <c r="AN7" i="24"/>
  <c r="AO7" i="24" s="1"/>
  <c r="AP7" i="24" s="1"/>
  <c r="AQ7" i="24" s="1"/>
  <c r="AR7" i="24" s="1"/>
  <c r="J7" i="24"/>
  <c r="T18" i="22"/>
  <c r="H29" i="25"/>
  <c r="C16" i="20"/>
  <c r="H16" i="20" s="1"/>
  <c r="H10" i="20"/>
  <c r="AE13" i="28"/>
  <c r="AE14" i="28" s="1"/>
  <c r="AE15" i="28" s="1"/>
  <c r="AE16" i="28" s="1"/>
  <c r="AE17" i="28" s="1"/>
  <c r="AE18" i="28" s="1"/>
  <c r="I14" i="1" s="1"/>
  <c r="T12" i="28"/>
  <c r="U6" i="28"/>
  <c r="U12" i="28" s="1"/>
  <c r="I11" i="24"/>
  <c r="H30" i="25"/>
  <c r="H11" i="20"/>
  <c r="M12" i="28"/>
  <c r="AN9" i="24"/>
  <c r="J9" i="24"/>
  <c r="I7" i="24"/>
  <c r="AI6" i="24"/>
  <c r="AI14" i="24" s="1"/>
  <c r="AH14" i="24"/>
  <c r="AI6" i="28"/>
  <c r="AI12" i="28" s="1"/>
  <c r="AH12" i="28"/>
  <c r="AA6" i="24"/>
  <c r="AA14" i="24" s="1"/>
  <c r="Z14" i="24"/>
  <c r="C19" i="21"/>
  <c r="M19" i="21"/>
  <c r="AN19" i="21" s="1"/>
  <c r="AO19" i="21" s="1"/>
  <c r="AP19" i="21" s="1"/>
  <c r="AR19" i="21" s="1"/>
  <c r="AS19" i="21" s="1"/>
  <c r="AT19" i="21" s="1"/>
  <c r="R14" i="24"/>
  <c r="S6" i="24"/>
  <c r="S14" i="24" s="1"/>
  <c r="S6" i="28"/>
  <c r="S12" i="28" s="1"/>
  <c r="R12" i="28"/>
  <c r="Q9" i="25"/>
  <c r="AC15" i="24"/>
  <c r="AC16" i="24" s="1"/>
  <c r="AC17" i="24" s="1"/>
  <c r="AC18" i="24" s="1"/>
  <c r="AC19" i="24" s="1"/>
  <c r="AC20" i="24" s="1"/>
  <c r="G13" i="1" s="1"/>
  <c r="E20" i="22"/>
  <c r="T16" i="22"/>
  <c r="AN10" i="24"/>
  <c r="AO10" i="24" s="1"/>
  <c r="AP10" i="24" s="1"/>
  <c r="AQ10" i="24" s="1"/>
  <c r="AR10" i="24" s="1"/>
  <c r="AS10" i="24" s="1"/>
  <c r="AT10" i="24" s="1"/>
  <c r="AU10" i="24" s="1"/>
  <c r="J10" i="24"/>
  <c r="J9" i="25"/>
  <c r="O15" i="24"/>
  <c r="O16" i="24" s="1"/>
  <c r="O17" i="24" s="1"/>
  <c r="O18" i="24" s="1"/>
  <c r="O19" i="24" s="1"/>
  <c r="O20" i="24" s="1"/>
  <c r="G6" i="1" s="1"/>
  <c r="I10" i="24"/>
  <c r="I6" i="28"/>
  <c r="I9" i="24"/>
  <c r="W15" i="24"/>
  <c r="W16" i="24" s="1"/>
  <c r="W17" i="24" s="1"/>
  <c r="W18" i="24" s="1"/>
  <c r="W19" i="24" s="1"/>
  <c r="W20" i="24" s="1"/>
  <c r="G10" i="1" s="1"/>
  <c r="N9" i="25"/>
  <c r="Y6" i="24"/>
  <c r="Y14" i="24" s="1"/>
  <c r="X14" i="24"/>
  <c r="AK6" i="24"/>
  <c r="AK14" i="24" s="1"/>
  <c r="AJ14" i="24"/>
  <c r="AJ12" i="28"/>
  <c r="AK6" i="28"/>
  <c r="AK12" i="28" s="1"/>
  <c r="I101" i="29"/>
  <c r="D24" i="4" s="1"/>
  <c r="G24" i="4" s="1"/>
  <c r="H24" i="4" s="1"/>
  <c r="AP13" i="20"/>
  <c r="AQ13" i="20" s="1"/>
  <c r="AP14" i="20"/>
  <c r="AQ14" i="20" s="1"/>
  <c r="AN9" i="19"/>
  <c r="O14" i="19"/>
  <c r="I8" i="19"/>
  <c r="AN8" i="19"/>
  <c r="V10" i="25"/>
  <c r="AM15" i="19"/>
  <c r="AN7" i="19"/>
  <c r="G19" i="19"/>
  <c r="G20" i="19" s="1"/>
  <c r="F25" i="20" s="1"/>
  <c r="Q10" i="25"/>
  <c r="AC15" i="19"/>
  <c r="AC16" i="19" s="1"/>
  <c r="AC17" i="19" s="1"/>
  <c r="AC18" i="19" s="1"/>
  <c r="AC19" i="19" s="1"/>
  <c r="AC20" i="19" s="1"/>
  <c r="B13" i="1" s="1"/>
  <c r="N10" i="25"/>
  <c r="W15" i="19"/>
  <c r="R10" i="25"/>
  <c r="AE15" i="19"/>
  <c r="AE16" i="19" s="1"/>
  <c r="AE17" i="19" s="1"/>
  <c r="AE18" i="19" s="1"/>
  <c r="AE19" i="19" s="1"/>
  <c r="AE20" i="19" s="1"/>
  <c r="B14" i="1" s="1"/>
  <c r="AS7" i="21"/>
  <c r="AT7" i="21" s="1"/>
  <c r="AU7" i="21" s="1"/>
  <c r="AS15" i="21"/>
  <c r="AT15" i="21" s="1"/>
  <c r="AU15" i="21" s="1"/>
  <c r="AS14" i="21"/>
  <c r="AT14" i="21" s="1"/>
  <c r="AU14" i="21" s="1"/>
  <c r="AS13" i="21"/>
  <c r="AT13" i="21" s="1"/>
  <c r="AU13" i="21" s="1"/>
  <c r="G37" i="23"/>
  <c r="J36" i="23"/>
  <c r="J8" i="19"/>
  <c r="AK14" i="19"/>
  <c r="J9" i="19"/>
  <c r="AG6" i="19"/>
  <c r="AG14" i="19" s="1"/>
  <c r="AF14" i="19"/>
  <c r="AJ14" i="19"/>
  <c r="Y6" i="19"/>
  <c r="Y14" i="19" s="1"/>
  <c r="X14" i="19"/>
  <c r="C16" i="17"/>
  <c r="D16" i="17" s="1"/>
  <c r="Q6" i="19"/>
  <c r="Q14" i="19" s="1"/>
  <c r="P14" i="19"/>
  <c r="R14" i="19"/>
  <c r="S6" i="19"/>
  <c r="S14" i="19" s="1"/>
  <c r="AA6" i="19"/>
  <c r="AA14" i="19" s="1"/>
  <c r="Z14" i="19"/>
  <c r="M14" i="19"/>
  <c r="AI6" i="19"/>
  <c r="AI14" i="19" s="1"/>
  <c r="AH14" i="19"/>
  <c r="U6" i="19"/>
  <c r="U14" i="19" s="1"/>
  <c r="T14" i="19"/>
  <c r="J7" i="19"/>
  <c r="I7" i="19"/>
  <c r="I6" i="19"/>
  <c r="D41" i="33" l="1"/>
  <c r="H41" i="33" s="1"/>
  <c r="D27" i="33"/>
  <c r="H27" i="33" s="1"/>
  <c r="D40" i="33"/>
  <c r="H40" i="33" s="1"/>
  <c r="D26" i="33"/>
  <c r="H26" i="33" s="1"/>
  <c r="D25" i="33"/>
  <c r="H25" i="33" s="1"/>
  <c r="D39" i="33"/>
  <c r="H39" i="33" s="1"/>
  <c r="AT33" i="23"/>
  <c r="D45" i="31"/>
  <c r="D24" i="31"/>
  <c r="D38" i="31"/>
  <c r="C26" i="31"/>
  <c r="C40" i="31"/>
  <c r="D32" i="31"/>
  <c r="D33" i="31"/>
  <c r="C25" i="31"/>
  <c r="C39" i="31"/>
  <c r="C27" i="31"/>
  <c r="C41" i="31"/>
  <c r="D44" i="31"/>
  <c r="D23" i="31"/>
  <c r="D37" i="31"/>
  <c r="AU20" i="21"/>
  <c r="C31" i="31" s="1"/>
  <c r="AO18" i="21"/>
  <c r="AP18" i="21" s="1"/>
  <c r="AR18" i="21" s="1"/>
  <c r="AS18" i="21" s="1"/>
  <c r="AT18" i="21" s="1"/>
  <c r="AU18" i="21" s="1"/>
  <c r="C29" i="31" s="1"/>
  <c r="D29" i="31" s="1"/>
  <c r="AU19" i="21"/>
  <c r="AU17" i="21"/>
  <c r="R9" i="25"/>
  <c r="K33" i="8"/>
  <c r="P11" i="25"/>
  <c r="AA13" i="28"/>
  <c r="AA14" i="28" s="1"/>
  <c r="AA15" i="28" s="1"/>
  <c r="AA16" i="28" s="1"/>
  <c r="AA17" i="28" s="1"/>
  <c r="AA18" i="28" s="1"/>
  <c r="I12" i="1" s="1"/>
  <c r="T11" i="25"/>
  <c r="AI13" i="28"/>
  <c r="AI14" i="28" s="1"/>
  <c r="AI15" i="28" s="1"/>
  <c r="AI16" i="28" s="1"/>
  <c r="AI17" i="28" s="1"/>
  <c r="AI18" i="28" s="1"/>
  <c r="I16" i="1" s="1"/>
  <c r="U9" i="25"/>
  <c r="AK15" i="24"/>
  <c r="AK16" i="24" s="1"/>
  <c r="AK17" i="24" s="1"/>
  <c r="AK18" i="24" s="1"/>
  <c r="AK19" i="24" s="1"/>
  <c r="AK20" i="24" s="1"/>
  <c r="G17" i="1" s="1"/>
  <c r="AO9" i="24"/>
  <c r="AP9" i="24" s="1"/>
  <c r="AQ9" i="24" s="1"/>
  <c r="AR9" i="24" s="1"/>
  <c r="AS9" i="24" s="1"/>
  <c r="AT9" i="24" s="1"/>
  <c r="AU9" i="24" s="1"/>
  <c r="I18" i="21"/>
  <c r="G18" i="21"/>
  <c r="J18" i="21" s="1"/>
  <c r="I20" i="21"/>
  <c r="G20" i="21"/>
  <c r="M11" i="25"/>
  <c r="U13" i="28"/>
  <c r="U14" i="28" s="1"/>
  <c r="U15" i="28" s="1"/>
  <c r="U16" i="28" s="1"/>
  <c r="U17" i="28" s="1"/>
  <c r="U18" i="28" s="1"/>
  <c r="I9" i="1" s="1"/>
  <c r="P9" i="25"/>
  <c r="AA15" i="24"/>
  <c r="AA16" i="24" s="1"/>
  <c r="AA17" i="24" s="1"/>
  <c r="AA18" i="24" s="1"/>
  <c r="AA19" i="24" s="1"/>
  <c r="AA20" i="24" s="1"/>
  <c r="G12" i="1" s="1"/>
  <c r="AS7" i="24"/>
  <c r="AT7" i="24" s="1"/>
  <c r="AU7" i="24" s="1"/>
  <c r="Q15" i="24"/>
  <c r="Q16" i="24" s="1"/>
  <c r="Q17" i="24" s="1"/>
  <c r="Q18" i="24" s="1"/>
  <c r="Q19" i="24" s="1"/>
  <c r="Q20" i="24" s="1"/>
  <c r="G7" i="1" s="1"/>
  <c r="K9" i="25"/>
  <c r="U15" i="24"/>
  <c r="U16" i="24" s="1"/>
  <c r="U17" i="24" s="1"/>
  <c r="U18" i="24" s="1"/>
  <c r="U19" i="24" s="1"/>
  <c r="U20" i="24" s="1"/>
  <c r="G9" i="1" s="1"/>
  <c r="M9" i="25"/>
  <c r="I12" i="28"/>
  <c r="J6" i="28"/>
  <c r="S11" i="25"/>
  <c r="AG13" i="28"/>
  <c r="AG14" i="28" s="1"/>
  <c r="AG15" i="28" s="1"/>
  <c r="AG16" i="28" s="1"/>
  <c r="AG17" i="28" s="1"/>
  <c r="AG18" i="28" s="1"/>
  <c r="I15" i="1" s="1"/>
  <c r="L11" i="25"/>
  <c r="S13" i="28"/>
  <c r="S14" i="28" s="1"/>
  <c r="S15" i="28" s="1"/>
  <c r="S16" i="28" s="1"/>
  <c r="S17" i="28" s="1"/>
  <c r="S18" i="28" s="1"/>
  <c r="I8" i="1" s="1"/>
  <c r="I11" i="25"/>
  <c r="J12" i="28"/>
  <c r="M13" i="28"/>
  <c r="M14" i="28" s="1"/>
  <c r="G19" i="21"/>
  <c r="J19" i="21" s="1"/>
  <c r="I19" i="21"/>
  <c r="L9" i="25"/>
  <c r="S15" i="24"/>
  <c r="S16" i="24" s="1"/>
  <c r="S17" i="24" s="1"/>
  <c r="S18" i="24" s="1"/>
  <c r="S19" i="24" s="1"/>
  <c r="S20" i="24" s="1"/>
  <c r="G8" i="1" s="1"/>
  <c r="I17" i="21"/>
  <c r="G17" i="21"/>
  <c r="AN6" i="24"/>
  <c r="U11" i="25"/>
  <c r="AK13" i="28"/>
  <c r="AK14" i="28" s="1"/>
  <c r="AK15" i="28" s="1"/>
  <c r="AK16" i="28" s="1"/>
  <c r="AK17" i="28" s="1"/>
  <c r="AK18" i="28" s="1"/>
  <c r="I17" i="1" s="1"/>
  <c r="AI15" i="24"/>
  <c r="AI16" i="24" s="1"/>
  <c r="AI17" i="24" s="1"/>
  <c r="AI18" i="24" s="1"/>
  <c r="AI19" i="24" s="1"/>
  <c r="AI20" i="24" s="1"/>
  <c r="G16" i="1" s="1"/>
  <c r="T9" i="25"/>
  <c r="O11" i="25"/>
  <c r="Y13" i="28"/>
  <c r="Y14" i="28" s="1"/>
  <c r="Y15" i="28" s="1"/>
  <c r="Y16" i="28" s="1"/>
  <c r="Y17" i="28" s="1"/>
  <c r="Y18" i="28" s="1"/>
  <c r="I11" i="1" s="1"/>
  <c r="S9" i="25"/>
  <c r="AG15" i="24"/>
  <c r="AG16" i="24" s="1"/>
  <c r="AG17" i="24" s="1"/>
  <c r="AG18" i="24" s="1"/>
  <c r="AG19" i="24" s="1"/>
  <c r="AG20" i="24" s="1"/>
  <c r="G15" i="1" s="1"/>
  <c r="M15" i="24"/>
  <c r="J14" i="24"/>
  <c r="I9" i="25"/>
  <c r="AN6" i="28"/>
  <c r="Y15" i="24"/>
  <c r="Y16" i="24" s="1"/>
  <c r="Y17" i="24" s="1"/>
  <c r="Y18" i="24" s="1"/>
  <c r="Y19" i="24" s="1"/>
  <c r="Y20" i="24" s="1"/>
  <c r="G11" i="1" s="1"/>
  <c r="O9" i="25"/>
  <c r="K11" i="25"/>
  <c r="Q13" i="28"/>
  <c r="Q14" i="28" s="1"/>
  <c r="Q15" i="28" s="1"/>
  <c r="Q16" i="28" s="1"/>
  <c r="Q17" i="28" s="1"/>
  <c r="Q18" i="28" s="1"/>
  <c r="I7" i="1" s="1"/>
  <c r="J6" i="24"/>
  <c r="I97" i="29"/>
  <c r="D20" i="4" s="1"/>
  <c r="G20" i="4" s="1"/>
  <c r="H20" i="4" s="1"/>
  <c r="I98" i="29"/>
  <c r="D21" i="4" s="1"/>
  <c r="G21" i="4" s="1"/>
  <c r="H21" i="4" s="1"/>
  <c r="W16" i="19"/>
  <c r="W17" i="19" s="1"/>
  <c r="W18" i="19" s="1"/>
  <c r="W19" i="19" s="1"/>
  <c r="W20" i="19" s="1"/>
  <c r="B10" i="1" s="1"/>
  <c r="AM16" i="19"/>
  <c r="AM17" i="19" s="1"/>
  <c r="AM18" i="19" s="1"/>
  <c r="AM19" i="19" s="1"/>
  <c r="AM20" i="19" s="1"/>
  <c r="B18" i="1" s="1"/>
  <c r="AR14" i="20"/>
  <c r="AS14" i="20" s="1"/>
  <c r="AR13" i="20"/>
  <c r="AS13" i="20" s="1"/>
  <c r="C32" i="25" s="1"/>
  <c r="P10" i="25"/>
  <c r="AA15" i="19"/>
  <c r="AA16" i="19" s="1"/>
  <c r="AA17" i="19" s="1"/>
  <c r="AA18" i="19" s="1"/>
  <c r="AA19" i="19" s="1"/>
  <c r="AA20" i="19" s="1"/>
  <c r="B12" i="1" s="1"/>
  <c r="O10" i="25"/>
  <c r="Y15" i="19"/>
  <c r="J10" i="25"/>
  <c r="O15" i="19"/>
  <c r="O16" i="19" s="1"/>
  <c r="AO7" i="19"/>
  <c r="AP7" i="19" s="1"/>
  <c r="M10" i="25"/>
  <c r="U15" i="19"/>
  <c r="AO9" i="19"/>
  <c r="AP9" i="19" s="1"/>
  <c r="K10" i="25"/>
  <c r="Q15" i="19"/>
  <c r="U10" i="25"/>
  <c r="AK15" i="19"/>
  <c r="AO8" i="19"/>
  <c r="AP8" i="19" s="1"/>
  <c r="L10" i="25"/>
  <c r="S15" i="19"/>
  <c r="S10" i="25"/>
  <c r="AG15" i="19"/>
  <c r="AG16" i="19" s="1"/>
  <c r="AG17" i="19" s="1"/>
  <c r="AG18" i="19" s="1"/>
  <c r="AG19" i="19" s="1"/>
  <c r="AG20" i="19" s="1"/>
  <c r="B15" i="1" s="1"/>
  <c r="T10" i="25"/>
  <c r="AI15" i="19"/>
  <c r="M15" i="19"/>
  <c r="M16" i="19" s="1"/>
  <c r="AN6" i="19"/>
  <c r="G38" i="23"/>
  <c r="J37" i="23"/>
  <c r="I10" i="25"/>
  <c r="J14" i="19"/>
  <c r="J6" i="19"/>
  <c r="C28" i="31" l="1"/>
  <c r="D28" i="33"/>
  <c r="H28" i="33" s="1"/>
  <c r="I85" i="29"/>
  <c r="C30" i="31"/>
  <c r="D30" i="31" s="1"/>
  <c r="D27" i="31"/>
  <c r="D26" i="31"/>
  <c r="D41" i="31"/>
  <c r="D39" i="31"/>
  <c r="D31" i="31"/>
  <c r="D25" i="31"/>
  <c r="D40" i="31"/>
  <c r="D28" i="31"/>
  <c r="I88" i="29"/>
  <c r="D11" i="4" s="1"/>
  <c r="G11" i="4" s="1"/>
  <c r="H11" i="4" s="1"/>
  <c r="I90" i="29"/>
  <c r="D13" i="4" s="1"/>
  <c r="G13" i="4" s="1"/>
  <c r="H13" i="4" s="1"/>
  <c r="I83" i="29"/>
  <c r="D6" i="4" s="1"/>
  <c r="G6" i="4" s="1"/>
  <c r="H6" i="4" s="1"/>
  <c r="D8" i="4"/>
  <c r="G8" i="4" s="1"/>
  <c r="H8" i="4" s="1"/>
  <c r="AO6" i="24"/>
  <c r="AN14" i="24"/>
  <c r="AO6" i="28"/>
  <c r="AO12" i="28" s="1"/>
  <c r="AN12" i="28"/>
  <c r="J17" i="21"/>
  <c r="J14" i="28"/>
  <c r="M15" i="28"/>
  <c r="J15" i="28" s="1"/>
  <c r="F9" i="25"/>
  <c r="J13" i="28"/>
  <c r="M16" i="24"/>
  <c r="J15" i="24"/>
  <c r="I100" i="29"/>
  <c r="D23" i="4" s="1"/>
  <c r="G23" i="4" s="1"/>
  <c r="H23" i="4" s="1"/>
  <c r="I99" i="29"/>
  <c r="D22" i="4" s="1"/>
  <c r="G22" i="4" s="1"/>
  <c r="H22" i="4" s="1"/>
  <c r="I103" i="29"/>
  <c r="D26" i="4" s="1"/>
  <c r="G26" i="4" s="1"/>
  <c r="H26" i="4" s="1"/>
  <c r="AK16" i="19"/>
  <c r="AK17" i="19" s="1"/>
  <c r="AK18" i="19" s="1"/>
  <c r="AK19" i="19" s="1"/>
  <c r="AK20" i="19" s="1"/>
  <c r="B17" i="1" s="1"/>
  <c r="Q16" i="19"/>
  <c r="Q17" i="19" s="1"/>
  <c r="Q18" i="19" s="1"/>
  <c r="Q19" i="19" s="1"/>
  <c r="Q20" i="19" s="1"/>
  <c r="B7" i="1" s="1"/>
  <c r="S16" i="19"/>
  <c r="S17" i="19" s="1"/>
  <c r="S18" i="19" s="1"/>
  <c r="S19" i="19" s="1"/>
  <c r="S20" i="19" s="1"/>
  <c r="B8" i="1" s="1"/>
  <c r="F11" i="25"/>
  <c r="Y16" i="19"/>
  <c r="Y17" i="19" s="1"/>
  <c r="Y18" i="19" s="1"/>
  <c r="Y19" i="19" s="1"/>
  <c r="Y20" i="19" s="1"/>
  <c r="B11" i="1" s="1"/>
  <c r="AI16" i="19"/>
  <c r="AI17" i="19" s="1"/>
  <c r="AI18" i="19" s="1"/>
  <c r="AI19" i="19" s="1"/>
  <c r="AI20" i="19" s="1"/>
  <c r="B16" i="1" s="1"/>
  <c r="U16" i="19"/>
  <c r="U17" i="19" s="1"/>
  <c r="U18" i="19" s="1"/>
  <c r="U19" i="19" s="1"/>
  <c r="U20" i="19" s="1"/>
  <c r="B9" i="1" s="1"/>
  <c r="AT13" i="20"/>
  <c r="AT14" i="20"/>
  <c r="C33" i="25"/>
  <c r="AQ9" i="19"/>
  <c r="AR9" i="19" s="1"/>
  <c r="M17" i="19"/>
  <c r="J15" i="19"/>
  <c r="AQ8" i="19"/>
  <c r="AR8" i="19" s="1"/>
  <c r="AN14" i="19"/>
  <c r="AO6" i="19"/>
  <c r="AO14" i="19" s="1"/>
  <c r="O17" i="19"/>
  <c r="O18" i="19" s="1"/>
  <c r="AQ7" i="19"/>
  <c r="AR7" i="19" s="1"/>
  <c r="F10" i="25"/>
  <c r="G39" i="23"/>
  <c r="J38" i="23"/>
  <c r="N14" i="8"/>
  <c r="F10" i="8"/>
  <c r="O10" i="8" s="1"/>
  <c r="E7" i="20"/>
  <c r="C7" i="8"/>
  <c r="E8" i="20" s="1"/>
  <c r="G61" i="21" l="1"/>
  <c r="E68" i="21"/>
  <c r="M16" i="28"/>
  <c r="J16" i="28" s="1"/>
  <c r="AP6" i="28"/>
  <c r="AP12" i="28" s="1"/>
  <c r="AP6" i="24"/>
  <c r="AO14" i="24"/>
  <c r="M17" i="24"/>
  <c r="J16" i="24"/>
  <c r="AP6" i="19"/>
  <c r="AQ6" i="19" s="1"/>
  <c r="AQ14" i="19" s="1"/>
  <c r="J39" i="23"/>
  <c r="J16" i="19"/>
  <c r="O19" i="19"/>
  <c r="O20" i="19" s="1"/>
  <c r="AS7" i="19"/>
  <c r="AT7" i="19" s="1"/>
  <c r="AU7" i="19" s="1"/>
  <c r="AS9" i="19"/>
  <c r="AT9" i="19" s="1"/>
  <c r="AU9" i="19" s="1"/>
  <c r="AS8" i="19"/>
  <c r="AT8" i="19" s="1"/>
  <c r="AU8" i="19" s="1"/>
  <c r="M18" i="19"/>
  <c r="J17" i="19"/>
  <c r="O14" i="8"/>
  <c r="C14" i="8" s="1"/>
  <c r="E15" i="20" s="1"/>
  <c r="C10" i="8"/>
  <c r="E11" i="20" s="1"/>
  <c r="T11" i="20" s="1"/>
  <c r="F7" i="20"/>
  <c r="N7" i="20"/>
  <c r="R7" i="20"/>
  <c r="AH7" i="20"/>
  <c r="X7" i="20"/>
  <c r="T7" i="20"/>
  <c r="P7" i="20"/>
  <c r="AJ7" i="20"/>
  <c r="AD7" i="20"/>
  <c r="V7" i="20"/>
  <c r="AL7" i="20"/>
  <c r="Z7" i="20"/>
  <c r="AF7" i="20"/>
  <c r="AB7" i="20"/>
  <c r="L7" i="20"/>
  <c r="F8" i="20"/>
  <c r="N8" i="20"/>
  <c r="P8" i="20"/>
  <c r="AL8" i="20"/>
  <c r="AB8" i="20"/>
  <c r="AF8" i="20"/>
  <c r="L8" i="20"/>
  <c r="V8" i="20"/>
  <c r="R8" i="20"/>
  <c r="X8" i="20"/>
  <c r="AH8" i="20"/>
  <c r="T8" i="20"/>
  <c r="AD8" i="20"/>
  <c r="AJ8" i="20"/>
  <c r="Z8" i="20"/>
  <c r="C8" i="8"/>
  <c r="E9" i="20" s="1"/>
  <c r="C11" i="8"/>
  <c r="E12" i="20" s="1"/>
  <c r="C9" i="8"/>
  <c r="E10" i="20" s="1"/>
  <c r="E70" i="21" l="1"/>
  <c r="M17" i="28"/>
  <c r="J17" i="28" s="1"/>
  <c r="AP14" i="19"/>
  <c r="AQ6" i="28"/>
  <c r="AR6" i="28" s="1"/>
  <c r="M18" i="24"/>
  <c r="J17" i="24"/>
  <c r="AQ6" i="24"/>
  <c r="AQ14" i="24" s="1"/>
  <c r="AP14" i="24"/>
  <c r="AM8" i="20"/>
  <c r="AN8" i="20" s="1"/>
  <c r="AO8" i="20" s="1"/>
  <c r="M19" i="19"/>
  <c r="M20" i="19" s="1"/>
  <c r="B5" i="1" s="1"/>
  <c r="J18" i="19"/>
  <c r="AR6" i="19"/>
  <c r="B6" i="1"/>
  <c r="AM7" i="20"/>
  <c r="N15" i="20"/>
  <c r="F15" i="20"/>
  <c r="V15" i="20"/>
  <c r="AF15" i="20"/>
  <c r="X15" i="20"/>
  <c r="P15" i="20"/>
  <c r="AH15" i="20"/>
  <c r="T15" i="20"/>
  <c r="AL15" i="20"/>
  <c r="R15" i="20"/>
  <c r="AD15" i="20"/>
  <c r="L15" i="20"/>
  <c r="AJ15" i="20"/>
  <c r="AB15" i="20"/>
  <c r="Z15" i="20"/>
  <c r="N11" i="20"/>
  <c r="F11" i="20"/>
  <c r="AD11" i="20"/>
  <c r="AB11" i="20"/>
  <c r="Z11" i="20"/>
  <c r="L11" i="20"/>
  <c r="AL11" i="20"/>
  <c r="V11" i="20"/>
  <c r="AF11" i="20"/>
  <c r="AH11" i="20"/>
  <c r="R11" i="20"/>
  <c r="X11" i="20"/>
  <c r="AJ11" i="20"/>
  <c r="P11" i="20"/>
  <c r="I7" i="20"/>
  <c r="I8" i="20"/>
  <c r="E6" i="20"/>
  <c r="F9" i="20"/>
  <c r="Z9" i="20"/>
  <c r="R9" i="20"/>
  <c r="AH9" i="20"/>
  <c r="AB9" i="20"/>
  <c r="P9" i="20"/>
  <c r="V9" i="20"/>
  <c r="N9" i="20"/>
  <c r="AJ9" i="20"/>
  <c r="L9" i="20"/>
  <c r="AD9" i="20"/>
  <c r="X9" i="20"/>
  <c r="AL9" i="20"/>
  <c r="AF9" i="20"/>
  <c r="T9" i="20"/>
  <c r="F10" i="20"/>
  <c r="Z10" i="20"/>
  <c r="T10" i="20"/>
  <c r="L10" i="20"/>
  <c r="N10" i="20"/>
  <c r="AJ10" i="20"/>
  <c r="V10" i="20"/>
  <c r="AB10" i="20"/>
  <c r="AH10" i="20"/>
  <c r="P10" i="20"/>
  <c r="AL10" i="20"/>
  <c r="AF10" i="20"/>
  <c r="X10" i="20"/>
  <c r="R10" i="20"/>
  <c r="AD10" i="20"/>
  <c r="F12" i="20"/>
  <c r="N12" i="20"/>
  <c r="AH12" i="20"/>
  <c r="P12" i="20"/>
  <c r="AJ12" i="20"/>
  <c r="T12" i="20"/>
  <c r="AF12" i="20"/>
  <c r="L12" i="20"/>
  <c r="AB12" i="20"/>
  <c r="R12" i="20"/>
  <c r="Z12" i="20"/>
  <c r="AD12" i="20"/>
  <c r="V12" i="20"/>
  <c r="X12" i="20"/>
  <c r="AL12" i="20"/>
  <c r="M18" i="28" l="1"/>
  <c r="I5" i="1" s="1"/>
  <c r="I19" i="1" s="1"/>
  <c r="AR6" i="24"/>
  <c r="AS6" i="24" s="1"/>
  <c r="AS14" i="24" s="1"/>
  <c r="AQ12" i="28"/>
  <c r="M19" i="24"/>
  <c r="J18" i="24"/>
  <c r="AS6" i="28"/>
  <c r="AR12" i="28"/>
  <c r="J19" i="19"/>
  <c r="J20" i="19"/>
  <c r="AM12" i="20"/>
  <c r="AS6" i="19"/>
  <c r="AS14" i="19" s="1"/>
  <c r="AR14" i="19"/>
  <c r="B19" i="1"/>
  <c r="AM15" i="20"/>
  <c r="AM11" i="20"/>
  <c r="AM10" i="20"/>
  <c r="AM9" i="20"/>
  <c r="AP8" i="20"/>
  <c r="AQ8" i="20" s="1"/>
  <c r="AN7" i="20"/>
  <c r="AO7" i="20" s="1"/>
  <c r="I15" i="20"/>
  <c r="I11" i="20"/>
  <c r="AF6" i="20"/>
  <c r="AF16" i="20" s="1"/>
  <c r="AF17" i="20" s="1"/>
  <c r="AF18" i="20" s="1"/>
  <c r="AL6" i="20"/>
  <c r="AL16" i="20" s="1"/>
  <c r="AL17" i="20" s="1"/>
  <c r="AL18" i="20" s="1"/>
  <c r="P6" i="20"/>
  <c r="P16" i="20" s="1"/>
  <c r="P18" i="20" s="1"/>
  <c r="P19" i="20" s="1"/>
  <c r="P20" i="20" s="1"/>
  <c r="P21" i="20" s="1"/>
  <c r="P22" i="20" s="1"/>
  <c r="C7" i="1" s="1"/>
  <c r="R6" i="20"/>
  <c r="R16" i="20" s="1"/>
  <c r="R18" i="20" s="1"/>
  <c r="R19" i="20" s="1"/>
  <c r="R20" i="20" s="1"/>
  <c r="R21" i="20" s="1"/>
  <c r="R22" i="20" s="1"/>
  <c r="C8" i="1" s="1"/>
  <c r="AH6" i="20"/>
  <c r="AH16" i="20" s="1"/>
  <c r="AH17" i="20" s="1"/>
  <c r="AH18" i="20" s="1"/>
  <c r="AH19" i="20" s="1"/>
  <c r="AH20" i="20" s="1"/>
  <c r="AH21" i="20" s="1"/>
  <c r="AH22" i="20" s="1"/>
  <c r="C16" i="1" s="1"/>
  <c r="T6" i="20"/>
  <c r="T16" i="20" s="1"/>
  <c r="T18" i="20" s="1"/>
  <c r="T19" i="20" s="1"/>
  <c r="T20" i="20" s="1"/>
  <c r="T21" i="20" s="1"/>
  <c r="T22" i="20" s="1"/>
  <c r="C9" i="1" s="1"/>
  <c r="AB6" i="20"/>
  <c r="AB16" i="20" s="1"/>
  <c r="AB17" i="20" s="1"/>
  <c r="AB18" i="20" s="1"/>
  <c r="AB19" i="20" s="1"/>
  <c r="AB20" i="20" s="1"/>
  <c r="AB21" i="20" s="1"/>
  <c r="AB22" i="20" s="1"/>
  <c r="C13" i="1" s="1"/>
  <c r="AJ6" i="20"/>
  <c r="AJ16" i="20" s="1"/>
  <c r="AJ17" i="20" s="1"/>
  <c r="AJ18" i="20" s="1"/>
  <c r="L6" i="20"/>
  <c r="N6" i="20"/>
  <c r="N16" i="20" s="1"/>
  <c r="N18" i="20" s="1"/>
  <c r="N19" i="20" s="1"/>
  <c r="N20" i="20" s="1"/>
  <c r="N21" i="20" s="1"/>
  <c r="N22" i="20" s="1"/>
  <c r="C6" i="1" s="1"/>
  <c r="X6" i="20"/>
  <c r="X16" i="20" s="1"/>
  <c r="X17" i="20" s="1"/>
  <c r="X18" i="20" s="1"/>
  <c r="X19" i="20" s="1"/>
  <c r="X20" i="20" s="1"/>
  <c r="Z6" i="20"/>
  <c r="Z16" i="20" s="1"/>
  <c r="Z17" i="20" s="1"/>
  <c r="Z18" i="20" s="1"/>
  <c r="Z19" i="20" s="1"/>
  <c r="Z20" i="20" s="1"/>
  <c r="Z21" i="20" s="1"/>
  <c r="Z22" i="20" s="1"/>
  <c r="C12" i="1" s="1"/>
  <c r="V6" i="20"/>
  <c r="V16" i="20" s="1"/>
  <c r="V17" i="20" s="1"/>
  <c r="V18" i="20" s="1"/>
  <c r="V19" i="20" s="1"/>
  <c r="V20" i="20" s="1"/>
  <c r="V21" i="20" s="1"/>
  <c r="V22" i="20" s="1"/>
  <c r="C10" i="1" s="1"/>
  <c r="AD6" i="20"/>
  <c r="AD16" i="20" s="1"/>
  <c r="AD17" i="20" s="1"/>
  <c r="AD18" i="20" s="1"/>
  <c r="AD19" i="20" s="1"/>
  <c r="AD20" i="20" s="1"/>
  <c r="AD21" i="20" s="1"/>
  <c r="AD22" i="20" s="1"/>
  <c r="C14" i="1" s="1"/>
  <c r="F6" i="20"/>
  <c r="I9" i="20"/>
  <c r="I10" i="20"/>
  <c r="I12" i="20"/>
  <c r="AR14" i="24" l="1"/>
  <c r="J18" i="28"/>
  <c r="AT6" i="24"/>
  <c r="AT14" i="24" s="1"/>
  <c r="M20" i="24"/>
  <c r="J19" i="24"/>
  <c r="AT6" i="28"/>
  <c r="AS12" i="28"/>
  <c r="AN12" i="20"/>
  <c r="AO12" i="20" s="1"/>
  <c r="AT6" i="19"/>
  <c r="AN15" i="20"/>
  <c r="AO15" i="20" s="1"/>
  <c r="AN11" i="20"/>
  <c r="AO11" i="20" s="1"/>
  <c r="AN10" i="20"/>
  <c r="AO10" i="20" s="1"/>
  <c r="AN9" i="20"/>
  <c r="AO9" i="20" s="1"/>
  <c r="AR8" i="20"/>
  <c r="AS8" i="20" s="1"/>
  <c r="AP7" i="20"/>
  <c r="AQ7" i="20" s="1"/>
  <c r="L16" i="20"/>
  <c r="L18" i="20" s="1"/>
  <c r="L19" i="20" s="1"/>
  <c r="L20" i="20" s="1"/>
  <c r="L21" i="20" s="1"/>
  <c r="L22" i="20" s="1"/>
  <c r="C5" i="1" s="1"/>
  <c r="AM6" i="20"/>
  <c r="AL19" i="20"/>
  <c r="AL20" i="20" s="1"/>
  <c r="AL21" i="20" s="1"/>
  <c r="AL22" i="20" s="1"/>
  <c r="C18" i="1" s="1"/>
  <c r="X21" i="20"/>
  <c r="X22" i="20" s="1"/>
  <c r="C11" i="1" s="1"/>
  <c r="AF19" i="20"/>
  <c r="AF20" i="20" s="1"/>
  <c r="AF21" i="20" s="1"/>
  <c r="AF22" i="20" s="1"/>
  <c r="C15" i="1" s="1"/>
  <c r="AJ19" i="20"/>
  <c r="AJ20" i="20" s="1"/>
  <c r="AJ21" i="20" s="1"/>
  <c r="AJ22" i="20" s="1"/>
  <c r="C17" i="1" s="1"/>
  <c r="Q6" i="25"/>
  <c r="T6" i="25"/>
  <c r="P6" i="25"/>
  <c r="L6" i="25"/>
  <c r="O6" i="25"/>
  <c r="K6" i="25"/>
  <c r="R6" i="25"/>
  <c r="J6" i="25"/>
  <c r="V6" i="25"/>
  <c r="M6" i="25"/>
  <c r="S6" i="25"/>
  <c r="N6" i="25"/>
  <c r="U6" i="25"/>
  <c r="F16" i="20"/>
  <c r="I6" i="20"/>
  <c r="AU6" i="24" l="1"/>
  <c r="AU6" i="28"/>
  <c r="AT12" i="28"/>
  <c r="G5" i="1"/>
  <c r="G19" i="1" s="1"/>
  <c r="J20" i="24"/>
  <c r="C27" i="25"/>
  <c r="AT8" i="20"/>
  <c r="AP12" i="20"/>
  <c r="AQ12" i="20" s="1"/>
  <c r="AT14" i="19"/>
  <c r="AU6" i="19"/>
  <c r="AP15" i="20"/>
  <c r="AQ15" i="20" s="1"/>
  <c r="AP11" i="20"/>
  <c r="AQ11" i="20" s="1"/>
  <c r="AP10" i="20"/>
  <c r="AQ10" i="20" s="1"/>
  <c r="I6" i="25"/>
  <c r="AP9" i="20"/>
  <c r="AQ9" i="20" s="1"/>
  <c r="AR7" i="20"/>
  <c r="AS7" i="20" s="1"/>
  <c r="AN6" i="20"/>
  <c r="AN16" i="20" s="1"/>
  <c r="AM16" i="20"/>
  <c r="C19" i="1"/>
  <c r="D6" i="25"/>
  <c r="I16" i="20"/>
  <c r="C14" i="19"/>
  <c r="I14" i="19" s="1"/>
  <c r="M6" i="21"/>
  <c r="O6" i="21"/>
  <c r="Q6" i="21"/>
  <c r="S6" i="21"/>
  <c r="U6" i="21"/>
  <c r="W6" i="21"/>
  <c r="Y6" i="21"/>
  <c r="AA6" i="21"/>
  <c r="AC6" i="21"/>
  <c r="AE6" i="21"/>
  <c r="AG6" i="21"/>
  <c r="AI6" i="21"/>
  <c r="AK6" i="21"/>
  <c r="AM6" i="21"/>
  <c r="AM52" i="21" s="1"/>
  <c r="AM53" i="21" s="1"/>
  <c r="AM54" i="21" s="1"/>
  <c r="AM55" i="21" s="1"/>
  <c r="AM56" i="21" s="1"/>
  <c r="AM57" i="21" s="1"/>
  <c r="AM58" i="21" s="1"/>
  <c r="F69" i="21" s="1"/>
  <c r="C6" i="21"/>
  <c r="F6" i="25" l="1"/>
  <c r="I39" i="25"/>
  <c r="G69" i="21"/>
  <c r="AI74" i="21"/>
  <c r="AM62" i="21"/>
  <c r="I6" i="21"/>
  <c r="G6" i="21"/>
  <c r="G52" i="21" s="1"/>
  <c r="D7" i="25" s="1"/>
  <c r="C44" i="25" s="1"/>
  <c r="AO6" i="20"/>
  <c r="AO16" i="20" s="1"/>
  <c r="AR12" i="20"/>
  <c r="AS12" i="20" s="1"/>
  <c r="C31" i="25" s="1"/>
  <c r="I31" i="25" s="1"/>
  <c r="AT7" i="20"/>
  <c r="C26" i="25"/>
  <c r="AN6" i="21"/>
  <c r="AR15" i="20"/>
  <c r="AS15" i="20" s="1"/>
  <c r="C34" i="25" s="1"/>
  <c r="AR11" i="20"/>
  <c r="AS11" i="20" s="1"/>
  <c r="C30" i="25" s="1"/>
  <c r="AR10" i="20"/>
  <c r="AS10" i="20" s="1"/>
  <c r="C29" i="25" s="1"/>
  <c r="AR9" i="20"/>
  <c r="AS9" i="20" s="1"/>
  <c r="AC52" i="21"/>
  <c r="Q52" i="21"/>
  <c r="Q53" i="21" s="1"/>
  <c r="Q54" i="21" s="1"/>
  <c r="Q55" i="21" s="1"/>
  <c r="Q56" i="21" s="1"/>
  <c r="Q57" i="21" s="1"/>
  <c r="Q58" i="21" s="1"/>
  <c r="D7" i="1" s="1"/>
  <c r="J7" i="1" s="1"/>
  <c r="M7" i="1" s="1"/>
  <c r="N7" i="1" s="1"/>
  <c r="M52" i="21"/>
  <c r="M53" i="21" s="1"/>
  <c r="M54" i="21" s="1"/>
  <c r="AA52" i="21"/>
  <c r="AA53" i="21" s="1"/>
  <c r="AA54" i="21" s="1"/>
  <c r="AE52" i="21"/>
  <c r="AE53" i="21" s="1"/>
  <c r="AE54" i="21" s="1"/>
  <c r="AE55" i="21" s="1"/>
  <c r="AE56" i="21" s="1"/>
  <c r="AE57" i="21" s="1"/>
  <c r="AE58" i="21" s="1"/>
  <c r="D14" i="1" s="1"/>
  <c r="J14" i="1" s="1"/>
  <c r="M14" i="1" s="1"/>
  <c r="N14" i="1" s="1"/>
  <c r="AG52" i="21"/>
  <c r="AG53" i="21" s="1"/>
  <c r="AG54" i="21" s="1"/>
  <c r="AG55" i="21" s="1"/>
  <c r="AG56" i="21" s="1"/>
  <c r="AG57" i="21" s="1"/>
  <c r="AG58" i="21" s="1"/>
  <c r="D15" i="1" s="1"/>
  <c r="J15" i="1" s="1"/>
  <c r="M15" i="1" s="1"/>
  <c r="N15" i="1" s="1"/>
  <c r="O52" i="21"/>
  <c r="O53" i="21" s="1"/>
  <c r="O54" i="21" s="1"/>
  <c r="Y52" i="21"/>
  <c r="Y53" i="21" s="1"/>
  <c r="Y54" i="21" s="1"/>
  <c r="Y55" i="21" s="1"/>
  <c r="Y56" i="21" s="1"/>
  <c r="Y57" i="21" s="1"/>
  <c r="Y58" i="21" s="1"/>
  <c r="D11" i="1" s="1"/>
  <c r="J11" i="1" s="1"/>
  <c r="M11" i="1" s="1"/>
  <c r="N11" i="1" s="1"/>
  <c r="W52" i="21"/>
  <c r="W53" i="21" s="1"/>
  <c r="W54" i="21" s="1"/>
  <c r="AK52" i="21"/>
  <c r="AK53" i="21" s="1"/>
  <c r="AK54" i="21" s="1"/>
  <c r="AK55" i="21" s="1"/>
  <c r="AK56" i="21" s="1"/>
  <c r="AK57" i="21" s="1"/>
  <c r="AK58" i="21" s="1"/>
  <c r="D17" i="1" s="1"/>
  <c r="J17" i="1" s="1"/>
  <c r="M17" i="1" s="1"/>
  <c r="N17" i="1" s="1"/>
  <c r="U52" i="21"/>
  <c r="U53" i="21" s="1"/>
  <c r="U54" i="21" s="1"/>
  <c r="U55" i="21" s="1"/>
  <c r="U56" i="21" s="1"/>
  <c r="U57" i="21" s="1"/>
  <c r="U58" i="21" s="1"/>
  <c r="D9" i="1" s="1"/>
  <c r="J9" i="1" s="1"/>
  <c r="M9" i="1" s="1"/>
  <c r="N9" i="1" s="1"/>
  <c r="AI52" i="21"/>
  <c r="AI53" i="21" s="1"/>
  <c r="AI54" i="21" s="1"/>
  <c r="AI55" i="21" s="1"/>
  <c r="AI56" i="21" s="1"/>
  <c r="AI57" i="21" s="1"/>
  <c r="AI58" i="21" s="1"/>
  <c r="D16" i="1" s="1"/>
  <c r="J16" i="1" s="1"/>
  <c r="M16" i="1" s="1"/>
  <c r="N16" i="1" s="1"/>
  <c r="S52" i="21"/>
  <c r="S53" i="21" s="1"/>
  <c r="S54" i="21" s="1"/>
  <c r="S55" i="21" s="1"/>
  <c r="S56" i="21" s="1"/>
  <c r="S57" i="21" s="1"/>
  <c r="S58" i="21" s="1"/>
  <c r="D8" i="1" s="1"/>
  <c r="J8" i="1" s="1"/>
  <c r="M8" i="1" s="1"/>
  <c r="N8" i="1" s="1"/>
  <c r="I17" i="20"/>
  <c r="F18" i="20"/>
  <c r="I40" i="25" l="1"/>
  <c r="I41" i="25" s="1"/>
  <c r="I42" i="25" s="1"/>
  <c r="I38" i="25" s="1"/>
  <c r="C45" i="25"/>
  <c r="C46" i="25" s="1"/>
  <c r="D13" i="25"/>
  <c r="AP6" i="20"/>
  <c r="AP16" i="20" s="1"/>
  <c r="AT11" i="20"/>
  <c r="AT12" i="20"/>
  <c r="AT15" i="20"/>
  <c r="C28" i="25"/>
  <c r="AT9" i="20"/>
  <c r="AT10" i="20"/>
  <c r="AO6" i="21"/>
  <c r="AO52" i="21" s="1"/>
  <c r="AN52" i="21"/>
  <c r="AA55" i="21"/>
  <c r="AA56" i="21" s="1"/>
  <c r="AA57" i="21" s="1"/>
  <c r="AA58" i="21" s="1"/>
  <c r="D12" i="1" s="1"/>
  <c r="J12" i="1" s="1"/>
  <c r="M12" i="1" s="1"/>
  <c r="N12" i="1" s="1"/>
  <c r="M55" i="21"/>
  <c r="M56" i="21" s="1"/>
  <c r="O55" i="21"/>
  <c r="O56" i="21" s="1"/>
  <c r="U7" i="25"/>
  <c r="J7" i="25"/>
  <c r="I7" i="25"/>
  <c r="I13" i="25" s="1"/>
  <c r="P7" i="25"/>
  <c r="W55" i="21"/>
  <c r="W56" i="21" s="1"/>
  <c r="W57" i="21" s="1"/>
  <c r="W58" i="21" s="1"/>
  <c r="D10" i="1" s="1"/>
  <c r="J10" i="1" s="1"/>
  <c r="M10" i="1" s="1"/>
  <c r="N10" i="1" s="1"/>
  <c r="O7" i="25"/>
  <c r="L7" i="25"/>
  <c r="N7" i="25"/>
  <c r="S7" i="25"/>
  <c r="K7" i="25"/>
  <c r="M7" i="25"/>
  <c r="J6" i="21"/>
  <c r="AC53" i="21"/>
  <c r="AC54" i="21" s="1"/>
  <c r="AC55" i="21" s="1"/>
  <c r="AC56" i="21" s="1"/>
  <c r="AC57" i="21" s="1"/>
  <c r="AC58" i="21" s="1"/>
  <c r="D13" i="1" s="1"/>
  <c r="J13" i="1" s="1"/>
  <c r="M13" i="1" s="1"/>
  <c r="N13" i="1" s="1"/>
  <c r="T7" i="25"/>
  <c r="V7" i="25"/>
  <c r="V44" i="25" s="1"/>
  <c r="R7" i="25"/>
  <c r="Q7" i="25"/>
  <c r="I18" i="20"/>
  <c r="F19" i="20"/>
  <c r="V45" i="25" l="1"/>
  <c r="V46" i="25" s="1"/>
  <c r="V47" i="25" s="1"/>
  <c r="V43" i="25" s="1"/>
  <c r="D14" i="25"/>
  <c r="D15" i="25" s="1"/>
  <c r="AQ6" i="20"/>
  <c r="AR6" i="20" s="1"/>
  <c r="AR16" i="20" s="1"/>
  <c r="P13" i="25"/>
  <c r="P14" i="25" s="1"/>
  <c r="P15" i="25" s="1"/>
  <c r="P16" i="25" s="1"/>
  <c r="P17" i="25" s="1"/>
  <c r="P18" i="25" s="1"/>
  <c r="P19" i="25" s="1"/>
  <c r="G10" i="16" s="1"/>
  <c r="K13" i="25"/>
  <c r="K14" i="25" s="1"/>
  <c r="K15" i="25" s="1"/>
  <c r="K16" i="25" s="1"/>
  <c r="K17" i="25" s="1"/>
  <c r="K18" i="25" s="1"/>
  <c r="K19" i="25" s="1"/>
  <c r="G5" i="16" s="1"/>
  <c r="S13" i="25"/>
  <c r="S14" i="25" s="1"/>
  <c r="S15" i="25" s="1"/>
  <c r="S16" i="25" s="1"/>
  <c r="S17" i="25" s="1"/>
  <c r="S18" i="25" s="1"/>
  <c r="S19" i="25" s="1"/>
  <c r="G13" i="16" s="1"/>
  <c r="J13" i="25"/>
  <c r="J14" i="25" s="1"/>
  <c r="J15" i="25" s="1"/>
  <c r="J16" i="25" s="1"/>
  <c r="J17" i="25" s="1"/>
  <c r="J18" i="25" s="1"/>
  <c r="J19" i="25" s="1"/>
  <c r="G4" i="16" s="1"/>
  <c r="M13" i="25"/>
  <c r="M14" i="25" s="1"/>
  <c r="M15" i="25" s="1"/>
  <c r="M16" i="25" s="1"/>
  <c r="M17" i="25" s="1"/>
  <c r="M18" i="25" s="1"/>
  <c r="M19" i="25" s="1"/>
  <c r="G7" i="16" s="1"/>
  <c r="Q13" i="25"/>
  <c r="Q14" i="25" s="1"/>
  <c r="Q15" i="25" s="1"/>
  <c r="Q16" i="25" s="1"/>
  <c r="Q17" i="25" s="1"/>
  <c r="Q18" i="25" s="1"/>
  <c r="Q19" i="25" s="1"/>
  <c r="G11" i="16" s="1"/>
  <c r="R13" i="25"/>
  <c r="R15" i="25" s="1"/>
  <c r="R16" i="25" s="1"/>
  <c r="R17" i="25" s="1"/>
  <c r="R18" i="25" s="1"/>
  <c r="R19" i="25" s="1"/>
  <c r="V13" i="25"/>
  <c r="V15" i="25" s="1"/>
  <c r="V16" i="25" s="1"/>
  <c r="V17" i="25" s="1"/>
  <c r="V18" i="25" s="1"/>
  <c r="V19" i="25" s="1"/>
  <c r="N13" i="25"/>
  <c r="N14" i="25" s="1"/>
  <c r="N15" i="25" s="1"/>
  <c r="N16" i="25" s="1"/>
  <c r="N17" i="25" s="1"/>
  <c r="N18" i="25" s="1"/>
  <c r="N19" i="25" s="1"/>
  <c r="G8" i="16" s="1"/>
  <c r="U13" i="25"/>
  <c r="U14" i="25" s="1"/>
  <c r="U15" i="25" s="1"/>
  <c r="U16" i="25" s="1"/>
  <c r="U17" i="25" s="1"/>
  <c r="U18" i="25" s="1"/>
  <c r="U19" i="25" s="1"/>
  <c r="G15" i="16" s="1"/>
  <c r="T13" i="25"/>
  <c r="T15" i="25" s="1"/>
  <c r="T16" i="25" s="1"/>
  <c r="T17" i="25" s="1"/>
  <c r="T18" i="25" s="1"/>
  <c r="T19" i="25" s="1"/>
  <c r="L13" i="25"/>
  <c r="L14" i="25" s="1"/>
  <c r="L15" i="25" s="1"/>
  <c r="L16" i="25" s="1"/>
  <c r="L17" i="25" s="1"/>
  <c r="L18" i="25" s="1"/>
  <c r="L19" i="25" s="1"/>
  <c r="G6" i="16" s="1"/>
  <c r="O13" i="25"/>
  <c r="O14" i="25" s="1"/>
  <c r="O15" i="25" s="1"/>
  <c r="O16" i="25" s="1"/>
  <c r="O17" i="25" s="1"/>
  <c r="O18" i="25" s="1"/>
  <c r="O19" i="25" s="1"/>
  <c r="G9" i="16" s="1"/>
  <c r="AP6" i="21"/>
  <c r="O57" i="21"/>
  <c r="O58" i="21" s="1"/>
  <c r="D6" i="1" s="1"/>
  <c r="J6" i="1" s="1"/>
  <c r="M6" i="1" s="1"/>
  <c r="N6" i="1" s="1"/>
  <c r="G53" i="21"/>
  <c r="J53" i="21" s="1"/>
  <c r="M57" i="21"/>
  <c r="M58" i="21" s="1"/>
  <c r="D5" i="1" s="1"/>
  <c r="F20" i="20"/>
  <c r="I19" i="20"/>
  <c r="J52" i="21"/>
  <c r="G12" i="16" l="1"/>
  <c r="G14" i="16"/>
  <c r="H14" i="16" s="1"/>
  <c r="G16" i="16"/>
  <c r="L6" i="16"/>
  <c r="M6" i="16" s="1"/>
  <c r="L15" i="16"/>
  <c r="M15" i="16" s="1"/>
  <c r="L10" i="16"/>
  <c r="M10" i="16" s="1"/>
  <c r="L13" i="16"/>
  <c r="M13" i="16" s="1"/>
  <c r="L16" i="16"/>
  <c r="M16" i="16" s="1"/>
  <c r="L5" i="16"/>
  <c r="M5" i="16" s="1"/>
  <c r="L12" i="16"/>
  <c r="M12" i="16" s="1"/>
  <c r="L4" i="16"/>
  <c r="M4" i="16" s="1"/>
  <c r="L8" i="16"/>
  <c r="M8" i="16" s="1"/>
  <c r="L11" i="16"/>
  <c r="M11" i="16" s="1"/>
  <c r="L9" i="16"/>
  <c r="M9" i="16" s="1"/>
  <c r="L7" i="16"/>
  <c r="M7" i="16" s="1"/>
  <c r="D16" i="25"/>
  <c r="H11" i="16"/>
  <c r="H7" i="16"/>
  <c r="H9" i="16"/>
  <c r="H13" i="16"/>
  <c r="H6" i="16"/>
  <c r="H15" i="16"/>
  <c r="H5" i="16"/>
  <c r="H12" i="16"/>
  <c r="H8" i="16"/>
  <c r="H10" i="16"/>
  <c r="H4" i="16"/>
  <c r="H16" i="16"/>
  <c r="AQ16" i="20"/>
  <c r="AS6" i="20"/>
  <c r="C25" i="25" s="1"/>
  <c r="C24" i="25" s="1"/>
  <c r="C23" i="25" s="1"/>
  <c r="G54" i="21"/>
  <c r="G55" i="21" s="1"/>
  <c r="J55" i="21" s="1"/>
  <c r="AQ6" i="21"/>
  <c r="AQ52" i="21" s="1"/>
  <c r="AP52" i="21"/>
  <c r="F21" i="20"/>
  <c r="I21" i="20" s="1"/>
  <c r="I20" i="20"/>
  <c r="F7" i="25"/>
  <c r="H12" i="34" l="1"/>
  <c r="L12" i="34"/>
  <c r="M12" i="34" s="1"/>
  <c r="H14" i="34"/>
  <c r="L14" i="34"/>
  <c r="M14" i="34" s="1"/>
  <c r="L14" i="16"/>
  <c r="M14" i="16" s="1"/>
  <c r="H16" i="34"/>
  <c r="L16" i="34"/>
  <c r="M16" i="34" s="1"/>
  <c r="G17" i="34"/>
  <c r="D17" i="25"/>
  <c r="D18" i="25"/>
  <c r="D19" i="25" s="1"/>
  <c r="C47" i="25"/>
  <c r="AR6" i="21"/>
  <c r="AS6" i="21" s="1"/>
  <c r="AS52" i="21" s="1"/>
  <c r="AS16" i="20"/>
  <c r="AT6" i="20"/>
  <c r="J54" i="21"/>
  <c r="G56" i="21"/>
  <c r="F22" i="20"/>
  <c r="F27" i="20" s="1"/>
  <c r="H17" i="34" l="1"/>
  <c r="G42" i="34"/>
  <c r="L17" i="34"/>
  <c r="M17" i="34" s="1"/>
  <c r="D21" i="25"/>
  <c r="D22" i="25" s="1"/>
  <c r="E19" i="25"/>
  <c r="C43" i="25"/>
  <c r="AT6" i="21"/>
  <c r="AR52" i="21"/>
  <c r="I22" i="20"/>
  <c r="G57" i="21"/>
  <c r="J57" i="21" s="1"/>
  <c r="J56" i="21"/>
  <c r="G44" i="34" l="1"/>
  <c r="J42" i="34"/>
  <c r="G45" i="34"/>
  <c r="H42" i="34"/>
  <c r="L42" i="34"/>
  <c r="M42" i="34" s="1"/>
  <c r="C22" i="25"/>
  <c r="D43" i="25"/>
  <c r="AT52" i="21"/>
  <c r="AU6" i="21"/>
  <c r="D18" i="1"/>
  <c r="G58" i="21"/>
  <c r="F68" i="21" s="1"/>
  <c r="G47" i="34" l="1"/>
  <c r="L45" i="34"/>
  <c r="M45" i="34" s="1"/>
  <c r="J45" i="34"/>
  <c r="G48" i="34"/>
  <c r="H45" i="34"/>
  <c r="L44" i="34"/>
  <c r="M44" i="34" s="1"/>
  <c r="J44" i="34"/>
  <c r="H44" i="34"/>
  <c r="I44" i="34" s="1"/>
  <c r="I42" i="34"/>
  <c r="D35" i="33"/>
  <c r="H35" i="33" s="1"/>
  <c r="D21" i="33"/>
  <c r="C35" i="31"/>
  <c r="C21" i="31"/>
  <c r="F70" i="21"/>
  <c r="G70" i="21" s="1"/>
  <c r="G68" i="21"/>
  <c r="G64" i="21"/>
  <c r="G43" i="23"/>
  <c r="I91" i="29"/>
  <c r="D14" i="4" s="1"/>
  <c r="G14" i="4" s="1"/>
  <c r="H14" i="4" s="1"/>
  <c r="J58" i="21"/>
  <c r="AH71" i="21"/>
  <c r="AK71" i="21" s="1"/>
  <c r="J18" i="1"/>
  <c r="M18" i="1" s="1"/>
  <c r="N18" i="1" s="1"/>
  <c r="D19" i="1"/>
  <c r="I45" i="34" l="1"/>
  <c r="H47" i="34"/>
  <c r="J47" i="34"/>
  <c r="L47" i="34"/>
  <c r="M47" i="34" s="1"/>
  <c r="L48" i="34"/>
  <c r="M48" i="34" s="1"/>
  <c r="J48" i="34"/>
  <c r="G51" i="34"/>
  <c r="H48" i="34"/>
  <c r="G50" i="34"/>
  <c r="H21" i="33"/>
  <c r="D21" i="31"/>
  <c r="F73" i="21" s="1"/>
  <c r="G73" i="21" s="1"/>
  <c r="AH73" i="21"/>
  <c r="I47" i="34" l="1"/>
  <c r="L50" i="34"/>
  <c r="M50" i="34" s="1"/>
  <c r="J50" i="34"/>
  <c r="I48" i="34"/>
  <c r="H51" i="34"/>
  <c r="H50" i="34"/>
  <c r="G53" i="34"/>
  <c r="L51" i="34"/>
  <c r="M51" i="34" s="1"/>
  <c r="J51" i="34"/>
  <c r="E76" i="21"/>
  <c r="AH74" i="21"/>
  <c r="AI73" i="21" s="1"/>
  <c r="AJ73" i="21" s="1"/>
  <c r="AK73" i="21" s="1"/>
  <c r="AM64" i="21"/>
  <c r="AM66" i="21" s="1"/>
  <c r="AH77" i="21"/>
  <c r="AN6" i="27"/>
  <c r="AO6" i="27" s="1"/>
  <c r="L14" i="27"/>
  <c r="C6" i="27"/>
  <c r="L53" i="34" l="1"/>
  <c r="M53" i="34" s="1"/>
  <c r="J53" i="34"/>
  <c r="I50" i="34"/>
  <c r="H53" i="34"/>
  <c r="I51" i="34"/>
  <c r="I6" i="27"/>
  <c r="G6" i="27"/>
  <c r="J6" i="27" s="1"/>
  <c r="AO14" i="27"/>
  <c r="AN14" i="27"/>
  <c r="M14" i="27"/>
  <c r="I4" i="27" s="1"/>
  <c r="C14" i="27"/>
  <c r="I14" i="27" s="1"/>
  <c r="I53" i="34" l="1"/>
  <c r="AP6" i="27"/>
  <c r="AQ6" i="27" s="1"/>
  <c r="AQ14" i="27" s="1"/>
  <c r="G14" i="27"/>
  <c r="M15" i="27"/>
  <c r="M16" i="27" s="1"/>
  <c r="J14" i="27" l="1"/>
  <c r="G15" i="27"/>
  <c r="AP14" i="27"/>
  <c r="AR6" i="27"/>
  <c r="AS6" i="27" s="1"/>
  <c r="AS14" i="27" s="1"/>
  <c r="M17" i="27"/>
  <c r="M18" i="27" s="1"/>
  <c r="I15" i="25"/>
  <c r="J15" i="27" l="1"/>
  <c r="G16" i="27"/>
  <c r="G17" i="27" s="1"/>
  <c r="G18" i="27" s="1"/>
  <c r="AR14" i="27"/>
  <c r="M19" i="27"/>
  <c r="M20" i="27" s="1"/>
  <c r="H5" i="1" s="1"/>
  <c r="I16" i="25"/>
  <c r="I17" i="25" s="1"/>
  <c r="F12" i="25"/>
  <c r="AT6" i="27"/>
  <c r="G19" i="27" l="1"/>
  <c r="G20" i="27" s="1"/>
  <c r="J17" i="27"/>
  <c r="J16" i="27"/>
  <c r="I18" i="25"/>
  <c r="I19" i="25" s="1"/>
  <c r="G3" i="16" s="1"/>
  <c r="J5" i="1"/>
  <c r="H19" i="1"/>
  <c r="J20" i="1" s="1"/>
  <c r="AT14" i="27"/>
  <c r="AU6" i="27"/>
  <c r="AU14" i="27" s="1"/>
  <c r="F13" i="25"/>
  <c r="L3" i="16" l="1"/>
  <c r="M3" i="16" s="1"/>
  <c r="F14" i="25"/>
  <c r="J19" i="27"/>
  <c r="J19" i="1"/>
  <c r="M19" i="1" s="1"/>
  <c r="N19" i="1" s="1"/>
  <c r="M5" i="1"/>
  <c r="N5" i="1" s="1"/>
  <c r="G17" i="16"/>
  <c r="L17" i="16" s="1"/>
  <c r="M17" i="16" s="1"/>
  <c r="H3" i="16"/>
  <c r="H17" i="16" s="1"/>
  <c r="J18" i="27" l="1"/>
  <c r="F15" i="25"/>
  <c r="F16" i="25"/>
  <c r="J21" i="1"/>
  <c r="G22" i="27"/>
  <c r="C20" i="31" s="1"/>
  <c r="G42" i="16"/>
  <c r="L42" i="16" s="1"/>
  <c r="M42" i="16" s="1"/>
  <c r="D20" i="31" l="1"/>
  <c r="E43" i="25" s="1"/>
  <c r="F19" i="25"/>
  <c r="J20" i="27"/>
  <c r="F17" i="25"/>
  <c r="G45" i="16"/>
  <c r="L45" i="16" s="1"/>
  <c r="M45" i="16" s="1"/>
  <c r="H42" i="16"/>
  <c r="G44" i="16"/>
  <c r="J42" i="16"/>
  <c r="J44" i="16" l="1"/>
  <c r="L44" i="16"/>
  <c r="M44" i="16" s="1"/>
  <c r="F18" i="25"/>
  <c r="G47" i="16"/>
  <c r="G48" i="16"/>
  <c r="L48" i="16" s="1"/>
  <c r="M48" i="16" s="1"/>
  <c r="J45" i="16"/>
  <c r="H45" i="16"/>
  <c r="H44" i="16"/>
  <c r="I42" i="16"/>
  <c r="I44" i="16" l="1"/>
  <c r="J47" i="16"/>
  <c r="L47" i="16"/>
  <c r="M47" i="16" s="1"/>
  <c r="I45" i="16"/>
  <c r="H47" i="16"/>
  <c r="G50" i="16"/>
  <c r="J48" i="16"/>
  <c r="G51" i="16"/>
  <c r="L51" i="16" s="1"/>
  <c r="M51" i="16" s="1"/>
  <c r="H48" i="16"/>
  <c r="I47" i="16" l="1"/>
  <c r="J50" i="16"/>
  <c r="L50" i="16"/>
  <c r="M50" i="16" s="1"/>
  <c r="I48" i="16"/>
  <c r="H51" i="16"/>
  <c r="H50" i="16"/>
  <c r="J51" i="16"/>
  <c r="G53" i="16"/>
  <c r="I50" i="16" l="1"/>
  <c r="J53" i="16"/>
  <c r="L53" i="16"/>
  <c r="M53" i="16" s="1"/>
  <c r="I51" i="16"/>
  <c r="H53" i="16"/>
  <c r="I53" i="16" l="1"/>
  <c r="G45" i="23"/>
  <c r="J31" i="25" l="1"/>
  <c r="D29" i="25"/>
  <c r="F29" i="25" s="1"/>
  <c r="D27" i="25"/>
  <c r="F27" i="25" s="1"/>
  <c r="C10" i="31" l="1"/>
  <c r="D10" i="33"/>
  <c r="H10" i="33" s="1"/>
  <c r="D10" i="31"/>
  <c r="I27" i="25"/>
  <c r="J27" i="25" s="1"/>
  <c r="I29" i="25"/>
  <c r="J29" i="25" s="1"/>
  <c r="I105" i="29"/>
  <c r="D29" i="4" s="1"/>
  <c r="G29" i="4" s="1"/>
  <c r="H29" i="4" s="1"/>
  <c r="D34" i="25"/>
  <c r="F34" i="25" s="1"/>
  <c r="D33" i="25"/>
  <c r="F33" i="25" s="1"/>
  <c r="D26" i="25"/>
  <c r="F26" i="25" s="1"/>
  <c r="D32" i="25"/>
  <c r="F32" i="25" s="1"/>
  <c r="D25" i="25"/>
  <c r="F25" i="25" s="1"/>
  <c r="D30" i="25"/>
  <c r="F30" i="25" s="1"/>
  <c r="D28" i="25"/>
  <c r="F28" i="25" s="1"/>
  <c r="C12" i="31" l="1"/>
  <c r="D12" i="33"/>
  <c r="H12" i="33" s="1"/>
  <c r="C7" i="31"/>
  <c r="D7" i="33"/>
  <c r="H7" i="33" s="1"/>
  <c r="D7" i="31"/>
  <c r="D12" i="31"/>
  <c r="I25" i="25"/>
  <c r="J25" i="25" s="1"/>
  <c r="I108" i="29"/>
  <c r="D32" i="4" s="1"/>
  <c r="G32" i="4" s="1"/>
  <c r="H32" i="4" s="1"/>
  <c r="I33" i="25"/>
  <c r="J33" i="25" s="1"/>
  <c r="I28" i="25"/>
  <c r="J28" i="25" s="1"/>
  <c r="I34" i="25"/>
  <c r="J34" i="25" s="1"/>
  <c r="C17" i="31" s="1"/>
  <c r="I30" i="25"/>
  <c r="J30" i="25" s="1"/>
  <c r="I26" i="25"/>
  <c r="J26" i="25" s="1"/>
  <c r="I32" i="25"/>
  <c r="J32" i="25" s="1"/>
  <c r="C8" i="31" l="1"/>
  <c r="D8" i="33"/>
  <c r="H8" i="33" s="1"/>
  <c r="C6" i="31"/>
  <c r="C11" i="31"/>
  <c r="D11" i="33"/>
  <c r="H11" i="33" s="1"/>
  <c r="C9" i="31"/>
  <c r="D9" i="31" s="1"/>
  <c r="D9" i="33"/>
  <c r="H9" i="33" s="1"/>
  <c r="C15" i="31"/>
  <c r="C16" i="31"/>
  <c r="D6" i="31"/>
  <c r="D8" i="31"/>
  <c r="C13" i="31"/>
  <c r="C14" i="31"/>
  <c r="D11" i="31"/>
  <c r="D17" i="31"/>
  <c r="I106" i="29"/>
  <c r="D30" i="4" s="1"/>
  <c r="G30" i="4" s="1"/>
  <c r="H30" i="4" s="1"/>
  <c r="I36" i="25"/>
  <c r="I109" i="29"/>
  <c r="D33" i="4" s="1"/>
  <c r="G33" i="4" s="1"/>
  <c r="H33" i="4" s="1"/>
  <c r="D6" i="33" l="1"/>
  <c r="G6" i="33"/>
  <c r="D14" i="31"/>
  <c r="D16" i="31"/>
  <c r="D13" i="31"/>
  <c r="D15" i="31"/>
  <c r="D35" i="31"/>
  <c r="F74" i="21" s="1"/>
  <c r="G74" i="21" s="1"/>
  <c r="E77" i="21" s="1"/>
  <c r="H6" i="33" l="1"/>
  <c r="D19" i="33"/>
  <c r="H19" i="33" s="1"/>
  <c r="D19" i="31"/>
  <c r="W43" i="25"/>
  <c r="E64" i="21"/>
  <c r="F77" i="21"/>
  <c r="F75" i="21"/>
  <c r="F65" i="21" l="1"/>
  <c r="F79" i="21"/>
  <c r="L65" i="21" l="1"/>
  <c r="M65" i="21"/>
  <c r="C34" i="31" l="1"/>
  <c r="D34" i="33"/>
  <c r="C47" i="31"/>
  <c r="D47" i="33"/>
  <c r="H47" i="33" s="1"/>
  <c r="D34" i="31"/>
  <c r="D47" i="31"/>
  <c r="H34" i="33" l="1"/>
  <c r="D48" i="33"/>
  <c r="D48" i="31"/>
  <c r="D49" i="31" s="1"/>
  <c r="D50" i="31" s="1"/>
  <c r="B5" i="32" s="1"/>
  <c r="H48" i="33" l="1"/>
  <c r="D49" i="33"/>
  <c r="D51" i="31"/>
  <c r="D52" i="31" s="1"/>
  <c r="O42" i="34" l="1"/>
  <c r="Q42" i="34" s="1"/>
  <c r="G52" i="33"/>
  <c r="D50" i="33"/>
  <c r="H49" i="33"/>
  <c r="I49" i="33" s="1"/>
  <c r="D53" i="31"/>
  <c r="I5" i="34" l="1"/>
  <c r="O5" i="34" s="1"/>
  <c r="I6" i="34"/>
  <c r="O6" i="34" s="1"/>
  <c r="I4" i="34"/>
  <c r="O4" i="34" s="1"/>
  <c r="I7" i="34"/>
  <c r="O7" i="34" s="1"/>
  <c r="I9" i="34"/>
  <c r="O9" i="34" s="1"/>
  <c r="I11" i="34"/>
  <c r="O11" i="34" s="1"/>
  <c r="I8" i="34"/>
  <c r="O8" i="34" s="1"/>
  <c r="I3" i="34"/>
  <c r="O3" i="34" s="1"/>
  <c r="O17" i="34" s="1"/>
  <c r="I10" i="34"/>
  <c r="O10" i="34" s="1"/>
  <c r="H50" i="33"/>
  <c r="I50" i="33" s="1"/>
  <c r="D51" i="33"/>
  <c r="D52" i="33" s="1"/>
  <c r="D53" i="33"/>
</calcChain>
</file>

<file path=xl/sharedStrings.xml><?xml version="1.0" encoding="utf-8"?>
<sst xmlns="http://schemas.openxmlformats.org/spreadsheetml/2006/main" count="2021" uniqueCount="502">
  <si>
    <t>Scope Name</t>
  </si>
  <si>
    <t>Mobilization &amp; Overheads</t>
  </si>
  <si>
    <t>On site Manpower</t>
  </si>
  <si>
    <t>Equipement &amp; tools</t>
  </si>
  <si>
    <t>Chemicals</t>
  </si>
  <si>
    <t>Staff Accomodation</t>
  </si>
  <si>
    <t>Staff Transpoetation</t>
  </si>
  <si>
    <t>Main scope</t>
  </si>
  <si>
    <t>Y1</t>
  </si>
  <si>
    <t>Y2</t>
  </si>
  <si>
    <t>Y3</t>
  </si>
  <si>
    <t>active months</t>
  </si>
  <si>
    <t>#</t>
  </si>
  <si>
    <t>Unit Rates (to be invoiced seperately upon request)</t>
  </si>
  <si>
    <t>Notes</t>
  </si>
  <si>
    <t>Monthly Cost</t>
  </si>
  <si>
    <t>High Pressure Set with Driver, 5K Liters / Month</t>
  </si>
  <si>
    <t>High Pressure Set with Driver, 1K Liter / Month</t>
  </si>
  <si>
    <t>Boom Lift 15 M / Month</t>
  </si>
  <si>
    <t>Man Lift 15 M / Month</t>
  </si>
  <si>
    <t>Ride On (Sweeping), with 7000 square meter capacity per hour / Month</t>
  </si>
  <si>
    <t>Ride On (Mobbing), with 7000 square meter capacity per hour / Month</t>
  </si>
  <si>
    <t>Club Car / Month</t>
  </si>
  <si>
    <t>Pick up car with Driver / Month</t>
  </si>
  <si>
    <t>Driver / Month</t>
  </si>
  <si>
    <t>Supervisor / Month</t>
  </si>
  <si>
    <t>Employee with Washroom Amenities / Month</t>
  </si>
  <si>
    <t>Marble Grinding / Meter</t>
  </si>
  <si>
    <t>Marble Polishing / Meter</t>
  </si>
  <si>
    <t>Marble Antique for Outdoor / Meter</t>
  </si>
  <si>
    <t>Paid Service (to be invoiced seperately upon request)</t>
  </si>
  <si>
    <t>Cost per visit</t>
  </si>
  <si>
    <t xml:space="preserve"> Apartment up to 85 m² (1 Bedroom)</t>
  </si>
  <si>
    <t>General Cleaning</t>
  </si>
  <si>
    <t>Apartments more than 85 m² and up to 120 m² (2 Bedroom)</t>
  </si>
  <si>
    <t>Apartment more than 120 m² and up to 200 m² (3 Bedroom and with Pent House)</t>
  </si>
  <si>
    <t>Villa or Townhouse more than 200 m² and up to 300 m² (V1 or TH )</t>
  </si>
  <si>
    <t>Villas more than 300 m² and up to 420 m²  (V2)</t>
  </si>
  <si>
    <t>Villas more than 420 m² and up to 600 m² (V3)</t>
  </si>
  <si>
    <t>Villas more than 600 m² and up to 850 m² (V4)</t>
  </si>
  <si>
    <t>Deep Cleaning</t>
  </si>
  <si>
    <t>Unit</t>
  </si>
  <si>
    <t>Manpower</t>
  </si>
  <si>
    <t>Garbage Bins 240 LTR</t>
  </si>
  <si>
    <t>Garbage Bins 120 LTR</t>
  </si>
  <si>
    <t>Auto cut paper (Fine )/box ( 6 pieces per PCKG )</t>
  </si>
  <si>
    <t>Toilet Paper Roll-150 (Fine )/box ( 40 pieces per PCKG )</t>
  </si>
  <si>
    <t xml:space="preserve">Hand soap Doval or Dove /( Gallon ) (4LTR ) </t>
  </si>
  <si>
    <t>H500 ( Gallon ) ( 5 LTR )</t>
  </si>
  <si>
    <t>D10 ( Gallon ) ( 5 LTR )</t>
  </si>
  <si>
    <t>Employee ( Janitor ) / Month</t>
  </si>
  <si>
    <t>Walk behind</t>
  </si>
  <si>
    <t>Black Broom and Closed Ban</t>
  </si>
  <si>
    <t>Litter Picking Steak</t>
  </si>
  <si>
    <t>Mob Bucket with Cotton Cloth</t>
  </si>
  <si>
    <t>Equipment and Tools</t>
  </si>
  <si>
    <t xml:space="preserve">Manual sweeper </t>
  </si>
  <si>
    <t xml:space="preserve">McClean Trolley </t>
  </si>
  <si>
    <t>Single disk / Month</t>
  </si>
  <si>
    <t>Guest Consumable (Based on attached pricing template)</t>
  </si>
  <si>
    <t>Vacuum 3 motors</t>
  </si>
  <si>
    <t>Water Fed Telescope (20 Meter) / Month</t>
  </si>
  <si>
    <t>Site manager / Month</t>
  </si>
  <si>
    <t>Assist. Site MGR / Month</t>
  </si>
  <si>
    <t>Facade cleaner / Month</t>
  </si>
  <si>
    <t>Senior Supervisor / Month</t>
  </si>
  <si>
    <t>No</t>
  </si>
  <si>
    <t>Item / English</t>
  </si>
  <si>
    <t>Price</t>
  </si>
  <si>
    <t>Garbage Bags/ small 35*50 Biodegrable</t>
  </si>
  <si>
    <t>KG</t>
  </si>
  <si>
    <t>Garbage Bags/ Medium-Black 60*90 Biodegrable</t>
  </si>
  <si>
    <t>Garbage Bags/ Jumpo-Black70*140 Biodegrable</t>
  </si>
  <si>
    <t>Garbage Bags/ 120*130 Biodegrable</t>
  </si>
  <si>
    <t>Garbage Bins 1100 LTR</t>
  </si>
  <si>
    <t>Each</t>
  </si>
  <si>
    <t>Garbage Bins 770 LTR</t>
  </si>
  <si>
    <t xml:space="preserve">Trash bin steel 20 L </t>
  </si>
  <si>
    <t xml:space="preserve">Trash bin steel 5 L </t>
  </si>
  <si>
    <t>Basket bin240L- cover</t>
  </si>
  <si>
    <t>Basket bin120L- cover</t>
  </si>
  <si>
    <t>Basket bin Pin240L- Holder</t>
  </si>
  <si>
    <t>Basket bin Pin120L- Holder</t>
  </si>
  <si>
    <t>Basket bin wheels &amp;  bars</t>
  </si>
  <si>
    <t>Ashtray steel 60*25</t>
  </si>
  <si>
    <t xml:space="preserve">Clay ashtray </t>
  </si>
  <si>
    <t xml:space="preserve">BOX  </t>
  </si>
  <si>
    <t>Toilet Paper Roll450 (Fine )/box ( 40 pieces per PCKG )</t>
  </si>
  <si>
    <t xml:space="preserve">Interfold tissue </t>
  </si>
  <si>
    <t xml:space="preserve">Gallon  </t>
  </si>
  <si>
    <t>Room Care R1 (6*75m)</t>
  </si>
  <si>
    <t>Room Care R2 (6*75m)</t>
  </si>
  <si>
    <t>Room Care R3 (6*75m)</t>
  </si>
  <si>
    <t>Room Care R4 (6*75m)</t>
  </si>
  <si>
    <t>Room Care R5 (6*75m)</t>
  </si>
  <si>
    <t>Room Care R6 (6*75m)</t>
  </si>
  <si>
    <t>Room Care D7 (6*75m)</t>
  </si>
  <si>
    <t xml:space="preserve">RGL - TCL </t>
  </si>
  <si>
    <t>Taski san Z15</t>
  </si>
  <si>
    <t>Helga carpet shampoo</t>
  </si>
  <si>
    <t>Techno plus cleaner</t>
  </si>
  <si>
    <t>Coper tec</t>
  </si>
  <si>
    <t>Plastic Gloves ( 100 pieces per PCKG )</t>
  </si>
  <si>
    <t>Pack</t>
  </si>
  <si>
    <t>Soap Dispensers</t>
  </si>
  <si>
    <t>Small hand broom shovel (set)</t>
  </si>
  <si>
    <t>Soft broom with a steak</t>
  </si>
  <si>
    <t>Squeegee refill</t>
  </si>
  <si>
    <t>Telepole -ceiling brush</t>
  </si>
  <si>
    <t>Toilet seat disinfection</t>
  </si>
  <si>
    <t>Toilet brush stainless with base</t>
  </si>
  <si>
    <t>Toilet brush with plastic base</t>
  </si>
  <si>
    <t>Urinal disinfection</t>
  </si>
  <si>
    <t>Washer sleeve refill</t>
  </si>
  <si>
    <t>White cloth 40*40</t>
  </si>
  <si>
    <t>White cloth 40*50</t>
  </si>
  <si>
    <t>White pad 17 inch</t>
  </si>
  <si>
    <t>Red pad 17 inch</t>
  </si>
  <si>
    <t>Red black 17 inch</t>
  </si>
  <si>
    <t>Window Squeegee</t>
  </si>
  <si>
    <t>Window washer sleeve</t>
  </si>
  <si>
    <t>Blue Hebraic 500m</t>
  </si>
  <si>
    <t>Caution board - cleaning in progress</t>
  </si>
  <si>
    <t>Caution board - wet floor</t>
  </si>
  <si>
    <t>Professional flat mob</t>
  </si>
  <si>
    <t>Professional flat mob refill</t>
  </si>
  <si>
    <t>Dettol 500ml</t>
  </si>
  <si>
    <t>Face mask</t>
  </si>
  <si>
    <t>Stainless steel polish /TCL</t>
  </si>
  <si>
    <t>Liquid wood polish</t>
  </si>
  <si>
    <t>Floor cloth 50*90cm</t>
  </si>
  <si>
    <t>Floor squeegee  30cm</t>
  </si>
  <si>
    <t>Floor squeegee metal 60cm</t>
  </si>
  <si>
    <t>Raid Insecticide odorless</t>
  </si>
  <si>
    <t>Gloves (S - X - XL)</t>
  </si>
  <si>
    <t>Hard sponge (double face)</t>
  </si>
  <si>
    <t>Hard broom with steak</t>
  </si>
  <si>
    <t>Hard floor brush</t>
  </si>
  <si>
    <t>Marble polish powder</t>
  </si>
  <si>
    <t xml:space="preserve">Microfiber green - red - yellow - Blue </t>
  </si>
  <si>
    <t xml:space="preserve">Small bucket </t>
  </si>
  <si>
    <t xml:space="preserve">Glass scrapper </t>
  </si>
  <si>
    <t>Dry Mob</t>
  </si>
  <si>
    <t>S.</t>
  </si>
  <si>
    <t xml:space="preserve">Residential  Area </t>
  </si>
  <si>
    <t>Sierras</t>
  </si>
  <si>
    <t>Alto</t>
  </si>
  <si>
    <t>Aurora</t>
  </si>
  <si>
    <t xml:space="preserve">Fourteen </t>
  </si>
  <si>
    <t>Reyna</t>
  </si>
  <si>
    <t>Eleva</t>
  </si>
  <si>
    <t>Isadore</t>
  </si>
  <si>
    <t>Alba's Aliyah</t>
  </si>
  <si>
    <t>Alba's Spendia</t>
  </si>
  <si>
    <t>Commercial Area "UTC-Golf club house</t>
  </si>
  <si>
    <t>Public Roads</t>
  </si>
  <si>
    <t>Crossing gates</t>
  </si>
  <si>
    <t>Mobilization areas " water station "</t>
  </si>
  <si>
    <t>All Seasons</t>
  </si>
  <si>
    <t>Commercial Area "UTC-Plaza"</t>
  </si>
  <si>
    <t>Commercial Area "UTC-Golf Plaza"</t>
  </si>
  <si>
    <t>Commercial Area "UTC-Sports Arena"</t>
  </si>
  <si>
    <t>Community center  Sierras -1</t>
  </si>
  <si>
    <t>Community center Sierras -7</t>
  </si>
  <si>
    <t>Community center  Sierras -15</t>
  </si>
  <si>
    <t>Community center Alto</t>
  </si>
  <si>
    <t>Community center  Aurora</t>
  </si>
  <si>
    <t>Community center Reyna</t>
  </si>
  <si>
    <t>Community center Eleva</t>
  </si>
  <si>
    <t>Community center  Isadore</t>
  </si>
  <si>
    <t>Community center Alba's</t>
  </si>
  <si>
    <t>Community center Fountain Side</t>
  </si>
  <si>
    <t>Community center Celesta</t>
  </si>
  <si>
    <t>Community center Terencia</t>
  </si>
  <si>
    <t>Community center Levana</t>
  </si>
  <si>
    <t>Community center  Fourteen 4</t>
  </si>
  <si>
    <t>Community center  Fourteen 6</t>
  </si>
  <si>
    <t>Option scope</t>
  </si>
  <si>
    <t xml:space="preserve">Basic Scope Residential </t>
  </si>
  <si>
    <t>All Season</t>
  </si>
  <si>
    <t>Unit Rate</t>
  </si>
  <si>
    <t>Monthly Fee</t>
  </si>
  <si>
    <t>Item</t>
  </si>
  <si>
    <t>QTY</t>
  </si>
  <si>
    <t>Labors</t>
  </si>
  <si>
    <t>Supervisor</t>
  </si>
  <si>
    <t>Labors Night Shift</t>
  </si>
  <si>
    <t>Supervisor Night Shift</t>
  </si>
  <si>
    <t>Site Manager</t>
  </si>
  <si>
    <t>Site Assistant</t>
  </si>
  <si>
    <t>Site Admin</t>
  </si>
  <si>
    <t>Sales Center Labor</t>
  </si>
  <si>
    <t>In House team Mandatory</t>
  </si>
  <si>
    <t>Sales Center supervisor</t>
  </si>
  <si>
    <t>Sales Center Assistant Manager</t>
  </si>
  <si>
    <t xml:space="preserve">Manpower </t>
  </si>
  <si>
    <t>Single disk</t>
  </si>
  <si>
    <t>Vacuum</t>
  </si>
  <si>
    <t>Manual sweeper</t>
  </si>
  <si>
    <t>McClean Trolley</t>
  </si>
  <si>
    <t>Water Fed Telescope (20 Meter)</t>
  </si>
  <si>
    <t>High Pressure Set  One Car,  Driver, 1K Liter tank" -30 days"</t>
  </si>
  <si>
    <t>Man Lift 15M" *30 days"</t>
  </si>
  <si>
    <t>Pick up Car with driver</t>
  </si>
  <si>
    <t xml:space="preserve"> Public trolly for Building </t>
  </si>
  <si>
    <t xml:space="preserve"> Cary cady " As per site Need"</t>
  </si>
  <si>
    <t>Consumables &amp; tools  &amp; Chemical Rates</t>
  </si>
  <si>
    <t>Sales Center - Single disk</t>
  </si>
  <si>
    <t xml:space="preserve"> Sales Center - Vacuum</t>
  </si>
  <si>
    <t xml:space="preserve"> Sales Center - Manual sweeper</t>
  </si>
  <si>
    <t>Sales Center - McClean Trolley</t>
  </si>
  <si>
    <t>Sales Center - Black Broom and Closed Ban</t>
  </si>
  <si>
    <t xml:space="preserve"> Sales Center - Litter Picking Steak</t>
  </si>
  <si>
    <t>Sales Center  - Mob Bucket with Cotton Cloth</t>
  </si>
  <si>
    <t xml:space="preserve">Sales Center  - Ladder </t>
  </si>
  <si>
    <t xml:space="preserve">Sales Center - telescope </t>
  </si>
  <si>
    <t xml:space="preserve">Sales Center  - Public trolly </t>
  </si>
  <si>
    <t xml:space="preserve">Sales Center - Cary cady </t>
  </si>
  <si>
    <t xml:space="preserve">Sales Center - Steam Machine </t>
  </si>
  <si>
    <t>Sales Center - Consumables &amp; tools  &amp; Chemical Rates</t>
  </si>
  <si>
    <t>Equipment</t>
  </si>
  <si>
    <t>Grand Total</t>
  </si>
  <si>
    <t>First Year</t>
  </si>
  <si>
    <t>Second Year</t>
  </si>
  <si>
    <t>Third Year</t>
  </si>
  <si>
    <t>UTC HK Budget</t>
  </si>
  <si>
    <t>Items</t>
  </si>
  <si>
    <t>Head Count</t>
  </si>
  <si>
    <t>Net Salary</t>
  </si>
  <si>
    <t>CTC</t>
  </si>
  <si>
    <t>Total Amount/ Month</t>
  </si>
  <si>
    <t>Uniform</t>
  </si>
  <si>
    <t>IT and Communications Cost</t>
  </si>
  <si>
    <t>Sedan Car</t>
  </si>
  <si>
    <t>Total Cost</t>
  </si>
  <si>
    <t>Net</t>
  </si>
  <si>
    <t xml:space="preserve">Relievers </t>
  </si>
  <si>
    <t>Insurance/Tax</t>
  </si>
  <si>
    <t>Medical Insurance</t>
  </si>
  <si>
    <t>Transportation Allowance</t>
  </si>
  <si>
    <t>Total</t>
  </si>
  <si>
    <t xml:space="preserve">Total </t>
  </si>
  <si>
    <t>Tools</t>
  </si>
  <si>
    <t>Description</t>
  </si>
  <si>
    <t>Total QTY</t>
  </si>
  <si>
    <t>Depritation / Moth</t>
  </si>
  <si>
    <t>Price / Unit</t>
  </si>
  <si>
    <t>Ladders 1.5 Meter</t>
  </si>
  <si>
    <t>Ladders 3 Meter</t>
  </si>
  <si>
    <t xml:space="preserve">H.K trolly 2 packet </t>
  </si>
  <si>
    <t>Carry Caddy</t>
  </si>
  <si>
    <t>Telescope 9 M</t>
  </si>
  <si>
    <t>Caution Wet Floor sign</t>
  </si>
  <si>
    <t>Microfiber Flat Mop with Bucket</t>
  </si>
  <si>
    <t>Microfiber Flat Mop pads</t>
  </si>
  <si>
    <t>Dry Mop 100 cm</t>
  </si>
  <si>
    <t>Dry Mop Pads 100 cm</t>
  </si>
  <si>
    <t>Hard  Floor Brooms W/ Hand   60cm</t>
  </si>
  <si>
    <t>Soft Floor Brooms W/ Hand   30cm</t>
  </si>
  <si>
    <t>Floor Squeezer W/ Hand  30 cm</t>
  </si>
  <si>
    <t>Floor Squeezer W/ Metallic Hand   75 cm</t>
  </si>
  <si>
    <t>Ceiling Duster</t>
  </si>
  <si>
    <t>Plastic Sprayer</t>
  </si>
  <si>
    <t>Floor Brush (Iron Style)</t>
  </si>
  <si>
    <t>Toilet Bowl Cleaners Broom</t>
  </si>
  <si>
    <t>Dust Pans</t>
  </si>
  <si>
    <t>Dust Pans With Cover</t>
  </si>
  <si>
    <t>Water Bucket 20 L</t>
  </si>
  <si>
    <t>Floor Scraper</t>
  </si>
  <si>
    <t>Glass Scraper</t>
  </si>
  <si>
    <t>Spare Glass Scraper</t>
  </si>
  <si>
    <t>Glass Squeezer   35cm</t>
  </si>
  <si>
    <t>Window Washer   35cm</t>
  </si>
  <si>
    <t>Spare Glass Squeezer    35cm</t>
  </si>
  <si>
    <t>Spare Window Washer  35cm</t>
  </si>
  <si>
    <t>Red Pads 17mm</t>
  </si>
  <si>
    <t>White Pads 17mm</t>
  </si>
  <si>
    <t>Black Pads 17mm</t>
  </si>
  <si>
    <t>Electric Cable</t>
  </si>
  <si>
    <t>Hose 50 m</t>
  </si>
  <si>
    <t>Liquid Soap TCL</t>
  </si>
  <si>
    <t xml:space="preserve">Liquid Soap </t>
  </si>
  <si>
    <t>Liquid Air Freshener TCL</t>
  </si>
  <si>
    <t>Glass Cleaner TCL</t>
  </si>
  <si>
    <t>Sanitizer TCL</t>
  </si>
  <si>
    <t>Wooden Polisher TCL</t>
  </si>
  <si>
    <t>Stainless steel Polisher TCL</t>
  </si>
  <si>
    <t>Metallic Polisher TCL</t>
  </si>
  <si>
    <t>Carpet Spot Removal TCL</t>
  </si>
  <si>
    <t>Rust Remover TCL</t>
  </si>
  <si>
    <t>Blue Towels   50*100</t>
  </si>
  <si>
    <t>Yellow Towels  30*30</t>
  </si>
  <si>
    <t>White Towels    30*30</t>
  </si>
  <si>
    <t>Microfiber red color</t>
  </si>
  <si>
    <t>Microfiber blue color</t>
  </si>
  <si>
    <t>Microfiber green color</t>
  </si>
  <si>
    <t>Hard Sponges</t>
  </si>
  <si>
    <t>Soft Sponges</t>
  </si>
  <si>
    <t xml:space="preserve">Harpic </t>
  </si>
  <si>
    <t>Caravan</t>
  </si>
  <si>
    <t xml:space="preserve">Container </t>
  </si>
  <si>
    <t>Offices and Facilites</t>
  </si>
  <si>
    <t xml:space="preserve">Over Head </t>
  </si>
  <si>
    <t>Others</t>
  </si>
  <si>
    <t>Insurance Certifications</t>
  </si>
  <si>
    <t>Basic Scope</t>
  </si>
  <si>
    <t>UPTWON CAIRO-ZONE A</t>
  </si>
  <si>
    <t>Description (Housekeeping)</t>
  </si>
  <si>
    <t>Supervisors</t>
  </si>
  <si>
    <t>Admin " SR. MS, Doc, Asset "</t>
  </si>
  <si>
    <t>Assist. Site MGR</t>
  </si>
  <si>
    <t>Site manager</t>
  </si>
  <si>
    <t xml:space="preserve">Facade cleaning Service </t>
  </si>
  <si>
    <t xml:space="preserve">Consumables &amp; tools  &amp; Chemical </t>
  </si>
  <si>
    <t>Vehicles</t>
  </si>
  <si>
    <t>No. of Months</t>
  </si>
  <si>
    <t>Morning</t>
  </si>
  <si>
    <t>Afternoon</t>
  </si>
  <si>
    <t xml:space="preserve">Steam Machine </t>
  </si>
  <si>
    <t xml:space="preserve">Public Trolly </t>
  </si>
  <si>
    <t xml:space="preserve">Cary Cady </t>
  </si>
  <si>
    <t>High Pressure Set  One Car,  Driver, 1K Liter tank</t>
  </si>
  <si>
    <t>Man Lift 15M" with driver</t>
  </si>
  <si>
    <t>Pick up Car with dirver</t>
  </si>
  <si>
    <t>Sierras Building, Entrance,Furniture, Corridors, Stairs, Handrails, Walls, Elevators, Ceiling, Roofs and Roads, Parking, Asphalt, Walk Ways, as well as Littering in public landscape.</t>
  </si>
  <si>
    <t>As per site need per building</t>
  </si>
  <si>
    <t>As per site Need</t>
  </si>
  <si>
    <t>Alto Building, Entrance,Furniture, Corridors, Stairs, Handrails, Walls, Elevators, Ceiling, Roofs and Roads, Parking, Asphalt, Walk Ways, as well as Littering in public landscape.</t>
  </si>
  <si>
    <t>Aurora Building, Entrance,Furniture, Corridors, Stairs, Handrails, Walls, Elevators, Ceiling, Roofs and Roads, Parking, Asphalt, Walk Ways, as well as Littering in public landscape.</t>
  </si>
  <si>
    <t>Fourteen Building, Entrance,Furniture, Corridors, Stairs, Handrails, Walls, Elevators, Ceiling, Roofs and Roads, Parking, Asphalt, Walk Ways, as well as Littering in public landscape.</t>
  </si>
  <si>
    <t>Reyna Village Roads, Parking, Asphalt, Walk Ways, Pergolas , play court as well as Littering in public landscape.</t>
  </si>
  <si>
    <t xml:space="preserve"> Eleva Village Roads, Parking, Asphalt, Walk Ways,Pergolas as well as Littering in public landscape.</t>
  </si>
  <si>
    <t>Isadore Village Roads, Parking, Asphalt, Walk Ways, Pergolas as well as Littering in public landscape.</t>
  </si>
  <si>
    <t>Alba Aliyah Village Roads, Parking, Asphalt, Walk Ways, as well as Littering in public landscape.</t>
  </si>
  <si>
    <t>Alba Spendia Village Roads, Parking, Asphalt, Walk Ways, as well as Littering in public landscape.</t>
  </si>
  <si>
    <t xml:space="preserve">UTC-Golf club house :  Building, Entrance,Furniture, Corridors, Stairs, Handrails, Walls, Elevators, Ceiling, Roofs and Parking, Asphalt, Walk Ways, Littering in public landscape, Marble floor, Bathrooms, 3 Hubs at golf Area and golf Office </t>
  </si>
  <si>
    <t xml:space="preserve"> Road 7, Parking, Landscape areas, utility bulidings,Walkways,Security guardhouse and Kiosks</t>
  </si>
  <si>
    <t>all Consutation gates on site , Walkways,Security guardhouse and Kiosks</t>
  </si>
  <si>
    <t xml:space="preserve">Mobilization areas, with Caravans, public area </t>
  </si>
  <si>
    <t>Managament"sales center"</t>
  </si>
  <si>
    <t>Head Quarter (Management building - sale center - customer excellence area - mock up apartments - garage - parking - public areas - landscape area - waste collection area)</t>
  </si>
  <si>
    <t>Optional Scope</t>
  </si>
  <si>
    <t>Admin MGR</t>
  </si>
  <si>
    <t xml:space="preserve">Facade cleaning " Spider  team " </t>
  </si>
  <si>
    <t xml:space="preserve">High pressure  </t>
  </si>
  <si>
    <t>Scooter</t>
  </si>
  <si>
    <t>Sierras 1-15-7</t>
  </si>
  <si>
    <t>Sierras Community Centre 1 : Swimming Spots, Community Buildings, Bathrooms , Pool area, Kids Area, Deck and Walk Ways, Litter Picking from Surroundings and Landscape .</t>
  </si>
  <si>
    <t>Sierras Community Centre 15: Swimming Spots, Community Buildings, Bathrooms , Pool area, Kids Area, Deck and Walk Ways, Litter Picking from Surroundings and Landscape .</t>
  </si>
  <si>
    <t>Sierras Community Centre 15: Swimming Spots,  , Pool area, Kids Area,  and Walk Ways, Litter Picking from Surroundings and Landscape .</t>
  </si>
  <si>
    <t>Alto community center  Swimming Spots, Community Buildings, Bathrooms , Pool area, Kids Area, Deck and Walk Ways, Litter Picking from Surroundings and Landscape .</t>
  </si>
  <si>
    <t>Aurora Community Centre: Swimming Spots, Community Buildings, Bathrooms , Pool area, Kids Area, Deck and Walk Ways, Litter Picking from Surroundings and Landscape .</t>
  </si>
  <si>
    <t>Eleva Community Centre: Swimming Spots, Community Buildings, Bathrooms , Pool area, Kids Area, Deck and Walk Ways, Litter Picking from Surroundings and Landscape .</t>
  </si>
  <si>
    <t>Isadore Community Centre :Swimming Spots, Community Buildings, Bathrooms , Pool area, Kids Area, Deck and Walk Ways, Litter Picking from Surroundings and Landscape .</t>
  </si>
  <si>
    <t>Reyna Community Centre: Swimming Spots, Community Buildings, Bathrooms , Pool area, Kids Area, Deck and Walk Ways, Litter Picking from Surroundings and Landscape . .</t>
  </si>
  <si>
    <t>Alba's</t>
  </si>
  <si>
    <t>Alba Spendia Community Centre:Swimming Spots, Community Buildings, Bathrooms , Pool area, Kids Area, Deck and Walk Ways, Litter Picking from Surroundings and Landscape .</t>
  </si>
  <si>
    <t>Levana</t>
  </si>
  <si>
    <t>Levana Community Centre :Swimming Spots, Community Buildings, Bathrooms , Pool area, Kids Area, Deck and Walk Ways, Litter Picking from Surroundings and Landscape .</t>
  </si>
  <si>
    <t>Fourteen 4-6</t>
  </si>
  <si>
    <t>Fourteen Community Centre 15: Swimming Spots, Community Buildings, Bathrooms , Pool area, Kids Area, Deck and Walk Ways, Litter Picking from Surroundings and Landscape .</t>
  </si>
  <si>
    <t>Fourteen Community Centre 15: Swimming Spots,  , Pool area, Kids Area,  and Walk Ways, Litter Picking from Surroundings and Landscape .</t>
  </si>
  <si>
    <t>Fountain Side</t>
  </si>
  <si>
    <t>Fountain Side Community Centre :Swimming Spots, Community Buildings, Bathrooms , Pool area, Kids Area, Deck and Walk Ways, Litter Picking from Surroundings and Landscape .</t>
  </si>
  <si>
    <t>Terencia</t>
  </si>
  <si>
    <t>Terencia Community Centre :Swimming Spots, Community Buildings, Bathrooms , Pool area, Kids Area, Deck and Walk Ways, Litter Picking from Surroundings and Landscape .</t>
  </si>
  <si>
    <t>Celesta</t>
  </si>
  <si>
    <t>Celesta Community Centre :Swimming Spots, Community Buildings, Bathrooms , Pool area, Kids Area, Deck and Walk Ways, Litter Picking from Surroundings and Landscape .</t>
  </si>
  <si>
    <t>UTC-Plaza, Parking, Asphalt, Walk Ways, Littering in public landscape, Marble floor, Bathrooms, Football pitch</t>
  </si>
  <si>
    <t>UTC-Sports Arena, Parking, Asphalt, Walk Ways, Littering in public landscape, Marble floor, Bathrooms, Football pitch</t>
  </si>
  <si>
    <t>UTC- Golf Plaza, Parking, Asphalt, Walk Ways, Littering in public landscape, Marble floor, Bathrooms, Football pitch</t>
  </si>
  <si>
    <t>Z1 Club House</t>
  </si>
  <si>
    <t xml:space="preserve"> Z1 Club House Roads, Parking, Asphalt, Walk Ways, Opening Gym, Playing Court as well as Littering in public landscape. Bathrooms and meeting rooms</t>
  </si>
  <si>
    <t>Azzurra</t>
  </si>
  <si>
    <t>Azzura Village Roads, Parking, Asphalt, Walk Ways, as well as Littering in public landscape.</t>
  </si>
  <si>
    <t>Azzurra Community Centre :Swimming Spots, Community Buildings, Bathrooms , Pool area, Kids Area, Deck and Walk Ways, Litter Picking from Surroundings and Landscape .</t>
  </si>
  <si>
    <t>Polo club</t>
  </si>
  <si>
    <t>Optional Scope (Other)</t>
  </si>
  <si>
    <t>Employee / Month</t>
  </si>
  <si>
    <t>Guest Consumable</t>
  </si>
  <si>
    <t>Car Wash / Unit</t>
  </si>
  <si>
    <t>Optional Scope (Paid Service)</t>
  </si>
  <si>
    <t>General Notes:</t>
  </si>
  <si>
    <t>Company must be BICSc certified</t>
  </si>
  <si>
    <t>Tools, chemicals &amp; cleaning methods to be according to BICSc standard</t>
  </si>
  <si>
    <t>One of the requested pick up care is to be dedicated for litter piking from main roads every two hours</t>
  </si>
  <si>
    <t>Duration</t>
  </si>
  <si>
    <t>Monthly Rate</t>
  </si>
  <si>
    <t>Amount</t>
  </si>
  <si>
    <t>Total Basic Incl. VAT.</t>
  </si>
  <si>
    <t>Fourteen</t>
  </si>
  <si>
    <t>First Year Optional Scope</t>
  </si>
  <si>
    <t>First Year (Main+Optional) Scope</t>
  </si>
  <si>
    <t>Second Year Optional Scope</t>
  </si>
  <si>
    <t>Second Year (Main+Optional) Scope</t>
  </si>
  <si>
    <t>Third Year Optional Scope</t>
  </si>
  <si>
    <t>Third Year (Main+Optional) Scope</t>
  </si>
  <si>
    <t>Contract Amount Main Scope</t>
  </si>
  <si>
    <t>Contract Amount Optional Scope</t>
  </si>
  <si>
    <t>Contract Amount (Main+Optional) Scope</t>
  </si>
  <si>
    <t>Rate</t>
  </si>
  <si>
    <t>Confirmed</t>
  </si>
  <si>
    <r>
      <t xml:space="preserve">First Year </t>
    </r>
    <r>
      <rPr>
        <b/>
        <sz val="11"/>
        <rFont val="Calibri"/>
        <family val="2"/>
        <scheme val="minor"/>
      </rPr>
      <t>Main Scope</t>
    </r>
  </si>
  <si>
    <r>
      <t xml:space="preserve">Second Year </t>
    </r>
    <r>
      <rPr>
        <b/>
        <sz val="11"/>
        <rFont val="Calibri"/>
        <family val="2"/>
        <scheme val="minor"/>
      </rPr>
      <t>Main Scope</t>
    </r>
  </si>
  <si>
    <r>
      <t xml:space="preserve">Third Year </t>
    </r>
    <r>
      <rPr>
        <b/>
        <sz val="11"/>
        <rFont val="Calibri"/>
        <family val="2"/>
        <scheme val="minor"/>
      </rPr>
      <t>Main Scope</t>
    </r>
  </si>
  <si>
    <t>Labors Morning Shift</t>
  </si>
  <si>
    <t>Supervisor Morning Shift</t>
  </si>
  <si>
    <t>Labors Noon Shift</t>
  </si>
  <si>
    <t>Supervisor Noon Shift</t>
  </si>
  <si>
    <t>Total Buildings</t>
  </si>
  <si>
    <t>Labors"Morning"</t>
  </si>
  <si>
    <t>Supervisors"Morning"</t>
  </si>
  <si>
    <t>Labors"Noon"</t>
  </si>
  <si>
    <t>Supervisors"Noon"</t>
  </si>
  <si>
    <t>Sierras 1</t>
  </si>
  <si>
    <t>Sierras 15</t>
  </si>
  <si>
    <t>Sierras 7</t>
  </si>
  <si>
    <t>Fourteen 4</t>
  </si>
  <si>
    <t>Fourteen 6</t>
  </si>
  <si>
    <t>Total Head Count</t>
  </si>
  <si>
    <t>Manpower Percentage</t>
  </si>
  <si>
    <t>Unit Monthly Cost</t>
  </si>
  <si>
    <t xml:space="preserve">Microfiber Flat Mop </t>
  </si>
  <si>
    <t xml:space="preserve">Floor Brush </t>
  </si>
  <si>
    <t xml:space="preserve">Water Bucket </t>
  </si>
  <si>
    <t>Mantinance Cost</t>
  </si>
  <si>
    <t>Parquet Polisher TCL</t>
  </si>
  <si>
    <t>Leather Polisher TCL</t>
  </si>
  <si>
    <t>Carpet Shampoo TCL</t>
  </si>
  <si>
    <t>Grease Remover TCL</t>
  </si>
  <si>
    <t>Aluminum mesh</t>
  </si>
  <si>
    <t xml:space="preserve">Garbage Bags   120 L </t>
  </si>
  <si>
    <t xml:space="preserve">Garbage Bags  60 L </t>
  </si>
  <si>
    <t xml:space="preserve">Garbage Bags  20 L </t>
  </si>
  <si>
    <t>Over Time</t>
  </si>
  <si>
    <t xml:space="preserve">Bus </t>
  </si>
  <si>
    <t xml:space="preserve">Microbus </t>
  </si>
  <si>
    <t>Mini Van</t>
  </si>
  <si>
    <t>Fuel</t>
  </si>
  <si>
    <t>Water Tank</t>
  </si>
  <si>
    <t>Generator</t>
  </si>
  <si>
    <t>Depreciation / Month</t>
  </si>
  <si>
    <t>Head Count Cost</t>
  </si>
  <si>
    <t>Equipment &amp; Tools Cost</t>
  </si>
  <si>
    <t>Consumables Cost</t>
  </si>
  <si>
    <t>Transportation Cost</t>
  </si>
  <si>
    <t>Mobilization &amp; Over Head Cost</t>
  </si>
  <si>
    <t>Gross Margin</t>
  </si>
  <si>
    <t>Contingency</t>
  </si>
  <si>
    <t>Total Revenue</t>
  </si>
  <si>
    <t>Training Cost</t>
  </si>
  <si>
    <t>Pickup Single Cabin</t>
  </si>
  <si>
    <t>High Pressure</t>
  </si>
  <si>
    <t>Pickup Double Cabin</t>
  </si>
  <si>
    <t>]</t>
  </si>
  <si>
    <t>Other (Façade Cleaning)</t>
  </si>
  <si>
    <t>Total Building</t>
  </si>
  <si>
    <t>Facades Cleaning</t>
  </si>
  <si>
    <t>Accommodation</t>
  </si>
  <si>
    <t>Labor With Trancpoprtation allowance</t>
  </si>
  <si>
    <t>Labor subcontractor</t>
  </si>
  <si>
    <t>Total labors</t>
  </si>
  <si>
    <t>Labors transported by bus</t>
  </si>
  <si>
    <t>VAT</t>
  </si>
  <si>
    <t>Total W VAT</t>
  </si>
  <si>
    <t>Total Head Count Cost</t>
  </si>
  <si>
    <t>Club House</t>
  </si>
  <si>
    <t>Scope</t>
  </si>
  <si>
    <t>v</t>
  </si>
  <si>
    <t>Other (Insurance Certifications)</t>
  </si>
  <si>
    <t>N/A</t>
  </si>
  <si>
    <t>Cost Per Meter</t>
  </si>
  <si>
    <t>Spaces</t>
  </si>
  <si>
    <t>Gross Margin &amp; Contingency 2%</t>
  </si>
  <si>
    <t>Insurance</t>
  </si>
  <si>
    <t>Gross Margin &amp; Contingency</t>
  </si>
  <si>
    <t>Façade Cleaning service " as per site need max. 168 buildings per year"</t>
  </si>
  <si>
    <t>Total Buildings 56  &amp; 3 times per year</t>
  </si>
  <si>
    <t>Sierras Single "Subcontractor Cost*3 Times Annually"</t>
  </si>
  <si>
    <t>Alto "Subcontractor Cost*3 Times Annually"</t>
  </si>
  <si>
    <t>Aurora "Subcontractor Cost*3 Times Annually"</t>
  </si>
  <si>
    <t>Golf Club House "Subcontractor Cost*3 Times Annually"</t>
  </si>
  <si>
    <t>Sales Center "Subcontractor Cost*3 Times Annually"</t>
  </si>
  <si>
    <t>Fourteen "Subcontractor Cost*3 Times Annually"</t>
  </si>
  <si>
    <t>Sierras Double "Subcontractor Cost*3 Times Annually" 9Building *2 *17,500</t>
  </si>
  <si>
    <t>Rate Per Building</t>
  </si>
  <si>
    <t>Pick Up Car Fuel</t>
  </si>
  <si>
    <t>Equipmet, Tools &amp; Consumables</t>
  </si>
  <si>
    <t>Indirect Cost</t>
  </si>
  <si>
    <t>Direct Cost</t>
  </si>
  <si>
    <t>All Locations</t>
  </si>
  <si>
    <t>Sales</t>
  </si>
  <si>
    <t xml:space="preserve">Consumables </t>
  </si>
  <si>
    <t>All Locations Items</t>
  </si>
  <si>
    <t>Sales Items</t>
  </si>
  <si>
    <t>Others Cost</t>
  </si>
  <si>
    <t xml:space="preserve">Transportation </t>
  </si>
  <si>
    <t>Sales Center Labor-  Morning Shift</t>
  </si>
  <si>
    <t>Sales Center Labor- Night Shift</t>
  </si>
  <si>
    <t>Sales Center supervisor- Morning Shift</t>
  </si>
  <si>
    <t>Sales Center supervisor- Night Shift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</si>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</sst>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0000_);_(* \(#,##0.00000\);_(* &quot;-&quot;??_);_(@_)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Palatino Linotype"/>
      <family val="1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b/>
      <sz val="10"/>
      <color rgb="FF000000"/>
      <name val="Palatino Linotype"/>
      <family val="1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/>
  </cellStyleXfs>
  <cellXfs count="67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9" fillId="11" borderId="18" xfId="0" applyFont="1" applyFill="1" applyBorder="1" applyAlignment="1">
      <alignment horizontal="left" vertical="center"/>
    </xf>
    <xf numFmtId="164" fontId="0" fillId="0" borderId="0" xfId="3" applyFont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164" fontId="0" fillId="0" borderId="20" xfId="3" applyFont="1" applyBorder="1" applyAlignment="1">
      <alignment horizontal="center" vertical="center"/>
    </xf>
    <xf numFmtId="164" fontId="0" fillId="0" borderId="21" xfId="3" applyFont="1" applyBorder="1" applyAlignment="1">
      <alignment horizontal="center" vertical="center"/>
    </xf>
    <xf numFmtId="164" fontId="0" fillId="0" borderId="22" xfId="3" applyFont="1" applyBorder="1" applyAlignment="1">
      <alignment horizontal="center" vertical="center" wrapText="1"/>
    </xf>
    <xf numFmtId="0" fontId="0" fillId="12" borderId="19" xfId="0" applyFill="1" applyBorder="1" applyAlignment="1">
      <alignment horizontal="left" vertical="center"/>
    </xf>
    <xf numFmtId="0" fontId="0" fillId="12" borderId="23" xfId="0" applyFill="1" applyBorder="1" applyAlignment="1">
      <alignment horizontal="center" vertical="center" wrapText="1"/>
    </xf>
    <xf numFmtId="164" fontId="0" fillId="12" borderId="23" xfId="3" applyFont="1" applyFill="1" applyBorder="1" applyAlignment="1">
      <alignment horizontal="center" vertical="center"/>
    </xf>
    <xf numFmtId="164" fontId="0" fillId="12" borderId="24" xfId="3" applyFont="1" applyFill="1" applyBorder="1" applyAlignment="1">
      <alignment horizontal="center" vertical="center"/>
    </xf>
    <xf numFmtId="164" fontId="0" fillId="12" borderId="25" xfId="3" applyFont="1" applyFill="1" applyBorder="1" applyAlignment="1">
      <alignment horizontal="center" vertical="center" wrapText="1"/>
    </xf>
    <xf numFmtId="164" fontId="0" fillId="0" borderId="18" xfId="3" applyFont="1" applyFill="1" applyBorder="1" applyAlignment="1">
      <alignment horizontal="center" vertical="center"/>
    </xf>
    <xf numFmtId="164" fontId="0" fillId="0" borderId="26" xfId="3" applyFont="1" applyFill="1" applyBorder="1" applyAlignment="1">
      <alignment horizontal="center" vertical="center"/>
    </xf>
    <xf numFmtId="164" fontId="1" fillId="0" borderId="27" xfId="3" applyFont="1" applyFill="1" applyBorder="1" applyAlignment="1">
      <alignment horizontal="center" vertical="center"/>
    </xf>
    <xf numFmtId="164" fontId="0" fillId="0" borderId="28" xfId="3" applyFont="1" applyFill="1" applyBorder="1" applyAlignment="1">
      <alignment horizontal="center" vertical="center"/>
    </xf>
    <xf numFmtId="164" fontId="0" fillId="0" borderId="29" xfId="3" applyFont="1" applyFill="1" applyBorder="1" applyAlignment="1">
      <alignment horizontal="center" vertical="center"/>
    </xf>
    <xf numFmtId="164" fontId="1" fillId="0" borderId="30" xfId="3" applyFont="1" applyFill="1" applyBorder="1" applyAlignment="1">
      <alignment horizontal="center" vertical="center"/>
    </xf>
    <xf numFmtId="43" fontId="0" fillId="0" borderId="0" xfId="0" applyNumberFormat="1"/>
    <xf numFmtId="165" fontId="11" fillId="0" borderId="0" xfId="2" applyNumberFormat="1" applyFont="1" applyAlignment="1">
      <alignment horizontal="center" vertical="center"/>
    </xf>
    <xf numFmtId="43" fontId="11" fillId="0" borderId="0" xfId="2" applyFont="1" applyAlignment="1">
      <alignment horizontal="center" vertical="center"/>
    </xf>
    <xf numFmtId="43" fontId="0" fillId="0" borderId="0" xfId="2" applyFont="1"/>
    <xf numFmtId="43" fontId="1" fillId="0" borderId="0" xfId="0" applyNumberFormat="1" applyFont="1"/>
    <xf numFmtId="0" fontId="13" fillId="0" borderId="1" xfId="0" applyFont="1" applyBorder="1" applyAlignment="1">
      <alignment horizontal="left" vertical="center"/>
    </xf>
    <xf numFmtId="43" fontId="13" fillId="0" borderId="1" xfId="2" applyFont="1" applyFill="1" applyBorder="1" applyAlignment="1">
      <alignment horizontal="center" vertical="center"/>
    </xf>
    <xf numFmtId="0" fontId="13" fillId="0" borderId="1" xfId="5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left" vertical="center"/>
    </xf>
    <xf numFmtId="0" fontId="0" fillId="0" borderId="0" xfId="0" applyFont="1"/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3" fontId="17" fillId="0" borderId="1" xfId="2" applyFont="1" applyFill="1" applyBorder="1" applyAlignment="1">
      <alignment horizontal="center" vertical="center"/>
    </xf>
    <xf numFmtId="0" fontId="17" fillId="0" borderId="1" xfId="5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horizontal="center" vertical="center"/>
    </xf>
    <xf numFmtId="43" fontId="0" fillId="0" borderId="0" xfId="2" applyFont="1" applyAlignment="1">
      <alignment horizontal="center" vertical="center"/>
    </xf>
    <xf numFmtId="0" fontId="0" fillId="0" borderId="0" xfId="0" applyAlignment="1">
      <alignment horizontal="left" vertical="center"/>
    </xf>
    <xf numFmtId="43" fontId="11" fillId="0" borderId="0" xfId="2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horizontal="left" vertical="center"/>
    </xf>
    <xf numFmtId="43" fontId="11" fillId="0" borderId="1" xfId="2" applyFont="1" applyBorder="1" applyAlignment="1">
      <alignment horizontal="center" vertical="center"/>
    </xf>
    <xf numFmtId="43" fontId="12" fillId="0" borderId="1" xfId="2" applyFont="1" applyBorder="1" applyAlignment="1">
      <alignment horizontal="center" vertical="center"/>
    </xf>
    <xf numFmtId="43" fontId="11" fillId="14" borderId="1" xfId="2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43" fontId="0" fillId="0" borderId="1" xfId="2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43" fontId="20" fillId="0" borderId="1" xfId="2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3" fontId="22" fillId="3" borderId="3" xfId="0" applyNumberFormat="1" applyFont="1" applyFill="1" applyBorder="1" applyAlignment="1">
      <alignment horizontal="center" vertical="center"/>
    </xf>
    <xf numFmtId="3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1" xfId="1" applyFont="1" applyBorder="1" applyAlignment="1">
      <alignment horizontal="left" vertical="center" wrapText="1"/>
    </xf>
    <xf numFmtId="3" fontId="12" fillId="0" borderId="11" xfId="0" applyNumberFormat="1" applyFont="1" applyBorder="1" applyAlignment="1">
      <alignment horizontal="center" vertical="center"/>
    </xf>
    <xf numFmtId="3" fontId="23" fillId="0" borderId="11" xfId="1" applyNumberFormat="1" applyFont="1" applyBorder="1" applyAlignment="1">
      <alignment horizontal="center" vertical="center" wrapText="1"/>
    </xf>
    <xf numFmtId="3" fontId="24" fillId="0" borderId="11" xfId="1" applyNumberFormat="1" applyFont="1" applyBorder="1" applyAlignment="1">
      <alignment horizontal="center" vertical="center" wrapText="1"/>
    </xf>
    <xf numFmtId="3" fontId="23" fillId="0" borderId="40" xfId="0" applyNumberFormat="1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3" fontId="25" fillId="0" borderId="40" xfId="0" applyNumberFormat="1" applyFont="1" applyBorder="1" applyAlignment="1">
      <alignment horizontal="center" vertical="center"/>
    </xf>
    <xf numFmtId="3" fontId="25" fillId="0" borderId="11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3" fillId="0" borderId="1" xfId="1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/>
    </xf>
    <xf numFmtId="3" fontId="24" fillId="0" borderId="1" xfId="1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 wrapText="1"/>
    </xf>
    <xf numFmtId="3" fontId="23" fillId="0" borderId="1" xfId="1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3" fontId="23" fillId="0" borderId="40" xfId="0" applyNumberFormat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23" fillId="0" borderId="42" xfId="1" applyFont="1" applyBorder="1" applyAlignment="1">
      <alignment vertical="center" wrapText="1"/>
    </xf>
    <xf numFmtId="3" fontId="12" fillId="0" borderId="43" xfId="0" applyNumberFormat="1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 wrapText="1"/>
    </xf>
    <xf numFmtId="3" fontId="12" fillId="16" borderId="8" xfId="0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3" fontId="22" fillId="3" borderId="1" xfId="0" applyNumberFormat="1" applyFont="1" applyFill="1" applyBorder="1" applyAlignment="1">
      <alignment horizontal="center" vertical="center" wrapText="1"/>
    </xf>
    <xf numFmtId="3" fontId="22" fillId="3" borderId="1" xfId="0" applyNumberFormat="1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23" fillId="0" borderId="10" xfId="1" applyFont="1" applyBorder="1" applyAlignment="1">
      <alignment horizontal="left" vertical="center" wrapText="1"/>
    </xf>
    <xf numFmtId="3" fontId="12" fillId="0" borderId="10" xfId="0" applyNumberFormat="1" applyFont="1" applyBorder="1" applyAlignment="1">
      <alignment horizontal="center" vertical="center"/>
    </xf>
    <xf numFmtId="3" fontId="12" fillId="0" borderId="48" xfId="0" applyNumberFormat="1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center"/>
    </xf>
    <xf numFmtId="3" fontId="12" fillId="16" borderId="31" xfId="0" applyNumberFormat="1" applyFont="1" applyFill="1" applyBorder="1" applyAlignment="1">
      <alignment horizontal="center" vertical="center"/>
    </xf>
    <xf numFmtId="3" fontId="12" fillId="16" borderId="51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3" fontId="21" fillId="2" borderId="4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43" fontId="21" fillId="3" borderId="6" xfId="2" applyFont="1" applyFill="1" applyBorder="1" applyAlignment="1">
      <alignment vertical="center"/>
    </xf>
    <xf numFmtId="0" fontId="8" fillId="3" borderId="6" xfId="0" applyFont="1" applyFill="1" applyBorder="1" applyAlignment="1">
      <alignment vertical="center" wrapText="1"/>
    </xf>
    <xf numFmtId="43" fontId="21" fillId="3" borderId="6" xfId="2" applyFont="1" applyFill="1" applyBorder="1" applyAlignment="1">
      <alignment vertical="center" wrapText="1"/>
    </xf>
    <xf numFmtId="0" fontId="8" fillId="3" borderId="48" xfId="0" applyFont="1" applyFill="1" applyBorder="1" applyAlignment="1">
      <alignment vertical="center" wrapText="1"/>
    </xf>
    <xf numFmtId="43" fontId="21" fillId="3" borderId="48" xfId="2" applyFont="1" applyFill="1" applyBorder="1" applyAlignment="1">
      <alignment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3" borderId="9" xfId="0" applyFont="1" applyFill="1" applyBorder="1" applyAlignment="1">
      <alignment vertical="center" wrapText="1"/>
    </xf>
    <xf numFmtId="43" fontId="21" fillId="3" borderId="9" xfId="2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3" borderId="54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horizontal="center" vertical="center"/>
    </xf>
    <xf numFmtId="0" fontId="21" fillId="2" borderId="55" xfId="0" applyFont="1" applyFill="1" applyBorder="1" applyAlignment="1">
      <alignment horizontal="center" vertical="center"/>
    </xf>
    <xf numFmtId="0" fontId="21" fillId="3" borderId="48" xfId="0" applyFont="1" applyFill="1" applyBorder="1" applyAlignment="1">
      <alignment vertical="center" wrapText="1"/>
    </xf>
    <xf numFmtId="0" fontId="21" fillId="3" borderId="9" xfId="0" applyFont="1" applyFill="1" applyBorder="1" applyAlignment="1">
      <alignment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center"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7" fillId="0" borderId="6" xfId="2" applyNumberFormat="1" applyFont="1" applyFill="1" applyBorder="1" applyAlignment="1">
      <alignment horizontal="center" vertical="center"/>
    </xf>
    <xf numFmtId="0" fontId="17" fillId="0" borderId="3" xfId="1" applyFont="1" applyBorder="1" applyAlignment="1">
      <alignment horizontal="left" vertical="center" wrapText="1"/>
    </xf>
    <xf numFmtId="3" fontId="17" fillId="0" borderId="3" xfId="0" applyNumberFormat="1" applyFont="1" applyBorder="1" applyAlignment="1">
      <alignment horizontal="center" vertical="center"/>
    </xf>
    <xf numFmtId="165" fontId="17" fillId="0" borderId="3" xfId="2" applyNumberFormat="1" applyFont="1" applyFill="1" applyBorder="1" applyAlignment="1">
      <alignment horizontal="center" vertical="center"/>
    </xf>
    <xf numFmtId="165" fontId="17" fillId="0" borderId="4" xfId="2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54" xfId="0" applyNumberFormat="1" applyFont="1" applyFill="1" applyBorder="1" applyAlignment="1">
      <alignment horizontal="center" vertical="center"/>
    </xf>
    <xf numFmtId="165" fontId="0" fillId="0" borderId="55" xfId="2" applyNumberFormat="1" applyFont="1" applyBorder="1" applyAlignment="1">
      <alignment horizontal="center" vertical="center"/>
    </xf>
    <xf numFmtId="165" fontId="0" fillId="0" borderId="56" xfId="2" applyNumberFormat="1" applyFont="1" applyFill="1" applyBorder="1" applyAlignment="1">
      <alignment horizontal="center" vertical="center"/>
    </xf>
    <xf numFmtId="165" fontId="0" fillId="0" borderId="56" xfId="2" applyNumberFormat="1" applyFont="1" applyBorder="1" applyAlignment="1">
      <alignment horizontal="center" vertical="center"/>
    </xf>
    <xf numFmtId="165" fontId="0" fillId="0" borderId="57" xfId="2" applyNumberFormat="1" applyFont="1" applyBorder="1" applyAlignment="1">
      <alignment horizontal="center" vertical="center"/>
    </xf>
    <xf numFmtId="38" fontId="0" fillId="0" borderId="55" xfId="0" applyNumberFormat="1" applyFont="1" applyBorder="1" applyAlignment="1">
      <alignment horizontal="center" vertical="center"/>
    </xf>
    <xf numFmtId="38" fontId="0" fillId="0" borderId="56" xfId="0" applyNumberFormat="1" applyFont="1" applyBorder="1" applyAlignment="1">
      <alignment horizontal="center" vertical="center"/>
    </xf>
    <xf numFmtId="38" fontId="0" fillId="0" borderId="57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3" fontId="22" fillId="3" borderId="8" xfId="0" applyNumberFormat="1" applyFont="1" applyFill="1" applyBorder="1" applyAlignment="1">
      <alignment horizontal="left" vertical="center"/>
    </xf>
    <xf numFmtId="3" fontId="22" fillId="3" borderId="8" xfId="0" applyNumberFormat="1" applyFont="1" applyFill="1" applyBorder="1" applyAlignment="1">
      <alignment horizontal="left" vertical="center" wrapText="1"/>
    </xf>
    <xf numFmtId="43" fontId="0" fillId="0" borderId="0" xfId="0" applyNumberFormat="1" applyFont="1"/>
    <xf numFmtId="0" fontId="23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center" wrapText="1"/>
    </xf>
    <xf numFmtId="3" fontId="12" fillId="0" borderId="40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3" fontId="12" fillId="0" borderId="41" xfId="0" applyNumberFormat="1" applyFont="1" applyBorder="1" applyAlignment="1">
      <alignment horizontal="center" vertical="center" wrapText="1"/>
    </xf>
    <xf numFmtId="0" fontId="11" fillId="0" borderId="1" xfId="2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3" fontId="11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3" fontId="0" fillId="0" borderId="0" xfId="0" applyNumberFormat="1" applyFont="1" applyAlignment="1">
      <alignment horizontal="center" vertical="center"/>
    </xf>
    <xf numFmtId="43" fontId="28" fillId="0" borderId="0" xfId="0" applyNumberFormat="1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2" fillId="6" borderId="38" xfId="0" applyFont="1" applyFill="1" applyBorder="1" applyAlignment="1">
      <alignment vertical="center" wrapText="1"/>
    </xf>
    <xf numFmtId="0" fontId="22" fillId="6" borderId="39" xfId="0" applyFont="1" applyFill="1" applyBorder="1" applyAlignment="1">
      <alignment vertical="center" wrapText="1"/>
    </xf>
    <xf numFmtId="0" fontId="22" fillId="6" borderId="44" xfId="0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4" fontId="24" fillId="0" borderId="1" xfId="1" applyNumberFormat="1" applyFont="1" applyFill="1" applyBorder="1" applyAlignment="1">
      <alignment horizontal="center" vertical="center" wrapText="1"/>
    </xf>
    <xf numFmtId="4" fontId="23" fillId="0" borderId="1" xfId="1" applyNumberFormat="1" applyFont="1" applyFill="1" applyBorder="1" applyAlignment="1">
      <alignment horizontal="center" vertical="center" wrapText="1"/>
    </xf>
    <xf numFmtId="4" fontId="12" fillId="0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2" fontId="27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4" fontId="0" fillId="0" borderId="0" xfId="0" applyNumberFormat="1"/>
    <xf numFmtId="2" fontId="0" fillId="0" borderId="18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3" fillId="0" borderId="1" xfId="0" applyFont="1" applyBorder="1" applyAlignment="1">
      <alignment horizontal="left" vertical="center" wrapText="1"/>
    </xf>
    <xf numFmtId="0" fontId="22" fillId="6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horizontal="center" vertical="center" wrapText="1"/>
    </xf>
    <xf numFmtId="3" fontId="22" fillId="0" borderId="1" xfId="0" applyNumberFormat="1" applyFont="1" applyFill="1" applyBorder="1" applyAlignment="1">
      <alignment vertical="center"/>
    </xf>
    <xf numFmtId="4" fontId="12" fillId="12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vertical="center" wrapText="1"/>
    </xf>
    <xf numFmtId="0" fontId="22" fillId="6" borderId="1" xfId="0" applyFont="1" applyFill="1" applyBorder="1" applyAlignment="1">
      <alignment vertical="center"/>
    </xf>
    <xf numFmtId="3" fontId="22" fillId="0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3" fontId="22" fillId="0" borderId="1" xfId="0" applyNumberFormat="1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/>
    </xf>
    <xf numFmtId="2" fontId="0" fillId="0" borderId="28" xfId="0" applyNumberFormat="1" applyBorder="1" applyAlignment="1">
      <alignment horizontal="center" vertical="center"/>
    </xf>
    <xf numFmtId="164" fontId="0" fillId="12" borderId="1" xfId="3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9" fontId="0" fillId="0" borderId="0" xfId="4" applyFont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1" fillId="12" borderId="1" xfId="0" applyFont="1" applyFill="1" applyBorder="1" applyAlignment="1">
      <alignment horizontal="left" vertical="center"/>
    </xf>
    <xf numFmtId="2" fontId="1" fillId="12" borderId="1" xfId="0" applyNumberFormat="1" applyFont="1" applyFill="1" applyBorder="1" applyAlignment="1">
      <alignment horizontal="center" vertical="center"/>
    </xf>
    <xf numFmtId="164" fontId="1" fillId="12" borderId="1" xfId="3" applyFont="1" applyFill="1" applyBorder="1" applyAlignment="1">
      <alignment horizontal="center" vertical="center"/>
    </xf>
    <xf numFmtId="43" fontId="1" fillId="12" borderId="1" xfId="2" applyFont="1" applyFill="1" applyBorder="1" applyAlignment="1">
      <alignment horizontal="center" vertical="center"/>
    </xf>
    <xf numFmtId="0" fontId="1" fillId="0" borderId="0" xfId="0" applyFont="1"/>
    <xf numFmtId="2" fontId="1" fillId="0" borderId="0" xfId="0" applyNumberFormat="1" applyFont="1"/>
    <xf numFmtId="4" fontId="1" fillId="12" borderId="1" xfId="0" applyNumberFormat="1" applyFont="1" applyFill="1" applyBorder="1"/>
    <xf numFmtId="2" fontId="0" fillId="0" borderId="18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2" fontId="0" fillId="0" borderId="0" xfId="0" applyNumberFormat="1" applyFill="1"/>
    <xf numFmtId="4" fontId="0" fillId="0" borderId="0" xfId="0" applyNumberFormat="1" applyFill="1"/>
    <xf numFmtId="43" fontId="0" fillId="0" borderId="0" xfId="0" applyNumberFormat="1" applyFill="1"/>
    <xf numFmtId="0" fontId="12" fillId="16" borderId="45" xfId="0" applyFont="1" applyFill="1" applyBorder="1" applyAlignment="1">
      <alignment horizontal="center" vertical="center"/>
    </xf>
    <xf numFmtId="0" fontId="12" fillId="16" borderId="4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2" fillId="6" borderId="33" xfId="0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 wrapText="1"/>
    </xf>
    <xf numFmtId="3" fontId="22" fillId="3" borderId="3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43" fontId="16" fillId="0" borderId="18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left" vertical="center"/>
    </xf>
    <xf numFmtId="0" fontId="0" fillId="0" borderId="20" xfId="0" applyFont="1" applyBorder="1" applyAlignment="1">
      <alignment horizontal="center" vertical="center" wrapText="1"/>
    </xf>
    <xf numFmtId="0" fontId="0" fillId="12" borderId="19" xfId="0" applyFont="1" applyFill="1" applyBorder="1" applyAlignment="1">
      <alignment horizontal="left" vertical="center"/>
    </xf>
    <xf numFmtId="0" fontId="0" fillId="12" borderId="23" xfId="0" applyFont="1" applyFill="1" applyBorder="1" applyAlignment="1">
      <alignment horizontal="center" vertical="center" wrapText="1"/>
    </xf>
    <xf numFmtId="2" fontId="0" fillId="0" borderId="18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/>
    <xf numFmtId="4" fontId="0" fillId="0" borderId="0" xfId="0" applyNumberFormat="1" applyFont="1"/>
    <xf numFmtId="2" fontId="0" fillId="0" borderId="18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/>
    <xf numFmtId="2" fontId="0" fillId="0" borderId="0" xfId="0" applyNumberFormat="1" applyFont="1" applyFill="1"/>
    <xf numFmtId="4" fontId="0" fillId="0" borderId="0" xfId="0" applyNumberFormat="1" applyFont="1" applyFill="1"/>
    <xf numFmtId="43" fontId="0" fillId="0" borderId="0" xfId="0" applyNumberFormat="1" applyFont="1" applyFill="1"/>
    <xf numFmtId="0" fontId="0" fillId="0" borderId="10" xfId="0" applyFont="1" applyFill="1" applyBorder="1" applyAlignment="1">
      <alignment horizontal="left" vertical="center"/>
    </xf>
    <xf numFmtId="2" fontId="0" fillId="0" borderId="28" xfId="0" applyNumberFormat="1" applyFont="1" applyBorder="1" applyAlignment="1">
      <alignment horizontal="center" vertical="center"/>
    </xf>
    <xf numFmtId="43" fontId="1" fillId="0" borderId="1" xfId="2" applyFont="1" applyFill="1" applyBorder="1" applyAlignment="1">
      <alignment horizontal="center" vertical="center"/>
    </xf>
    <xf numFmtId="0" fontId="30" fillId="11" borderId="18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2" fontId="0" fillId="12" borderId="1" xfId="0" applyNumberFormat="1" applyFont="1" applyFill="1" applyBorder="1" applyAlignment="1">
      <alignment horizontal="center" vertical="center"/>
    </xf>
    <xf numFmtId="4" fontId="0" fillId="12" borderId="1" xfId="0" applyNumberFormat="1" applyFont="1" applyFill="1" applyBorder="1"/>
    <xf numFmtId="164" fontId="0" fillId="0" borderId="1" xfId="3" applyFont="1" applyBorder="1" applyAlignment="1">
      <alignment horizontal="center" vertical="center"/>
    </xf>
    <xf numFmtId="164" fontId="0" fillId="12" borderId="1" xfId="3" applyFont="1" applyFill="1" applyBorder="1" applyAlignment="1">
      <alignment horizontal="center" vertical="center" wrapText="1"/>
    </xf>
    <xf numFmtId="164" fontId="0" fillId="0" borderId="1" xfId="3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3" applyFont="1" applyBorder="1" applyAlignment="1">
      <alignment horizontal="center" vertical="center"/>
    </xf>
    <xf numFmtId="164" fontId="1" fillId="0" borderId="1" xfId="3" applyFont="1" applyBorder="1" applyAlignment="1">
      <alignment horizontal="center" vertical="center" wrapText="1"/>
    </xf>
    <xf numFmtId="0" fontId="16" fillId="0" borderId="58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3" fontId="23" fillId="0" borderId="40" xfId="0" applyNumberFormat="1" applyFont="1" applyBorder="1" applyAlignment="1">
      <alignment horizontal="center" vertical="center"/>
    </xf>
    <xf numFmtId="3" fontId="23" fillId="0" borderId="40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27" xfId="3" applyFont="1" applyFill="1" applyBorder="1" applyAlignment="1">
      <alignment horizontal="center" vertical="center"/>
    </xf>
    <xf numFmtId="164" fontId="0" fillId="0" borderId="30" xfId="3" applyFont="1" applyFill="1" applyBorder="1" applyAlignment="1">
      <alignment horizontal="center" vertical="center"/>
    </xf>
    <xf numFmtId="43" fontId="0" fillId="12" borderId="1" xfId="2" applyFont="1" applyFill="1" applyBorder="1" applyAlignment="1">
      <alignment horizontal="center" vertical="center"/>
    </xf>
    <xf numFmtId="4" fontId="23" fillId="0" borderId="40" xfId="0" applyNumberFormat="1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3" fillId="14" borderId="1" xfId="0" applyFont="1" applyFill="1" applyBorder="1" applyAlignment="1">
      <alignment horizontal="left" vertical="center"/>
    </xf>
    <xf numFmtId="2" fontId="0" fillId="14" borderId="18" xfId="0" applyNumberForma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43" fontId="0" fillId="14" borderId="1" xfId="2" applyFont="1" applyFill="1" applyBorder="1" applyAlignment="1">
      <alignment horizontal="center" vertical="center"/>
    </xf>
    <xf numFmtId="164" fontId="0" fillId="14" borderId="26" xfId="3" applyFont="1" applyFill="1" applyBorder="1" applyAlignment="1">
      <alignment horizontal="center" vertical="center"/>
    </xf>
    <xf numFmtId="164" fontId="1" fillId="14" borderId="27" xfId="3" applyFont="1" applyFill="1" applyBorder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4" fontId="0" fillId="14" borderId="0" xfId="0" applyNumberFormat="1" applyFill="1" applyAlignment="1">
      <alignment horizontal="center" vertical="center"/>
    </xf>
    <xf numFmtId="43" fontId="0" fillId="14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3" fontId="23" fillId="0" borderId="40" xfId="0" applyNumberFormat="1" applyFont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2" fontId="11" fillId="14" borderId="0" xfId="0" applyNumberFormat="1" applyFont="1" applyFill="1" applyAlignment="1">
      <alignment horizontal="center" vertical="center"/>
    </xf>
    <xf numFmtId="43" fontId="11" fillId="0" borderId="1" xfId="2" applyFont="1" applyFill="1" applyBorder="1" applyAlignment="1">
      <alignment horizontal="center" vertical="center"/>
    </xf>
    <xf numFmtId="43" fontId="12" fillId="14" borderId="1" xfId="2" applyFont="1" applyFill="1" applyBorder="1" applyAlignment="1">
      <alignment horizontal="center" vertical="center"/>
    </xf>
    <xf numFmtId="9" fontId="0" fillId="0" borderId="0" xfId="0" applyNumberFormat="1"/>
    <xf numFmtId="9" fontId="0" fillId="0" borderId="0" xfId="0" applyNumberFormat="1" applyFont="1"/>
    <xf numFmtId="0" fontId="0" fillId="0" borderId="0" xfId="0" applyNumberFormat="1" applyFont="1"/>
    <xf numFmtId="0" fontId="17" fillId="0" borderId="40" xfId="0" applyFont="1" applyFill="1" applyBorder="1" applyAlignment="1">
      <alignment horizontal="left" vertical="center"/>
    </xf>
    <xf numFmtId="43" fontId="1" fillId="0" borderId="0" xfId="2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2" applyFont="1"/>
    <xf numFmtId="0" fontId="1" fillId="0" borderId="0" xfId="0" applyNumberFormat="1" applyFont="1"/>
    <xf numFmtId="164" fontId="1" fillId="0" borderId="0" xfId="0" applyNumberFormat="1" applyFont="1"/>
    <xf numFmtId="0" fontId="16" fillId="12" borderId="1" xfId="0" applyFont="1" applyFill="1" applyBorder="1" applyAlignment="1">
      <alignment horizontal="left" vertical="center"/>
    </xf>
    <xf numFmtId="164" fontId="16" fillId="12" borderId="1" xfId="3" applyFont="1" applyFill="1" applyBorder="1" applyAlignment="1">
      <alignment horizontal="center" vertical="center"/>
    </xf>
    <xf numFmtId="43" fontId="16" fillId="12" borderId="1" xfId="2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3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" fontId="0" fillId="0" borderId="0" xfId="0" applyNumberFormat="1" applyFont="1" applyAlignment="1">
      <alignment vertical="center"/>
    </xf>
    <xf numFmtId="0" fontId="0" fillId="0" borderId="0" xfId="0" applyFont="1" applyFill="1" applyAlignment="1">
      <alignment vertical="center"/>
    </xf>
    <xf numFmtId="43" fontId="0" fillId="0" borderId="0" xfId="0" applyNumberFormat="1" applyFont="1" applyFill="1" applyAlignment="1">
      <alignment vertical="center"/>
    </xf>
    <xf numFmtId="43" fontId="0" fillId="0" borderId="0" xfId="2" applyFont="1" applyFill="1" applyAlignment="1">
      <alignment vertical="center"/>
    </xf>
    <xf numFmtId="0" fontId="17" fillId="0" borderId="0" xfId="0" applyFont="1" applyFill="1" applyAlignment="1">
      <alignment vertical="center"/>
    </xf>
    <xf numFmtId="43" fontId="0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43" fontId="1" fillId="0" borderId="0" xfId="0" applyNumberFormat="1" applyFont="1" applyFill="1" applyAlignment="1">
      <alignment vertical="center"/>
    </xf>
    <xf numFmtId="43" fontId="10" fillId="12" borderId="0" xfId="2" applyFont="1" applyFill="1" applyAlignment="1">
      <alignment horizontal="left" vertical="center"/>
    </xf>
    <xf numFmtId="165" fontId="10" fillId="12" borderId="0" xfId="2" applyNumberFormat="1" applyFont="1" applyFill="1" applyAlignment="1">
      <alignment horizontal="center" vertical="center"/>
    </xf>
    <xf numFmtId="43" fontId="10" fillId="12" borderId="0" xfId="2" applyFont="1" applyFill="1" applyAlignment="1">
      <alignment horizontal="center" vertical="center"/>
    </xf>
    <xf numFmtId="43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7" fillId="0" borderId="40" xfId="0" applyFont="1" applyFill="1" applyBorder="1" applyAlignment="1">
      <alignment horizontal="center" vertical="center" wrapText="1"/>
    </xf>
    <xf numFmtId="4" fontId="1" fillId="12" borderId="1" xfId="0" applyNumberFormat="1" applyFont="1" applyFill="1" applyBorder="1" applyAlignment="1">
      <alignment horizontal="center" vertical="center"/>
    </xf>
    <xf numFmtId="0" fontId="0" fillId="12" borderId="19" xfId="0" applyFill="1" applyBorder="1" applyAlignment="1">
      <alignment horizontal="left" vertical="center" wrapText="1"/>
    </xf>
    <xf numFmtId="164" fontId="0" fillId="12" borderId="23" xfId="3" applyFont="1" applyFill="1" applyBorder="1" applyAlignment="1">
      <alignment horizontal="center" vertical="center" wrapText="1"/>
    </xf>
    <xf numFmtId="164" fontId="0" fillId="12" borderId="24" xfId="3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3" fillId="12" borderId="1" xfId="0" applyFont="1" applyFill="1" applyBorder="1" applyAlignment="1">
      <alignment horizontal="left" vertical="center"/>
    </xf>
    <xf numFmtId="43" fontId="33" fillId="12" borderId="1" xfId="2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3" fontId="17" fillId="0" borderId="1" xfId="0" applyNumberFormat="1" applyFont="1" applyFill="1" applyBorder="1" applyAlignment="1">
      <alignment horizontal="center" vertical="center"/>
    </xf>
    <xf numFmtId="165" fontId="3" fillId="12" borderId="9" xfId="0" applyNumberFormat="1" applyFont="1" applyFill="1" applyBorder="1" applyAlignment="1">
      <alignment horizontal="center" vertical="center"/>
    </xf>
    <xf numFmtId="43" fontId="1" fillId="3" borderId="6" xfId="2" applyFont="1" applyFill="1" applyBorder="1" applyAlignment="1">
      <alignment horizontal="center" vertical="center"/>
    </xf>
    <xf numFmtId="43" fontId="1" fillId="3" borderId="6" xfId="2" applyFont="1" applyFill="1" applyBorder="1" applyAlignment="1">
      <alignment horizontal="center" vertical="center" wrapText="1"/>
    </xf>
    <xf numFmtId="43" fontId="1" fillId="3" borderId="48" xfId="2" applyFont="1" applyFill="1" applyBorder="1" applyAlignment="1">
      <alignment horizontal="center" vertical="center" wrapText="1"/>
    </xf>
    <xf numFmtId="43" fontId="1" fillId="3" borderId="9" xfId="2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52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" fillId="2" borderId="55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 wrapText="1"/>
    </xf>
    <xf numFmtId="0" fontId="0" fillId="3" borderId="4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54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9" fillId="18" borderId="3" xfId="0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65" fontId="34" fillId="18" borderId="9" xfId="0" applyNumberFormat="1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vertical="center"/>
    </xf>
    <xf numFmtId="0" fontId="31" fillId="18" borderId="8" xfId="0" applyFont="1" applyFill="1" applyBorder="1" applyAlignment="1">
      <alignment vertical="center"/>
    </xf>
    <xf numFmtId="165" fontId="0" fillId="16" borderId="11" xfId="2" applyNumberFormat="1" applyFont="1" applyFill="1" applyBorder="1" applyAlignment="1">
      <alignment horizontal="left" vertical="center"/>
    </xf>
    <xf numFmtId="165" fontId="0" fillId="16" borderId="1" xfId="2" applyNumberFormat="1" applyFont="1" applyFill="1" applyBorder="1" applyAlignment="1">
      <alignment horizontal="left" vertical="center"/>
    </xf>
    <xf numFmtId="165" fontId="0" fillId="2" borderId="1" xfId="2" applyNumberFormat="1" applyFont="1" applyFill="1" applyBorder="1" applyAlignment="1">
      <alignment horizontal="left" vertical="center"/>
    </xf>
    <xf numFmtId="165" fontId="0" fillId="13" borderId="1" xfId="2" applyNumberFormat="1" applyFont="1" applyFill="1" applyBorder="1" applyAlignment="1">
      <alignment horizontal="left" vertical="center"/>
    </xf>
    <xf numFmtId="165" fontId="0" fillId="17" borderId="1" xfId="2" applyNumberFormat="1" applyFont="1" applyFill="1" applyBorder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3" fontId="22" fillId="14" borderId="8" xfId="0" applyNumberFormat="1" applyFont="1" applyFill="1" applyBorder="1" applyAlignment="1">
      <alignment horizontal="left" vertical="center"/>
    </xf>
    <xf numFmtId="3" fontId="22" fillId="14" borderId="8" xfId="0" applyNumberFormat="1" applyFont="1" applyFill="1" applyBorder="1" applyAlignment="1">
      <alignment horizontal="left" vertical="center" wrapText="1"/>
    </xf>
    <xf numFmtId="38" fontId="0" fillId="0" borderId="0" xfId="0" applyNumberFormat="1" applyFont="1"/>
    <xf numFmtId="38" fontId="0" fillId="0" borderId="0" xfId="0" applyNumberFormat="1" applyAlignment="1">
      <alignment horizontal="center" vertical="center"/>
    </xf>
    <xf numFmtId="2" fontId="0" fillId="0" borderId="0" xfId="0" applyNumberFormat="1" applyFont="1" applyAlignment="1">
      <alignment vertical="center"/>
    </xf>
    <xf numFmtId="43" fontId="0" fillId="0" borderId="0" xfId="2" applyFont="1" applyAlignment="1">
      <alignment horizontal="left" vertical="center"/>
    </xf>
    <xf numFmtId="43" fontId="0" fillId="0" borderId="0" xfId="0" applyNumberFormat="1" applyAlignment="1">
      <alignment vertical="center"/>
    </xf>
    <xf numFmtId="164" fontId="0" fillId="19" borderId="18" xfId="3" applyFont="1" applyFill="1" applyBorder="1" applyAlignment="1">
      <alignment horizontal="center" vertical="center"/>
    </xf>
    <xf numFmtId="166" fontId="1" fillId="14" borderId="1" xfId="4" applyNumberFormat="1" applyFont="1" applyFill="1" applyBorder="1" applyAlignment="1">
      <alignment horizontal="center" vertical="center"/>
    </xf>
    <xf numFmtId="9" fontId="0" fillId="0" borderId="0" xfId="4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20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43" fontId="0" fillId="0" borderId="1" xfId="0" applyNumberFormat="1" applyFont="1" applyBorder="1"/>
    <xf numFmtId="0" fontId="20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3" fontId="12" fillId="3" borderId="1" xfId="0" applyNumberFormat="1" applyFont="1" applyFill="1" applyBorder="1" applyAlignment="1">
      <alignment horizontal="left" vertical="center" wrapText="1"/>
    </xf>
    <xf numFmtId="3" fontId="12" fillId="3" borderId="8" xfId="0" applyNumberFormat="1" applyFont="1" applyFill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/>
    </xf>
    <xf numFmtId="43" fontId="35" fillId="0" borderId="60" xfId="2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ont="1" applyFill="1" applyBorder="1" applyAlignment="1">
      <alignment horizontal="center" vertical="center" wrapText="1"/>
    </xf>
    <xf numFmtId="3" fontId="1" fillId="3" borderId="6" xfId="0" applyNumberFormat="1" applyFont="1" applyFill="1" applyBorder="1" applyAlignment="1">
      <alignment horizontal="center" vertical="center"/>
    </xf>
    <xf numFmtId="3" fontId="0" fillId="3" borderId="8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3" fontId="1" fillId="0" borderId="1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  <xf numFmtId="3" fontId="0" fillId="3" borderId="4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43" fontId="7" fillId="0" borderId="0" xfId="2" applyFont="1" applyAlignment="1">
      <alignment horizontal="center" vertical="center"/>
    </xf>
    <xf numFmtId="43" fontId="36" fillId="14" borderId="0" xfId="0" applyNumberFormat="1" applyFont="1" applyFill="1" applyAlignment="1">
      <alignment horizontal="center" vertical="center"/>
    </xf>
    <xf numFmtId="43" fontId="0" fillId="14" borderId="0" xfId="0" applyNumberFormat="1" applyFont="1" applyFill="1"/>
    <xf numFmtId="43" fontId="0" fillId="14" borderId="0" xfId="0" applyNumberFormat="1" applyFont="1" applyFill="1" applyAlignment="1">
      <alignment horizontal="center" vertical="center"/>
    </xf>
    <xf numFmtId="9" fontId="0" fillId="14" borderId="0" xfId="4" applyFont="1" applyFill="1" applyAlignment="1">
      <alignment horizontal="center" vertical="center"/>
    </xf>
    <xf numFmtId="43" fontId="0" fillId="0" borderId="0" xfId="2" applyFont="1" applyAlignment="1">
      <alignment horizontal="center"/>
    </xf>
    <xf numFmtId="43" fontId="0" fillId="14" borderId="0" xfId="0" applyNumberFormat="1" applyFont="1" applyFill="1" applyAlignment="1">
      <alignment horizontal="center"/>
    </xf>
    <xf numFmtId="9" fontId="0" fillId="14" borderId="0" xfId="4" applyFont="1" applyFill="1" applyAlignment="1">
      <alignment horizontal="center"/>
    </xf>
    <xf numFmtId="43" fontId="32" fillId="0" borderId="0" xfId="0" applyNumberFormat="1" applyFont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6" fillId="12" borderId="0" xfId="0" applyFont="1" applyFill="1" applyBorder="1" applyAlignment="1">
      <alignment horizontal="left" vertical="center"/>
    </xf>
    <xf numFmtId="43" fontId="1" fillId="12" borderId="0" xfId="0" applyNumberFormat="1" applyFont="1" applyFill="1"/>
    <xf numFmtId="0" fontId="1" fillId="12" borderId="0" xfId="0" applyFont="1" applyFill="1"/>
    <xf numFmtId="0" fontId="16" fillId="0" borderId="0" xfId="0" applyFont="1" applyFill="1" applyBorder="1" applyAlignment="1">
      <alignment horizontal="left" vertical="center"/>
    </xf>
    <xf numFmtId="0" fontId="36" fillId="0" borderId="0" xfId="0" applyFont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3" fontId="0" fillId="0" borderId="0" xfId="2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4" applyNumberFormat="1" applyFont="1" applyAlignment="1">
      <alignment vertical="center"/>
    </xf>
    <xf numFmtId="167" fontId="36" fillId="0" borderId="0" xfId="2" applyNumberFormat="1" applyFont="1" applyAlignment="1">
      <alignment vertic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38" fontId="0" fillId="7" borderId="0" xfId="0" applyNumberFormat="1" applyFill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8" borderId="0" xfId="0" applyFont="1" applyFill="1" applyAlignment="1">
      <alignment horizontal="left"/>
    </xf>
    <xf numFmtId="0" fontId="13" fillId="8" borderId="0" xfId="0" applyFont="1" applyFill="1" applyAlignment="1">
      <alignment horizontal="center" vertical="center"/>
    </xf>
    <xf numFmtId="38" fontId="0" fillId="8" borderId="0" xfId="0" applyNumberFormat="1" applyFill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3" fontId="13" fillId="0" borderId="1" xfId="0" applyNumberFormat="1" applyFont="1" applyBorder="1" applyAlignment="1">
      <alignment vertical="center" wrapText="1"/>
    </xf>
    <xf numFmtId="38" fontId="7" fillId="7" borderId="0" xfId="0" applyNumberFormat="1" applyFont="1" applyFill="1" applyAlignment="1">
      <alignment horizontal="center" vertical="center"/>
    </xf>
    <xf numFmtId="0" fontId="7" fillId="0" borderId="0" xfId="0" applyFont="1"/>
    <xf numFmtId="0" fontId="20" fillId="0" borderId="1" xfId="0" applyFont="1" applyBorder="1" applyAlignment="1">
      <alignment horizontal="left" vertical="center" wrapText="1"/>
    </xf>
    <xf numFmtId="0" fontId="0" fillId="8" borderId="0" xfId="0" applyFill="1"/>
    <xf numFmtId="0" fontId="0" fillId="3" borderId="0" xfId="0" applyFill="1" applyAlignment="1">
      <alignment horizontal="left" vertical="top" wrapText="1"/>
    </xf>
    <xf numFmtId="0" fontId="0" fillId="3" borderId="0" xfId="0" applyFill="1"/>
    <xf numFmtId="38" fontId="0" fillId="3" borderId="0" xfId="0" applyNumberFormat="1" applyFill="1" applyAlignment="1">
      <alignment horizontal="center" vertical="center"/>
    </xf>
    <xf numFmtId="0" fontId="0" fillId="9" borderId="0" xfId="0" applyFill="1" applyAlignment="1">
      <alignment horizontal="left"/>
    </xf>
    <xf numFmtId="0" fontId="0" fillId="9" borderId="0" xfId="0" applyFill="1"/>
    <xf numFmtId="43" fontId="0" fillId="9" borderId="0" xfId="2" applyFont="1" applyFill="1"/>
    <xf numFmtId="43" fontId="0" fillId="9" borderId="0" xfId="0" applyNumberFormat="1" applyFill="1"/>
    <xf numFmtId="38" fontId="16" fillId="8" borderId="0" xfId="0" applyNumberFormat="1" applyFont="1" applyFill="1" applyAlignment="1">
      <alignment horizontal="center" vertical="center"/>
    </xf>
    <xf numFmtId="38" fontId="0" fillId="0" borderId="0" xfId="0" applyNumberFormat="1" applyFont="1" applyAlignment="1">
      <alignment vertical="center"/>
    </xf>
    <xf numFmtId="0" fontId="1" fillId="10" borderId="0" xfId="0" applyFont="1" applyFill="1" applyAlignment="1">
      <alignment horizontal="left"/>
    </xf>
    <xf numFmtId="0" fontId="1" fillId="10" borderId="0" xfId="0" applyFont="1" applyFill="1"/>
    <xf numFmtId="43" fontId="1" fillId="10" borderId="0" xfId="0" applyNumberFormat="1" applyFont="1" applyFill="1"/>
    <xf numFmtId="38" fontId="0" fillId="0" borderId="0" xfId="0" applyNumberFormat="1"/>
    <xf numFmtId="1" fontId="0" fillId="0" borderId="0" xfId="0" applyNumberFormat="1"/>
    <xf numFmtId="0" fontId="1" fillId="8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8" fontId="0" fillId="0" borderId="0" xfId="0" applyNumberFormat="1" applyFill="1" applyAlignment="1">
      <alignment horizontal="center" vertical="center"/>
    </xf>
    <xf numFmtId="38" fontId="16" fillId="0" borderId="0" xfId="0" applyNumberFormat="1" applyFont="1" applyFill="1" applyAlignment="1">
      <alignment horizontal="center" vertical="center"/>
    </xf>
    <xf numFmtId="43" fontId="0" fillId="0" borderId="0" xfId="2" applyFont="1" applyFill="1"/>
    <xf numFmtId="43" fontId="1" fillId="0" borderId="0" xfId="0" applyNumberFormat="1" applyFont="1" applyFill="1"/>
    <xf numFmtId="165" fontId="0" fillId="0" borderId="0" xfId="0" applyNumberFormat="1" applyFont="1" applyAlignment="1">
      <alignment horizontal="center" vertical="center"/>
    </xf>
    <xf numFmtId="38" fontId="36" fillId="0" borderId="0" xfId="0" applyNumberFormat="1" applyFont="1" applyFill="1" applyAlignment="1">
      <alignment horizontal="center" vertical="center"/>
    </xf>
    <xf numFmtId="38" fontId="0" fillId="0" borderId="0" xfId="0" applyNumberFormat="1" applyFont="1" applyAlignment="1">
      <alignment horizontal="center" vertical="center"/>
    </xf>
    <xf numFmtId="9" fontId="0" fillId="0" borderId="0" xfId="4" applyFont="1" applyAlignment="1">
      <alignment horizontal="center" vertical="center"/>
    </xf>
    <xf numFmtId="10" fontId="0" fillId="19" borderId="0" xfId="4" applyNumberFormat="1" applyFont="1" applyFill="1"/>
    <xf numFmtId="0" fontId="0" fillId="7" borderId="0" xfId="0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/>
    </xf>
    <xf numFmtId="3" fontId="0" fillId="3" borderId="53" xfId="0" applyNumberFormat="1" applyFont="1" applyFill="1" applyBorder="1" applyAlignment="1">
      <alignment horizontal="center" vertical="center" wrapText="1"/>
    </xf>
    <xf numFmtId="3" fontId="0" fillId="3" borderId="39" xfId="0" applyNumberFormat="1" applyFont="1" applyFill="1" applyBorder="1" applyAlignment="1">
      <alignment horizontal="center" vertical="center" wrapText="1"/>
    </xf>
    <xf numFmtId="3" fontId="0" fillId="3" borderId="44" xfId="0" applyNumberFormat="1" applyFont="1" applyFill="1" applyBorder="1" applyAlignment="1">
      <alignment horizontal="center" vertical="center" wrapText="1"/>
    </xf>
    <xf numFmtId="3" fontId="0" fillId="3" borderId="32" xfId="0" applyNumberFormat="1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9" fillId="18" borderId="5" xfId="0" applyFont="1" applyFill="1" applyBorder="1" applyAlignment="1">
      <alignment horizontal="center" vertical="center" textRotation="90"/>
    </xf>
    <xf numFmtId="0" fontId="9" fillId="18" borderId="7" xfId="0" applyFont="1" applyFill="1" applyBorder="1" applyAlignment="1">
      <alignment horizontal="center" vertical="center" textRotation="90"/>
    </xf>
    <xf numFmtId="0" fontId="16" fillId="12" borderId="2" xfId="0" applyFont="1" applyFill="1" applyBorder="1" applyAlignment="1">
      <alignment horizontal="center" vertical="center" textRotation="90"/>
    </xf>
    <xf numFmtId="0" fontId="16" fillId="12" borderId="5" xfId="0" applyFont="1" applyFill="1" applyBorder="1" applyAlignment="1">
      <alignment horizontal="center" vertical="center" textRotation="90"/>
    </xf>
    <xf numFmtId="0" fontId="16" fillId="12" borderId="7" xfId="0" applyFont="1" applyFill="1" applyBorder="1" applyAlignment="1">
      <alignment horizontal="center" vertical="center" textRotation="90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7" fillId="16" borderId="11" xfId="0" applyFont="1" applyFill="1" applyBorder="1" applyAlignment="1">
      <alignment horizontal="left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3" borderId="3" xfId="0" applyNumberFormat="1" applyFont="1" applyFill="1" applyBorder="1" applyAlignment="1">
      <alignment horizontal="center" vertical="center" wrapText="1"/>
    </xf>
    <xf numFmtId="3" fontId="0" fillId="3" borderId="1" xfId="0" applyNumberFormat="1" applyFont="1" applyFill="1" applyBorder="1" applyAlignment="1">
      <alignment horizontal="center" vertical="center" wrapText="1"/>
    </xf>
    <xf numFmtId="3" fontId="0" fillId="3" borderId="8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3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3" fontId="22" fillId="3" borderId="3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 textRotation="90" wrapText="1"/>
    </xf>
    <xf numFmtId="0" fontId="22" fillId="6" borderId="38" xfId="0" applyFont="1" applyFill="1" applyBorder="1" applyAlignment="1">
      <alignment horizontal="center" vertical="center" textRotation="90" wrapText="1"/>
    </xf>
    <xf numFmtId="0" fontId="22" fillId="6" borderId="39" xfId="0" applyFont="1" applyFill="1" applyBorder="1" applyAlignment="1">
      <alignment horizontal="center" vertical="center" textRotation="90" wrapText="1"/>
    </xf>
    <xf numFmtId="0" fontId="22" fillId="6" borderId="44" xfId="0" applyFont="1" applyFill="1" applyBorder="1" applyAlignment="1">
      <alignment horizontal="center" vertical="center" textRotation="90" wrapText="1"/>
    </xf>
    <xf numFmtId="0" fontId="22" fillId="3" borderId="2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horizontal="left" vertical="center" wrapText="1"/>
    </xf>
    <xf numFmtId="0" fontId="22" fillId="15" borderId="8" xfId="0" applyFont="1" applyFill="1" applyBorder="1" applyAlignment="1">
      <alignment horizontal="left" vertical="center" wrapText="1"/>
    </xf>
    <xf numFmtId="0" fontId="12" fillId="16" borderId="45" xfId="0" applyFont="1" applyFill="1" applyBorder="1" applyAlignment="1">
      <alignment horizontal="center" vertical="center"/>
    </xf>
    <xf numFmtId="0" fontId="12" fillId="16" borderId="46" xfId="0" applyFont="1" applyFill="1" applyBorder="1" applyAlignment="1">
      <alignment horizontal="center" vertical="center"/>
    </xf>
    <xf numFmtId="3" fontId="12" fillId="0" borderId="41" xfId="0" applyNumberFormat="1" applyFont="1" applyBorder="1" applyAlignment="1">
      <alignment horizontal="center" vertical="center" wrapText="1"/>
    </xf>
    <xf numFmtId="3" fontId="12" fillId="0" borderId="40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3" fontId="23" fillId="0" borderId="10" xfId="0" applyNumberFormat="1" applyFont="1" applyBorder="1" applyAlignment="1">
      <alignment horizontal="center" vertical="center"/>
    </xf>
    <xf numFmtId="3" fontId="23" fillId="0" borderId="40" xfId="0" applyNumberFormat="1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3" fontId="22" fillId="3" borderId="4" xfId="0" applyNumberFormat="1" applyFont="1" applyFill="1" applyBorder="1" applyAlignment="1">
      <alignment horizontal="center" vertical="center" wrapText="1"/>
    </xf>
    <xf numFmtId="3" fontId="22" fillId="3" borderId="6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16" borderId="49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 textRotation="90"/>
    </xf>
    <xf numFmtId="0" fontId="22" fillId="6" borderId="39" xfId="0" applyFont="1" applyFill="1" applyBorder="1" applyAlignment="1">
      <alignment horizontal="center" vertical="center" textRotation="90"/>
    </xf>
    <xf numFmtId="0" fontId="22" fillId="6" borderId="44" xfId="0" applyFont="1" applyFill="1" applyBorder="1" applyAlignment="1">
      <alignment horizontal="center" vertical="center" textRotation="90"/>
    </xf>
    <xf numFmtId="0" fontId="22" fillId="3" borderId="37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3" fontId="22" fillId="3" borderId="36" xfId="0" applyNumberFormat="1" applyFont="1" applyFill="1" applyBorder="1" applyAlignment="1">
      <alignment horizontal="center" vertical="center"/>
    </xf>
    <xf numFmtId="3" fontId="22" fillId="3" borderId="37" xfId="0" applyNumberFormat="1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horizontal="center" vertical="center" wrapText="1"/>
    </xf>
    <xf numFmtId="0" fontId="22" fillId="15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12" borderId="1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3" fontId="22" fillId="3" borderId="34" xfId="0" applyNumberFormat="1" applyFont="1" applyFill="1" applyBorder="1" applyAlignment="1">
      <alignment horizontal="center" vertical="center"/>
    </xf>
    <xf numFmtId="3" fontId="22" fillId="3" borderId="35" xfId="0" applyNumberFormat="1" applyFont="1" applyFill="1" applyBorder="1" applyAlignment="1">
      <alignment horizontal="center" vertical="center"/>
    </xf>
    <xf numFmtId="3" fontId="23" fillId="0" borderId="40" xfId="1" applyNumberFormat="1" applyFont="1" applyBorder="1" applyAlignment="1">
      <alignment horizontal="center" vertical="center" wrapText="1"/>
    </xf>
    <xf numFmtId="3" fontId="23" fillId="0" borderId="11" xfId="1" applyNumberFormat="1" applyFont="1" applyBorder="1" applyAlignment="1">
      <alignment horizontal="center" vertical="center" wrapText="1"/>
    </xf>
    <xf numFmtId="3" fontId="24" fillId="0" borderId="40" xfId="1" applyNumberFormat="1" applyFont="1" applyBorder="1" applyAlignment="1">
      <alignment horizontal="center" vertical="center" wrapText="1"/>
    </xf>
    <xf numFmtId="3" fontId="24" fillId="0" borderId="11" xfId="1" applyNumberFormat="1" applyFont="1" applyBorder="1" applyAlignment="1">
      <alignment horizontal="center" vertical="center" wrapText="1"/>
    </xf>
    <xf numFmtId="0" fontId="12" fillId="16" borderId="45" xfId="0" applyFont="1" applyFill="1" applyBorder="1" applyAlignment="1">
      <alignment horizontal="center"/>
    </xf>
    <xf numFmtId="0" fontId="12" fillId="16" borderId="46" xfId="0" applyFont="1" applyFill="1" applyBorder="1" applyAlignment="1">
      <alignment horizontal="center"/>
    </xf>
    <xf numFmtId="0" fontId="12" fillId="16" borderId="47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3" fontId="24" fillId="0" borderId="10" xfId="1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3" fontId="22" fillId="0" borderId="40" xfId="0" applyNumberFormat="1" applyFont="1" applyBorder="1" applyAlignment="1">
      <alignment horizontal="center" vertical="center" wrapText="1"/>
    </xf>
    <xf numFmtId="3" fontId="22" fillId="0" borderId="11" xfId="0" applyNumberFormat="1" applyFont="1" applyBorder="1" applyAlignment="1">
      <alignment horizontal="center" vertical="center" wrapText="1"/>
    </xf>
    <xf numFmtId="3" fontId="12" fillId="0" borderId="4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16" borderId="49" xfId="0" applyFont="1" applyFill="1" applyBorder="1" applyAlignment="1">
      <alignment horizontal="center"/>
    </xf>
    <xf numFmtId="0" fontId="12" fillId="16" borderId="50" xfId="0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3" fontId="22" fillId="3" borderId="3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 wrapText="1"/>
    </xf>
    <xf numFmtId="3" fontId="8" fillId="3" borderId="39" xfId="0" applyNumberFormat="1" applyFont="1" applyFill="1" applyBorder="1" applyAlignment="1">
      <alignment horizontal="center" vertical="center" wrapText="1"/>
    </xf>
    <xf numFmtId="3" fontId="8" fillId="3" borderId="44" xfId="0" applyNumberFormat="1" applyFont="1" applyFill="1" applyBorder="1" applyAlignment="1">
      <alignment horizontal="center" vertical="center" wrapText="1"/>
    </xf>
    <xf numFmtId="3" fontId="8" fillId="3" borderId="32" xfId="0" applyNumberFormat="1" applyFont="1" applyFill="1" applyBorder="1" applyAlignment="1">
      <alignment horizontal="center" vertical="center" wrapText="1"/>
    </xf>
  </cellXfs>
  <cellStyles count="6">
    <cellStyle name="Comma" xfId="2" builtinId="3"/>
    <cellStyle name="Comma 6" xfId="3" xr:uid="{AE38E93B-AED9-4F20-B0AD-46E9B873861B}"/>
    <cellStyle name="Normal" xfId="0" builtinId="0"/>
    <cellStyle name="Normal 2 2" xfId="1" xr:uid="{639142D3-7301-4DAA-84FB-D680BDE2592B}"/>
    <cellStyle name="Normal 4" xfId="5" xr:uid="{DDBD46EC-7840-4F3D-8ED1-4FA4BC87D10B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aarproperties-my.sharepoint.com/Finance/Reschedule/Done/Safi%20EXERSISE%200N%20FEB%202012/safi...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ppZ9futm2X9ln5q5XXMBhzfr0zCvF9YE\Desktop\Old%20Sep%20.%202025\Cairo\Up%20Town%20Cairo%20-%202023\2026\Basic%20Scope%20REV%2001\Pricing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ppZ9futm2X9ln5q5XXMBhzfr0zCvF9YE\Desktop\Old%20Sep%20.%202025\Cairo\Up%20Town%20Cairo%20-%202023\2026\Basic%20Scope%20REV%2001\HK%20Budget%20-Basic%20-Commercial%20%20-%20REV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%"/>
      <sheetName val="12%"/>
      <sheetName val="Form"/>
      <sheetName val="6 years"/>
      <sheetName val="Sheet1"/>
      <sheetName val="Sheet2"/>
      <sheetName val="7 years"/>
    </sheetNames>
    <sheetDataSet>
      <sheetData sheetId="0"/>
      <sheetData sheetId="1">
        <row r="6">
          <cell r="A6">
            <v>40940</v>
          </cell>
        </row>
        <row r="7">
          <cell r="A7">
            <v>40969</v>
          </cell>
        </row>
        <row r="8">
          <cell r="A8">
            <v>41000</v>
          </cell>
        </row>
        <row r="9">
          <cell r="A9">
            <v>41030</v>
          </cell>
        </row>
        <row r="10">
          <cell r="A10">
            <v>41061</v>
          </cell>
        </row>
        <row r="11">
          <cell r="A11">
            <v>41091</v>
          </cell>
        </row>
        <row r="12">
          <cell r="A12">
            <v>41122</v>
          </cell>
        </row>
        <row r="13">
          <cell r="A13">
            <v>41153</v>
          </cell>
        </row>
        <row r="14">
          <cell r="A14">
            <v>41183</v>
          </cell>
        </row>
        <row r="15">
          <cell r="A15">
            <v>41214</v>
          </cell>
        </row>
        <row r="16">
          <cell r="A16">
            <v>41244</v>
          </cell>
        </row>
        <row r="17">
          <cell r="A17">
            <v>41275</v>
          </cell>
        </row>
        <row r="18">
          <cell r="A18">
            <v>41306</v>
          </cell>
        </row>
        <row r="19">
          <cell r="A19">
            <v>41334</v>
          </cell>
        </row>
        <row r="20">
          <cell r="A20">
            <v>41365</v>
          </cell>
        </row>
        <row r="21">
          <cell r="A21">
            <v>41395</v>
          </cell>
        </row>
        <row r="22">
          <cell r="A22">
            <v>41426</v>
          </cell>
        </row>
        <row r="23">
          <cell r="A23">
            <v>41456</v>
          </cell>
        </row>
        <row r="24">
          <cell r="A24">
            <v>41487</v>
          </cell>
        </row>
        <row r="25">
          <cell r="A25">
            <v>41518</v>
          </cell>
        </row>
        <row r="26">
          <cell r="A26">
            <v>41548</v>
          </cell>
        </row>
        <row r="27">
          <cell r="A27">
            <v>41579</v>
          </cell>
        </row>
        <row r="28">
          <cell r="A28">
            <v>41609</v>
          </cell>
        </row>
        <row r="29">
          <cell r="A29">
            <v>41640</v>
          </cell>
        </row>
        <row r="30">
          <cell r="A30">
            <v>41671</v>
          </cell>
        </row>
        <row r="31">
          <cell r="A31">
            <v>41699</v>
          </cell>
        </row>
        <row r="32">
          <cell r="A32">
            <v>41730</v>
          </cell>
        </row>
        <row r="33">
          <cell r="A33">
            <v>41760</v>
          </cell>
        </row>
        <row r="34">
          <cell r="A34">
            <v>41791</v>
          </cell>
        </row>
        <row r="35">
          <cell r="A35">
            <v>41821</v>
          </cell>
        </row>
        <row r="36">
          <cell r="A36">
            <v>41852</v>
          </cell>
        </row>
        <row r="37">
          <cell r="A37">
            <v>41883</v>
          </cell>
        </row>
        <row r="38">
          <cell r="A38">
            <v>41913</v>
          </cell>
        </row>
        <row r="39">
          <cell r="A39">
            <v>41944</v>
          </cell>
        </row>
        <row r="40">
          <cell r="A40">
            <v>41974</v>
          </cell>
        </row>
        <row r="41">
          <cell r="A41">
            <v>42005</v>
          </cell>
        </row>
        <row r="42">
          <cell r="A42">
            <v>42036</v>
          </cell>
        </row>
        <row r="43">
          <cell r="A43">
            <v>42064</v>
          </cell>
        </row>
        <row r="44">
          <cell r="A44">
            <v>42095</v>
          </cell>
        </row>
        <row r="45">
          <cell r="A45">
            <v>42125</v>
          </cell>
        </row>
        <row r="46">
          <cell r="A46">
            <v>42156</v>
          </cell>
        </row>
        <row r="47">
          <cell r="A47">
            <v>42186</v>
          </cell>
        </row>
        <row r="48">
          <cell r="A48">
            <v>42217</v>
          </cell>
        </row>
        <row r="49">
          <cell r="A49">
            <v>42248</v>
          </cell>
        </row>
        <row r="50">
          <cell r="A50">
            <v>42278</v>
          </cell>
        </row>
        <row r="51">
          <cell r="A51">
            <v>42309</v>
          </cell>
        </row>
        <row r="52">
          <cell r="A52">
            <v>42339</v>
          </cell>
        </row>
        <row r="53">
          <cell r="A53">
            <v>42370</v>
          </cell>
        </row>
        <row r="54">
          <cell r="A54">
            <v>42401</v>
          </cell>
        </row>
        <row r="55">
          <cell r="A55">
            <v>42430</v>
          </cell>
        </row>
        <row r="56">
          <cell r="A56">
            <v>42461</v>
          </cell>
        </row>
        <row r="57">
          <cell r="A57">
            <v>42491</v>
          </cell>
        </row>
        <row r="58">
          <cell r="A58">
            <v>42522</v>
          </cell>
        </row>
        <row r="59">
          <cell r="A59">
            <v>42552</v>
          </cell>
        </row>
        <row r="60">
          <cell r="A60">
            <v>42583</v>
          </cell>
        </row>
        <row r="61">
          <cell r="A61">
            <v>42614</v>
          </cell>
        </row>
        <row r="62">
          <cell r="A62">
            <v>42644</v>
          </cell>
        </row>
        <row r="63">
          <cell r="A63">
            <v>42675</v>
          </cell>
        </row>
        <row r="64">
          <cell r="A64">
            <v>42705</v>
          </cell>
        </row>
        <row r="65">
          <cell r="A65">
            <v>42736</v>
          </cell>
        </row>
        <row r="66">
          <cell r="A66">
            <v>42767</v>
          </cell>
        </row>
        <row r="67">
          <cell r="A67">
            <v>42795</v>
          </cell>
        </row>
        <row r="68">
          <cell r="A68">
            <v>42826</v>
          </cell>
        </row>
        <row r="69">
          <cell r="A69">
            <v>42856</v>
          </cell>
        </row>
        <row r="70">
          <cell r="A70">
            <v>42887</v>
          </cell>
        </row>
        <row r="71">
          <cell r="A71">
            <v>42917</v>
          </cell>
        </row>
        <row r="72">
          <cell r="A72">
            <v>42948</v>
          </cell>
        </row>
        <row r="73">
          <cell r="A73">
            <v>42979</v>
          </cell>
        </row>
        <row r="74">
          <cell r="A74">
            <v>43009</v>
          </cell>
        </row>
        <row r="75">
          <cell r="A75">
            <v>43040</v>
          </cell>
        </row>
        <row r="76">
          <cell r="A76">
            <v>43070</v>
          </cell>
        </row>
        <row r="77">
          <cell r="A77">
            <v>43101</v>
          </cell>
        </row>
        <row r="78">
          <cell r="A78">
            <v>43132</v>
          </cell>
        </row>
        <row r="79">
          <cell r="A79">
            <v>43160</v>
          </cell>
        </row>
        <row r="80">
          <cell r="A80">
            <v>43191</v>
          </cell>
        </row>
        <row r="81">
          <cell r="A81">
            <v>43221</v>
          </cell>
        </row>
        <row r="82">
          <cell r="A82">
            <v>43252</v>
          </cell>
        </row>
        <row r="83">
          <cell r="A83">
            <v>43282</v>
          </cell>
        </row>
        <row r="84">
          <cell r="A84">
            <v>43313</v>
          </cell>
        </row>
        <row r="85">
          <cell r="A85">
            <v>43344</v>
          </cell>
        </row>
        <row r="86">
          <cell r="A86">
            <v>43374</v>
          </cell>
        </row>
        <row r="87">
          <cell r="A87">
            <v>43405</v>
          </cell>
        </row>
        <row r="88">
          <cell r="A88">
            <v>43435</v>
          </cell>
        </row>
        <row r="89">
          <cell r="A89">
            <v>43466</v>
          </cell>
        </row>
        <row r="90">
          <cell r="A90">
            <v>43497</v>
          </cell>
        </row>
        <row r="91">
          <cell r="A91">
            <v>43525</v>
          </cell>
        </row>
        <row r="92">
          <cell r="A92">
            <v>43556</v>
          </cell>
        </row>
        <row r="93">
          <cell r="A93">
            <v>43586</v>
          </cell>
        </row>
        <row r="94">
          <cell r="A94">
            <v>43617</v>
          </cell>
        </row>
        <row r="95">
          <cell r="A95">
            <v>43647</v>
          </cell>
        </row>
        <row r="96">
          <cell r="A96">
            <v>43678</v>
          </cell>
        </row>
        <row r="97">
          <cell r="A97">
            <v>43709</v>
          </cell>
        </row>
        <row r="98">
          <cell r="A98">
            <v>43739</v>
          </cell>
        </row>
        <row r="99">
          <cell r="A99">
            <v>43770</v>
          </cell>
        </row>
        <row r="100">
          <cell r="A100">
            <v>43800</v>
          </cell>
        </row>
        <row r="101">
          <cell r="A101">
            <v>43831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 item"/>
      <sheetName val="Items Pricelist"/>
      <sheetName val="Unit rates"/>
    </sheetNames>
    <sheetDataSet>
      <sheetData sheetId="0">
        <row r="5">
          <cell r="B5">
            <v>60000</v>
          </cell>
        </row>
        <row r="6">
          <cell r="B6">
            <v>35000</v>
          </cell>
        </row>
        <row r="7">
          <cell r="B7">
            <v>45000</v>
          </cell>
        </row>
        <row r="8">
          <cell r="B8">
            <v>11150</v>
          </cell>
        </row>
        <row r="9">
          <cell r="B9">
            <v>450</v>
          </cell>
        </row>
        <row r="10">
          <cell r="B10">
            <v>500</v>
          </cell>
        </row>
        <row r="11">
          <cell r="B11">
            <v>600</v>
          </cell>
        </row>
        <row r="16">
          <cell r="B16">
            <v>8000</v>
          </cell>
        </row>
        <row r="17">
          <cell r="B17">
            <v>150</v>
          </cell>
        </row>
      </sheetData>
      <sheetData sheetId="1" refreshError="1">
        <row r="2">
          <cell r="D2">
            <v>41</v>
          </cell>
        </row>
        <row r="3">
          <cell r="D3">
            <v>41</v>
          </cell>
        </row>
        <row r="4">
          <cell r="D4">
            <v>41</v>
          </cell>
        </row>
        <row r="5">
          <cell r="D5">
            <v>41</v>
          </cell>
        </row>
        <row r="6">
          <cell r="D6">
            <v>14000</v>
          </cell>
        </row>
        <row r="7">
          <cell r="D7">
            <v>790</v>
          </cell>
        </row>
        <row r="8">
          <cell r="D8">
            <v>12000</v>
          </cell>
        </row>
        <row r="9">
          <cell r="D9">
            <v>590</v>
          </cell>
        </row>
        <row r="10">
          <cell r="D10">
            <v>3500</v>
          </cell>
        </row>
        <row r="11">
          <cell r="D11">
            <v>900</v>
          </cell>
        </row>
        <row r="12">
          <cell r="D12">
            <v>189</v>
          </cell>
        </row>
        <row r="13">
          <cell r="D13">
            <v>114</v>
          </cell>
        </row>
        <row r="14">
          <cell r="D14">
            <v>550</v>
          </cell>
        </row>
        <row r="15">
          <cell r="D15">
            <v>450</v>
          </cell>
        </row>
        <row r="16">
          <cell r="D16">
            <v>72</v>
          </cell>
        </row>
        <row r="17">
          <cell r="D17">
            <v>11000</v>
          </cell>
        </row>
        <row r="18">
          <cell r="D18">
            <v>100</v>
          </cell>
        </row>
        <row r="19">
          <cell r="D19">
            <v>195</v>
          </cell>
        </row>
        <row r="20">
          <cell r="D20">
            <v>800</v>
          </cell>
        </row>
        <row r="21">
          <cell r="D21">
            <v>2800</v>
          </cell>
        </row>
        <row r="22">
          <cell r="D22">
            <v>40</v>
          </cell>
        </row>
        <row r="23">
          <cell r="D23">
            <v>250</v>
          </cell>
        </row>
        <row r="24">
          <cell r="D24">
            <v>375</v>
          </cell>
        </row>
        <row r="25">
          <cell r="D25">
            <v>975</v>
          </cell>
        </row>
        <row r="26">
          <cell r="D26">
            <v>1950</v>
          </cell>
        </row>
        <row r="27">
          <cell r="D27">
            <v>1590</v>
          </cell>
        </row>
        <row r="28">
          <cell r="D28">
            <v>3190</v>
          </cell>
        </row>
        <row r="29">
          <cell r="D29">
            <v>2628</v>
          </cell>
        </row>
        <row r="30">
          <cell r="D30">
            <v>2650</v>
          </cell>
        </row>
        <row r="31">
          <cell r="D31">
            <v>1590</v>
          </cell>
        </row>
        <row r="32">
          <cell r="D32">
            <v>3120</v>
          </cell>
        </row>
        <row r="33">
          <cell r="D33">
            <v>160</v>
          </cell>
        </row>
        <row r="34">
          <cell r="D34">
            <v>1500</v>
          </cell>
        </row>
        <row r="35">
          <cell r="D35">
            <v>575</v>
          </cell>
        </row>
        <row r="36">
          <cell r="D36">
            <v>130</v>
          </cell>
        </row>
        <row r="37">
          <cell r="D37">
            <v>95</v>
          </cell>
        </row>
        <row r="38">
          <cell r="D38">
            <v>35</v>
          </cell>
        </row>
        <row r="39">
          <cell r="D39">
            <v>700</v>
          </cell>
        </row>
        <row r="40">
          <cell r="D40">
            <v>35</v>
          </cell>
        </row>
        <row r="41">
          <cell r="D41">
            <v>42</v>
          </cell>
        </row>
        <row r="42">
          <cell r="D42">
            <v>28</v>
          </cell>
        </row>
        <row r="43">
          <cell r="D43">
            <v>75</v>
          </cell>
        </row>
        <row r="44">
          <cell r="D44">
            <v>38</v>
          </cell>
        </row>
        <row r="45">
          <cell r="D45">
            <v>370</v>
          </cell>
        </row>
        <row r="46">
          <cell r="D46">
            <v>38</v>
          </cell>
        </row>
        <row r="47">
          <cell r="D47">
            <v>39</v>
          </cell>
        </row>
        <row r="48">
          <cell r="D48">
            <v>27</v>
          </cell>
        </row>
        <row r="49">
          <cell r="D49">
            <v>17</v>
          </cell>
        </row>
        <row r="50">
          <cell r="D50">
            <v>17</v>
          </cell>
        </row>
        <row r="51">
          <cell r="D51">
            <v>390</v>
          </cell>
        </row>
        <row r="52">
          <cell r="D52">
            <v>390</v>
          </cell>
        </row>
        <row r="53">
          <cell r="D53">
            <v>390</v>
          </cell>
        </row>
        <row r="54">
          <cell r="D54">
            <v>88</v>
          </cell>
        </row>
        <row r="55">
          <cell r="D55">
            <v>28</v>
          </cell>
        </row>
        <row r="56">
          <cell r="D56">
            <v>74</v>
          </cell>
        </row>
        <row r="57">
          <cell r="D57">
            <v>500</v>
          </cell>
        </row>
        <row r="58">
          <cell r="D58">
            <v>188</v>
          </cell>
        </row>
        <row r="59">
          <cell r="D59">
            <v>300</v>
          </cell>
        </row>
        <row r="60">
          <cell r="D60">
            <v>60</v>
          </cell>
        </row>
        <row r="61">
          <cell r="D61">
            <v>475</v>
          </cell>
        </row>
        <row r="62">
          <cell r="D62">
            <v>55</v>
          </cell>
        </row>
        <row r="63">
          <cell r="D63">
            <v>115</v>
          </cell>
        </row>
        <row r="64">
          <cell r="D64">
            <v>176</v>
          </cell>
        </row>
        <row r="65">
          <cell r="D65">
            <v>20</v>
          </cell>
        </row>
        <row r="66">
          <cell r="D66">
            <v>42</v>
          </cell>
        </row>
        <row r="67">
          <cell r="D67">
            <v>106</v>
          </cell>
        </row>
        <row r="68">
          <cell r="D68">
            <v>90</v>
          </cell>
        </row>
        <row r="69">
          <cell r="D69">
            <v>175</v>
          </cell>
        </row>
        <row r="70">
          <cell r="D70">
            <v>5</v>
          </cell>
        </row>
        <row r="71">
          <cell r="D71">
            <v>56</v>
          </cell>
        </row>
        <row r="72">
          <cell r="D72">
            <v>25</v>
          </cell>
        </row>
        <row r="73">
          <cell r="D73">
            <v>195</v>
          </cell>
        </row>
        <row r="75">
          <cell r="D75">
            <v>67</v>
          </cell>
        </row>
        <row r="76">
          <cell r="D76">
            <v>28</v>
          </cell>
        </row>
      </sheetData>
      <sheetData sheetId="2">
        <row r="10">
          <cell r="D10">
            <v>380000</v>
          </cell>
        </row>
        <row r="24">
          <cell r="D24">
            <v>200000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"/>
      <sheetName val="Commercial Scope"/>
      <sheetName val="BOQ A"/>
      <sheetName val="Per Zone"/>
      <sheetName val="Items Pricelist"/>
      <sheetName val="Unit rates"/>
      <sheetName val="Per Service"/>
      <sheetName val="HK Budget (2)"/>
      <sheetName val="Other Cost"/>
      <sheetName val="Manpower Cost"/>
      <sheetName val="Equipment &amp; Tools Cost"/>
      <sheetName val="Consumables Cost "/>
      <sheetName val="Transportation Cost"/>
      <sheetName val="Mobilization &amp; Over Head"/>
      <sheetName val="Facades Cleaning Cost"/>
      <sheetName val="BOQ Zone A Equipment"/>
      <sheetName val="Manpower CTC"/>
      <sheetName val="Maning"/>
      <sheetName val="BOQ Zone A Manpower"/>
      <sheetName val="BOQ Zone A"/>
      <sheetName val="Equipment&amp; Tools"/>
    </sheetNames>
    <sheetDataSet>
      <sheetData sheetId="0" refreshError="1"/>
      <sheetData sheetId="1">
        <row r="6">
          <cell r="C6">
            <v>15450.99122907423</v>
          </cell>
        </row>
      </sheetData>
      <sheetData sheetId="2">
        <row r="3">
          <cell r="G3">
            <v>87703.613361244876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>
        <row r="7">
          <cell r="F7">
            <v>4166.666666666667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C45B-64F4-4631-9824-03C9E46A4E64}">
  <dimension ref="B3:W53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ColWidth="8.90625" defaultRowHeight="14.5" x14ac:dyDescent="0.35"/>
  <cols>
    <col min="1" max="1" width="8.90625" style="72"/>
    <col min="2" max="2" width="57.08984375" style="72" bestFit="1" customWidth="1"/>
    <col min="3" max="3" width="18.6328125" style="74" customWidth="1"/>
    <col min="4" max="4" width="24.08984375" style="72" customWidth="1"/>
    <col min="5" max="5" width="14.1796875" style="72" bestFit="1" customWidth="1"/>
    <col min="6" max="6" width="13.54296875" style="72" bestFit="1" customWidth="1"/>
    <col min="7" max="8" width="8.90625" style="72"/>
    <col min="9" max="22" width="23.81640625" style="72" customWidth="1"/>
    <col min="23" max="16384" width="8.90625" style="72"/>
  </cols>
  <sheetData>
    <row r="3" spans="2:22" x14ac:dyDescent="0.35">
      <c r="B3" s="394" t="s">
        <v>225</v>
      </c>
      <c r="C3" s="318"/>
      <c r="D3" s="318"/>
    </row>
    <row r="4" spans="2:22" s="369" customFormat="1" ht="29" x14ac:dyDescent="0.35">
      <c r="B4" s="322" t="s">
        <v>226</v>
      </c>
      <c r="C4" s="323"/>
      <c r="D4" s="324" t="s">
        <v>230</v>
      </c>
      <c r="I4" s="325" t="s">
        <v>145</v>
      </c>
      <c r="J4" s="326" t="s">
        <v>146</v>
      </c>
      <c r="K4" s="326" t="s">
        <v>147</v>
      </c>
      <c r="L4" s="326" t="s">
        <v>148</v>
      </c>
      <c r="M4" s="326" t="s">
        <v>149</v>
      </c>
      <c r="N4" s="326" t="s">
        <v>150</v>
      </c>
      <c r="O4" s="326" t="s">
        <v>151</v>
      </c>
      <c r="P4" s="326" t="s">
        <v>152</v>
      </c>
      <c r="Q4" s="326" t="s">
        <v>153</v>
      </c>
      <c r="R4" s="326" t="s">
        <v>154</v>
      </c>
      <c r="S4" s="326" t="s">
        <v>155</v>
      </c>
      <c r="T4" s="326" t="s">
        <v>156</v>
      </c>
      <c r="U4" s="326" t="s">
        <v>157</v>
      </c>
      <c r="V4" s="327" t="s">
        <v>339</v>
      </c>
    </row>
    <row r="5" spans="2:22" x14ac:dyDescent="0.35">
      <c r="B5" s="315"/>
      <c r="C5" s="265"/>
      <c r="D5" s="319"/>
      <c r="I5" s="370"/>
    </row>
    <row r="6" spans="2:22" s="371" customFormat="1" x14ac:dyDescent="0.35">
      <c r="B6" s="70" t="s">
        <v>442</v>
      </c>
      <c r="C6" s="320"/>
      <c r="D6" s="313">
        <f>'Manpower Cost'!F16</f>
        <v>1251640</v>
      </c>
      <c r="F6" s="372">
        <f>D6-(I6+J6+K6+L6+M6+N6+O6+P6+Q6+R6+S6+T6+U6+V6)</f>
        <v>0</v>
      </c>
      <c r="I6" s="373">
        <f>'Manpower Cost'!L16</f>
        <v>209286.44799054373</v>
      </c>
      <c r="J6" s="373">
        <f>'Manpower Cost'!N16</f>
        <v>105385.5378250591</v>
      </c>
      <c r="K6" s="373">
        <f>'Manpower Cost'!P16</f>
        <v>110169.33806146572</v>
      </c>
      <c r="L6" s="373">
        <f>'Manpower Cost'!R16</f>
        <v>204832.56501182032</v>
      </c>
      <c r="M6" s="373">
        <f>'Manpower Cost'!T16</f>
        <v>49635.277777777781</v>
      </c>
      <c r="N6" s="373">
        <f>'Manpower Cost'!V16</f>
        <v>37223.650793650791</v>
      </c>
      <c r="O6" s="373">
        <f>'Manpower Cost'!X16</f>
        <v>27917.738095238095</v>
      </c>
      <c r="P6" s="373">
        <f>'Manpower Cost'!Z16</f>
        <v>36447.222222222219</v>
      </c>
      <c r="Q6" s="373">
        <f>'Manpower Cost'!AB16</f>
        <v>36447.222222222219</v>
      </c>
      <c r="R6" s="373">
        <f>'Manpower Cost'!AD16</f>
        <v>99270.555555555562</v>
      </c>
      <c r="S6" s="373">
        <f>'Manpower Cost'!AF16</f>
        <v>9111.8055555555547</v>
      </c>
      <c r="T6" s="373">
        <f>'Manpower Cost'!AH16</f>
        <v>54670.833333333336</v>
      </c>
      <c r="U6" s="373">
        <f>'Manpower Cost'!AJ16</f>
        <v>9111.8055555555547</v>
      </c>
      <c r="V6" s="373">
        <f>'Manpower Cost'!AL16</f>
        <v>262130</v>
      </c>
    </row>
    <row r="7" spans="2:22" s="371" customFormat="1" x14ac:dyDescent="0.35">
      <c r="B7" s="70" t="s">
        <v>443</v>
      </c>
      <c r="C7" s="320"/>
      <c r="D7" s="313">
        <f>'Equipment &amp; Tools Cost'!G52</f>
        <v>448150.27777777781</v>
      </c>
      <c r="F7" s="372">
        <f t="shared" ref="F7:F18" si="0">D7-(I7+J7+K7+L7+M7+N7+O7+P7+Q7+R7+S7+T7+U7+V7)</f>
        <v>0</v>
      </c>
      <c r="I7" s="373">
        <f>'Equipment &amp; Tools Cost'!M52</f>
        <v>75883.604173090775</v>
      </c>
      <c r="J7" s="373">
        <f>'Equipment &amp; Tools Cost'!O52</f>
        <v>40131.834207009953</v>
      </c>
      <c r="K7" s="373">
        <f>'Equipment &amp; Tools Cost'!Q52</f>
        <v>41549.942440127437</v>
      </c>
      <c r="L7" s="373">
        <f>'Equipment &amp; Tools Cost'!S52</f>
        <v>73702.85589474767</v>
      </c>
      <c r="M7" s="373">
        <f>'Equipment &amp; Tools Cost'!U52</f>
        <v>16526.183574879229</v>
      </c>
      <c r="N7" s="373">
        <f>'Equipment &amp; Tools Cost'!W52</f>
        <v>13030.72463768116</v>
      </c>
      <c r="O7" s="373">
        <f>'Equipment &amp; Tools Cost'!Y52</f>
        <v>10375.265700483091</v>
      </c>
      <c r="P7" s="373">
        <f>'Equipment &amp; Tools Cost'!AA52</f>
        <v>12655.72463768116</v>
      </c>
      <c r="Q7" s="373">
        <f>'Equipment &amp; Tools Cost'!AC52</f>
        <v>11905.72463768116</v>
      </c>
      <c r="R7" s="373">
        <f>'Equipment &amp; Tools Cost'!AE52</f>
        <v>35356.256038647341</v>
      </c>
      <c r="S7" s="373">
        <f>'Equipment &amp; Tools Cost'!AG52</f>
        <v>4262.68115942029</v>
      </c>
      <c r="T7" s="373">
        <f>'Equipment &amp; Tools Cost'!AI52</f>
        <v>15687.753623188406</v>
      </c>
      <c r="U7" s="373">
        <f>'Equipment &amp; Tools Cost'!AK52</f>
        <v>3044.6256038647339</v>
      </c>
      <c r="V7" s="373">
        <f>'Equipment &amp; Tools Cost'!AM52</f>
        <v>94037.10144927536</v>
      </c>
    </row>
    <row r="8" spans="2:22" s="371" customFormat="1" x14ac:dyDescent="0.35">
      <c r="B8" s="70" t="s">
        <v>444</v>
      </c>
      <c r="C8" s="320"/>
      <c r="D8" s="313">
        <f>'Consumables Cost '!G33</f>
        <v>71385</v>
      </c>
      <c r="F8" s="372">
        <f t="shared" si="0"/>
        <v>0</v>
      </c>
      <c r="I8" s="373">
        <f>'Consumables Cost '!M33</f>
        <v>10000</v>
      </c>
      <c r="J8" s="373">
        <f>'Consumables Cost '!O33</f>
        <v>5150</v>
      </c>
      <c r="K8" s="373">
        <f>'Consumables Cost '!Q33</f>
        <v>5850</v>
      </c>
      <c r="L8" s="373">
        <f>'Consumables Cost '!S33</f>
        <v>10150</v>
      </c>
      <c r="M8" s="373">
        <f>'Consumables Cost '!U33</f>
        <v>2175</v>
      </c>
      <c r="N8" s="373">
        <f>'Consumables Cost '!W33</f>
        <v>1750</v>
      </c>
      <c r="O8" s="373">
        <f>'Consumables Cost '!Y33</f>
        <v>1750</v>
      </c>
      <c r="P8" s="373">
        <f>'Consumables Cost '!AA33</f>
        <v>1750</v>
      </c>
      <c r="Q8" s="373">
        <f>'Consumables Cost '!AC33</f>
        <v>2125</v>
      </c>
      <c r="R8" s="373">
        <f>'Consumables Cost '!AE33</f>
        <v>12725</v>
      </c>
      <c r="S8" s="373">
        <f>'Consumables Cost '!AG33</f>
        <v>870</v>
      </c>
      <c r="T8" s="373">
        <f>'Consumables Cost '!AI33</f>
        <v>2225</v>
      </c>
      <c r="U8" s="373">
        <f>'Consumables Cost '!AK33</f>
        <v>340</v>
      </c>
      <c r="V8" s="373">
        <f>'Consumables Cost '!AM33</f>
        <v>14525</v>
      </c>
    </row>
    <row r="9" spans="2:22" s="371" customFormat="1" x14ac:dyDescent="0.35">
      <c r="B9" s="70" t="s">
        <v>445</v>
      </c>
      <c r="C9" s="320"/>
      <c r="D9" s="313">
        <f>'Transportation Cost'!G14</f>
        <v>369000</v>
      </c>
      <c r="F9" s="372">
        <f t="shared" si="0"/>
        <v>0</v>
      </c>
      <c r="I9" s="373">
        <f>'Transportation Cost'!M14</f>
        <v>62182.701202590193</v>
      </c>
      <c r="J9" s="373">
        <f>'Transportation Cost'!O14</f>
        <v>31347.363552266419</v>
      </c>
      <c r="K9" s="373">
        <f>'Transportation Cost'!Q14</f>
        <v>32997.224791859393</v>
      </c>
      <c r="L9" s="373">
        <f>'Transportation Cost'!S14</f>
        <v>60646.623496762259</v>
      </c>
      <c r="M9" s="373">
        <f>'Transportation Cost'!U14</f>
        <v>13369.565217391304</v>
      </c>
      <c r="N9" s="373">
        <f>'Transportation Cost'!W14</f>
        <v>10695.652173913044</v>
      </c>
      <c r="O9" s="373">
        <f>'Transportation Cost'!Y14</f>
        <v>8021.7391304347821</v>
      </c>
      <c r="P9" s="373">
        <f>'Transportation Cost'!AA14</f>
        <v>10695.652173913044</v>
      </c>
      <c r="Q9" s="373">
        <f>'Transportation Cost'!AC14</f>
        <v>10695.652173913044</v>
      </c>
      <c r="R9" s="373">
        <f>'Transportation Cost'!AE14</f>
        <v>26739.130434782608</v>
      </c>
      <c r="S9" s="373">
        <f>'Transportation Cost'!AG14</f>
        <v>2673.913043478261</v>
      </c>
      <c r="T9" s="373">
        <f>'Transportation Cost'!AI14</f>
        <v>16043.478260869564</v>
      </c>
      <c r="U9" s="373">
        <f>'Transportation Cost'!AK14</f>
        <v>2673.913043478261</v>
      </c>
      <c r="V9" s="373">
        <f>'Transportation Cost'!AM14</f>
        <v>80217.391304347839</v>
      </c>
    </row>
    <row r="10" spans="2:22" s="371" customFormat="1" x14ac:dyDescent="0.35">
      <c r="B10" s="70" t="s">
        <v>446</v>
      </c>
      <c r="C10" s="320"/>
      <c r="D10" s="313">
        <f>'Mobilization &amp; Over Head Cost'!G14</f>
        <v>34444.444444444445</v>
      </c>
      <c r="F10" s="372">
        <f>D10-(I10+J10+K10+L10+M10+N10+O10+P10+Q10+R10+S10+T10+U10+V10)</f>
        <v>0</v>
      </c>
      <c r="I10" s="373">
        <f>'Mobilization &amp; Over Head Cost'!M14</f>
        <v>5804.4677424880938</v>
      </c>
      <c r="J10" s="373">
        <f>'Mobilization &amp; Over Head Cost'!O14</f>
        <v>2926.1314968993047</v>
      </c>
      <c r="K10" s="373">
        <f>'Mobilization &amp; Over Head Cost'!Q14</f>
        <v>3080.1384177887417</v>
      </c>
      <c r="L10" s="373">
        <f>'Mobilization &amp; Over Head Cost'!S14</f>
        <v>5661.0819885565488</v>
      </c>
      <c r="M10" s="373">
        <f>'Mobilization &amp; Over Head Cost'!U14</f>
        <v>1247.9871175523349</v>
      </c>
      <c r="N10" s="373">
        <f>'Mobilization &amp; Over Head Cost'!W14</f>
        <v>998.3896940418681</v>
      </c>
      <c r="O10" s="373">
        <f>'Mobilization &amp; Over Head Cost'!Y14</f>
        <v>748.79227053140096</v>
      </c>
      <c r="P10" s="373">
        <f>'Mobilization &amp; Over Head Cost'!AA14</f>
        <v>998.3896940418681</v>
      </c>
      <c r="Q10" s="373">
        <f>'Mobilization &amp; Over Head Cost'!AC14</f>
        <v>998.3896940418681</v>
      </c>
      <c r="R10" s="373">
        <f>'Mobilization &amp; Over Head Cost'!AE14</f>
        <v>2495.9742351046698</v>
      </c>
      <c r="S10" s="373">
        <f>'Mobilization &amp; Over Head Cost'!AG14</f>
        <v>249.59742351046702</v>
      </c>
      <c r="T10" s="373">
        <f>'Mobilization &amp; Over Head Cost'!AI14</f>
        <v>1497.5845410628019</v>
      </c>
      <c r="U10" s="373">
        <f>'Mobilization &amp; Over Head Cost'!AK14</f>
        <v>249.59742351046702</v>
      </c>
      <c r="V10" s="373">
        <f>'Mobilization &amp; Over Head Cost'!AM14</f>
        <v>7487.9227053140103</v>
      </c>
    </row>
    <row r="11" spans="2:22" s="371" customFormat="1" x14ac:dyDescent="0.35">
      <c r="B11" s="70" t="s">
        <v>495</v>
      </c>
      <c r="C11" s="320"/>
      <c r="D11" s="313">
        <f>'Others Cost '!G12</f>
        <v>37500</v>
      </c>
      <c r="F11" s="372">
        <f>D11-(I11+J11+K11+L11+M11+N11+O11+P11+Q11+R11+S11+T11+U11+V11)</f>
        <v>0</v>
      </c>
      <c r="I11" s="373">
        <f>'Others Cost '!M12</f>
        <v>6319.3802035152639</v>
      </c>
      <c r="J11" s="373">
        <f>'Others Cost '!O12</f>
        <v>3185.7076780758562</v>
      </c>
      <c r="K11" s="373">
        <f>'Others Cost '!Q12</f>
        <v>3353.3765032377432</v>
      </c>
      <c r="L11" s="373">
        <f>'Others Cost '!S12</f>
        <v>6163.2747456059205</v>
      </c>
      <c r="M11" s="373">
        <f>'Others Cost '!U12</f>
        <v>1358.695652173913</v>
      </c>
      <c r="N11" s="373">
        <f>'Others Cost '!W12</f>
        <v>1086.9565217391305</v>
      </c>
      <c r="O11" s="373">
        <f>'Others Cost '!Y12</f>
        <v>815.21739130434787</v>
      </c>
      <c r="P11" s="373">
        <f>'Others Cost '!AA12</f>
        <v>1086.9565217391305</v>
      </c>
      <c r="Q11" s="373">
        <f>'Others Cost '!AC12</f>
        <v>1086.9565217391305</v>
      </c>
      <c r="R11" s="373">
        <f>'Others Cost '!AE12</f>
        <v>2717.391304347826</v>
      </c>
      <c r="S11" s="373">
        <f>'Others Cost '!AG12</f>
        <v>271.73913043478262</v>
      </c>
      <c r="T11" s="373">
        <f>'Others Cost '!AI12</f>
        <v>1630.4347826086957</v>
      </c>
      <c r="U11" s="373">
        <f>'Others Cost '!AK12</f>
        <v>271.73913043478262</v>
      </c>
      <c r="V11" s="373">
        <f>'Others Cost '!AM12</f>
        <v>8152.173913043478</v>
      </c>
    </row>
    <row r="12" spans="2:22" s="371" customFormat="1" x14ac:dyDescent="0.35">
      <c r="B12" s="70" t="s">
        <v>457</v>
      </c>
      <c r="C12" s="320"/>
      <c r="D12" s="313">
        <f>'Facades Cleaning Cost'!G14</f>
        <v>134750</v>
      </c>
      <c r="F12" s="372">
        <f>D12-(I12+J12+K12+L12+M12+N12+O12+P12+Q12+R12+S12+T12+U12+V12)</f>
        <v>0</v>
      </c>
      <c r="I12" s="373">
        <f>'Facades Cleaning Cost'!M14</f>
        <v>63250</v>
      </c>
      <c r="J12" s="373">
        <f>'Facades Cleaning Cost'!O14</f>
        <v>14625</v>
      </c>
      <c r="K12" s="373">
        <f>'Facades Cleaning Cost'!Q14</f>
        <v>11375</v>
      </c>
      <c r="L12" s="373">
        <f>'Facades Cleaning Cost'!S14</f>
        <v>45500</v>
      </c>
      <c r="M12" s="373"/>
      <c r="N12" s="373"/>
      <c r="O12" s="373"/>
      <c r="P12" s="373"/>
      <c r="Q12" s="373"/>
      <c r="R12" s="373"/>
      <c r="S12" s="373"/>
      <c r="T12" s="373"/>
      <c r="U12" s="373"/>
      <c r="V12" s="373"/>
    </row>
    <row r="13" spans="2:22" s="374" customFormat="1" x14ac:dyDescent="0.35">
      <c r="B13" s="362" t="s">
        <v>234</v>
      </c>
      <c r="C13" s="363"/>
      <c r="D13" s="364">
        <f>SUM(D6:D12)</f>
        <v>2346869.7222222225</v>
      </c>
      <c r="F13" s="372">
        <f t="shared" si="0"/>
        <v>0</v>
      </c>
      <c r="I13" s="364">
        <f>SUM(I6:I12)</f>
        <v>432726.60131222807</v>
      </c>
      <c r="J13" s="364">
        <f t="shared" ref="J13:V13" si="1">SUM(J6:J12)</f>
        <v>202751.57475931061</v>
      </c>
      <c r="K13" s="364">
        <f t="shared" si="1"/>
        <v>208375.02021447907</v>
      </c>
      <c r="L13" s="364">
        <f t="shared" si="1"/>
        <v>406656.40113749274</v>
      </c>
      <c r="M13" s="364">
        <f t="shared" si="1"/>
        <v>84312.709339774548</v>
      </c>
      <c r="N13" s="364">
        <f t="shared" si="1"/>
        <v>64785.373821025991</v>
      </c>
      <c r="O13" s="364">
        <f t="shared" si="1"/>
        <v>49628.752587991716</v>
      </c>
      <c r="P13" s="364">
        <f t="shared" si="1"/>
        <v>63633.945249597426</v>
      </c>
      <c r="Q13" s="364">
        <f t="shared" si="1"/>
        <v>63258.945249597426</v>
      </c>
      <c r="R13" s="364">
        <f t="shared" si="1"/>
        <v>179304.30756843803</v>
      </c>
      <c r="S13" s="364">
        <f t="shared" si="1"/>
        <v>17439.736312399356</v>
      </c>
      <c r="T13" s="364">
        <f t="shared" si="1"/>
        <v>91755.084541062795</v>
      </c>
      <c r="U13" s="364">
        <f t="shared" si="1"/>
        <v>15691.680756843798</v>
      </c>
      <c r="V13" s="364">
        <f t="shared" si="1"/>
        <v>466549.58937198069</v>
      </c>
    </row>
    <row r="14" spans="2:22" s="371" customFormat="1" x14ac:dyDescent="0.35">
      <c r="B14" s="59" t="s">
        <v>473</v>
      </c>
      <c r="C14" s="444">
        <v>0.08</v>
      </c>
      <c r="D14" s="368">
        <f>D13*$C$14</f>
        <v>187749.5777777778</v>
      </c>
      <c r="F14" s="372">
        <f t="shared" si="0"/>
        <v>-14752.179629629652</v>
      </c>
      <c r="I14" s="368">
        <f t="shared" ref="I14:U14" si="2">I13*$C$14</f>
        <v>34618.128104978248</v>
      </c>
      <c r="J14" s="368">
        <f t="shared" si="2"/>
        <v>16220.12598074485</v>
      </c>
      <c r="K14" s="368">
        <f t="shared" si="2"/>
        <v>16670.001617158327</v>
      </c>
      <c r="L14" s="368">
        <f t="shared" si="2"/>
        <v>32532.512090999418</v>
      </c>
      <c r="M14" s="368">
        <f t="shared" si="2"/>
        <v>6745.0167471819641</v>
      </c>
      <c r="N14" s="368">
        <f t="shared" si="2"/>
        <v>5182.8299056820797</v>
      </c>
      <c r="O14" s="368">
        <f t="shared" si="2"/>
        <v>3970.3002070393372</v>
      </c>
      <c r="P14" s="368">
        <f t="shared" si="2"/>
        <v>5090.7156199677938</v>
      </c>
      <c r="Q14" s="368">
        <f t="shared" si="2"/>
        <v>5060.7156199677938</v>
      </c>
      <c r="R14" s="368">
        <f>R13*10%</f>
        <v>17930.430756843805</v>
      </c>
      <c r="S14" s="368">
        <f t="shared" si="2"/>
        <v>1395.1789049919485</v>
      </c>
      <c r="T14" s="368">
        <f>T13*10%</f>
        <v>9175.5084541062806</v>
      </c>
      <c r="U14" s="368">
        <f t="shared" si="2"/>
        <v>1255.3344605475038</v>
      </c>
      <c r="V14" s="368">
        <f>V13*10%</f>
        <v>46654.958937198069</v>
      </c>
    </row>
    <row r="15" spans="2:22" s="378" customFormat="1" x14ac:dyDescent="0.35">
      <c r="B15" s="76" t="s">
        <v>240</v>
      </c>
      <c r="C15" s="367"/>
      <c r="D15" s="313">
        <f>SUM(D13:D14)</f>
        <v>2534619.3000000003</v>
      </c>
      <c r="F15" s="379">
        <f t="shared" si="0"/>
        <v>-14752.179629629478</v>
      </c>
      <c r="I15" s="313">
        <f t="shared" ref="I15:V15" si="3">SUM(I13:I14)</f>
        <v>467344.72941720631</v>
      </c>
      <c r="J15" s="313">
        <f t="shared" si="3"/>
        <v>218971.70074005544</v>
      </c>
      <c r="K15" s="313">
        <f t="shared" si="3"/>
        <v>225045.02183163739</v>
      </c>
      <c r="L15" s="313">
        <f t="shared" si="3"/>
        <v>439188.91322849214</v>
      </c>
      <c r="M15" s="313">
        <f t="shared" si="3"/>
        <v>91057.726086956507</v>
      </c>
      <c r="N15" s="313">
        <f t="shared" si="3"/>
        <v>69968.203726708074</v>
      </c>
      <c r="O15" s="313">
        <f t="shared" si="3"/>
        <v>53599.05279503105</v>
      </c>
      <c r="P15" s="313">
        <f t="shared" si="3"/>
        <v>68724.660869565225</v>
      </c>
      <c r="Q15" s="313">
        <f t="shared" si="3"/>
        <v>68319.660869565225</v>
      </c>
      <c r="R15" s="313">
        <f t="shared" si="3"/>
        <v>197234.73832528183</v>
      </c>
      <c r="S15" s="313">
        <f t="shared" si="3"/>
        <v>18834.915217391306</v>
      </c>
      <c r="T15" s="313">
        <f t="shared" si="3"/>
        <v>100930.59299516908</v>
      </c>
      <c r="U15" s="313">
        <f t="shared" si="3"/>
        <v>16947.015217391301</v>
      </c>
      <c r="V15" s="313">
        <f t="shared" si="3"/>
        <v>513204.54830917879</v>
      </c>
    </row>
    <row r="16" spans="2:22" s="371" customFormat="1" x14ac:dyDescent="0.35">
      <c r="B16" s="494" t="s">
        <v>474</v>
      </c>
      <c r="C16" s="444">
        <v>1.4E-2</v>
      </c>
      <c r="D16" s="368">
        <f>D15*$C$16</f>
        <v>35484.670200000008</v>
      </c>
      <c r="E16" s="372">
        <f>D16*36</f>
        <v>1277448.1272000002</v>
      </c>
      <c r="F16" s="372">
        <f t="shared" si="0"/>
        <v>-206.53051481480361</v>
      </c>
      <c r="I16" s="368">
        <f t="shared" ref="I16:V16" si="4">I15*$C$16</f>
        <v>6542.8262118408884</v>
      </c>
      <c r="J16" s="368">
        <f t="shared" si="4"/>
        <v>3065.6038103607762</v>
      </c>
      <c r="K16" s="368">
        <f t="shared" si="4"/>
        <v>3150.6303056429238</v>
      </c>
      <c r="L16" s="368">
        <f t="shared" si="4"/>
        <v>6148.6447851988896</v>
      </c>
      <c r="M16" s="368">
        <f t="shared" si="4"/>
        <v>1274.8081652173912</v>
      </c>
      <c r="N16" s="368">
        <f t="shared" si="4"/>
        <v>979.5548521739131</v>
      </c>
      <c r="O16" s="368">
        <f t="shared" si="4"/>
        <v>750.38673913043476</v>
      </c>
      <c r="P16" s="368">
        <f t="shared" si="4"/>
        <v>962.14525217391315</v>
      </c>
      <c r="Q16" s="368">
        <f t="shared" si="4"/>
        <v>956.47525217391319</v>
      </c>
      <c r="R16" s="368">
        <f t="shared" si="4"/>
        <v>2761.2863365539456</v>
      </c>
      <c r="S16" s="368">
        <f t="shared" si="4"/>
        <v>263.68881304347832</v>
      </c>
      <c r="T16" s="368">
        <f t="shared" si="4"/>
        <v>1413.0283019323672</v>
      </c>
      <c r="U16" s="368">
        <f t="shared" si="4"/>
        <v>237.25821304347821</v>
      </c>
      <c r="V16" s="368">
        <f t="shared" si="4"/>
        <v>7184.8636763285031</v>
      </c>
    </row>
    <row r="17" spans="2:22" s="371" customFormat="1" x14ac:dyDescent="0.35">
      <c r="B17" s="366" t="s">
        <v>449</v>
      </c>
      <c r="C17" s="367"/>
      <c r="D17" s="313">
        <f>SUM(D15:D16)</f>
        <v>2570103.9702000003</v>
      </c>
      <c r="F17" s="372">
        <f t="shared" si="0"/>
        <v>-14958.710144444369</v>
      </c>
      <c r="I17" s="313">
        <f t="shared" ref="I17:V17" si="5">SUM(I15:I16)</f>
        <v>473887.55562904722</v>
      </c>
      <c r="J17" s="313">
        <f t="shared" si="5"/>
        <v>222037.30455041621</v>
      </c>
      <c r="K17" s="313">
        <f t="shared" si="5"/>
        <v>228195.65213728033</v>
      </c>
      <c r="L17" s="313">
        <f t="shared" si="5"/>
        <v>445337.55801369104</v>
      </c>
      <c r="M17" s="313">
        <f t="shared" si="5"/>
        <v>92332.534252173893</v>
      </c>
      <c r="N17" s="313">
        <f t="shared" si="5"/>
        <v>70947.758578881985</v>
      </c>
      <c r="O17" s="313">
        <f t="shared" si="5"/>
        <v>54349.439534161487</v>
      </c>
      <c r="P17" s="313">
        <f t="shared" si="5"/>
        <v>69686.806121739137</v>
      </c>
      <c r="Q17" s="313">
        <f t="shared" si="5"/>
        <v>69276.136121739139</v>
      </c>
      <c r="R17" s="313">
        <f t="shared" si="5"/>
        <v>199996.02466183578</v>
      </c>
      <c r="S17" s="313">
        <f t="shared" si="5"/>
        <v>19098.604030434784</v>
      </c>
      <c r="T17" s="313">
        <f t="shared" si="5"/>
        <v>102343.62129710145</v>
      </c>
      <c r="U17" s="313">
        <f t="shared" si="5"/>
        <v>17184.27343043478</v>
      </c>
      <c r="V17" s="313">
        <f t="shared" si="5"/>
        <v>520389.41198550729</v>
      </c>
    </row>
    <row r="18" spans="2:22" x14ac:dyDescent="0.35">
      <c r="B18" s="355" t="s">
        <v>463</v>
      </c>
      <c r="C18" s="377">
        <v>0.14000000000000001</v>
      </c>
      <c r="D18" s="375">
        <f>D17*$C$18</f>
        <v>359814.55582800007</v>
      </c>
      <c r="F18" s="372">
        <f t="shared" si="0"/>
        <v>-2094.2194202222745</v>
      </c>
      <c r="I18" s="375">
        <f t="shared" ref="I18:V18" si="6">I17*$C$18</f>
        <v>66344.257788066621</v>
      </c>
      <c r="J18" s="375">
        <f t="shared" si="6"/>
        <v>31085.222637058272</v>
      </c>
      <c r="K18" s="375">
        <f t="shared" si="6"/>
        <v>31947.391299219249</v>
      </c>
      <c r="L18" s="375">
        <f t="shared" si="6"/>
        <v>62347.258121916755</v>
      </c>
      <c r="M18" s="375">
        <f t="shared" si="6"/>
        <v>12926.554795304346</v>
      </c>
      <c r="N18" s="375">
        <f t="shared" si="6"/>
        <v>9932.6862010434797</v>
      </c>
      <c r="O18" s="375">
        <f t="shared" si="6"/>
        <v>7608.9215347826093</v>
      </c>
      <c r="P18" s="375">
        <f t="shared" si="6"/>
        <v>9756.1528570434803</v>
      </c>
      <c r="Q18" s="375">
        <f t="shared" si="6"/>
        <v>9698.6590570434801</v>
      </c>
      <c r="R18" s="375">
        <f t="shared" si="6"/>
        <v>27999.443452657011</v>
      </c>
      <c r="S18" s="375">
        <f t="shared" si="6"/>
        <v>2673.8045642608699</v>
      </c>
      <c r="T18" s="375">
        <f t="shared" si="6"/>
        <v>14328.106981594205</v>
      </c>
      <c r="U18" s="375">
        <f t="shared" si="6"/>
        <v>2405.7982802608694</v>
      </c>
      <c r="V18" s="375">
        <f t="shared" si="6"/>
        <v>72854.517677971031</v>
      </c>
    </row>
    <row r="19" spans="2:22" x14ac:dyDescent="0.35">
      <c r="B19" s="365" t="s">
        <v>464</v>
      </c>
      <c r="C19" s="78"/>
      <c r="D19" s="376">
        <f>D17+D18</f>
        <v>2929918.5260280003</v>
      </c>
      <c r="E19" s="505">
        <f>D19-2999479.74459467</f>
        <v>-69561.218566669617</v>
      </c>
      <c r="F19" s="372">
        <f>D19-(I19+J19+K19+L19+M19+N19+O19+P19+Q19+R19+S19+T19+U19+V19)</f>
        <v>-17052.929564666934</v>
      </c>
      <c r="I19" s="376">
        <f t="shared" ref="I19:V19" si="7">I17+I18</f>
        <v>540231.81341711385</v>
      </c>
      <c r="J19" s="376">
        <f t="shared" si="7"/>
        <v>253122.52718747448</v>
      </c>
      <c r="K19" s="376">
        <f t="shared" si="7"/>
        <v>260143.04343649957</v>
      </c>
      <c r="L19" s="376">
        <f t="shared" si="7"/>
        <v>507684.81613560778</v>
      </c>
      <c r="M19" s="376">
        <f t="shared" si="7"/>
        <v>105259.08904747824</v>
      </c>
      <c r="N19" s="376">
        <f t="shared" si="7"/>
        <v>80880.44477992547</v>
      </c>
      <c r="O19" s="376">
        <f t="shared" si="7"/>
        <v>61958.361068944097</v>
      </c>
      <c r="P19" s="376">
        <f t="shared" si="7"/>
        <v>79442.958978782612</v>
      </c>
      <c r="Q19" s="376">
        <f t="shared" si="7"/>
        <v>78974.795178782617</v>
      </c>
      <c r="R19" s="376">
        <f t="shared" si="7"/>
        <v>227995.46811449277</v>
      </c>
      <c r="S19" s="376">
        <f t="shared" si="7"/>
        <v>21772.408594695655</v>
      </c>
      <c r="T19" s="376">
        <f t="shared" si="7"/>
        <v>116671.72827869565</v>
      </c>
      <c r="U19" s="376">
        <f t="shared" si="7"/>
        <v>19590.071710695651</v>
      </c>
      <c r="V19" s="376">
        <f t="shared" si="7"/>
        <v>593243.92966347828</v>
      </c>
    </row>
    <row r="20" spans="2:22" x14ac:dyDescent="0.35">
      <c r="B20" s="498"/>
      <c r="C20" s="78"/>
      <c r="D20" s="376">
        <f>3000000</f>
        <v>3000000</v>
      </c>
      <c r="E20" s="375">
        <f>D20*36*0.02</f>
        <v>2160000</v>
      </c>
      <c r="F20" s="372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</row>
    <row r="21" spans="2:22" x14ac:dyDescent="0.35">
      <c r="D21" s="375">
        <f>D19-D20</f>
        <v>-70081.473971999716</v>
      </c>
    </row>
    <row r="22" spans="2:22" x14ac:dyDescent="0.35">
      <c r="C22" s="223">
        <f>C23+C49+C43+F36+F37+F38+F39</f>
        <v>2929918.5260279998</v>
      </c>
      <c r="D22" s="504">
        <f>D21/D19</f>
        <v>-2.3919256917702417E-2</v>
      </c>
    </row>
    <row r="23" spans="2:22" x14ac:dyDescent="0.35">
      <c r="C23" s="223">
        <f>C24+C36+C31</f>
        <v>1586411.5283519998</v>
      </c>
      <c r="D23" s="375"/>
    </row>
    <row r="24" spans="2:22" x14ac:dyDescent="0.35">
      <c r="B24" s="499" t="s">
        <v>489</v>
      </c>
      <c r="C24" s="500">
        <f>C25+C26+C27+C28+C29+C30+C32+C33+C34</f>
        <v>1447462.4884959999</v>
      </c>
      <c r="D24" s="375"/>
      <c r="J24" s="388" t="s">
        <v>180</v>
      </c>
    </row>
    <row r="25" spans="2:22" x14ac:dyDescent="0.35">
      <c r="B25" s="72" t="s">
        <v>405</v>
      </c>
      <c r="C25" s="223">
        <f>'Manpower Cost'!AS6</f>
        <v>741671.33414399996</v>
      </c>
      <c r="D25" s="267">
        <f>C25/$C$24</f>
        <v>0.51239416567861518</v>
      </c>
      <c r="F25" s="375">
        <f>(D25*$C$36)+(D25*$F$36)+(D25*$F$37)+(D25*$F$38)+(D25*$F$39)</f>
        <v>79840.281247973689</v>
      </c>
      <c r="H25" s="440">
        <f>'Manpower Cost'!C6</f>
        <v>94</v>
      </c>
      <c r="I25" s="375">
        <f>C25+F25</f>
        <v>821511.61539197364</v>
      </c>
      <c r="J25" s="375">
        <f>I25/H25</f>
        <v>8739.4852701273794</v>
      </c>
    </row>
    <row r="26" spans="2:22" x14ac:dyDescent="0.35">
      <c r="B26" s="72" t="s">
        <v>407</v>
      </c>
      <c r="C26" s="223">
        <f>'Manpower Cost'!AS7</f>
        <v>110461.68806399999</v>
      </c>
      <c r="D26" s="267">
        <f t="shared" ref="D26:D34" si="8">C26/$C$24</f>
        <v>7.6314024675538425E-2</v>
      </c>
      <c r="F26" s="375">
        <f t="shared" ref="F26:F34" si="9">(D26*$C$36)+(D26*$F$36)+(D26*$F$37)+(D26*$F$38)+(D26*$F$39)</f>
        <v>11891.105717783315</v>
      </c>
      <c r="H26" s="440">
        <f>'Manpower Cost'!C7</f>
        <v>14</v>
      </c>
      <c r="I26" s="375">
        <f t="shared" ref="I26:I30" si="10">C26+F26</f>
        <v>122352.7937817833</v>
      </c>
      <c r="J26" s="375">
        <f t="shared" ref="J26:J34" si="11">I26/H26</f>
        <v>8739.4852701273794</v>
      </c>
    </row>
    <row r="27" spans="2:22" x14ac:dyDescent="0.35">
      <c r="B27" s="72" t="s">
        <v>406</v>
      </c>
      <c r="C27" s="223">
        <f>'Manpower Cost'!AS8</f>
        <v>149275.58817600002</v>
      </c>
      <c r="D27" s="267">
        <f t="shared" si="8"/>
        <v>0.10312915834600057</v>
      </c>
      <c r="F27" s="375">
        <f t="shared" si="9"/>
        <v>16069.388683039688</v>
      </c>
      <c r="H27" s="440">
        <f>'Manpower Cost'!C8</f>
        <v>11</v>
      </c>
      <c r="I27" s="375">
        <f t="shared" si="10"/>
        <v>165344.97685903971</v>
      </c>
      <c r="J27" s="375">
        <f t="shared" si="11"/>
        <v>15031.361532639974</v>
      </c>
    </row>
    <row r="28" spans="2:22" x14ac:dyDescent="0.35">
      <c r="B28" s="72" t="s">
        <v>408</v>
      </c>
      <c r="C28" s="223">
        <f>'Manpower Cost'!AS9</f>
        <v>40711.524047999999</v>
      </c>
      <c r="D28" s="267">
        <f t="shared" si="8"/>
        <v>2.8126134094363792E-2</v>
      </c>
      <c r="F28" s="375">
        <f t="shared" si="9"/>
        <v>4382.5605499199137</v>
      </c>
      <c r="H28" s="440">
        <f>'Manpower Cost'!C9</f>
        <v>3</v>
      </c>
      <c r="I28" s="375">
        <f t="shared" si="10"/>
        <v>45094.084597919915</v>
      </c>
      <c r="J28" s="375">
        <f t="shared" si="11"/>
        <v>15031.361532639972</v>
      </c>
    </row>
    <row r="29" spans="2:22" x14ac:dyDescent="0.35">
      <c r="B29" s="72" t="s">
        <v>190</v>
      </c>
      <c r="C29" s="223">
        <f>'Manpower Cost'!AS10-10000</f>
        <v>32247.101311999984</v>
      </c>
      <c r="D29" s="267">
        <f t="shared" si="8"/>
        <v>2.2278367535110807E-2</v>
      </c>
      <c r="F29" s="375">
        <f t="shared" si="9"/>
        <v>3471.3727221957097</v>
      </c>
      <c r="H29" s="440">
        <f>'Manpower Cost'!C10</f>
        <v>2</v>
      </c>
      <c r="I29" s="375">
        <f t="shared" si="10"/>
        <v>35718.474034195693</v>
      </c>
      <c r="J29" s="375">
        <f t="shared" si="11"/>
        <v>17859.237017097847</v>
      </c>
    </row>
    <row r="30" spans="2:22" x14ac:dyDescent="0.35">
      <c r="B30" s="72" t="s">
        <v>189</v>
      </c>
      <c r="C30" s="223">
        <f>'Manpower Cost'!AS11-30000</f>
        <v>55842.514367999975</v>
      </c>
      <c r="D30" s="267">
        <f t="shared" si="8"/>
        <v>3.8579593469136246E-2</v>
      </c>
      <c r="F30" s="375">
        <f t="shared" si="9"/>
        <v>6011.3986444964703</v>
      </c>
      <c r="H30" s="440">
        <f>'Manpower Cost'!C11</f>
        <v>2.9999999999999996</v>
      </c>
      <c r="I30" s="375">
        <f t="shared" si="10"/>
        <v>61853.913012496443</v>
      </c>
      <c r="J30" s="375">
        <f t="shared" si="11"/>
        <v>20617.971004165483</v>
      </c>
    </row>
    <row r="31" spans="2:22" x14ac:dyDescent="0.35">
      <c r="B31" s="72" t="s">
        <v>188</v>
      </c>
      <c r="C31" s="223">
        <f>('Manpower Cost'!AS12-16000)</f>
        <v>49130.947855999984</v>
      </c>
      <c r="D31" s="267"/>
      <c r="F31" s="375">
        <f t="shared" si="9"/>
        <v>0</v>
      </c>
      <c r="H31" s="440">
        <f>'Manpower Cost'!C12</f>
        <v>1</v>
      </c>
      <c r="I31" s="375">
        <f>C31+F31</f>
        <v>49130.947855999984</v>
      </c>
      <c r="J31" s="375">
        <f t="shared" si="11"/>
        <v>49130.947855999984</v>
      </c>
    </row>
    <row r="32" spans="2:22" x14ac:dyDescent="0.35">
      <c r="B32" s="72" t="s">
        <v>191</v>
      </c>
      <c r="C32" s="223">
        <f>'Manpower Cost'!AS13</f>
        <v>255430.16928</v>
      </c>
      <c r="D32" s="267">
        <f t="shared" si="8"/>
        <v>0.17646755705939379</v>
      </c>
      <c r="F32" s="375">
        <f t="shared" si="9"/>
        <v>27496.838040895876</v>
      </c>
      <c r="H32" s="440">
        <f>'Manpower Cost'!C13</f>
        <v>30</v>
      </c>
      <c r="I32" s="375">
        <f>C32+F32</f>
        <v>282927.00732089591</v>
      </c>
      <c r="J32" s="375">
        <f>I32/H32</f>
        <v>9430.9002440298627</v>
      </c>
    </row>
    <row r="33" spans="2:23" x14ac:dyDescent="0.35">
      <c r="B33" s="72" t="s">
        <v>193</v>
      </c>
      <c r="C33" s="223">
        <f>'Manpower Cost'!AS14</f>
        <v>42584.179248</v>
      </c>
      <c r="D33" s="267">
        <f t="shared" si="8"/>
        <v>2.9419884512687792E-2</v>
      </c>
      <c r="F33" s="375">
        <f t="shared" si="9"/>
        <v>4584.1502716273617</v>
      </c>
      <c r="H33" s="440">
        <f>'Manpower Cost'!C14</f>
        <v>3</v>
      </c>
      <c r="I33" s="375">
        <f t="shared" ref="I33:I34" si="12">C33+F33</f>
        <v>47168.329519627361</v>
      </c>
      <c r="J33" s="375">
        <f t="shared" si="11"/>
        <v>15722.776506542454</v>
      </c>
    </row>
    <row r="34" spans="2:23" x14ac:dyDescent="0.35">
      <c r="B34" s="72" t="s">
        <v>194</v>
      </c>
      <c r="C34" s="223">
        <f>'Manpower Cost'!AS15-10000</f>
        <v>19238.389856000002</v>
      </c>
      <c r="D34" s="267">
        <f t="shared" si="8"/>
        <v>1.3291114629153422E-2</v>
      </c>
      <c r="F34" s="375">
        <f t="shared" si="9"/>
        <v>2070.9961220679738</v>
      </c>
      <c r="H34" s="440">
        <f>'Manpower Cost'!C15</f>
        <v>1</v>
      </c>
      <c r="I34" s="375">
        <f t="shared" si="12"/>
        <v>21309.385978067974</v>
      </c>
      <c r="J34" s="375">
        <f t="shared" si="11"/>
        <v>21309.385978067974</v>
      </c>
    </row>
    <row r="35" spans="2:23" x14ac:dyDescent="0.35">
      <c r="D35" s="375"/>
    </row>
    <row r="36" spans="2:23" x14ac:dyDescent="0.35">
      <c r="B36" s="499" t="s">
        <v>488</v>
      </c>
      <c r="C36" s="500">
        <f>C37+C38+C39+C40</f>
        <v>89818.092000000004</v>
      </c>
      <c r="D36" s="375"/>
      <c r="F36" s="501">
        <v>16000</v>
      </c>
      <c r="I36" s="375">
        <f>SUM(I25:I35)</f>
        <v>1652411.5283519998</v>
      </c>
      <c r="J36" s="375"/>
    </row>
    <row r="37" spans="2:23" x14ac:dyDescent="0.35">
      <c r="C37" s="223">
        <f>D10+D11</f>
        <v>71944.444444444438</v>
      </c>
      <c r="D37" s="375"/>
      <c r="F37" s="501">
        <v>30000</v>
      </c>
    </row>
    <row r="38" spans="2:23" x14ac:dyDescent="0.35">
      <c r="C38" s="223">
        <f>C37*C14</f>
        <v>5755.5555555555547</v>
      </c>
      <c r="D38" s="375"/>
      <c r="F38" s="501">
        <v>10000</v>
      </c>
      <c r="I38" s="375">
        <f>I39+I40+I41+I42</f>
        <v>2281311.566352</v>
      </c>
    </row>
    <row r="39" spans="2:23" x14ac:dyDescent="0.35">
      <c r="C39" s="223">
        <f>(C37+C38)*C16</f>
        <v>1087.8</v>
      </c>
      <c r="F39" s="501">
        <v>10000</v>
      </c>
      <c r="I39" s="375">
        <f>D6+D9+D10+D11+D12</f>
        <v>1827334.4444444445</v>
      </c>
    </row>
    <row r="40" spans="2:23" x14ac:dyDescent="0.35">
      <c r="C40" s="223">
        <f>(C37+C38+C39)*C18</f>
        <v>11030.292000000001</v>
      </c>
      <c r="I40" s="375">
        <f>I39*C14</f>
        <v>146186.75555555557</v>
      </c>
    </row>
    <row r="41" spans="2:23" x14ac:dyDescent="0.35">
      <c r="I41" s="375">
        <f>(I39+I40)*C16</f>
        <v>27629.296800000004</v>
      </c>
    </row>
    <row r="42" spans="2:23" x14ac:dyDescent="0.35">
      <c r="I42" s="375">
        <f>(I39+I40+I41)*C18</f>
        <v>280161.06955200003</v>
      </c>
    </row>
    <row r="43" spans="2:23" x14ac:dyDescent="0.35">
      <c r="B43" s="72" t="s">
        <v>487</v>
      </c>
      <c r="C43" s="223">
        <f>SUM(C44:C47)</f>
        <v>816833.81847599999</v>
      </c>
      <c r="D43" s="375">
        <f>C43-V43</f>
        <v>681300.89594139135</v>
      </c>
      <c r="E43" s="530">
        <f>'BOQ Basic -Residential'!D20+'BOQ Basic -Residential'!D21+'BOQ Basic -Residential'!D22+'BOQ Basic -Residential'!D23+'BOQ Basic -Residential'!D24+'BOQ Basic -Residential'!D25+'BOQ Basic -Residential'!D26+'BOQ Basic -Residential'!D27+'BOQ Basic -Residential'!D28+'BOQ Basic -Residential'!D29+'BOQ Basic -Residential'!D30+'BOQ Basic -Residential'!D31+'BOQ Basic -Residential'!D32+'BOQ Basic -Residential'!D33</f>
        <v>590228.85880000005</v>
      </c>
      <c r="V43" s="375">
        <f>V44+V45+V46+V47</f>
        <v>135532.92253460869</v>
      </c>
      <c r="W43" s="530">
        <f>'BOQ Basic -Residential'!D35+'BOQ Basic -Residential'!D36+'BOQ Basic -Residential'!D37+'BOQ Basic -Residential'!D38+'BOQ Basic -Residential'!D39+'BOQ Basic -Residential'!D40+'BOQ Basic -Residential'!D41+'BOQ Basic -Residential'!D42+'BOQ Basic -Residential'!D43+'BOQ Basic -Residential'!D44+'BOQ Basic -Residential'!D45+'BOQ Basic -Residential'!D46</f>
        <v>13123</v>
      </c>
    </row>
    <row r="44" spans="2:23" x14ac:dyDescent="0.35">
      <c r="C44" s="223">
        <f>D7+D8+D12</f>
        <v>654285.27777777775</v>
      </c>
      <c r="V44" s="375">
        <f>V7+V8</f>
        <v>108562.10144927536</v>
      </c>
    </row>
    <row r="45" spans="2:23" x14ac:dyDescent="0.35">
      <c r="C45" s="223">
        <f>C44*C14</f>
        <v>52342.822222222225</v>
      </c>
      <c r="V45" s="375">
        <f>V44*C14</f>
        <v>8684.9681159420288</v>
      </c>
    </row>
    <row r="46" spans="2:23" x14ac:dyDescent="0.35">
      <c r="C46" s="223">
        <f>(C44+C45)*C16</f>
        <v>9892.7934000000005</v>
      </c>
      <c r="V46" s="375">
        <f>(V44+V45)*C16</f>
        <v>1641.4589739130436</v>
      </c>
    </row>
    <row r="47" spans="2:23" x14ac:dyDescent="0.35">
      <c r="C47" s="223">
        <f>(C44+C46+C45)*C18</f>
        <v>100312.925076</v>
      </c>
      <c r="V47" s="375">
        <f>(V44+V45+V46)*C18</f>
        <v>16644.393995478262</v>
      </c>
    </row>
    <row r="49" spans="2:3" x14ac:dyDescent="0.35">
      <c r="B49" s="72" t="s">
        <v>496</v>
      </c>
      <c r="C49" s="223">
        <f>C50+C51+C52+C53</f>
        <v>460673.17920000001</v>
      </c>
    </row>
    <row r="50" spans="2:3" x14ac:dyDescent="0.35">
      <c r="C50" s="223">
        <f>D9</f>
        <v>369000</v>
      </c>
    </row>
    <row r="51" spans="2:3" x14ac:dyDescent="0.35">
      <c r="C51" s="223">
        <f>C50*C14</f>
        <v>29520</v>
      </c>
    </row>
    <row r="52" spans="2:3" x14ac:dyDescent="0.35">
      <c r="C52" s="223">
        <f>(C50+C51)*C16</f>
        <v>5579.28</v>
      </c>
    </row>
    <row r="53" spans="2:3" x14ac:dyDescent="0.35">
      <c r="C53" s="223">
        <f>(C50+C51+C52)*C18</f>
        <v>56573.899200000007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330B-BB72-4474-87BC-15D343D53845}">
  <dimension ref="A4:M53"/>
  <sheetViews>
    <sheetView zoomScaleNormal="100" zoomScaleSheetLayoutView="100" workbookViewId="0">
      <selection activeCell="F20" sqref="F20"/>
    </sheetView>
  </sheetViews>
  <sheetFormatPr defaultRowHeight="14.5" x14ac:dyDescent="0.35"/>
  <cols>
    <col min="1" max="1" width="40.81640625" bestFit="1" customWidth="1"/>
    <col min="2" max="2" width="9.6328125" bestFit="1" customWidth="1"/>
    <col min="3" max="3" width="14.81640625" customWidth="1"/>
    <col min="4" max="4" width="19" bestFit="1" customWidth="1"/>
    <col min="5" max="8" width="19" style="214" customWidth="1"/>
    <col min="9" max="9" width="23.1796875" customWidth="1"/>
    <col min="11" max="11" width="11.08984375" bestFit="1" customWidth="1"/>
    <col min="13" max="13" width="9.08984375" bestFit="1" customWidth="1"/>
  </cols>
  <sheetData>
    <row r="4" spans="1:9" x14ac:dyDescent="0.35">
      <c r="A4" s="506" t="s">
        <v>178</v>
      </c>
      <c r="B4" s="507" t="s">
        <v>179</v>
      </c>
      <c r="C4" s="550" t="s">
        <v>180</v>
      </c>
      <c r="D4" s="550" t="s">
        <v>181</v>
      </c>
      <c r="E4" s="540"/>
      <c r="F4" s="540"/>
      <c r="G4" s="540"/>
      <c r="H4" s="540"/>
    </row>
    <row r="5" spans="1:9" x14ac:dyDescent="0.35">
      <c r="A5" s="17" t="s">
        <v>182</v>
      </c>
      <c r="B5" s="539" t="s">
        <v>183</v>
      </c>
      <c r="C5" s="550"/>
      <c r="D5" s="550"/>
      <c r="E5" s="540"/>
      <c r="F5" s="540"/>
      <c r="G5" s="540"/>
      <c r="H5" s="540"/>
    </row>
    <row r="6" spans="1:9" x14ac:dyDescent="0.35">
      <c r="A6" s="508" t="s">
        <v>184</v>
      </c>
      <c r="B6" s="509">
        <v>94</v>
      </c>
      <c r="C6" s="510">
        <v>8739.4852701273794</v>
      </c>
      <c r="D6" s="510">
        <f>C6*$B6</f>
        <v>821511.61539197364</v>
      </c>
      <c r="E6" s="541">
        <v>8894.1264478873873</v>
      </c>
      <c r="F6" s="541">
        <v>836047.88610141445</v>
      </c>
      <c r="G6" s="541">
        <f>E6-C6</f>
        <v>154.64117776000785</v>
      </c>
      <c r="H6" s="541">
        <f>F6-D6</f>
        <v>14536.270709440811</v>
      </c>
    </row>
    <row r="7" spans="1:9" x14ac:dyDescent="0.35">
      <c r="A7" s="508" t="s">
        <v>185</v>
      </c>
      <c r="B7" s="509">
        <v>11</v>
      </c>
      <c r="C7" s="510">
        <v>15031.361532639974</v>
      </c>
      <c r="D7" s="510">
        <f t="shared" ref="D7:D17" si="0">C7*$B7</f>
        <v>165344.97685903971</v>
      </c>
      <c r="E7" s="541">
        <v>15297.33457097087</v>
      </c>
      <c r="F7" s="541">
        <v>168270.68028067957</v>
      </c>
      <c r="G7" s="541"/>
      <c r="H7" s="541">
        <f t="shared" ref="H7:H50" si="1">F7-D7</f>
        <v>2925.7034216398606</v>
      </c>
    </row>
    <row r="8" spans="1:9" x14ac:dyDescent="0.35">
      <c r="A8" s="508" t="s">
        <v>186</v>
      </c>
      <c r="B8" s="509">
        <v>14</v>
      </c>
      <c r="C8" s="510">
        <v>8739.4852701273794</v>
      </c>
      <c r="D8" s="510">
        <f t="shared" si="0"/>
        <v>122352.79378178332</v>
      </c>
      <c r="E8" s="541">
        <v>8894.1264478873873</v>
      </c>
      <c r="F8" s="541">
        <v>124517.77027042343</v>
      </c>
      <c r="G8" s="541"/>
      <c r="H8" s="541">
        <f t="shared" si="1"/>
        <v>2164.9764886401099</v>
      </c>
    </row>
    <row r="9" spans="1:9" x14ac:dyDescent="0.35">
      <c r="A9" s="508" t="s">
        <v>187</v>
      </c>
      <c r="B9" s="509">
        <v>3</v>
      </c>
      <c r="C9" s="510">
        <v>15031.361532639972</v>
      </c>
      <c r="D9" s="510">
        <f t="shared" si="0"/>
        <v>45094.084597919915</v>
      </c>
      <c r="E9" s="541">
        <v>15297.334570970872</v>
      </c>
      <c r="F9" s="541">
        <v>45892.003712912614</v>
      </c>
      <c r="G9" s="541"/>
      <c r="H9" s="541">
        <f t="shared" si="1"/>
        <v>797.91911499269918</v>
      </c>
    </row>
    <row r="10" spans="1:9" x14ac:dyDescent="0.35">
      <c r="A10" s="508" t="s">
        <v>188</v>
      </c>
      <c r="B10" s="509">
        <v>1</v>
      </c>
      <c r="C10" s="510">
        <v>49130.947855999984</v>
      </c>
      <c r="D10" s="510">
        <f t="shared" si="0"/>
        <v>49130.947855999984</v>
      </c>
      <c r="E10" s="541">
        <v>50337.076519999988</v>
      </c>
      <c r="F10" s="541">
        <v>50337.076519999988</v>
      </c>
      <c r="G10" s="541"/>
      <c r="H10" s="541">
        <f t="shared" si="1"/>
        <v>1206.1286640000035</v>
      </c>
    </row>
    <row r="11" spans="1:9" x14ac:dyDescent="0.35">
      <c r="A11" s="508" t="s">
        <v>189</v>
      </c>
      <c r="B11" s="509">
        <v>3</v>
      </c>
      <c r="C11" s="510">
        <v>20617.971004165483</v>
      </c>
      <c r="D11" s="510">
        <f t="shared" si="0"/>
        <v>61853.91301249645</v>
      </c>
      <c r="E11" s="541">
        <v>21187.750800721846</v>
      </c>
      <c r="F11" s="541">
        <v>63563.252402165541</v>
      </c>
      <c r="G11" s="541"/>
      <c r="H11" s="541">
        <f t="shared" si="1"/>
        <v>1709.3393896690905</v>
      </c>
    </row>
    <row r="12" spans="1:9" x14ac:dyDescent="0.35">
      <c r="A12" s="508" t="s">
        <v>190</v>
      </c>
      <c r="B12" s="509">
        <v>2</v>
      </c>
      <c r="C12" s="510">
        <v>17859.237017097847</v>
      </c>
      <c r="D12" s="510">
        <f t="shared" si="0"/>
        <v>35718.474034195693</v>
      </c>
      <c r="E12" s="541">
        <v>18277.725148061101</v>
      </c>
      <c r="F12" s="541">
        <v>36555.450296122202</v>
      </c>
      <c r="G12" s="541"/>
      <c r="H12" s="541">
        <f t="shared" si="1"/>
        <v>836.97626192650932</v>
      </c>
    </row>
    <row r="13" spans="1:9" x14ac:dyDescent="0.35">
      <c r="A13" s="511" t="s">
        <v>497</v>
      </c>
      <c r="B13" s="509">
        <v>19</v>
      </c>
      <c r="C13" s="510">
        <v>9597.7756921822747</v>
      </c>
      <c r="D13" s="510">
        <f t="shared" si="0"/>
        <v>182357.73815146321</v>
      </c>
      <c r="E13" s="541">
        <v>9597.7756921822747</v>
      </c>
      <c r="F13" s="541">
        <v>182357.73815146321</v>
      </c>
      <c r="G13" s="541"/>
      <c r="H13" s="541">
        <f t="shared" si="1"/>
        <v>0</v>
      </c>
      <c r="I13" s="551" t="s">
        <v>192</v>
      </c>
    </row>
    <row r="14" spans="1:9" x14ac:dyDescent="0.35">
      <c r="A14" s="511" t="s">
        <v>498</v>
      </c>
      <c r="B14" s="509">
        <v>11</v>
      </c>
      <c r="C14" s="510">
        <v>9597.7756921822747</v>
      </c>
      <c r="D14" s="510">
        <f t="shared" si="0"/>
        <v>105575.53261400502</v>
      </c>
      <c r="E14" s="541">
        <v>9597.7756921822747</v>
      </c>
      <c r="F14" s="541">
        <v>105575.53261400502</v>
      </c>
      <c r="G14" s="541"/>
      <c r="H14" s="541">
        <f t="shared" si="1"/>
        <v>0</v>
      </c>
      <c r="I14" s="551"/>
    </row>
    <row r="15" spans="1:9" x14ac:dyDescent="0.35">
      <c r="A15" s="511" t="s">
        <v>499</v>
      </c>
      <c r="B15" s="509">
        <v>2</v>
      </c>
      <c r="C15" s="510">
        <v>16000.983815265759</v>
      </c>
      <c r="D15" s="510">
        <f t="shared" si="0"/>
        <v>32001.967630531519</v>
      </c>
      <c r="E15" s="541">
        <v>16000.983815265759</v>
      </c>
      <c r="F15" s="541">
        <v>32001.967630531519</v>
      </c>
      <c r="G15" s="541"/>
      <c r="H15" s="541">
        <f t="shared" si="1"/>
        <v>0</v>
      </c>
      <c r="I15" s="551"/>
    </row>
    <row r="16" spans="1:9" x14ac:dyDescent="0.35">
      <c r="A16" s="511" t="s">
        <v>500</v>
      </c>
      <c r="B16" s="509">
        <v>1</v>
      </c>
      <c r="C16" s="510">
        <v>16000.983815265759</v>
      </c>
      <c r="D16" s="510">
        <f t="shared" si="0"/>
        <v>16000.983815265759</v>
      </c>
      <c r="E16" s="541">
        <v>16000.983815265759</v>
      </c>
      <c r="F16" s="541">
        <v>16000.983815265759</v>
      </c>
      <c r="G16" s="541"/>
      <c r="H16" s="541">
        <f t="shared" si="1"/>
        <v>0</v>
      </c>
      <c r="I16" s="551"/>
    </row>
    <row r="17" spans="1:13" x14ac:dyDescent="0.35">
      <c r="A17" s="511" t="s">
        <v>194</v>
      </c>
      <c r="B17" s="509">
        <v>1</v>
      </c>
      <c r="C17" s="510">
        <v>21891.40004501674</v>
      </c>
      <c r="D17" s="510">
        <f t="shared" si="0"/>
        <v>21891.40004501674</v>
      </c>
      <c r="E17" s="541">
        <v>21891.40004501674</v>
      </c>
      <c r="F17" s="541">
        <v>21891.40004501674</v>
      </c>
      <c r="G17" s="541"/>
      <c r="H17" s="541">
        <f t="shared" si="1"/>
        <v>0</v>
      </c>
      <c r="I17" s="551"/>
    </row>
    <row r="18" spans="1:13" x14ac:dyDescent="0.35">
      <c r="A18" s="511" t="s">
        <v>496</v>
      </c>
      <c r="B18" s="509" t="s">
        <v>501</v>
      </c>
      <c r="C18" s="510">
        <v>469204.16399999999</v>
      </c>
      <c r="D18" s="510">
        <f>C18</f>
        <v>469204.16399999999</v>
      </c>
      <c r="E18" s="541">
        <v>469204.16399999999</v>
      </c>
      <c r="F18" s="541">
        <v>469204.16399999999</v>
      </c>
      <c r="G18" s="541"/>
      <c r="H18" s="541">
        <f t="shared" si="1"/>
        <v>0</v>
      </c>
      <c r="I18" s="537"/>
    </row>
    <row r="19" spans="1:13" x14ac:dyDescent="0.35">
      <c r="A19" s="512" t="s">
        <v>195</v>
      </c>
      <c r="B19" s="513"/>
      <c r="C19" s="514"/>
      <c r="D19" s="514">
        <f>SUM(D6:D18)</f>
        <v>2128038.5917896908</v>
      </c>
      <c r="E19" s="541"/>
      <c r="F19" s="541">
        <v>2152215.9058399997</v>
      </c>
      <c r="G19" s="541"/>
      <c r="H19" s="541">
        <f t="shared" si="1"/>
        <v>24177.314050308894</v>
      </c>
    </row>
    <row r="20" spans="1:13" ht="29" x14ac:dyDescent="0.35">
      <c r="A20" s="508" t="s">
        <v>476</v>
      </c>
      <c r="B20" s="515">
        <v>14</v>
      </c>
      <c r="C20" s="510">
        <v>12238.726500000001</v>
      </c>
      <c r="D20" s="510">
        <f t="shared" ref="D20:D47" si="2">C20*$B20</f>
        <v>171342.171</v>
      </c>
      <c r="E20" s="541">
        <v>12238.726500000001</v>
      </c>
      <c r="F20" s="541">
        <v>171342.171</v>
      </c>
      <c r="G20" s="541"/>
      <c r="H20" s="541">
        <f t="shared" si="1"/>
        <v>0</v>
      </c>
      <c r="I20" s="516" t="s">
        <v>477</v>
      </c>
      <c r="K20" s="54"/>
      <c r="M20" s="54"/>
    </row>
    <row r="21" spans="1:13" x14ac:dyDescent="0.35">
      <c r="A21" s="508" t="s">
        <v>196</v>
      </c>
      <c r="B21" s="515">
        <v>5</v>
      </c>
      <c r="C21" s="510">
        <v>1249</v>
      </c>
      <c r="D21" s="510">
        <f t="shared" si="2"/>
        <v>6245</v>
      </c>
      <c r="E21" s="541">
        <v>1272</v>
      </c>
      <c r="F21" s="541">
        <v>6360</v>
      </c>
      <c r="G21" s="541"/>
      <c r="H21" s="541">
        <f t="shared" si="1"/>
        <v>115</v>
      </c>
    </row>
    <row r="22" spans="1:13" x14ac:dyDescent="0.35">
      <c r="A22" s="508" t="s">
        <v>197</v>
      </c>
      <c r="B22" s="515">
        <v>6</v>
      </c>
      <c r="C22" s="510">
        <v>729</v>
      </c>
      <c r="D22" s="510">
        <f t="shared" si="2"/>
        <v>4374</v>
      </c>
      <c r="E22" s="541">
        <v>742</v>
      </c>
      <c r="F22" s="541">
        <v>4452</v>
      </c>
      <c r="G22" s="541"/>
      <c r="H22" s="541">
        <f t="shared" si="1"/>
        <v>78</v>
      </c>
    </row>
    <row r="23" spans="1:13" x14ac:dyDescent="0.35">
      <c r="A23" s="508" t="s">
        <v>198</v>
      </c>
      <c r="B23" s="515">
        <v>10</v>
      </c>
      <c r="C23" s="510">
        <v>937</v>
      </c>
      <c r="D23" s="510">
        <f t="shared" si="2"/>
        <v>9370</v>
      </c>
      <c r="E23" s="541">
        <v>954</v>
      </c>
      <c r="F23" s="541">
        <v>9540</v>
      </c>
      <c r="G23" s="541"/>
      <c r="H23" s="541">
        <f t="shared" si="1"/>
        <v>170</v>
      </c>
    </row>
    <row r="24" spans="1:13" x14ac:dyDescent="0.35">
      <c r="A24" s="508" t="s">
        <v>199</v>
      </c>
      <c r="B24" s="515">
        <v>14</v>
      </c>
      <c r="C24" s="510">
        <v>387</v>
      </c>
      <c r="D24" s="510">
        <f t="shared" si="2"/>
        <v>5418</v>
      </c>
      <c r="E24" s="541">
        <v>394</v>
      </c>
      <c r="F24" s="541">
        <v>5516</v>
      </c>
      <c r="G24" s="541"/>
      <c r="H24" s="541">
        <f t="shared" si="1"/>
        <v>98</v>
      </c>
    </row>
    <row r="25" spans="1:13" x14ac:dyDescent="0.35">
      <c r="A25" s="508" t="s">
        <v>52</v>
      </c>
      <c r="B25" s="509">
        <v>23</v>
      </c>
      <c r="C25" s="510">
        <v>94</v>
      </c>
      <c r="D25" s="510">
        <f t="shared" si="2"/>
        <v>2162</v>
      </c>
      <c r="E25" s="541">
        <v>96</v>
      </c>
      <c r="F25" s="541">
        <v>2208</v>
      </c>
      <c r="G25" s="541"/>
      <c r="H25" s="541">
        <f t="shared" si="1"/>
        <v>46</v>
      </c>
    </row>
    <row r="26" spans="1:13" x14ac:dyDescent="0.35">
      <c r="A26" s="508" t="s">
        <v>53</v>
      </c>
      <c r="B26" s="515">
        <v>12</v>
      </c>
      <c r="C26" s="510">
        <v>105</v>
      </c>
      <c r="D26" s="510">
        <f t="shared" si="2"/>
        <v>1260</v>
      </c>
      <c r="E26" s="541">
        <v>106</v>
      </c>
      <c r="F26" s="541">
        <v>1272</v>
      </c>
      <c r="G26" s="541"/>
      <c r="H26" s="541">
        <f t="shared" si="1"/>
        <v>12</v>
      </c>
    </row>
    <row r="27" spans="1:13" x14ac:dyDescent="0.35">
      <c r="A27" s="508" t="s">
        <v>54</v>
      </c>
      <c r="B27" s="515">
        <v>25</v>
      </c>
      <c r="C27" s="510">
        <v>63</v>
      </c>
      <c r="D27" s="510">
        <f t="shared" si="2"/>
        <v>1575</v>
      </c>
      <c r="E27" s="541">
        <v>64</v>
      </c>
      <c r="F27" s="541">
        <v>1600</v>
      </c>
      <c r="G27" s="541"/>
      <c r="H27" s="541">
        <f t="shared" si="1"/>
        <v>25</v>
      </c>
    </row>
    <row r="28" spans="1:13" x14ac:dyDescent="0.35">
      <c r="A28" s="508" t="s">
        <v>200</v>
      </c>
      <c r="B28" s="515">
        <v>2</v>
      </c>
      <c r="C28" s="510">
        <v>7907</v>
      </c>
      <c r="D28" s="510">
        <f t="shared" si="2"/>
        <v>15814</v>
      </c>
      <c r="E28" s="541">
        <v>8054</v>
      </c>
      <c r="F28" s="541">
        <v>16108</v>
      </c>
      <c r="G28" s="541"/>
      <c r="H28" s="541">
        <f t="shared" si="1"/>
        <v>294</v>
      </c>
    </row>
    <row r="29" spans="1:13" ht="29" x14ac:dyDescent="0.35">
      <c r="A29" s="517" t="s">
        <v>201</v>
      </c>
      <c r="B29" s="509">
        <v>2</v>
      </c>
      <c r="C29" s="510">
        <v>64999</v>
      </c>
      <c r="D29" s="510">
        <f t="shared" si="2"/>
        <v>129998</v>
      </c>
      <c r="E29" s="541">
        <v>64999</v>
      </c>
      <c r="F29" s="541">
        <v>129998</v>
      </c>
      <c r="G29" s="541"/>
      <c r="H29" s="541">
        <f t="shared" si="1"/>
        <v>0</v>
      </c>
    </row>
    <row r="30" spans="1:13" x14ac:dyDescent="0.35">
      <c r="A30" s="517" t="s">
        <v>202</v>
      </c>
      <c r="B30" s="509">
        <v>2</v>
      </c>
      <c r="C30" s="510">
        <v>68970</v>
      </c>
      <c r="D30" s="510">
        <f t="shared" si="2"/>
        <v>137940</v>
      </c>
      <c r="E30" s="541">
        <v>68970</v>
      </c>
      <c r="F30" s="541">
        <v>137940</v>
      </c>
      <c r="G30" s="541"/>
      <c r="H30" s="541">
        <f t="shared" si="1"/>
        <v>0</v>
      </c>
    </row>
    <row r="31" spans="1:13" x14ac:dyDescent="0.35">
      <c r="A31" s="508" t="s">
        <v>203</v>
      </c>
      <c r="B31" s="515">
        <v>2</v>
      </c>
      <c r="C31" s="510">
        <v>53406</v>
      </c>
      <c r="D31" s="510">
        <f t="shared" si="2"/>
        <v>106812</v>
      </c>
      <c r="E31" s="541">
        <v>53406</v>
      </c>
      <c r="F31" s="541">
        <v>106812</v>
      </c>
      <c r="G31" s="541"/>
      <c r="H31" s="541">
        <f t="shared" si="1"/>
        <v>0</v>
      </c>
    </row>
    <row r="32" spans="1:13" x14ac:dyDescent="0.35">
      <c r="A32" s="511" t="s">
        <v>204</v>
      </c>
      <c r="B32" s="515">
        <v>25</v>
      </c>
      <c r="C32" s="518">
        <v>278</v>
      </c>
      <c r="D32" s="510">
        <f t="shared" si="2"/>
        <v>6950</v>
      </c>
      <c r="E32" s="541">
        <v>283</v>
      </c>
      <c r="F32" s="541">
        <v>7075</v>
      </c>
      <c r="G32" s="541"/>
      <c r="H32" s="541">
        <f t="shared" si="1"/>
        <v>125</v>
      </c>
    </row>
    <row r="33" spans="1:9" x14ac:dyDescent="0.35">
      <c r="A33" s="511" t="s">
        <v>205</v>
      </c>
      <c r="B33" s="515">
        <v>56</v>
      </c>
      <c r="C33" s="518">
        <v>16</v>
      </c>
      <c r="D33" s="510">
        <f t="shared" si="2"/>
        <v>896</v>
      </c>
      <c r="E33" s="541">
        <v>16</v>
      </c>
      <c r="F33" s="541">
        <v>896</v>
      </c>
      <c r="G33" s="541"/>
      <c r="H33" s="541">
        <f t="shared" si="1"/>
        <v>0</v>
      </c>
      <c r="I33" s="519"/>
    </row>
    <row r="34" spans="1:9" x14ac:dyDescent="0.35">
      <c r="A34" s="511" t="s">
        <v>206</v>
      </c>
      <c r="B34" s="515">
        <v>1</v>
      </c>
      <c r="C34" s="510">
        <v>149437.37177320002</v>
      </c>
      <c r="D34" s="510">
        <f t="shared" si="2"/>
        <v>149437.37177320002</v>
      </c>
      <c r="E34" s="541">
        <v>152238.23976900007</v>
      </c>
      <c r="F34" s="541">
        <v>152238.23976900007</v>
      </c>
      <c r="G34" s="541"/>
      <c r="H34" s="541">
        <f t="shared" si="1"/>
        <v>2800.867995800043</v>
      </c>
      <c r="I34" s="534"/>
    </row>
    <row r="35" spans="1:9" x14ac:dyDescent="0.35">
      <c r="A35" s="511" t="s">
        <v>207</v>
      </c>
      <c r="B35" s="515">
        <v>3</v>
      </c>
      <c r="C35" s="510">
        <v>1249</v>
      </c>
      <c r="D35" s="510">
        <f t="shared" si="2"/>
        <v>3747</v>
      </c>
      <c r="E35" s="541">
        <v>1272</v>
      </c>
      <c r="F35" s="541">
        <v>3816</v>
      </c>
      <c r="G35" s="541"/>
      <c r="H35" s="541">
        <f t="shared" si="1"/>
        <v>69</v>
      </c>
    </row>
    <row r="36" spans="1:9" x14ac:dyDescent="0.35">
      <c r="A36" s="511" t="s">
        <v>208</v>
      </c>
      <c r="B36" s="515">
        <v>2</v>
      </c>
      <c r="C36" s="510">
        <v>729</v>
      </c>
      <c r="D36" s="510">
        <f t="shared" si="2"/>
        <v>1458</v>
      </c>
      <c r="E36" s="541">
        <v>742</v>
      </c>
      <c r="F36" s="541">
        <v>1484</v>
      </c>
      <c r="G36" s="541"/>
      <c r="H36" s="541">
        <f t="shared" si="1"/>
        <v>26</v>
      </c>
    </row>
    <row r="37" spans="1:9" x14ac:dyDescent="0.35">
      <c r="A37" s="511" t="s">
        <v>209</v>
      </c>
      <c r="B37" s="515">
        <v>2</v>
      </c>
      <c r="C37" s="510">
        <v>937</v>
      </c>
      <c r="D37" s="510">
        <f t="shared" si="2"/>
        <v>1874</v>
      </c>
      <c r="E37" s="541">
        <v>954</v>
      </c>
      <c r="F37" s="541">
        <v>1908</v>
      </c>
      <c r="G37" s="541"/>
      <c r="H37" s="541">
        <f t="shared" si="1"/>
        <v>34</v>
      </c>
    </row>
    <row r="38" spans="1:9" x14ac:dyDescent="0.35">
      <c r="A38" s="511" t="s">
        <v>210</v>
      </c>
      <c r="B38" s="515">
        <v>3</v>
      </c>
      <c r="C38" s="510">
        <v>387</v>
      </c>
      <c r="D38" s="510">
        <f t="shared" si="2"/>
        <v>1161</v>
      </c>
      <c r="E38" s="541">
        <v>394</v>
      </c>
      <c r="F38" s="541">
        <v>1182</v>
      </c>
      <c r="G38" s="541"/>
      <c r="H38" s="541">
        <f t="shared" si="1"/>
        <v>21</v>
      </c>
    </row>
    <row r="39" spans="1:9" x14ac:dyDescent="0.35">
      <c r="A39" s="511" t="s">
        <v>211</v>
      </c>
      <c r="B39" s="515">
        <v>10</v>
      </c>
      <c r="C39" s="510">
        <v>94</v>
      </c>
      <c r="D39" s="510">
        <f t="shared" si="2"/>
        <v>940</v>
      </c>
      <c r="E39" s="541">
        <v>96</v>
      </c>
      <c r="F39" s="541">
        <v>960</v>
      </c>
      <c r="G39" s="541"/>
      <c r="H39" s="541">
        <f t="shared" si="1"/>
        <v>20</v>
      </c>
    </row>
    <row r="40" spans="1:9" x14ac:dyDescent="0.35">
      <c r="A40" s="511" t="s">
        <v>212</v>
      </c>
      <c r="B40" s="515">
        <v>3</v>
      </c>
      <c r="C40" s="510">
        <v>105</v>
      </c>
      <c r="D40" s="510">
        <f t="shared" si="2"/>
        <v>315</v>
      </c>
      <c r="E40" s="541">
        <v>106</v>
      </c>
      <c r="F40" s="541">
        <v>318</v>
      </c>
      <c r="G40" s="541"/>
      <c r="H40" s="541">
        <f t="shared" si="1"/>
        <v>3</v>
      </c>
    </row>
    <row r="41" spans="1:9" x14ac:dyDescent="0.35">
      <c r="A41" s="511" t="s">
        <v>213</v>
      </c>
      <c r="B41" s="515">
        <v>10</v>
      </c>
      <c r="C41" s="510">
        <v>63</v>
      </c>
      <c r="D41" s="510">
        <f t="shared" si="2"/>
        <v>630</v>
      </c>
      <c r="E41" s="541">
        <v>64</v>
      </c>
      <c r="F41" s="541">
        <v>640</v>
      </c>
      <c r="G41" s="541"/>
      <c r="H41" s="541">
        <f t="shared" si="1"/>
        <v>10</v>
      </c>
    </row>
    <row r="42" spans="1:9" x14ac:dyDescent="0.35">
      <c r="A42" s="520" t="s">
        <v>214</v>
      </c>
      <c r="B42" s="206">
        <v>2</v>
      </c>
      <c r="C42" s="510">
        <v>132</v>
      </c>
      <c r="D42" s="510">
        <f t="shared" si="2"/>
        <v>264</v>
      </c>
      <c r="E42" s="541">
        <v>135</v>
      </c>
      <c r="F42" s="541">
        <v>270</v>
      </c>
      <c r="G42" s="541"/>
      <c r="H42" s="541">
        <f t="shared" si="1"/>
        <v>6</v>
      </c>
    </row>
    <row r="43" spans="1:9" x14ac:dyDescent="0.35">
      <c r="A43" s="520" t="s">
        <v>215</v>
      </c>
      <c r="B43" s="206">
        <v>1</v>
      </c>
      <c r="C43" s="510">
        <v>131</v>
      </c>
      <c r="D43" s="510">
        <f t="shared" si="2"/>
        <v>131</v>
      </c>
      <c r="E43" s="541">
        <v>133</v>
      </c>
      <c r="F43" s="541">
        <v>133</v>
      </c>
      <c r="G43" s="541"/>
      <c r="H43" s="541">
        <f t="shared" si="1"/>
        <v>2</v>
      </c>
    </row>
    <row r="44" spans="1:9" x14ac:dyDescent="0.35">
      <c r="A44" s="520" t="s">
        <v>216</v>
      </c>
      <c r="B44" s="206">
        <v>3</v>
      </c>
      <c r="C44" s="510">
        <v>278</v>
      </c>
      <c r="D44" s="510">
        <f t="shared" si="2"/>
        <v>834</v>
      </c>
      <c r="E44" s="541">
        <v>283</v>
      </c>
      <c r="F44" s="541">
        <v>849</v>
      </c>
      <c r="G44" s="541"/>
      <c r="H44" s="541">
        <f t="shared" si="1"/>
        <v>15</v>
      </c>
    </row>
    <row r="45" spans="1:9" x14ac:dyDescent="0.35">
      <c r="A45" s="520" t="s">
        <v>217</v>
      </c>
      <c r="B45" s="206">
        <v>13</v>
      </c>
      <c r="C45" s="510">
        <v>16</v>
      </c>
      <c r="D45" s="510">
        <f t="shared" si="2"/>
        <v>208</v>
      </c>
      <c r="E45" s="541">
        <v>16</v>
      </c>
      <c r="F45" s="541">
        <v>208</v>
      </c>
      <c r="G45" s="541"/>
      <c r="H45" s="541">
        <f t="shared" si="1"/>
        <v>0</v>
      </c>
    </row>
    <row r="46" spans="1:9" x14ac:dyDescent="0.35">
      <c r="A46" s="520" t="s">
        <v>218</v>
      </c>
      <c r="B46" s="206">
        <v>1</v>
      </c>
      <c r="C46" s="510">
        <v>1561</v>
      </c>
      <c r="D46" s="510">
        <f t="shared" si="2"/>
        <v>1561</v>
      </c>
      <c r="E46" s="541">
        <v>1590</v>
      </c>
      <c r="F46" s="541">
        <v>1590</v>
      </c>
      <c r="G46" s="541"/>
      <c r="H46" s="541">
        <f t="shared" si="1"/>
        <v>29</v>
      </c>
    </row>
    <row r="47" spans="1:9" ht="29" x14ac:dyDescent="0.35">
      <c r="A47" s="520" t="s">
        <v>219</v>
      </c>
      <c r="B47" s="206">
        <v>1</v>
      </c>
      <c r="C47" s="510">
        <v>64044.587902800013</v>
      </c>
      <c r="D47" s="510">
        <f t="shared" si="2"/>
        <v>64044.587902800013</v>
      </c>
      <c r="E47" s="541">
        <v>65244.959901000031</v>
      </c>
      <c r="F47" s="541">
        <v>65244.959901000031</v>
      </c>
      <c r="G47" s="541"/>
      <c r="H47" s="541">
        <f t="shared" si="1"/>
        <v>1200.3719982000184</v>
      </c>
      <c r="I47" s="535"/>
    </row>
    <row r="48" spans="1:9" x14ac:dyDescent="0.35">
      <c r="A48" s="536" t="s">
        <v>220</v>
      </c>
      <c r="B48" s="521"/>
      <c r="C48" s="514"/>
      <c r="D48" s="529">
        <f>SUM(D20:D47)</f>
        <v>826761.13067600003</v>
      </c>
      <c r="E48" s="542"/>
      <c r="F48" s="542">
        <v>831960.37067000009</v>
      </c>
      <c r="G48" s="542"/>
      <c r="H48" s="541">
        <f t="shared" si="1"/>
        <v>5199.2399940000614</v>
      </c>
    </row>
    <row r="49" spans="1:9" x14ac:dyDescent="0.35">
      <c r="A49" s="522" t="s">
        <v>221</v>
      </c>
      <c r="B49" s="523"/>
      <c r="C49" s="524"/>
      <c r="D49" s="524">
        <f>D48+D19</f>
        <v>2954799.7224656907</v>
      </c>
      <c r="E49" s="541"/>
      <c r="F49" s="541">
        <v>2984176.2765100002</v>
      </c>
      <c r="G49" s="541"/>
      <c r="H49" s="546">
        <f t="shared" si="1"/>
        <v>29376.554044309538</v>
      </c>
      <c r="I49" s="549">
        <f>H49/F49</f>
        <v>9.8441081632970676E-3</v>
      </c>
    </row>
    <row r="50" spans="1:9" x14ac:dyDescent="0.35">
      <c r="A50" s="525" t="s">
        <v>222</v>
      </c>
      <c r="B50" s="526"/>
      <c r="C50" s="526"/>
      <c r="D50" s="527">
        <f>D49*12</f>
        <v>35457596.66958829</v>
      </c>
      <c r="E50" s="543"/>
      <c r="F50" s="543">
        <v>35810115.318119995</v>
      </c>
      <c r="G50" s="543"/>
      <c r="H50" s="546">
        <f t="shared" si="1"/>
        <v>352518.64853170514</v>
      </c>
      <c r="I50" s="549">
        <f>H50/F50</f>
        <v>9.8441081632968091E-3</v>
      </c>
    </row>
    <row r="51" spans="1:9" x14ac:dyDescent="0.35">
      <c r="A51" s="525" t="s">
        <v>223</v>
      </c>
      <c r="B51" s="526"/>
      <c r="C51" s="526"/>
      <c r="D51" s="528">
        <f>D50*1.1</f>
        <v>39003356.336547121</v>
      </c>
      <c r="E51" s="282"/>
      <c r="F51" s="282"/>
      <c r="G51" s="282"/>
      <c r="H51" s="282"/>
    </row>
    <row r="52" spans="1:9" x14ac:dyDescent="0.35">
      <c r="A52" s="525" t="s">
        <v>224</v>
      </c>
      <c r="B52" s="526"/>
      <c r="C52" s="526"/>
      <c r="D52" s="528">
        <f>D51*1.1</f>
        <v>42903691.970201835</v>
      </c>
      <c r="E52" s="282"/>
      <c r="F52" s="282"/>
      <c r="G52" s="282">
        <f>D49-'BOQ A (2)'!G17</f>
        <v>0</v>
      </c>
      <c r="H52" s="282"/>
    </row>
    <row r="53" spans="1:9" x14ac:dyDescent="0.35">
      <c r="A53" s="531" t="s">
        <v>221</v>
      </c>
      <c r="B53" s="532"/>
      <c r="C53" s="532"/>
      <c r="D53" s="533">
        <f>SUM(D50:D52)</f>
        <v>117364644.97633724</v>
      </c>
      <c r="E53" s="544"/>
      <c r="F53" s="544"/>
      <c r="G53" s="544"/>
      <c r="H53" s="544"/>
    </row>
  </sheetData>
  <mergeCells count="3">
    <mergeCell ref="C4:C5"/>
    <mergeCell ref="D4:D5"/>
    <mergeCell ref="I13:I17"/>
  </mergeCells>
  <pageMargins left="0.7" right="0.7" top="0.75" bottom="0.75" header="0.3" footer="0.3"/>
  <pageSetup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71FB-662A-4314-837B-1A4C2CC7185B}">
  <sheetPr>
    <tabColor rgb="FF92D050"/>
  </sheetPr>
  <dimension ref="B1:Q96"/>
  <sheetViews>
    <sheetView workbookViewId="0">
      <selection activeCell="E10" sqref="E10"/>
    </sheetView>
  </sheetViews>
  <sheetFormatPr defaultColWidth="8.90625" defaultRowHeight="14.5" x14ac:dyDescent="0.35"/>
  <cols>
    <col min="1" max="1" width="8.90625" style="74"/>
    <col min="2" max="2" width="8" style="74" customWidth="1"/>
    <col min="3" max="3" width="5" style="74" customWidth="1"/>
    <col min="4" max="4" width="32" style="73" bestFit="1" customWidth="1"/>
    <col min="5" max="5" width="78" style="73" customWidth="1"/>
    <col min="6" max="6" width="9.1796875" style="74" bestFit="1" customWidth="1"/>
    <col min="7" max="7" width="13.54296875" style="74" bestFit="1" customWidth="1"/>
    <col min="8" max="8" width="13.36328125" style="74" customWidth="1"/>
    <col min="9" max="9" width="9.08984375" style="74" bestFit="1" customWidth="1"/>
    <col min="10" max="10" width="14.6328125" style="74" hidden="1" customWidth="1"/>
    <col min="11" max="11" width="13.6328125" style="74" hidden="1" customWidth="1"/>
    <col min="12" max="12" width="13.81640625" style="74" hidden="1" customWidth="1"/>
    <col min="13" max="13" width="13.6328125" style="74" hidden="1" customWidth="1"/>
    <col min="14" max="14" width="8.90625" style="74" hidden="1" customWidth="1"/>
    <col min="15" max="15" width="11.08984375" style="74" bestFit="1" customWidth="1"/>
    <col min="16" max="16" width="10" style="74" bestFit="1" customWidth="1"/>
    <col min="17" max="16384" width="8.90625" style="74"/>
  </cols>
  <sheetData>
    <row r="1" spans="2:15" ht="15" thickBot="1" x14ac:dyDescent="0.4"/>
    <row r="2" spans="2:15" x14ac:dyDescent="0.35">
      <c r="B2" s="399" t="s">
        <v>467</v>
      </c>
      <c r="C2" s="424" t="s">
        <v>12</v>
      </c>
      <c r="D2" s="410" t="s">
        <v>306</v>
      </c>
      <c r="E2" s="410" t="s">
        <v>307</v>
      </c>
      <c r="F2" s="400" t="s">
        <v>386</v>
      </c>
      <c r="G2" s="400" t="s">
        <v>387</v>
      </c>
      <c r="H2" s="401" t="s">
        <v>388</v>
      </c>
    </row>
    <row r="3" spans="2:15" ht="29" x14ac:dyDescent="0.35">
      <c r="B3" s="560" t="s">
        <v>305</v>
      </c>
      <c r="C3" s="77">
        <v>1</v>
      </c>
      <c r="D3" s="411" t="s">
        <v>145</v>
      </c>
      <c r="E3" s="184" t="s">
        <v>324</v>
      </c>
      <c r="F3" s="185">
        <v>12</v>
      </c>
      <c r="G3" s="186">
        <v>542381.0655547732</v>
      </c>
      <c r="H3" s="187">
        <f>G3*F3</f>
        <v>6508572.7866572784</v>
      </c>
      <c r="I3" s="223">
        <f>G3*$Q$42</f>
        <v>0</v>
      </c>
      <c r="K3" s="84">
        <v>920624.36279543431</v>
      </c>
      <c r="L3" s="486">
        <f>G3-K3</f>
        <v>-378243.29724066111</v>
      </c>
      <c r="M3" s="489">
        <f>L3/G3</f>
        <v>-0.6973755561576912</v>
      </c>
      <c r="O3" s="223">
        <f>G3+I3</f>
        <v>542381.0655547732</v>
      </c>
    </row>
    <row r="4" spans="2:15" ht="29" x14ac:dyDescent="0.35">
      <c r="B4" s="560"/>
      <c r="C4" s="77">
        <v>2</v>
      </c>
      <c r="D4" s="411" t="s">
        <v>146</v>
      </c>
      <c r="E4" s="184" t="s">
        <v>327</v>
      </c>
      <c r="F4" s="185">
        <v>12</v>
      </c>
      <c r="G4" s="186">
        <v>254129.54698737542</v>
      </c>
      <c r="H4" s="187">
        <f t="shared" ref="H4:H16" si="0">G4*F4</f>
        <v>3049554.5638485048</v>
      </c>
      <c r="I4" s="223">
        <f t="shared" ref="I4:I11" si="1">G4*$Q$42</f>
        <v>0</v>
      </c>
      <c r="K4" s="84">
        <v>371983.729288453</v>
      </c>
      <c r="L4" s="486">
        <f t="shared" ref="L4:L17" si="2">G4-K4</f>
        <v>-117854.18230107758</v>
      </c>
      <c r="M4" s="489">
        <f t="shared" ref="M4:M17" si="3">L4/G4</f>
        <v>-0.46375631522662852</v>
      </c>
      <c r="O4" s="223">
        <f t="shared" ref="O4:O16" si="4">G4+I4</f>
        <v>254129.54698737542</v>
      </c>
    </row>
    <row r="5" spans="2:15" ht="29" x14ac:dyDescent="0.35">
      <c r="B5" s="560"/>
      <c r="C5" s="77">
        <v>3</v>
      </c>
      <c r="D5" s="411" t="s">
        <v>147</v>
      </c>
      <c r="E5" s="184" t="s">
        <v>328</v>
      </c>
      <c r="F5" s="185">
        <v>12</v>
      </c>
      <c r="G5" s="186">
        <v>261177.99357885896</v>
      </c>
      <c r="H5" s="187">
        <f t="shared" si="0"/>
        <v>3134135.9229463078</v>
      </c>
      <c r="I5" s="223">
        <f t="shared" si="1"/>
        <v>0</v>
      </c>
      <c r="K5" s="84">
        <v>368133.46662655147</v>
      </c>
      <c r="L5" s="486">
        <f t="shared" si="2"/>
        <v>-106955.4730476925</v>
      </c>
      <c r="M5" s="489">
        <f t="shared" si="3"/>
        <v>-0.40951181063192765</v>
      </c>
      <c r="O5" s="223">
        <f t="shared" si="4"/>
        <v>261177.99357885896</v>
      </c>
    </row>
    <row r="6" spans="2:15" ht="29" x14ac:dyDescent="0.35">
      <c r="B6" s="560"/>
      <c r="C6" s="77">
        <v>4</v>
      </c>
      <c r="D6" s="411" t="s">
        <v>148</v>
      </c>
      <c r="E6" s="184" t="s">
        <v>329</v>
      </c>
      <c r="F6" s="185">
        <v>12</v>
      </c>
      <c r="G6" s="186">
        <v>509704.5836673177</v>
      </c>
      <c r="H6" s="187">
        <f t="shared" si="0"/>
        <v>6116455.0040078126</v>
      </c>
      <c r="I6" s="223">
        <f t="shared" si="1"/>
        <v>0</v>
      </c>
      <c r="K6" s="84">
        <v>806193.74653435289</v>
      </c>
      <c r="L6" s="486">
        <f t="shared" si="2"/>
        <v>-296489.16286703519</v>
      </c>
      <c r="M6" s="489">
        <f t="shared" si="3"/>
        <v>-0.5816882413216683</v>
      </c>
      <c r="O6" s="223">
        <f t="shared" si="4"/>
        <v>509704.5836673177</v>
      </c>
    </row>
    <row r="7" spans="2:15" ht="29" x14ac:dyDescent="0.35">
      <c r="B7" s="560"/>
      <c r="C7" s="77">
        <v>5</v>
      </c>
      <c r="D7" s="411" t="s">
        <v>149</v>
      </c>
      <c r="E7" s="184" t="s">
        <v>330</v>
      </c>
      <c r="F7" s="185">
        <v>12</v>
      </c>
      <c r="G7" s="186">
        <v>105677.85061709482</v>
      </c>
      <c r="H7" s="187">
        <f t="shared" si="0"/>
        <v>1268134.2074051378</v>
      </c>
      <c r="I7" s="223">
        <f t="shared" si="1"/>
        <v>0</v>
      </c>
      <c r="K7" s="84">
        <v>132229.955234375</v>
      </c>
      <c r="L7" s="486">
        <f t="shared" si="2"/>
        <v>-26552.104617280173</v>
      </c>
      <c r="M7" s="489">
        <f t="shared" si="3"/>
        <v>-0.25125515386840208</v>
      </c>
      <c r="O7" s="223">
        <f t="shared" si="4"/>
        <v>105677.85061709482</v>
      </c>
    </row>
    <row r="8" spans="2:15" ht="29" x14ac:dyDescent="0.35">
      <c r="B8" s="560"/>
      <c r="C8" s="77">
        <v>6</v>
      </c>
      <c r="D8" s="411" t="s">
        <v>150</v>
      </c>
      <c r="E8" s="184" t="s">
        <v>331</v>
      </c>
      <c r="F8" s="185">
        <v>12</v>
      </c>
      <c r="G8" s="186">
        <v>81202.218626857139</v>
      </c>
      <c r="H8" s="187">
        <f t="shared" si="0"/>
        <v>974426.6235222856</v>
      </c>
      <c r="I8" s="223">
        <f t="shared" si="1"/>
        <v>0</v>
      </c>
      <c r="K8" s="84">
        <v>102178.84782366069</v>
      </c>
      <c r="L8" s="486">
        <f t="shared" si="2"/>
        <v>-20976.629196803551</v>
      </c>
      <c r="M8" s="489">
        <f t="shared" si="3"/>
        <v>-0.25832581364797413</v>
      </c>
      <c r="O8" s="223">
        <f t="shared" si="4"/>
        <v>81202.218626857139</v>
      </c>
    </row>
    <row r="9" spans="2:15" ht="29" x14ac:dyDescent="0.35">
      <c r="B9" s="560"/>
      <c r="C9" s="77">
        <v>7</v>
      </c>
      <c r="D9" s="411" t="s">
        <v>151</v>
      </c>
      <c r="E9" s="184" t="s">
        <v>332</v>
      </c>
      <c r="F9" s="185">
        <v>12</v>
      </c>
      <c r="G9" s="186">
        <v>62204.855512007343</v>
      </c>
      <c r="H9" s="187">
        <f t="shared" si="0"/>
        <v>746458.26614408812</v>
      </c>
      <c r="I9" s="223">
        <f t="shared" si="1"/>
        <v>0</v>
      </c>
      <c r="K9" s="84">
        <v>78508.911957589284</v>
      </c>
      <c r="L9" s="486">
        <f t="shared" si="2"/>
        <v>-16304.05644558194</v>
      </c>
      <c r="M9" s="489">
        <f t="shared" si="3"/>
        <v>-0.26210263349031948</v>
      </c>
      <c r="O9" s="223">
        <f t="shared" si="4"/>
        <v>62204.855512007343</v>
      </c>
    </row>
    <row r="10" spans="2:15" ht="29" x14ac:dyDescent="0.35">
      <c r="B10" s="560"/>
      <c r="C10" s="77">
        <v>8</v>
      </c>
      <c r="D10" s="411" t="s">
        <v>152</v>
      </c>
      <c r="E10" s="184" t="s">
        <v>333</v>
      </c>
      <c r="F10" s="185">
        <v>12</v>
      </c>
      <c r="G10" s="186">
        <v>79759.013948457825</v>
      </c>
      <c r="H10" s="187">
        <f t="shared" si="0"/>
        <v>957108.16738149384</v>
      </c>
      <c r="I10" s="223">
        <f t="shared" si="1"/>
        <v>0</v>
      </c>
      <c r="K10" s="84">
        <v>100410.82385937501</v>
      </c>
      <c r="L10" s="486">
        <f t="shared" si="2"/>
        <v>-20651.809910917189</v>
      </c>
      <c r="M10" s="489">
        <f t="shared" si="3"/>
        <v>-0.25892759813032395</v>
      </c>
      <c r="O10" s="223">
        <f t="shared" si="4"/>
        <v>79759.013948457825</v>
      </c>
    </row>
    <row r="11" spans="2:15" ht="29" x14ac:dyDescent="0.35">
      <c r="B11" s="560"/>
      <c r="C11" s="77">
        <v>9</v>
      </c>
      <c r="D11" s="411" t="s">
        <v>153</v>
      </c>
      <c r="E11" s="184" t="s">
        <v>334</v>
      </c>
      <c r="F11" s="185">
        <v>12</v>
      </c>
      <c r="G11" s="186">
        <v>79288.987610889817</v>
      </c>
      <c r="H11" s="187">
        <f t="shared" si="0"/>
        <v>951467.85133067775</v>
      </c>
      <c r="I11" s="223">
        <f t="shared" si="1"/>
        <v>0</v>
      </c>
      <c r="K11" s="84">
        <v>99151.034796875014</v>
      </c>
      <c r="L11" s="486">
        <f t="shared" si="2"/>
        <v>-19862.047185985197</v>
      </c>
      <c r="M11" s="489">
        <f t="shared" si="3"/>
        <v>-0.2505019648309556</v>
      </c>
      <c r="O11" s="223">
        <f t="shared" si="4"/>
        <v>79288.987610889817</v>
      </c>
    </row>
    <row r="12" spans="2:15" ht="43.5" x14ac:dyDescent="0.35">
      <c r="B12" s="560"/>
      <c r="C12" s="77">
        <v>10</v>
      </c>
      <c r="D12" s="411" t="s">
        <v>154</v>
      </c>
      <c r="E12" s="184" t="s">
        <v>335</v>
      </c>
      <c r="F12" s="185">
        <v>12</v>
      </c>
      <c r="G12" s="186">
        <v>227995.46811449277</v>
      </c>
      <c r="H12" s="187">
        <f t="shared" si="0"/>
        <v>2735945.6173739135</v>
      </c>
      <c r="I12" s="223"/>
      <c r="K12" s="84">
        <v>276777.38138020836</v>
      </c>
      <c r="L12" s="486">
        <f t="shared" si="2"/>
        <v>-48781.913265715586</v>
      </c>
      <c r="M12" s="489">
        <f t="shared" si="3"/>
        <v>-0.21396001275437068</v>
      </c>
      <c r="O12" s="223">
        <f t="shared" si="4"/>
        <v>227995.46811449277</v>
      </c>
    </row>
    <row r="13" spans="2:15" ht="29" x14ac:dyDescent="0.35">
      <c r="B13" s="560"/>
      <c r="C13" s="77">
        <v>11</v>
      </c>
      <c r="D13" s="411" t="s">
        <v>155</v>
      </c>
      <c r="E13" s="184" t="s">
        <v>336</v>
      </c>
      <c r="F13" s="185">
        <v>12</v>
      </c>
      <c r="G13" s="186">
        <v>21772.408594695655</v>
      </c>
      <c r="H13" s="187">
        <f t="shared" si="0"/>
        <v>261268.90313634786</v>
      </c>
      <c r="I13" s="223"/>
      <c r="K13" s="84">
        <v>27043.411015625003</v>
      </c>
      <c r="L13" s="486">
        <f t="shared" si="2"/>
        <v>-5271.0024209293479</v>
      </c>
      <c r="M13" s="489">
        <f t="shared" si="3"/>
        <v>-0.24209551267623675</v>
      </c>
      <c r="O13" s="223">
        <f t="shared" si="4"/>
        <v>21772.408594695655</v>
      </c>
    </row>
    <row r="14" spans="2:15" x14ac:dyDescent="0.35">
      <c r="B14" s="560"/>
      <c r="C14" s="77">
        <v>12</v>
      </c>
      <c r="D14" s="411" t="s">
        <v>156</v>
      </c>
      <c r="E14" s="184" t="s">
        <v>337</v>
      </c>
      <c r="F14" s="185">
        <v>12</v>
      </c>
      <c r="G14" s="186">
        <v>116671.72827869565</v>
      </c>
      <c r="H14" s="187">
        <f t="shared" si="0"/>
        <v>1400060.7393443477</v>
      </c>
      <c r="I14" s="223"/>
      <c r="K14" s="84">
        <v>142784.12718749998</v>
      </c>
      <c r="L14" s="486">
        <f t="shared" si="2"/>
        <v>-26112.398908804331</v>
      </c>
      <c r="M14" s="489">
        <f t="shared" si="3"/>
        <v>-0.22381085198660314</v>
      </c>
      <c r="O14" s="223">
        <f t="shared" si="4"/>
        <v>116671.72827869565</v>
      </c>
    </row>
    <row r="15" spans="2:15" x14ac:dyDescent="0.35">
      <c r="B15" s="560"/>
      <c r="C15" s="77">
        <v>13</v>
      </c>
      <c r="D15" s="411" t="s">
        <v>157</v>
      </c>
      <c r="E15" s="184" t="s">
        <v>338</v>
      </c>
      <c r="F15" s="185">
        <v>12</v>
      </c>
      <c r="G15" s="186">
        <v>19590.071710695651</v>
      </c>
      <c r="H15" s="187">
        <f t="shared" si="0"/>
        <v>235080.86052834781</v>
      </c>
      <c r="I15" s="223"/>
      <c r="K15" s="84">
        <v>24358.380593750004</v>
      </c>
      <c r="L15" s="486">
        <f t="shared" si="2"/>
        <v>-4768.3088830543529</v>
      </c>
      <c r="M15" s="489">
        <f t="shared" si="3"/>
        <v>-0.24340436081461533</v>
      </c>
      <c r="O15" s="223">
        <f t="shared" si="4"/>
        <v>19590.071710695651</v>
      </c>
    </row>
    <row r="16" spans="2:15" ht="29" x14ac:dyDescent="0.35">
      <c r="B16" s="560"/>
      <c r="C16" s="77">
        <v>14</v>
      </c>
      <c r="D16" s="71" t="s">
        <v>339</v>
      </c>
      <c r="E16" s="425" t="s">
        <v>340</v>
      </c>
      <c r="F16" s="402">
        <v>12</v>
      </c>
      <c r="G16" s="186">
        <v>593243.92966347828</v>
      </c>
      <c r="H16" s="187">
        <f t="shared" si="0"/>
        <v>7118927.1559617389</v>
      </c>
      <c r="I16" s="223"/>
      <c r="K16" s="84">
        <v>811438.66764062503</v>
      </c>
      <c r="L16" s="486">
        <f t="shared" si="2"/>
        <v>-218194.73797714675</v>
      </c>
      <c r="M16" s="489">
        <f t="shared" si="3"/>
        <v>-0.36779936054452211</v>
      </c>
      <c r="O16" s="223">
        <f t="shared" si="4"/>
        <v>593243.92966347828</v>
      </c>
    </row>
    <row r="17" spans="2:15" ht="16" thickBot="1" x14ac:dyDescent="0.4">
      <c r="B17" s="561"/>
      <c r="C17" s="428" t="s">
        <v>389</v>
      </c>
      <c r="D17" s="428"/>
      <c r="E17" s="428"/>
      <c r="F17" s="428"/>
      <c r="G17" s="403">
        <f>SUM(G3:G16)</f>
        <v>2954799.7224656902</v>
      </c>
      <c r="H17" s="403">
        <f>SUM(H3:H16)</f>
        <v>35457596.669588283</v>
      </c>
      <c r="K17" s="403">
        <f>SUM(K3:K16)</f>
        <v>4261816.8467343748</v>
      </c>
      <c r="L17" s="486">
        <f t="shared" si="2"/>
        <v>-1307017.1242686845</v>
      </c>
      <c r="M17" s="489">
        <f t="shared" si="3"/>
        <v>-0.44233695919600891</v>
      </c>
      <c r="O17" s="403">
        <f>SUM(O3:O16)</f>
        <v>2954799.7224656902</v>
      </c>
    </row>
    <row r="18" spans="2:15" ht="15" thickBot="1" x14ac:dyDescent="0.4"/>
    <row r="19" spans="2:15" ht="29" x14ac:dyDescent="0.35">
      <c r="B19" s="562" t="s">
        <v>341</v>
      </c>
      <c r="C19" s="426">
        <v>1</v>
      </c>
      <c r="D19" s="565" t="s">
        <v>145</v>
      </c>
      <c r="E19" s="188" t="s">
        <v>347</v>
      </c>
      <c r="F19" s="189">
        <v>12</v>
      </c>
      <c r="G19" s="190"/>
      <c r="H19" s="191">
        <f>G19*F19</f>
        <v>0</v>
      </c>
    </row>
    <row r="20" spans="2:15" ht="29" x14ac:dyDescent="0.35">
      <c r="B20" s="563"/>
      <c r="C20" s="77">
        <v>2</v>
      </c>
      <c r="D20" s="566"/>
      <c r="E20" s="184" t="s">
        <v>348</v>
      </c>
      <c r="F20" s="185">
        <v>12</v>
      </c>
      <c r="G20" s="186"/>
      <c r="H20" s="187">
        <f t="shared" ref="H20:H40" si="5">G20*F20</f>
        <v>0</v>
      </c>
    </row>
    <row r="21" spans="2:15" ht="29" x14ac:dyDescent="0.35">
      <c r="B21" s="563"/>
      <c r="C21" s="77">
        <v>3</v>
      </c>
      <c r="D21" s="566"/>
      <c r="E21" s="184" t="s">
        <v>349</v>
      </c>
      <c r="F21" s="185">
        <v>12</v>
      </c>
      <c r="G21" s="186"/>
      <c r="H21" s="187">
        <f t="shared" si="5"/>
        <v>0</v>
      </c>
    </row>
    <row r="22" spans="2:15" ht="29" x14ac:dyDescent="0.35">
      <c r="B22" s="563"/>
      <c r="C22" s="77">
        <v>4</v>
      </c>
      <c r="D22" s="566" t="s">
        <v>390</v>
      </c>
      <c r="E22" s="184" t="s">
        <v>360</v>
      </c>
      <c r="F22" s="185">
        <v>12</v>
      </c>
      <c r="G22" s="186"/>
      <c r="H22" s="187">
        <f t="shared" si="5"/>
        <v>0</v>
      </c>
    </row>
    <row r="23" spans="2:15" ht="29" x14ac:dyDescent="0.35">
      <c r="B23" s="563"/>
      <c r="C23" s="77">
        <v>5</v>
      </c>
      <c r="D23" s="566"/>
      <c r="E23" s="184" t="s">
        <v>361</v>
      </c>
      <c r="F23" s="185">
        <v>12</v>
      </c>
      <c r="G23" s="186"/>
      <c r="H23" s="187">
        <f t="shared" si="5"/>
        <v>0</v>
      </c>
    </row>
    <row r="24" spans="2:15" ht="29" x14ac:dyDescent="0.35">
      <c r="B24" s="563"/>
      <c r="C24" s="77">
        <v>6</v>
      </c>
      <c r="D24" s="538" t="s">
        <v>146</v>
      </c>
      <c r="E24" s="184" t="s">
        <v>350</v>
      </c>
      <c r="F24" s="185">
        <v>12</v>
      </c>
      <c r="G24" s="186"/>
      <c r="H24" s="187">
        <f t="shared" si="5"/>
        <v>0</v>
      </c>
    </row>
    <row r="25" spans="2:15" ht="29" x14ac:dyDescent="0.35">
      <c r="B25" s="563"/>
      <c r="C25" s="77">
        <v>7</v>
      </c>
      <c r="D25" s="538" t="s">
        <v>147</v>
      </c>
      <c r="E25" s="184" t="s">
        <v>351</v>
      </c>
      <c r="F25" s="185">
        <v>12</v>
      </c>
      <c r="G25" s="186"/>
      <c r="H25" s="187">
        <f t="shared" si="5"/>
        <v>0</v>
      </c>
    </row>
    <row r="26" spans="2:15" ht="29" x14ac:dyDescent="0.35">
      <c r="B26" s="563"/>
      <c r="C26" s="77">
        <v>8</v>
      </c>
      <c r="D26" s="538" t="s">
        <v>149</v>
      </c>
      <c r="E26" s="184" t="s">
        <v>354</v>
      </c>
      <c r="F26" s="185">
        <v>12</v>
      </c>
      <c r="G26" s="186"/>
      <c r="H26" s="187">
        <f t="shared" si="5"/>
        <v>0</v>
      </c>
    </row>
    <row r="27" spans="2:15" ht="29" x14ac:dyDescent="0.35">
      <c r="B27" s="563"/>
      <c r="C27" s="77">
        <v>9</v>
      </c>
      <c r="D27" s="538" t="s">
        <v>150</v>
      </c>
      <c r="E27" s="184" t="s">
        <v>352</v>
      </c>
      <c r="F27" s="185">
        <v>12</v>
      </c>
      <c r="G27" s="186"/>
      <c r="H27" s="187">
        <f t="shared" si="5"/>
        <v>0</v>
      </c>
    </row>
    <row r="28" spans="2:15" ht="29" x14ac:dyDescent="0.35">
      <c r="B28" s="563"/>
      <c r="C28" s="77">
        <v>10</v>
      </c>
      <c r="D28" s="538" t="s">
        <v>151</v>
      </c>
      <c r="E28" s="184" t="s">
        <v>353</v>
      </c>
      <c r="F28" s="185">
        <v>12</v>
      </c>
      <c r="G28" s="186"/>
      <c r="H28" s="187">
        <f t="shared" si="5"/>
        <v>0</v>
      </c>
    </row>
    <row r="29" spans="2:15" ht="29" x14ac:dyDescent="0.35">
      <c r="B29" s="563"/>
      <c r="C29" s="77">
        <v>11</v>
      </c>
      <c r="D29" s="538" t="s">
        <v>355</v>
      </c>
      <c r="E29" s="184" t="s">
        <v>356</v>
      </c>
      <c r="F29" s="185">
        <v>12</v>
      </c>
      <c r="G29" s="186"/>
      <c r="H29" s="187">
        <f t="shared" si="5"/>
        <v>0</v>
      </c>
    </row>
    <row r="30" spans="2:15" ht="43.5" x14ac:dyDescent="0.35">
      <c r="B30" s="563"/>
      <c r="C30" s="77">
        <v>12</v>
      </c>
      <c r="D30" s="538" t="s">
        <v>362</v>
      </c>
      <c r="E30" s="184" t="s">
        <v>363</v>
      </c>
      <c r="F30" s="185">
        <v>12</v>
      </c>
      <c r="G30" s="186"/>
      <c r="H30" s="187">
        <f t="shared" si="5"/>
        <v>0</v>
      </c>
    </row>
    <row r="31" spans="2:15" ht="29" x14ac:dyDescent="0.35">
      <c r="B31" s="563"/>
      <c r="C31" s="77">
        <v>13</v>
      </c>
      <c r="D31" s="538" t="s">
        <v>366</v>
      </c>
      <c r="E31" s="184" t="s">
        <v>367</v>
      </c>
      <c r="F31" s="185">
        <v>12</v>
      </c>
      <c r="G31" s="186"/>
      <c r="H31" s="187">
        <f t="shared" si="5"/>
        <v>0</v>
      </c>
    </row>
    <row r="32" spans="2:15" ht="29" x14ac:dyDescent="0.35">
      <c r="B32" s="563"/>
      <c r="C32" s="77">
        <v>14</v>
      </c>
      <c r="D32" s="538" t="s">
        <v>364</v>
      </c>
      <c r="E32" s="184" t="s">
        <v>365</v>
      </c>
      <c r="F32" s="185">
        <v>12</v>
      </c>
      <c r="G32" s="186"/>
      <c r="H32" s="187">
        <f t="shared" si="5"/>
        <v>0</v>
      </c>
    </row>
    <row r="33" spans="2:17" ht="29" x14ac:dyDescent="0.35">
      <c r="B33" s="563"/>
      <c r="C33" s="77">
        <v>15</v>
      </c>
      <c r="D33" s="538" t="s">
        <v>357</v>
      </c>
      <c r="E33" s="184" t="s">
        <v>358</v>
      </c>
      <c r="F33" s="185">
        <v>12</v>
      </c>
      <c r="G33" s="186"/>
      <c r="H33" s="187">
        <f t="shared" si="5"/>
        <v>0</v>
      </c>
    </row>
    <row r="34" spans="2:17" ht="29" x14ac:dyDescent="0.35">
      <c r="B34" s="563"/>
      <c r="C34" s="77">
        <v>16</v>
      </c>
      <c r="D34" s="538" t="s">
        <v>159</v>
      </c>
      <c r="E34" s="184" t="s">
        <v>368</v>
      </c>
      <c r="F34" s="185">
        <v>12</v>
      </c>
      <c r="G34" s="186"/>
      <c r="H34" s="187">
        <f t="shared" si="5"/>
        <v>0</v>
      </c>
    </row>
    <row r="35" spans="2:17" ht="29" x14ac:dyDescent="0.35">
      <c r="B35" s="563"/>
      <c r="C35" s="77">
        <v>17</v>
      </c>
      <c r="D35" s="538" t="s">
        <v>160</v>
      </c>
      <c r="E35" s="184" t="s">
        <v>370</v>
      </c>
      <c r="F35" s="185">
        <v>12</v>
      </c>
      <c r="G35" s="186"/>
      <c r="H35" s="187">
        <f t="shared" si="5"/>
        <v>0</v>
      </c>
    </row>
    <row r="36" spans="2:17" ht="29" x14ac:dyDescent="0.35">
      <c r="B36" s="563"/>
      <c r="C36" s="77">
        <v>18</v>
      </c>
      <c r="D36" s="538" t="s">
        <v>161</v>
      </c>
      <c r="E36" s="184" t="s">
        <v>369</v>
      </c>
      <c r="F36" s="185">
        <v>12</v>
      </c>
      <c r="G36" s="186"/>
      <c r="H36" s="187">
        <f t="shared" si="5"/>
        <v>0</v>
      </c>
    </row>
    <row r="37" spans="2:17" ht="29" x14ac:dyDescent="0.35">
      <c r="B37" s="563"/>
      <c r="C37" s="77">
        <v>19</v>
      </c>
      <c r="D37" s="411" t="s">
        <v>371</v>
      </c>
      <c r="E37" s="184" t="s">
        <v>372</v>
      </c>
      <c r="F37" s="185">
        <v>12</v>
      </c>
      <c r="G37" s="186"/>
      <c r="H37" s="187">
        <f t="shared" si="5"/>
        <v>0</v>
      </c>
    </row>
    <row r="38" spans="2:17" x14ac:dyDescent="0.35">
      <c r="B38" s="563"/>
      <c r="C38" s="77">
        <v>20</v>
      </c>
      <c r="D38" s="411" t="s">
        <v>373</v>
      </c>
      <c r="E38" s="184" t="s">
        <v>374</v>
      </c>
      <c r="F38" s="185">
        <v>12</v>
      </c>
      <c r="G38" s="186"/>
      <c r="H38" s="187">
        <f t="shared" si="5"/>
        <v>0</v>
      </c>
    </row>
    <row r="39" spans="2:17" ht="29" x14ac:dyDescent="0.35">
      <c r="B39" s="563"/>
      <c r="C39" s="77">
        <v>21</v>
      </c>
      <c r="D39" s="538" t="s">
        <v>373</v>
      </c>
      <c r="E39" s="184" t="s">
        <v>375</v>
      </c>
      <c r="F39" s="185"/>
      <c r="G39" s="186"/>
      <c r="H39" s="187"/>
    </row>
    <row r="40" spans="2:17" x14ac:dyDescent="0.35">
      <c r="B40" s="563"/>
      <c r="C40" s="77">
        <v>22</v>
      </c>
      <c r="D40" s="411" t="s">
        <v>376</v>
      </c>
      <c r="E40" s="184"/>
      <c r="F40" s="185">
        <v>12</v>
      </c>
      <c r="G40" s="186"/>
      <c r="H40" s="187">
        <f t="shared" si="5"/>
        <v>0</v>
      </c>
    </row>
    <row r="41" spans="2:17" ht="16" thickBot="1" x14ac:dyDescent="0.4">
      <c r="B41" s="564"/>
      <c r="C41" s="429" t="s">
        <v>389</v>
      </c>
      <c r="D41" s="429"/>
      <c r="E41" s="429"/>
      <c r="F41" s="429"/>
      <c r="G41" s="429"/>
      <c r="H41" s="427">
        <f>SUM(H19:H40)</f>
        <v>0</v>
      </c>
    </row>
    <row r="42" spans="2:17" x14ac:dyDescent="0.35">
      <c r="B42" s="567" t="s">
        <v>402</v>
      </c>
      <c r="C42" s="567"/>
      <c r="D42" s="567"/>
      <c r="E42" s="567"/>
      <c r="F42" s="567"/>
      <c r="G42" s="430">
        <f>G17</f>
        <v>2954799.7224656902</v>
      </c>
      <c r="H42" s="430">
        <f>G42*12</f>
        <v>35457596.669588283</v>
      </c>
      <c r="I42" s="223">
        <f>H42-J42</f>
        <v>0</v>
      </c>
      <c r="J42" s="223">
        <f>G42*12</f>
        <v>35457596.669588283</v>
      </c>
      <c r="K42" s="485">
        <v>4261816.8467343748</v>
      </c>
      <c r="L42" s="486">
        <f>G42-K42</f>
        <v>-1307017.1242686845</v>
      </c>
      <c r="M42" s="489">
        <f>L42/G42</f>
        <v>-0.44233695919600891</v>
      </c>
      <c r="O42" s="547">
        <f>'BOQ Basic -Residential (2)'!D49-'BOQ A (2)'!G42</f>
        <v>0</v>
      </c>
      <c r="P42" s="545">
        <f>G3+G4+G5+G6+G7+G8+G9+G10+G11</f>
        <v>1975526.1161036321</v>
      </c>
      <c r="Q42" s="548">
        <f>O42/P42</f>
        <v>0</v>
      </c>
    </row>
    <row r="43" spans="2:17" x14ac:dyDescent="0.35">
      <c r="B43" s="558" t="s">
        <v>391</v>
      </c>
      <c r="C43" s="558"/>
      <c r="D43" s="558"/>
      <c r="E43" s="558"/>
      <c r="F43" s="558"/>
      <c r="G43" s="431">
        <f>G41</f>
        <v>0</v>
      </c>
      <c r="H43" s="431">
        <f>G43*12</f>
        <v>0</v>
      </c>
      <c r="I43" s="223">
        <f t="shared" ref="I43:I53" si="6">H43-J43</f>
        <v>0</v>
      </c>
      <c r="J43" s="223">
        <f t="shared" ref="J43:J53" si="7">G43*12</f>
        <v>0</v>
      </c>
      <c r="K43" s="485">
        <v>0</v>
      </c>
      <c r="L43" s="486">
        <f t="shared" ref="L43:L53" si="8">G43-K43</f>
        <v>0</v>
      </c>
      <c r="M43" s="489" t="e">
        <f t="shared" ref="M43:M53" si="9">L43/G43</f>
        <v>#DIV/0!</v>
      </c>
    </row>
    <row r="44" spans="2:17" x14ac:dyDescent="0.35">
      <c r="B44" s="558" t="s">
        <v>392</v>
      </c>
      <c r="C44" s="558"/>
      <c r="D44" s="558"/>
      <c r="E44" s="558"/>
      <c r="F44" s="558"/>
      <c r="G44" s="431">
        <f>SUM(G42:G43)</f>
        <v>2954799.7224656902</v>
      </c>
      <c r="H44" s="431">
        <f>SUM(H42:H43)</f>
        <v>35457596.669588283</v>
      </c>
      <c r="I44" s="223">
        <f t="shared" si="6"/>
        <v>0</v>
      </c>
      <c r="J44" s="223">
        <f t="shared" si="7"/>
        <v>35457596.669588283</v>
      </c>
      <c r="K44" s="485">
        <v>4261816.8467343748</v>
      </c>
      <c r="L44" s="486">
        <f t="shared" si="8"/>
        <v>-1307017.1242686845</v>
      </c>
      <c r="M44" s="489">
        <f t="shared" si="9"/>
        <v>-0.44233695919600891</v>
      </c>
    </row>
    <row r="45" spans="2:17" x14ac:dyDescent="0.35">
      <c r="B45" s="559" t="s">
        <v>403</v>
      </c>
      <c r="C45" s="559"/>
      <c r="D45" s="559"/>
      <c r="E45" s="559"/>
      <c r="F45" s="559"/>
      <c r="G45" s="432">
        <f>G42*1.12</f>
        <v>3309375.6891615735</v>
      </c>
      <c r="H45" s="432">
        <f>G45*12</f>
        <v>39712508.269938886</v>
      </c>
      <c r="I45" s="223">
        <f t="shared" si="6"/>
        <v>0</v>
      </c>
      <c r="J45" s="223">
        <f t="shared" si="7"/>
        <v>39712508.269938886</v>
      </c>
      <c r="K45" s="485">
        <v>4773234.8683425002</v>
      </c>
      <c r="L45" s="486">
        <f t="shared" si="8"/>
        <v>-1463859.1791809266</v>
      </c>
      <c r="M45" s="489">
        <f t="shared" si="9"/>
        <v>-0.44233695919600885</v>
      </c>
    </row>
    <row r="46" spans="2:17" x14ac:dyDescent="0.35">
      <c r="B46" s="559" t="s">
        <v>393</v>
      </c>
      <c r="C46" s="559"/>
      <c r="D46" s="559"/>
      <c r="E46" s="559"/>
      <c r="F46" s="559"/>
      <c r="G46" s="432">
        <f>G43*1.12</f>
        <v>0</v>
      </c>
      <c r="H46" s="432">
        <f>G46*12</f>
        <v>0</v>
      </c>
      <c r="I46" s="223">
        <f t="shared" si="6"/>
        <v>0</v>
      </c>
      <c r="J46" s="223">
        <f t="shared" si="7"/>
        <v>0</v>
      </c>
      <c r="K46" s="485">
        <v>0</v>
      </c>
      <c r="L46" s="486">
        <f t="shared" si="8"/>
        <v>0</v>
      </c>
      <c r="M46" s="489" t="e">
        <f t="shared" si="9"/>
        <v>#DIV/0!</v>
      </c>
    </row>
    <row r="47" spans="2:17" x14ac:dyDescent="0.35">
      <c r="B47" s="559" t="s">
        <v>394</v>
      </c>
      <c r="C47" s="559"/>
      <c r="D47" s="559"/>
      <c r="E47" s="559"/>
      <c r="F47" s="559"/>
      <c r="G47" s="432">
        <f>SUM(G45:G46)</f>
        <v>3309375.6891615735</v>
      </c>
      <c r="H47" s="432">
        <f>SUM(H45:H46)</f>
        <v>39712508.269938886</v>
      </c>
      <c r="I47" s="223">
        <f t="shared" si="6"/>
        <v>0</v>
      </c>
      <c r="J47" s="223">
        <f t="shared" si="7"/>
        <v>39712508.269938886</v>
      </c>
      <c r="K47" s="485">
        <v>4773234.8683425002</v>
      </c>
      <c r="L47" s="486">
        <f t="shared" si="8"/>
        <v>-1463859.1791809266</v>
      </c>
      <c r="M47" s="489">
        <f t="shared" si="9"/>
        <v>-0.44233695919600885</v>
      </c>
    </row>
    <row r="48" spans="2:17" x14ac:dyDescent="0.35">
      <c r="B48" s="552" t="s">
        <v>404</v>
      </c>
      <c r="C48" s="552"/>
      <c r="D48" s="552"/>
      <c r="E48" s="552"/>
      <c r="F48" s="552"/>
      <c r="G48" s="433">
        <f>G45*1.12</f>
        <v>3706500.7718609627</v>
      </c>
      <c r="H48" s="433">
        <f>G48*12</f>
        <v>44478009.262331553</v>
      </c>
      <c r="I48" s="223">
        <f t="shared" si="6"/>
        <v>0</v>
      </c>
      <c r="J48" s="223">
        <f t="shared" si="7"/>
        <v>44478009.262331553</v>
      </c>
      <c r="K48" s="485">
        <v>5346023.052543601</v>
      </c>
      <c r="L48" s="486">
        <f t="shared" si="8"/>
        <v>-1639522.2806826383</v>
      </c>
      <c r="M48" s="489">
        <f t="shared" si="9"/>
        <v>-0.44233695919600891</v>
      </c>
    </row>
    <row r="49" spans="2:13" x14ac:dyDescent="0.35">
      <c r="B49" s="552" t="s">
        <v>395</v>
      </c>
      <c r="C49" s="552"/>
      <c r="D49" s="552"/>
      <c r="E49" s="552"/>
      <c r="F49" s="552"/>
      <c r="G49" s="433">
        <f>G46*1.12</f>
        <v>0</v>
      </c>
      <c r="H49" s="433">
        <f>G49*12</f>
        <v>0</v>
      </c>
      <c r="I49" s="223">
        <f t="shared" si="6"/>
        <v>0</v>
      </c>
      <c r="J49" s="223">
        <f t="shared" si="7"/>
        <v>0</v>
      </c>
      <c r="K49" s="485">
        <v>0</v>
      </c>
      <c r="L49" s="486">
        <f t="shared" si="8"/>
        <v>0</v>
      </c>
      <c r="M49" s="489" t="e">
        <f t="shared" si="9"/>
        <v>#DIV/0!</v>
      </c>
    </row>
    <row r="50" spans="2:13" x14ac:dyDescent="0.35">
      <c r="B50" s="552" t="s">
        <v>396</v>
      </c>
      <c r="C50" s="552"/>
      <c r="D50" s="552"/>
      <c r="E50" s="552"/>
      <c r="F50" s="552"/>
      <c r="G50" s="433">
        <f>SUM(G48:G49)</f>
        <v>3706500.7718609627</v>
      </c>
      <c r="H50" s="433">
        <f>SUM(H48:H49)</f>
        <v>44478009.262331553</v>
      </c>
      <c r="I50" s="223">
        <f t="shared" si="6"/>
        <v>0</v>
      </c>
      <c r="J50" s="223">
        <f t="shared" si="7"/>
        <v>44478009.262331553</v>
      </c>
      <c r="K50" s="485">
        <v>5346023.052543601</v>
      </c>
      <c r="L50" s="486">
        <f t="shared" si="8"/>
        <v>-1639522.2806826383</v>
      </c>
      <c r="M50" s="489">
        <f t="shared" si="9"/>
        <v>-0.44233695919600891</v>
      </c>
    </row>
    <row r="51" spans="2:13" x14ac:dyDescent="0.35">
      <c r="B51" s="553" t="s">
        <v>397</v>
      </c>
      <c r="C51" s="553"/>
      <c r="D51" s="553"/>
      <c r="E51" s="553"/>
      <c r="F51" s="553"/>
      <c r="G51" s="434">
        <f>G48+G45+G42</f>
        <v>9970676.1834882274</v>
      </c>
      <c r="H51" s="434">
        <f>H48+H45+H42</f>
        <v>119648114.20185871</v>
      </c>
      <c r="I51" s="223">
        <f t="shared" si="6"/>
        <v>0</v>
      </c>
      <c r="J51" s="223">
        <f t="shared" si="7"/>
        <v>119648114.20185873</v>
      </c>
      <c r="K51" s="485">
        <v>14381074.767620476</v>
      </c>
      <c r="L51" s="486">
        <f t="shared" si="8"/>
        <v>-4410398.5841322485</v>
      </c>
      <c r="M51" s="489">
        <f t="shared" si="9"/>
        <v>-0.44233695919600879</v>
      </c>
    </row>
    <row r="52" spans="2:13" x14ac:dyDescent="0.35">
      <c r="B52" s="553" t="s">
        <v>398</v>
      </c>
      <c r="C52" s="553"/>
      <c r="D52" s="553"/>
      <c r="E52" s="553"/>
      <c r="F52" s="553"/>
      <c r="G52" s="434">
        <f>G49+G46+G43</f>
        <v>0</v>
      </c>
      <c r="H52" s="434">
        <f>H49+H46+H43</f>
        <v>0</v>
      </c>
      <c r="I52" s="223">
        <f t="shared" si="6"/>
        <v>0</v>
      </c>
      <c r="J52" s="223">
        <f t="shared" si="7"/>
        <v>0</v>
      </c>
      <c r="K52" s="485">
        <v>0</v>
      </c>
      <c r="L52" s="486">
        <f t="shared" si="8"/>
        <v>0</v>
      </c>
      <c r="M52" s="489" t="e">
        <f t="shared" si="9"/>
        <v>#DIV/0!</v>
      </c>
    </row>
    <row r="53" spans="2:13" x14ac:dyDescent="0.35">
      <c r="B53" s="553" t="s">
        <v>399</v>
      </c>
      <c r="C53" s="553"/>
      <c r="D53" s="553"/>
      <c r="E53" s="553"/>
      <c r="F53" s="553"/>
      <c r="G53" s="434">
        <f>SUM(G51:G52)</f>
        <v>9970676.1834882274</v>
      </c>
      <c r="H53" s="434">
        <f>SUM(H51:H52)</f>
        <v>119648114.20185871</v>
      </c>
      <c r="I53" s="223">
        <f t="shared" si="6"/>
        <v>0</v>
      </c>
      <c r="J53" s="223">
        <f t="shared" si="7"/>
        <v>119648114.20185873</v>
      </c>
      <c r="K53" s="485">
        <v>14381074.767620476</v>
      </c>
      <c r="L53" s="486">
        <f t="shared" si="8"/>
        <v>-4410398.5841322485</v>
      </c>
      <c r="M53" s="489">
        <f t="shared" si="9"/>
        <v>-0.44233695919600879</v>
      </c>
    </row>
    <row r="57" spans="2:13" ht="15" thickBot="1" x14ac:dyDescent="0.4"/>
    <row r="58" spans="2:13" ht="15" thickBot="1" x14ac:dyDescent="0.4">
      <c r="D58" s="412" t="s">
        <v>12</v>
      </c>
      <c r="E58" s="412" t="s">
        <v>377</v>
      </c>
      <c r="F58" s="192" t="s">
        <v>14</v>
      </c>
      <c r="G58" s="193" t="s">
        <v>400</v>
      </c>
    </row>
    <row r="59" spans="2:13" x14ac:dyDescent="0.35">
      <c r="D59" s="413">
        <v>1</v>
      </c>
      <c r="E59" s="418" t="s">
        <v>16</v>
      </c>
      <c r="F59" s="404"/>
      <c r="G59" s="194"/>
    </row>
    <row r="60" spans="2:13" x14ac:dyDescent="0.35">
      <c r="D60" s="413">
        <v>2</v>
      </c>
      <c r="E60" s="418" t="s">
        <v>17</v>
      </c>
      <c r="F60" s="404"/>
      <c r="G60" s="195"/>
    </row>
    <row r="61" spans="2:13" x14ac:dyDescent="0.35">
      <c r="D61" s="413">
        <v>3</v>
      </c>
      <c r="E61" s="419" t="s">
        <v>18</v>
      </c>
      <c r="F61" s="405"/>
      <c r="G61" s="195"/>
    </row>
    <row r="62" spans="2:13" x14ac:dyDescent="0.35">
      <c r="D62" s="413">
        <v>4</v>
      </c>
      <c r="E62" s="419" t="s">
        <v>19</v>
      </c>
      <c r="F62" s="405"/>
      <c r="G62" s="195"/>
    </row>
    <row r="63" spans="2:13" x14ac:dyDescent="0.35">
      <c r="D63" s="413">
        <v>5</v>
      </c>
      <c r="E63" s="419" t="s">
        <v>20</v>
      </c>
      <c r="F63" s="405"/>
      <c r="G63" s="196"/>
    </row>
    <row r="64" spans="2:13" x14ac:dyDescent="0.35">
      <c r="D64" s="413">
        <v>6</v>
      </c>
      <c r="E64" s="419" t="s">
        <v>21</v>
      </c>
      <c r="F64" s="405"/>
      <c r="G64" s="196"/>
    </row>
    <row r="65" spans="4:7" x14ac:dyDescent="0.35">
      <c r="D65" s="413">
        <v>7</v>
      </c>
      <c r="E65" s="419" t="s">
        <v>22</v>
      </c>
      <c r="F65" s="405"/>
      <c r="G65" s="196"/>
    </row>
    <row r="66" spans="4:7" x14ac:dyDescent="0.35">
      <c r="D66" s="413">
        <v>8</v>
      </c>
      <c r="E66" s="419" t="s">
        <v>23</v>
      </c>
      <c r="F66" s="405"/>
      <c r="G66" s="196"/>
    </row>
    <row r="67" spans="4:7" x14ac:dyDescent="0.35">
      <c r="D67" s="413">
        <v>9</v>
      </c>
      <c r="E67" s="418" t="s">
        <v>24</v>
      </c>
      <c r="F67" s="404"/>
      <c r="G67" s="196"/>
    </row>
    <row r="68" spans="4:7" x14ac:dyDescent="0.35">
      <c r="D68" s="413">
        <v>10</v>
      </c>
      <c r="E68" s="418" t="s">
        <v>25</v>
      </c>
      <c r="F68" s="404"/>
      <c r="G68" s="196"/>
    </row>
    <row r="69" spans="4:7" x14ac:dyDescent="0.35">
      <c r="D69" s="413">
        <v>11</v>
      </c>
      <c r="E69" s="418" t="s">
        <v>378</v>
      </c>
      <c r="F69" s="404"/>
      <c r="G69" s="196"/>
    </row>
    <row r="70" spans="4:7" x14ac:dyDescent="0.35">
      <c r="D70" s="413">
        <v>12</v>
      </c>
      <c r="E70" s="419" t="s">
        <v>26</v>
      </c>
      <c r="F70" s="405"/>
      <c r="G70" s="196"/>
    </row>
    <row r="71" spans="4:7" x14ac:dyDescent="0.35">
      <c r="D71" s="413">
        <v>13</v>
      </c>
      <c r="E71" s="420" t="s">
        <v>379</v>
      </c>
      <c r="F71" s="406"/>
      <c r="G71" s="196"/>
    </row>
    <row r="72" spans="4:7" x14ac:dyDescent="0.35">
      <c r="D72" s="414">
        <v>14</v>
      </c>
      <c r="E72" s="420" t="s">
        <v>27</v>
      </c>
      <c r="F72" s="406"/>
      <c r="G72" s="196"/>
    </row>
    <row r="73" spans="4:7" x14ac:dyDescent="0.35">
      <c r="D73" s="414">
        <v>15</v>
      </c>
      <c r="E73" s="420" t="s">
        <v>28</v>
      </c>
      <c r="F73" s="406"/>
      <c r="G73" s="196"/>
    </row>
    <row r="74" spans="4:7" x14ac:dyDescent="0.35">
      <c r="D74" s="414">
        <v>16</v>
      </c>
      <c r="E74" s="420" t="s">
        <v>29</v>
      </c>
      <c r="F74" s="406"/>
      <c r="G74" s="196"/>
    </row>
    <row r="75" spans="4:7" ht="15" thickBot="1" x14ac:dyDescent="0.4">
      <c r="D75" s="415">
        <v>17</v>
      </c>
      <c r="E75" s="421" t="s">
        <v>380</v>
      </c>
      <c r="F75" s="407"/>
      <c r="G75" s="197"/>
    </row>
    <row r="76" spans="4:7" ht="15" thickBot="1" x14ac:dyDescent="0.4">
      <c r="D76" s="412" t="s">
        <v>12</v>
      </c>
      <c r="E76" s="412" t="s">
        <v>381</v>
      </c>
      <c r="F76" s="192" t="s">
        <v>14</v>
      </c>
      <c r="G76" s="193" t="s">
        <v>400</v>
      </c>
    </row>
    <row r="77" spans="4:7" x14ac:dyDescent="0.35">
      <c r="D77" s="413">
        <v>1</v>
      </c>
      <c r="E77" s="420" t="s">
        <v>32</v>
      </c>
      <c r="F77" s="554" t="s">
        <v>33</v>
      </c>
      <c r="G77" s="198"/>
    </row>
    <row r="78" spans="4:7" x14ac:dyDescent="0.35">
      <c r="D78" s="413">
        <v>2</v>
      </c>
      <c r="E78" s="420" t="s">
        <v>34</v>
      </c>
      <c r="F78" s="555"/>
      <c r="G78" s="199"/>
    </row>
    <row r="79" spans="4:7" x14ac:dyDescent="0.35">
      <c r="D79" s="413">
        <v>3</v>
      </c>
      <c r="E79" s="420" t="s">
        <v>35</v>
      </c>
      <c r="F79" s="555"/>
      <c r="G79" s="199"/>
    </row>
    <row r="80" spans="4:7" x14ac:dyDescent="0.35">
      <c r="D80" s="413">
        <v>4</v>
      </c>
      <c r="E80" s="420" t="s">
        <v>36</v>
      </c>
      <c r="F80" s="555"/>
      <c r="G80" s="199"/>
    </row>
    <row r="81" spans="4:7" x14ac:dyDescent="0.35">
      <c r="D81" s="413">
        <v>5</v>
      </c>
      <c r="E81" s="420" t="s">
        <v>37</v>
      </c>
      <c r="F81" s="555"/>
      <c r="G81" s="199"/>
    </row>
    <row r="82" spans="4:7" x14ac:dyDescent="0.35">
      <c r="D82" s="413">
        <v>6</v>
      </c>
      <c r="E82" s="420" t="s">
        <v>38</v>
      </c>
      <c r="F82" s="555"/>
      <c r="G82" s="199"/>
    </row>
    <row r="83" spans="4:7" ht="15" thickBot="1" x14ac:dyDescent="0.4">
      <c r="D83" s="415">
        <v>7</v>
      </c>
      <c r="E83" s="421" t="s">
        <v>39</v>
      </c>
      <c r="F83" s="556"/>
      <c r="G83" s="199"/>
    </row>
    <row r="84" spans="4:7" x14ac:dyDescent="0.35">
      <c r="D84" s="416">
        <v>8</v>
      </c>
      <c r="E84" s="422" t="s">
        <v>32</v>
      </c>
      <c r="F84" s="557" t="s">
        <v>40</v>
      </c>
      <c r="G84" s="199"/>
    </row>
    <row r="85" spans="4:7" x14ac:dyDescent="0.35">
      <c r="D85" s="413">
        <v>9</v>
      </c>
      <c r="E85" s="420" t="s">
        <v>34</v>
      </c>
      <c r="F85" s="555"/>
      <c r="G85" s="199"/>
    </row>
    <row r="86" spans="4:7" x14ac:dyDescent="0.35">
      <c r="D86" s="413">
        <v>10</v>
      </c>
      <c r="E86" s="420" t="s">
        <v>35</v>
      </c>
      <c r="F86" s="555"/>
      <c r="G86" s="199"/>
    </row>
    <row r="87" spans="4:7" x14ac:dyDescent="0.35">
      <c r="D87" s="413">
        <v>11</v>
      </c>
      <c r="E87" s="420" t="s">
        <v>36</v>
      </c>
      <c r="F87" s="555"/>
      <c r="G87" s="199"/>
    </row>
    <row r="88" spans="4:7" x14ac:dyDescent="0.35">
      <c r="D88" s="413">
        <v>12</v>
      </c>
      <c r="E88" s="420" t="s">
        <v>37</v>
      </c>
      <c r="F88" s="555"/>
      <c r="G88" s="199"/>
    </row>
    <row r="89" spans="4:7" x14ac:dyDescent="0.35">
      <c r="D89" s="413">
        <v>13</v>
      </c>
      <c r="E89" s="420" t="s">
        <v>38</v>
      </c>
      <c r="F89" s="555"/>
      <c r="G89" s="199"/>
    </row>
    <row r="90" spans="4:7" ht="15" thickBot="1" x14ac:dyDescent="0.4">
      <c r="D90" s="415">
        <v>14</v>
      </c>
      <c r="E90" s="421" t="s">
        <v>39</v>
      </c>
      <c r="F90" s="556"/>
      <c r="G90" s="200"/>
    </row>
    <row r="91" spans="4:7" x14ac:dyDescent="0.35">
      <c r="E91" s="423"/>
      <c r="F91" s="201"/>
    </row>
    <row r="92" spans="4:7" ht="15" thickBot="1" x14ac:dyDescent="0.4">
      <c r="E92" s="423"/>
      <c r="F92" s="201"/>
    </row>
    <row r="93" spans="4:7" ht="15" thickBot="1" x14ac:dyDescent="0.4">
      <c r="D93" s="417" t="s">
        <v>12</v>
      </c>
      <c r="E93" s="412" t="s">
        <v>382</v>
      </c>
      <c r="F93" s="5"/>
      <c r="G93" s="202"/>
    </row>
    <row r="94" spans="4:7" x14ac:dyDescent="0.35">
      <c r="D94" s="413">
        <v>1</v>
      </c>
      <c r="E94" s="420" t="s">
        <v>383</v>
      </c>
      <c r="F94" s="408"/>
      <c r="G94" s="203" t="s">
        <v>401</v>
      </c>
    </row>
    <row r="95" spans="4:7" x14ac:dyDescent="0.35">
      <c r="D95" s="413">
        <v>2</v>
      </c>
      <c r="E95" s="420" t="s">
        <v>384</v>
      </c>
      <c r="F95" s="408"/>
      <c r="G95" s="204" t="s">
        <v>401</v>
      </c>
    </row>
    <row r="96" spans="4:7" ht="29.5" thickBot="1" x14ac:dyDescent="0.4">
      <c r="D96" s="415">
        <v>3</v>
      </c>
      <c r="E96" s="421" t="s">
        <v>385</v>
      </c>
      <c r="F96" s="409"/>
      <c r="G96" s="205" t="s">
        <v>401</v>
      </c>
    </row>
  </sheetData>
  <mergeCells count="18">
    <mergeCell ref="B43:F43"/>
    <mergeCell ref="B3:B17"/>
    <mergeCell ref="B19:B41"/>
    <mergeCell ref="D19:D21"/>
    <mergeCell ref="D22:D23"/>
    <mergeCell ref="B42:F42"/>
    <mergeCell ref="F84:F90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F77:F8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EDCC-736F-4DE8-AD43-FF5E43919668}">
  <dimension ref="B4:B10"/>
  <sheetViews>
    <sheetView workbookViewId="0">
      <selection activeCell="D13" sqref="D13"/>
    </sheetView>
  </sheetViews>
  <sheetFormatPr defaultRowHeight="14.5" x14ac:dyDescent="0.35"/>
  <cols>
    <col min="2" max="2" width="13.6328125" bestFit="1" customWidth="1"/>
  </cols>
  <sheetData>
    <row r="4" spans="2:2" x14ac:dyDescent="0.35">
      <c r="B4" s="57">
        <v>11101135</v>
      </c>
    </row>
    <row r="5" spans="2:2" x14ac:dyDescent="0.35">
      <c r="B5" s="54">
        <f>'BOQ Basic -Residential'!D50-Sheet1!B4</f>
        <v>24057887.312335998</v>
      </c>
    </row>
    <row r="10" spans="2:2" x14ac:dyDescent="0.35">
      <c r="B10" s="57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1ABE-1248-451C-81E2-80CC021AB174}">
  <dimension ref="A4:L53"/>
  <sheetViews>
    <sheetView topLeftCell="A4" zoomScaleNormal="100" zoomScaleSheetLayoutView="100" workbookViewId="0">
      <selection activeCell="E13" sqref="E13:E18"/>
    </sheetView>
  </sheetViews>
  <sheetFormatPr defaultRowHeight="14.5" x14ac:dyDescent="0.35"/>
  <cols>
    <col min="1" max="1" width="40.81640625" bestFit="1" customWidth="1"/>
    <col min="2" max="2" width="9.1796875" bestFit="1" customWidth="1"/>
    <col min="3" max="3" width="14.81640625" customWidth="1"/>
    <col min="4" max="4" width="19" bestFit="1" customWidth="1"/>
    <col min="5" max="7" width="19" style="214" customWidth="1"/>
    <col min="8" max="8" width="23.1796875" customWidth="1"/>
    <col min="10" max="10" width="11.08984375" bestFit="1" customWidth="1"/>
    <col min="12" max="12" width="9.08984375" bestFit="1" customWidth="1"/>
  </cols>
  <sheetData>
    <row r="4" spans="1:8" x14ac:dyDescent="0.35">
      <c r="A4" s="506" t="s">
        <v>178</v>
      </c>
      <c r="B4" s="507" t="s">
        <v>179</v>
      </c>
      <c r="C4" s="550" t="s">
        <v>180</v>
      </c>
      <c r="D4" s="550" t="s">
        <v>181</v>
      </c>
      <c r="E4" s="540"/>
      <c r="F4" s="540"/>
      <c r="G4" s="540"/>
    </row>
    <row r="5" spans="1:8" x14ac:dyDescent="0.35">
      <c r="A5" s="17" t="s">
        <v>182</v>
      </c>
      <c r="B5" s="503" t="s">
        <v>183</v>
      </c>
      <c r="C5" s="550"/>
      <c r="D5" s="550"/>
      <c r="E5" s="540"/>
      <c r="F5" s="540"/>
      <c r="G5" s="540"/>
    </row>
    <row r="6" spans="1:8" x14ac:dyDescent="0.35">
      <c r="A6" s="508" t="s">
        <v>184</v>
      </c>
      <c r="B6" s="509">
        <v>94</v>
      </c>
      <c r="C6" s="510">
        <f>'HK Budget (2)'!J25</f>
        <v>8739.4852701273794</v>
      </c>
      <c r="D6" s="510">
        <f>C6*$B6</f>
        <v>821511.61539197364</v>
      </c>
      <c r="E6" s="541">
        <v>8894.1264478873873</v>
      </c>
      <c r="F6" s="541">
        <v>836047.88610141445</v>
      </c>
      <c r="G6" s="541"/>
    </row>
    <row r="7" spans="1:8" x14ac:dyDescent="0.35">
      <c r="A7" s="508" t="s">
        <v>185</v>
      </c>
      <c r="B7" s="509">
        <v>11</v>
      </c>
      <c r="C7" s="510">
        <f>'HK Budget (2)'!J27</f>
        <v>15031.361532639974</v>
      </c>
      <c r="D7" s="510">
        <f t="shared" ref="D7:D17" si="0">C7*$B7</f>
        <v>165344.97685903971</v>
      </c>
      <c r="E7" s="541">
        <v>15297.33457097087</v>
      </c>
      <c r="F7" s="541">
        <v>168270.68028067957</v>
      </c>
      <c r="G7" s="541"/>
    </row>
    <row r="8" spans="1:8" x14ac:dyDescent="0.35">
      <c r="A8" s="508" t="s">
        <v>186</v>
      </c>
      <c r="B8" s="509">
        <v>14</v>
      </c>
      <c r="C8" s="510">
        <f>'HK Budget (2)'!J26</f>
        <v>8739.4852701273794</v>
      </c>
      <c r="D8" s="510">
        <f t="shared" si="0"/>
        <v>122352.79378178332</v>
      </c>
      <c r="E8" s="541">
        <v>8894.1264478873873</v>
      </c>
      <c r="F8" s="541">
        <v>124517.77027042343</v>
      </c>
      <c r="G8" s="541"/>
    </row>
    <row r="9" spans="1:8" x14ac:dyDescent="0.35">
      <c r="A9" s="508" t="s">
        <v>187</v>
      </c>
      <c r="B9" s="509">
        <v>3</v>
      </c>
      <c r="C9" s="510">
        <f>'HK Budget (2)'!J28</f>
        <v>15031.361532639972</v>
      </c>
      <c r="D9" s="510">
        <f t="shared" si="0"/>
        <v>45094.084597919915</v>
      </c>
      <c r="E9" s="541">
        <v>15297.334570970872</v>
      </c>
      <c r="F9" s="541">
        <v>45892.003712912614</v>
      </c>
      <c r="G9" s="541"/>
    </row>
    <row r="10" spans="1:8" x14ac:dyDescent="0.35">
      <c r="A10" s="508" t="s">
        <v>188</v>
      </c>
      <c r="B10" s="509">
        <v>1</v>
      </c>
      <c r="C10" s="510">
        <f>'HK Budget (2)'!J31</f>
        <v>49130.947855999984</v>
      </c>
      <c r="D10" s="510">
        <f t="shared" si="0"/>
        <v>49130.947855999984</v>
      </c>
      <c r="E10" s="541">
        <v>50337.076519999988</v>
      </c>
      <c r="F10" s="541">
        <v>50337.076519999988</v>
      </c>
      <c r="G10" s="541"/>
    </row>
    <row r="11" spans="1:8" x14ac:dyDescent="0.35">
      <c r="A11" s="508" t="s">
        <v>189</v>
      </c>
      <c r="B11" s="509">
        <v>3</v>
      </c>
      <c r="C11" s="510">
        <f>'HK Budget (2)'!J30</f>
        <v>20617.971004165483</v>
      </c>
      <c r="D11" s="510">
        <f t="shared" si="0"/>
        <v>61853.91301249645</v>
      </c>
      <c r="E11" s="541">
        <v>21187.750800721846</v>
      </c>
      <c r="F11" s="541">
        <v>63563.252402165541</v>
      </c>
      <c r="G11" s="541"/>
    </row>
    <row r="12" spans="1:8" x14ac:dyDescent="0.35">
      <c r="A12" s="508" t="s">
        <v>190</v>
      </c>
      <c r="B12" s="509">
        <v>2</v>
      </c>
      <c r="C12" s="510">
        <f>'HK Budget (2)'!J29</f>
        <v>17859.237017097847</v>
      </c>
      <c r="D12" s="510">
        <f t="shared" si="0"/>
        <v>35718.474034195693</v>
      </c>
      <c r="E12" s="541">
        <v>18277.725148061101</v>
      </c>
      <c r="F12" s="541">
        <v>36555.450296122202</v>
      </c>
      <c r="G12" s="541"/>
    </row>
    <row r="13" spans="1:8" x14ac:dyDescent="0.35">
      <c r="A13" s="511" t="s">
        <v>497</v>
      </c>
      <c r="B13" s="509">
        <v>19</v>
      </c>
      <c r="C13" s="510">
        <f>'HK Budget (2)'!J32</f>
        <v>9430.9002440298627</v>
      </c>
      <c r="D13" s="510">
        <f t="shared" si="0"/>
        <v>179187.10463656738</v>
      </c>
      <c r="E13" s="541">
        <v>9597.7756921822747</v>
      </c>
      <c r="F13" s="541">
        <v>182357.73815146321</v>
      </c>
      <c r="G13" s="541"/>
      <c r="H13" s="551" t="s">
        <v>192</v>
      </c>
    </row>
    <row r="14" spans="1:8" x14ac:dyDescent="0.35">
      <c r="A14" s="511" t="s">
        <v>498</v>
      </c>
      <c r="B14" s="509">
        <v>11</v>
      </c>
      <c r="C14" s="510">
        <f>'HK Budget (2)'!J32</f>
        <v>9430.9002440298627</v>
      </c>
      <c r="D14" s="510">
        <f t="shared" si="0"/>
        <v>103739.9026843285</v>
      </c>
      <c r="E14" s="541">
        <v>9597.7756921822747</v>
      </c>
      <c r="F14" s="541">
        <v>105575.53261400502</v>
      </c>
      <c r="G14" s="541"/>
      <c r="H14" s="551"/>
    </row>
    <row r="15" spans="1:8" x14ac:dyDescent="0.35">
      <c r="A15" s="511" t="s">
        <v>499</v>
      </c>
      <c r="B15" s="509">
        <v>2</v>
      </c>
      <c r="C15" s="510">
        <f>'HK Budget (2)'!J33</f>
        <v>15722.776506542454</v>
      </c>
      <c r="D15" s="510">
        <f t="shared" si="0"/>
        <v>31445.553013084907</v>
      </c>
      <c r="E15" s="541">
        <v>16000.983815265759</v>
      </c>
      <c r="F15" s="541">
        <v>32001.967630531519</v>
      </c>
      <c r="G15" s="541"/>
      <c r="H15" s="551"/>
    </row>
    <row r="16" spans="1:8" x14ac:dyDescent="0.35">
      <c r="A16" s="511" t="s">
        <v>500</v>
      </c>
      <c r="B16" s="509">
        <v>1</v>
      </c>
      <c r="C16" s="510">
        <f>'HK Budget (2)'!J33</f>
        <v>15722.776506542454</v>
      </c>
      <c r="D16" s="510">
        <f t="shared" si="0"/>
        <v>15722.776506542454</v>
      </c>
      <c r="E16" s="541">
        <v>16000.983815265759</v>
      </c>
      <c r="F16" s="541">
        <v>16000.983815265759</v>
      </c>
      <c r="G16" s="541"/>
      <c r="H16" s="551"/>
    </row>
    <row r="17" spans="1:12" x14ac:dyDescent="0.35">
      <c r="A17" s="511" t="s">
        <v>194</v>
      </c>
      <c r="B17" s="509">
        <v>1</v>
      </c>
      <c r="C17" s="510">
        <f>'HK Budget (2)'!J34</f>
        <v>21309.385978067974</v>
      </c>
      <c r="D17" s="510">
        <f t="shared" si="0"/>
        <v>21309.385978067974</v>
      </c>
      <c r="E17" s="541">
        <v>21891.40004501674</v>
      </c>
      <c r="F17" s="541">
        <v>21891.40004501674</v>
      </c>
      <c r="G17" s="541"/>
      <c r="H17" s="551"/>
    </row>
    <row r="18" spans="1:12" x14ac:dyDescent="0.35">
      <c r="A18" s="511" t="s">
        <v>496</v>
      </c>
      <c r="B18" s="509" t="s">
        <v>501</v>
      </c>
      <c r="C18" s="510">
        <f>'HK Budget (2)'!C49</f>
        <v>460673.17920000001</v>
      </c>
      <c r="D18" s="510">
        <f>C18</f>
        <v>460673.17920000001</v>
      </c>
      <c r="E18" s="541">
        <v>469204.16399999999</v>
      </c>
      <c r="F18" s="541">
        <v>469204.16399999999</v>
      </c>
      <c r="G18" s="541"/>
      <c r="H18" s="502"/>
    </row>
    <row r="19" spans="1:12" x14ac:dyDescent="0.35">
      <c r="A19" s="512" t="s">
        <v>195</v>
      </c>
      <c r="B19" s="513"/>
      <c r="C19" s="514"/>
      <c r="D19" s="514">
        <f>SUM(D6:D18)</f>
        <v>2113084.7075519999</v>
      </c>
      <c r="E19" s="541"/>
      <c r="F19" s="541">
        <v>2152215.9058399997</v>
      </c>
      <c r="G19" s="541"/>
    </row>
    <row r="20" spans="1:12" ht="29" x14ac:dyDescent="0.35">
      <c r="A20" s="508" t="s">
        <v>476</v>
      </c>
      <c r="B20" s="515">
        <v>14</v>
      </c>
      <c r="C20" s="510">
        <f>'Facades Cleaning Cost'!G22</f>
        <v>12016.204200000002</v>
      </c>
      <c r="D20" s="510">
        <f t="shared" ref="D20:D47" si="1">C20*$B20</f>
        <v>168226.85880000002</v>
      </c>
      <c r="E20" s="541">
        <v>12238.726500000001</v>
      </c>
      <c r="F20" s="541">
        <v>171342.171</v>
      </c>
      <c r="G20" s="541"/>
      <c r="H20" s="516" t="s">
        <v>477</v>
      </c>
      <c r="J20" s="54"/>
      <c r="L20" s="54"/>
    </row>
    <row r="21" spans="1:12" x14ac:dyDescent="0.35">
      <c r="A21" s="508" t="s">
        <v>196</v>
      </c>
      <c r="B21" s="515">
        <v>5</v>
      </c>
      <c r="C21" s="510">
        <f>'Equipment &amp; Tools Cost'!AU6</f>
        <v>1249</v>
      </c>
      <c r="D21" s="510">
        <f t="shared" si="1"/>
        <v>6245</v>
      </c>
      <c r="E21" s="541">
        <v>1272</v>
      </c>
      <c r="F21" s="541">
        <v>6360</v>
      </c>
      <c r="G21" s="541"/>
    </row>
    <row r="22" spans="1:12" x14ac:dyDescent="0.35">
      <c r="A22" s="508" t="s">
        <v>197</v>
      </c>
      <c r="B22" s="515">
        <v>6</v>
      </c>
      <c r="C22" s="510">
        <f>'Equipment &amp; Tools Cost'!AU8</f>
        <v>729</v>
      </c>
      <c r="D22" s="510">
        <f t="shared" si="1"/>
        <v>4374</v>
      </c>
      <c r="E22" s="541">
        <v>742</v>
      </c>
      <c r="F22" s="541">
        <v>4452</v>
      </c>
      <c r="G22" s="541"/>
    </row>
    <row r="23" spans="1:12" x14ac:dyDescent="0.35">
      <c r="A23" s="508" t="s">
        <v>198</v>
      </c>
      <c r="B23" s="515">
        <v>10</v>
      </c>
      <c r="C23" s="510">
        <f>'Equipment &amp; Tools Cost'!AU11</f>
        <v>937</v>
      </c>
      <c r="D23" s="510">
        <f t="shared" si="1"/>
        <v>9370</v>
      </c>
      <c r="E23" s="541">
        <v>954</v>
      </c>
      <c r="F23" s="541">
        <v>9540</v>
      </c>
      <c r="G23" s="541"/>
    </row>
    <row r="24" spans="1:12" x14ac:dyDescent="0.35">
      <c r="A24" s="508" t="s">
        <v>199</v>
      </c>
      <c r="B24" s="515">
        <v>14</v>
      </c>
      <c r="C24" s="510">
        <f>'Equipment &amp; Tools Cost'!AU12</f>
        <v>387</v>
      </c>
      <c r="D24" s="510">
        <f t="shared" si="1"/>
        <v>5418</v>
      </c>
      <c r="E24" s="541">
        <v>394</v>
      </c>
      <c r="F24" s="541">
        <v>5516</v>
      </c>
      <c r="G24" s="541"/>
    </row>
    <row r="25" spans="1:12" x14ac:dyDescent="0.35">
      <c r="A25" s="508" t="s">
        <v>52</v>
      </c>
      <c r="B25" s="509">
        <v>23</v>
      </c>
      <c r="C25" s="510">
        <f>'Equipment &amp; Tools Cost'!AU13</f>
        <v>94</v>
      </c>
      <c r="D25" s="510">
        <f t="shared" si="1"/>
        <v>2162</v>
      </c>
      <c r="E25" s="541">
        <v>96</v>
      </c>
      <c r="F25" s="541">
        <v>2208</v>
      </c>
      <c r="G25" s="541"/>
    </row>
    <row r="26" spans="1:12" x14ac:dyDescent="0.35">
      <c r="A26" s="508" t="s">
        <v>53</v>
      </c>
      <c r="B26" s="515">
        <v>12</v>
      </c>
      <c r="C26" s="510">
        <f>'Equipment &amp; Tools Cost'!AU14</f>
        <v>105</v>
      </c>
      <c r="D26" s="510">
        <f t="shared" si="1"/>
        <v>1260</v>
      </c>
      <c r="E26" s="541">
        <v>106</v>
      </c>
      <c r="F26" s="541">
        <v>1272</v>
      </c>
      <c r="G26" s="541"/>
    </row>
    <row r="27" spans="1:12" x14ac:dyDescent="0.35">
      <c r="A27" s="508" t="s">
        <v>54</v>
      </c>
      <c r="B27" s="515">
        <v>25</v>
      </c>
      <c r="C27" s="510">
        <f>'Equipment &amp; Tools Cost'!AU15</f>
        <v>63</v>
      </c>
      <c r="D27" s="510">
        <f t="shared" si="1"/>
        <v>1575</v>
      </c>
      <c r="E27" s="541">
        <v>64</v>
      </c>
      <c r="F27" s="541">
        <v>1600</v>
      </c>
      <c r="G27" s="541"/>
    </row>
    <row r="28" spans="1:12" x14ac:dyDescent="0.35">
      <c r="A28" s="508" t="s">
        <v>200</v>
      </c>
      <c r="B28" s="515">
        <v>2</v>
      </c>
      <c r="C28" s="510">
        <f>'Equipment &amp; Tools Cost'!AU17</f>
        <v>7907</v>
      </c>
      <c r="D28" s="510">
        <f t="shared" si="1"/>
        <v>15814</v>
      </c>
      <c r="E28" s="541">
        <v>8054</v>
      </c>
      <c r="F28" s="541">
        <v>16108</v>
      </c>
      <c r="G28" s="541"/>
    </row>
    <row r="29" spans="1:12" ht="29" x14ac:dyDescent="0.35">
      <c r="A29" s="517" t="s">
        <v>201</v>
      </c>
      <c r="B29" s="509">
        <v>2</v>
      </c>
      <c r="C29" s="510">
        <f>'Equipment &amp; Tools Cost'!AU18</f>
        <v>63818</v>
      </c>
      <c r="D29" s="510">
        <f t="shared" si="1"/>
        <v>127636</v>
      </c>
      <c r="E29" s="541">
        <v>64999</v>
      </c>
      <c r="F29" s="541">
        <v>129998</v>
      </c>
      <c r="G29" s="541"/>
    </row>
    <row r="30" spans="1:12" x14ac:dyDescent="0.35">
      <c r="A30" s="517" t="s">
        <v>202</v>
      </c>
      <c r="B30" s="509">
        <v>2</v>
      </c>
      <c r="C30" s="510">
        <f>'Equipment &amp; Tools Cost'!AU19</f>
        <v>67716</v>
      </c>
      <c r="D30" s="510">
        <f t="shared" si="1"/>
        <v>135432</v>
      </c>
      <c r="E30" s="541">
        <v>68970</v>
      </c>
      <c r="F30" s="541">
        <v>137940</v>
      </c>
      <c r="G30" s="541"/>
    </row>
    <row r="31" spans="1:12" x14ac:dyDescent="0.35">
      <c r="A31" s="508" t="s">
        <v>203</v>
      </c>
      <c r="B31" s="515">
        <v>2</v>
      </c>
      <c r="C31" s="510">
        <f>'Equipment &amp; Tools Cost'!AU20</f>
        <v>52435</v>
      </c>
      <c r="D31" s="510">
        <f t="shared" si="1"/>
        <v>104870</v>
      </c>
      <c r="E31" s="541">
        <v>53406</v>
      </c>
      <c r="F31" s="541">
        <v>106812</v>
      </c>
      <c r="G31" s="541"/>
    </row>
    <row r="32" spans="1:12" x14ac:dyDescent="0.35">
      <c r="A32" s="511" t="s">
        <v>204</v>
      </c>
      <c r="B32" s="515">
        <v>25</v>
      </c>
      <c r="C32" s="518">
        <f>'Equipment &amp; Tools Cost'!AU10</f>
        <v>278</v>
      </c>
      <c r="D32" s="510">
        <f t="shared" si="1"/>
        <v>6950</v>
      </c>
      <c r="E32" s="541">
        <v>283</v>
      </c>
      <c r="F32" s="541">
        <v>7075</v>
      </c>
      <c r="G32" s="541"/>
    </row>
    <row r="33" spans="1:8" x14ac:dyDescent="0.35">
      <c r="A33" s="511" t="s">
        <v>205</v>
      </c>
      <c r="B33" s="515">
        <v>56</v>
      </c>
      <c r="C33" s="518">
        <f>'Equipment &amp; Tools Cost'!AU16</f>
        <v>16</v>
      </c>
      <c r="D33" s="510">
        <f t="shared" si="1"/>
        <v>896</v>
      </c>
      <c r="E33" s="541">
        <v>16</v>
      </c>
      <c r="F33" s="541">
        <v>896</v>
      </c>
      <c r="G33" s="541"/>
      <c r="H33" s="519"/>
    </row>
    <row r="34" spans="1:8" x14ac:dyDescent="0.35">
      <c r="A34" s="511" t="s">
        <v>206</v>
      </c>
      <c r="B34" s="515">
        <v>1</v>
      </c>
      <c r="C34" s="510">
        <f>'Equipment &amp; Tools Cost'!M65</f>
        <v>149437.37177320002</v>
      </c>
      <c r="D34" s="510">
        <f t="shared" si="1"/>
        <v>149437.37177320002</v>
      </c>
      <c r="E34" s="541">
        <v>152238.23976900007</v>
      </c>
      <c r="F34" s="541">
        <v>152238.23976900007</v>
      </c>
      <c r="G34" s="541"/>
      <c r="H34" s="534"/>
    </row>
    <row r="35" spans="1:8" x14ac:dyDescent="0.35">
      <c r="A35" s="511" t="s">
        <v>207</v>
      </c>
      <c r="B35" s="515">
        <v>3</v>
      </c>
      <c r="C35" s="510">
        <f>'Equipment &amp; Tools Cost'!AU6</f>
        <v>1249</v>
      </c>
      <c r="D35" s="510">
        <f t="shared" si="1"/>
        <v>3747</v>
      </c>
      <c r="E35" s="541">
        <v>1272</v>
      </c>
      <c r="F35" s="541">
        <v>3816</v>
      </c>
      <c r="G35" s="541"/>
    </row>
    <row r="36" spans="1:8" x14ac:dyDescent="0.35">
      <c r="A36" s="511" t="s">
        <v>208</v>
      </c>
      <c r="B36" s="515">
        <v>2</v>
      </c>
      <c r="C36" s="510">
        <f>'Equipment &amp; Tools Cost'!AU8</f>
        <v>729</v>
      </c>
      <c r="D36" s="510">
        <f t="shared" si="1"/>
        <v>1458</v>
      </c>
      <c r="E36" s="541">
        <v>742</v>
      </c>
      <c r="F36" s="541">
        <v>1484</v>
      </c>
      <c r="G36" s="541"/>
    </row>
    <row r="37" spans="1:8" x14ac:dyDescent="0.35">
      <c r="A37" s="511" t="s">
        <v>209</v>
      </c>
      <c r="B37" s="515">
        <v>2</v>
      </c>
      <c r="C37" s="510">
        <f>'Equipment &amp; Tools Cost'!AU11</f>
        <v>937</v>
      </c>
      <c r="D37" s="510">
        <f t="shared" si="1"/>
        <v>1874</v>
      </c>
      <c r="E37" s="541">
        <v>954</v>
      </c>
      <c r="F37" s="541">
        <v>1908</v>
      </c>
      <c r="G37" s="541"/>
    </row>
    <row r="38" spans="1:8" x14ac:dyDescent="0.35">
      <c r="A38" s="511" t="s">
        <v>210</v>
      </c>
      <c r="B38" s="515">
        <v>3</v>
      </c>
      <c r="C38" s="510">
        <f>'Equipment &amp; Tools Cost'!AU12</f>
        <v>387</v>
      </c>
      <c r="D38" s="510">
        <f t="shared" si="1"/>
        <v>1161</v>
      </c>
      <c r="E38" s="541">
        <v>394</v>
      </c>
      <c r="F38" s="541">
        <v>1182</v>
      </c>
      <c r="G38" s="541"/>
    </row>
    <row r="39" spans="1:8" x14ac:dyDescent="0.35">
      <c r="A39" s="511" t="s">
        <v>211</v>
      </c>
      <c r="B39" s="515">
        <v>10</v>
      </c>
      <c r="C39" s="510">
        <f>'Equipment &amp; Tools Cost'!AU13</f>
        <v>94</v>
      </c>
      <c r="D39" s="510">
        <f t="shared" si="1"/>
        <v>940</v>
      </c>
      <c r="E39" s="541">
        <v>96</v>
      </c>
      <c r="F39" s="541">
        <v>960</v>
      </c>
      <c r="G39" s="541"/>
    </row>
    <row r="40" spans="1:8" x14ac:dyDescent="0.35">
      <c r="A40" s="511" t="s">
        <v>212</v>
      </c>
      <c r="B40" s="515">
        <v>3</v>
      </c>
      <c r="C40" s="510">
        <f>'Equipment &amp; Tools Cost'!AU14</f>
        <v>105</v>
      </c>
      <c r="D40" s="510">
        <f t="shared" si="1"/>
        <v>315</v>
      </c>
      <c r="E40" s="541">
        <v>106</v>
      </c>
      <c r="F40" s="541">
        <v>318</v>
      </c>
      <c r="G40" s="541"/>
    </row>
    <row r="41" spans="1:8" x14ac:dyDescent="0.35">
      <c r="A41" s="511" t="s">
        <v>213</v>
      </c>
      <c r="B41" s="515">
        <v>10</v>
      </c>
      <c r="C41" s="510">
        <f>'Equipment &amp; Tools Cost'!AU15</f>
        <v>63</v>
      </c>
      <c r="D41" s="510">
        <f t="shared" si="1"/>
        <v>630</v>
      </c>
      <c r="E41" s="541">
        <v>64</v>
      </c>
      <c r="F41" s="541">
        <v>640</v>
      </c>
      <c r="G41" s="541"/>
    </row>
    <row r="42" spans="1:8" x14ac:dyDescent="0.35">
      <c r="A42" s="520" t="s">
        <v>214</v>
      </c>
      <c r="B42" s="206">
        <v>2</v>
      </c>
      <c r="C42" s="510">
        <f>'Equipment &amp; Tools Cost'!AU22</f>
        <v>132</v>
      </c>
      <c r="D42" s="510">
        <f t="shared" si="1"/>
        <v>264</v>
      </c>
      <c r="E42" s="541">
        <v>135</v>
      </c>
      <c r="F42" s="541">
        <v>270</v>
      </c>
      <c r="G42" s="541"/>
    </row>
    <row r="43" spans="1:8" x14ac:dyDescent="0.35">
      <c r="A43" s="520" t="s">
        <v>215</v>
      </c>
      <c r="B43" s="206">
        <v>1</v>
      </c>
      <c r="C43" s="510">
        <f>'Equipment &amp; Tools Cost'!AU24</f>
        <v>131</v>
      </c>
      <c r="D43" s="510">
        <f t="shared" si="1"/>
        <v>131</v>
      </c>
      <c r="E43" s="541">
        <v>133</v>
      </c>
      <c r="F43" s="541">
        <v>133</v>
      </c>
      <c r="G43" s="541"/>
    </row>
    <row r="44" spans="1:8" x14ac:dyDescent="0.35">
      <c r="A44" s="520" t="s">
        <v>216</v>
      </c>
      <c r="B44" s="206">
        <v>3</v>
      </c>
      <c r="C44" s="510">
        <f>'Equipment &amp; Tools Cost'!AU10</f>
        <v>278</v>
      </c>
      <c r="D44" s="510">
        <f t="shared" si="1"/>
        <v>834</v>
      </c>
      <c r="E44" s="541">
        <v>283</v>
      </c>
      <c r="F44" s="541">
        <v>849</v>
      </c>
      <c r="G44" s="541"/>
    </row>
    <row r="45" spans="1:8" x14ac:dyDescent="0.35">
      <c r="A45" s="520" t="s">
        <v>217</v>
      </c>
      <c r="B45" s="206">
        <v>13</v>
      </c>
      <c r="C45" s="510">
        <f>'Equipment &amp; Tools Cost'!AU16</f>
        <v>16</v>
      </c>
      <c r="D45" s="510">
        <f t="shared" si="1"/>
        <v>208</v>
      </c>
      <c r="E45" s="541">
        <v>16</v>
      </c>
      <c r="F45" s="541">
        <v>208</v>
      </c>
      <c r="G45" s="541"/>
    </row>
    <row r="46" spans="1:8" x14ac:dyDescent="0.35">
      <c r="A46" s="520" t="s">
        <v>218</v>
      </c>
      <c r="B46" s="206">
        <v>1</v>
      </c>
      <c r="C46" s="510">
        <f>'Equipment &amp; Tools Cost'!AU9</f>
        <v>1561</v>
      </c>
      <c r="D46" s="510">
        <f t="shared" si="1"/>
        <v>1561</v>
      </c>
      <c r="E46" s="541">
        <v>1590</v>
      </c>
      <c r="F46" s="541">
        <v>1590</v>
      </c>
      <c r="G46" s="541"/>
    </row>
    <row r="47" spans="1:8" ht="29" x14ac:dyDescent="0.35">
      <c r="A47" s="520" t="s">
        <v>219</v>
      </c>
      <c r="B47" s="206">
        <v>1</v>
      </c>
      <c r="C47" s="510">
        <f>'Equipment &amp; Tools Cost'!L65</f>
        <v>64044.587902800013</v>
      </c>
      <c r="D47" s="510">
        <f t="shared" si="1"/>
        <v>64044.587902800013</v>
      </c>
      <c r="E47" s="541">
        <v>65244.959901000031</v>
      </c>
      <c r="F47" s="541">
        <v>65244.959901000031</v>
      </c>
      <c r="G47" s="541"/>
      <c r="H47" s="535"/>
    </row>
    <row r="48" spans="1:8" x14ac:dyDescent="0.35">
      <c r="A48" s="536" t="s">
        <v>220</v>
      </c>
      <c r="B48" s="521"/>
      <c r="C48" s="514"/>
      <c r="D48" s="529">
        <f>SUM(D20:D47)</f>
        <v>816833.8184760001</v>
      </c>
      <c r="E48" s="542"/>
      <c r="F48" s="542">
        <v>831960.37067000009</v>
      </c>
      <c r="G48" s="542"/>
    </row>
    <row r="49" spans="1:7" x14ac:dyDescent="0.35">
      <c r="A49" s="522" t="s">
        <v>221</v>
      </c>
      <c r="B49" s="523"/>
      <c r="C49" s="524"/>
      <c r="D49" s="524">
        <f>D48+D19</f>
        <v>2929918.5260279998</v>
      </c>
      <c r="E49" s="541"/>
      <c r="F49" s="541">
        <v>2984176.2765099998</v>
      </c>
      <c r="G49" s="541"/>
    </row>
    <row r="50" spans="1:7" x14ac:dyDescent="0.35">
      <c r="A50" s="525" t="s">
        <v>222</v>
      </c>
      <c r="B50" s="526"/>
      <c r="C50" s="526"/>
      <c r="D50" s="527">
        <f>D49*12</f>
        <v>35159022.312335998</v>
      </c>
      <c r="E50" s="543"/>
      <c r="F50" s="543">
        <v>35810115.318119995</v>
      </c>
      <c r="G50" s="543"/>
    </row>
    <row r="51" spans="1:7" x14ac:dyDescent="0.35">
      <c r="A51" s="525" t="s">
        <v>223</v>
      </c>
      <c r="B51" s="526"/>
      <c r="C51" s="526"/>
      <c r="D51" s="528">
        <f>D50*1.1</f>
        <v>38674924.543569602</v>
      </c>
      <c r="E51" s="282"/>
      <c r="F51" s="282"/>
      <c r="G51" s="282"/>
    </row>
    <row r="52" spans="1:7" x14ac:dyDescent="0.35">
      <c r="A52" s="525" t="s">
        <v>224</v>
      </c>
      <c r="B52" s="526"/>
      <c r="C52" s="526"/>
      <c r="D52" s="528">
        <f>D51*1.1</f>
        <v>42542416.997926563</v>
      </c>
      <c r="E52" s="282"/>
      <c r="F52" s="282"/>
      <c r="G52" s="282"/>
    </row>
    <row r="53" spans="1:7" x14ac:dyDescent="0.35">
      <c r="A53" s="531" t="s">
        <v>221</v>
      </c>
      <c r="B53" s="532"/>
      <c r="C53" s="532"/>
      <c r="D53" s="533">
        <f>SUM(D50:D52)</f>
        <v>116376363.85383216</v>
      </c>
      <c r="E53" s="544"/>
      <c r="F53" s="544"/>
      <c r="G53" s="544"/>
    </row>
  </sheetData>
  <mergeCells count="3">
    <mergeCell ref="C4:C5"/>
    <mergeCell ref="D4:D5"/>
    <mergeCell ref="H13:H17"/>
  </mergeCells>
  <pageMargins left="0.7" right="0.7" top="0.75" bottom="0.75" header="0.3" footer="0.3"/>
  <pageSetup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2F54-5578-4D8B-B1E6-2BE4EA59D83E}">
  <sheetPr>
    <tabColor rgb="FF92D050"/>
  </sheetPr>
  <dimension ref="B1:N96"/>
  <sheetViews>
    <sheetView workbookViewId="0">
      <selection activeCell="G3" sqref="G3"/>
    </sheetView>
  </sheetViews>
  <sheetFormatPr defaultColWidth="8.90625" defaultRowHeight="14.5" x14ac:dyDescent="0.35"/>
  <cols>
    <col min="1" max="1" width="8.90625" style="74"/>
    <col min="2" max="2" width="8" style="74" customWidth="1"/>
    <col min="3" max="3" width="5" style="74" customWidth="1"/>
    <col min="4" max="4" width="32" style="73" bestFit="1" customWidth="1"/>
    <col min="5" max="5" width="51.08984375" style="73"/>
    <col min="6" max="6" width="9.1796875" style="74" bestFit="1" customWidth="1"/>
    <col min="7" max="7" width="13.54296875" style="74" bestFit="1" customWidth="1"/>
    <col min="8" max="8" width="13.36328125" style="74" customWidth="1"/>
    <col min="9" max="9" width="8.90625" style="74"/>
    <col min="10" max="10" width="14.6328125" style="74" hidden="1" customWidth="1"/>
    <col min="11" max="11" width="13.6328125" style="74" hidden="1" customWidth="1"/>
    <col min="12" max="12" width="13.81640625" style="74" hidden="1" customWidth="1"/>
    <col min="13" max="13" width="13.6328125" style="74" hidden="1" customWidth="1"/>
    <col min="14" max="14" width="8.90625" style="74" hidden="1" customWidth="1"/>
    <col min="15" max="16384" width="8.90625" style="74"/>
  </cols>
  <sheetData>
    <row r="1" spans="2:13" ht="15" thickBot="1" x14ac:dyDescent="0.4"/>
    <row r="2" spans="2:13" x14ac:dyDescent="0.35">
      <c r="B2" s="399" t="s">
        <v>467</v>
      </c>
      <c r="C2" s="424" t="s">
        <v>12</v>
      </c>
      <c r="D2" s="410" t="s">
        <v>306</v>
      </c>
      <c r="E2" s="410" t="s">
        <v>307</v>
      </c>
      <c r="F2" s="400" t="s">
        <v>386</v>
      </c>
      <c r="G2" s="400" t="s">
        <v>387</v>
      </c>
      <c r="H2" s="401" t="s">
        <v>388</v>
      </c>
    </row>
    <row r="3" spans="2:13" ht="58" x14ac:dyDescent="0.35">
      <c r="B3" s="560" t="s">
        <v>305</v>
      </c>
      <c r="C3" s="77">
        <v>1</v>
      </c>
      <c r="D3" s="411" t="s">
        <v>145</v>
      </c>
      <c r="E3" s="184" t="s">
        <v>324</v>
      </c>
      <c r="F3" s="185">
        <v>12</v>
      </c>
      <c r="G3" s="186">
        <f>'HK Budget (2)'!I19</f>
        <v>540231.81341711385</v>
      </c>
      <c r="H3" s="187">
        <f>G3*F3</f>
        <v>6482781.7610053662</v>
      </c>
      <c r="K3" s="84">
        <v>920624.36279543431</v>
      </c>
      <c r="L3" s="486">
        <f>G3-K3</f>
        <v>-380392.54937832046</v>
      </c>
      <c r="M3" s="489">
        <f>L3/G3</f>
        <v>-0.70412837587670674</v>
      </c>
    </row>
    <row r="4" spans="2:13" ht="58" x14ac:dyDescent="0.35">
      <c r="B4" s="560"/>
      <c r="C4" s="77">
        <v>2</v>
      </c>
      <c r="D4" s="411" t="s">
        <v>146</v>
      </c>
      <c r="E4" s="184" t="s">
        <v>327</v>
      </c>
      <c r="F4" s="185">
        <v>12</v>
      </c>
      <c r="G4" s="186">
        <f>'HK Budget (2)'!J19</f>
        <v>253122.52718747448</v>
      </c>
      <c r="H4" s="187">
        <f t="shared" ref="H4:H16" si="0">G4*F4</f>
        <v>3037470.3262496935</v>
      </c>
      <c r="K4" s="84">
        <v>371983.729288453</v>
      </c>
      <c r="L4" s="486">
        <f t="shared" ref="L4:L17" si="1">G4-K4</f>
        <v>-118861.20210097852</v>
      </c>
      <c r="M4" s="489">
        <f t="shared" ref="M4:M17" si="2">L4/G4</f>
        <v>-0.46957970679924632</v>
      </c>
    </row>
    <row r="5" spans="2:13" ht="58" x14ac:dyDescent="0.35">
      <c r="B5" s="560"/>
      <c r="C5" s="77">
        <v>3</v>
      </c>
      <c r="D5" s="411" t="s">
        <v>147</v>
      </c>
      <c r="E5" s="184" t="s">
        <v>328</v>
      </c>
      <c r="F5" s="185">
        <v>12</v>
      </c>
      <c r="G5" s="186">
        <f>'HK Budget (2)'!K19</f>
        <v>260143.04343649957</v>
      </c>
      <c r="H5" s="187">
        <f t="shared" si="0"/>
        <v>3121716.521237995</v>
      </c>
      <c r="K5" s="84">
        <v>368133.46662655147</v>
      </c>
      <c r="L5" s="486">
        <f t="shared" si="1"/>
        <v>-107990.42319005189</v>
      </c>
      <c r="M5" s="489">
        <f t="shared" si="2"/>
        <v>-0.4151193964808525</v>
      </c>
    </row>
    <row r="6" spans="2:13" ht="58" x14ac:dyDescent="0.35">
      <c r="B6" s="560"/>
      <c r="C6" s="77">
        <v>4</v>
      </c>
      <c r="D6" s="411" t="s">
        <v>148</v>
      </c>
      <c r="E6" s="184" t="s">
        <v>329</v>
      </c>
      <c r="F6" s="185">
        <v>12</v>
      </c>
      <c r="G6" s="186">
        <f>'HK Budget (2)'!L19</f>
        <v>507684.81613560778</v>
      </c>
      <c r="H6" s="187">
        <f t="shared" si="0"/>
        <v>6092217.7936272938</v>
      </c>
      <c r="K6" s="84">
        <v>806193.74653435289</v>
      </c>
      <c r="L6" s="486">
        <f t="shared" si="1"/>
        <v>-298508.93039874511</v>
      </c>
      <c r="M6" s="489">
        <f t="shared" si="2"/>
        <v>-0.58798081193551066</v>
      </c>
    </row>
    <row r="7" spans="2:13" ht="29" x14ac:dyDescent="0.35">
      <c r="B7" s="560"/>
      <c r="C7" s="77">
        <v>5</v>
      </c>
      <c r="D7" s="411" t="s">
        <v>149</v>
      </c>
      <c r="E7" s="184" t="s">
        <v>330</v>
      </c>
      <c r="F7" s="185">
        <v>12</v>
      </c>
      <c r="G7" s="186">
        <f>'HK Budget (2)'!M19</f>
        <v>105259.08904747824</v>
      </c>
      <c r="H7" s="187">
        <f t="shared" si="0"/>
        <v>1263109.0685697389</v>
      </c>
      <c r="K7" s="84">
        <v>132229.955234375</v>
      </c>
      <c r="L7" s="486">
        <f t="shared" si="1"/>
        <v>-26970.866186896761</v>
      </c>
      <c r="M7" s="489">
        <f t="shared" si="2"/>
        <v>-0.2562331332235952</v>
      </c>
    </row>
    <row r="8" spans="2:13" ht="29" x14ac:dyDescent="0.35">
      <c r="B8" s="560"/>
      <c r="C8" s="77">
        <v>6</v>
      </c>
      <c r="D8" s="411" t="s">
        <v>150</v>
      </c>
      <c r="E8" s="184" t="s">
        <v>331</v>
      </c>
      <c r="F8" s="185">
        <v>12</v>
      </c>
      <c r="G8" s="186">
        <f>'HK Budget (2)'!N19</f>
        <v>80880.44477992547</v>
      </c>
      <c r="H8" s="187">
        <f t="shared" si="0"/>
        <v>970565.3373591057</v>
      </c>
      <c r="K8" s="84">
        <v>102178.84782366069</v>
      </c>
      <c r="L8" s="486">
        <f t="shared" si="1"/>
        <v>-21298.403043735219</v>
      </c>
      <c r="M8" s="489">
        <f t="shared" si="2"/>
        <v>-0.2633319228360807</v>
      </c>
    </row>
    <row r="9" spans="2:13" ht="29" x14ac:dyDescent="0.35">
      <c r="B9" s="560"/>
      <c r="C9" s="77">
        <v>7</v>
      </c>
      <c r="D9" s="411" t="s">
        <v>151</v>
      </c>
      <c r="E9" s="184" t="s">
        <v>332</v>
      </c>
      <c r="F9" s="185">
        <v>12</v>
      </c>
      <c r="G9" s="186">
        <f>'HK Budget (2)'!O19</f>
        <v>61958.361068944097</v>
      </c>
      <c r="H9" s="187">
        <f t="shared" si="0"/>
        <v>743500.33282732917</v>
      </c>
      <c r="K9" s="84">
        <v>78508.911957589284</v>
      </c>
      <c r="L9" s="486">
        <f t="shared" si="1"/>
        <v>-16550.550888645186</v>
      </c>
      <c r="M9" s="489">
        <f t="shared" si="2"/>
        <v>-0.26712376833577922</v>
      </c>
    </row>
    <row r="10" spans="2:13" ht="29" x14ac:dyDescent="0.35">
      <c r="B10" s="560"/>
      <c r="C10" s="77">
        <v>8</v>
      </c>
      <c r="D10" s="411" t="s">
        <v>152</v>
      </c>
      <c r="E10" s="184" t="s">
        <v>333</v>
      </c>
      <c r="F10" s="185">
        <v>12</v>
      </c>
      <c r="G10" s="186">
        <f>'HK Budget (2)'!P19</f>
        <v>79442.958978782612</v>
      </c>
      <c r="H10" s="187">
        <f t="shared" si="0"/>
        <v>953315.50774539134</v>
      </c>
      <c r="K10" s="84">
        <v>100410.82385937501</v>
      </c>
      <c r="L10" s="486">
        <f t="shared" si="1"/>
        <v>-20967.864880592402</v>
      </c>
      <c r="M10" s="489">
        <f t="shared" si="2"/>
        <v>-0.2639361014510101</v>
      </c>
    </row>
    <row r="11" spans="2:13" ht="29" x14ac:dyDescent="0.35">
      <c r="B11" s="560"/>
      <c r="C11" s="77">
        <v>9</v>
      </c>
      <c r="D11" s="411" t="s">
        <v>153</v>
      </c>
      <c r="E11" s="184" t="s">
        <v>334</v>
      </c>
      <c r="F11" s="185">
        <v>12</v>
      </c>
      <c r="G11" s="186">
        <f>'HK Budget (2)'!Q19</f>
        <v>78974.795178782617</v>
      </c>
      <c r="H11" s="187">
        <f t="shared" si="0"/>
        <v>947697.54214539146</v>
      </c>
      <c r="K11" s="84">
        <v>99151.034796875014</v>
      </c>
      <c r="L11" s="486">
        <f t="shared" si="1"/>
        <v>-20176.239618092397</v>
      </c>
      <c r="M11" s="489">
        <f t="shared" si="2"/>
        <v>-0.25547694770739904</v>
      </c>
    </row>
    <row r="12" spans="2:13" ht="72.5" x14ac:dyDescent="0.35">
      <c r="B12" s="560"/>
      <c r="C12" s="77">
        <v>10</v>
      </c>
      <c r="D12" s="411" t="s">
        <v>154</v>
      </c>
      <c r="E12" s="184" t="s">
        <v>335</v>
      </c>
      <c r="F12" s="185">
        <v>12</v>
      </c>
      <c r="G12" s="186">
        <f>'HK Budget (2)'!R19</f>
        <v>227995.46811449277</v>
      </c>
      <c r="H12" s="187">
        <f t="shared" si="0"/>
        <v>2735945.6173739135</v>
      </c>
      <c r="K12" s="84">
        <v>276777.38138020836</v>
      </c>
      <c r="L12" s="486">
        <f t="shared" si="1"/>
        <v>-48781.913265715586</v>
      </c>
      <c r="M12" s="489">
        <f t="shared" si="2"/>
        <v>-0.21396001275437068</v>
      </c>
    </row>
    <row r="13" spans="2:13" ht="29" x14ac:dyDescent="0.35">
      <c r="B13" s="560"/>
      <c r="C13" s="77">
        <v>11</v>
      </c>
      <c r="D13" s="411" t="s">
        <v>155</v>
      </c>
      <c r="E13" s="184" t="s">
        <v>336</v>
      </c>
      <c r="F13" s="185">
        <v>12</v>
      </c>
      <c r="G13" s="186">
        <f>'HK Budget (2)'!S19</f>
        <v>21772.408594695655</v>
      </c>
      <c r="H13" s="187">
        <f t="shared" si="0"/>
        <v>261268.90313634786</v>
      </c>
      <c r="K13" s="84">
        <v>27043.411015625003</v>
      </c>
      <c r="L13" s="486">
        <f t="shared" si="1"/>
        <v>-5271.0024209293479</v>
      </c>
      <c r="M13" s="489">
        <f t="shared" si="2"/>
        <v>-0.24209551267623675</v>
      </c>
    </row>
    <row r="14" spans="2:13" ht="29" x14ac:dyDescent="0.35">
      <c r="B14" s="560"/>
      <c r="C14" s="77">
        <v>12</v>
      </c>
      <c r="D14" s="411" t="s">
        <v>156</v>
      </c>
      <c r="E14" s="184" t="s">
        <v>337</v>
      </c>
      <c r="F14" s="185">
        <v>12</v>
      </c>
      <c r="G14" s="186">
        <f>'HK Budget (2)'!T19</f>
        <v>116671.72827869565</v>
      </c>
      <c r="H14" s="187">
        <f t="shared" si="0"/>
        <v>1400060.7393443477</v>
      </c>
      <c r="K14" s="84">
        <v>142784.12718749998</v>
      </c>
      <c r="L14" s="486">
        <f t="shared" si="1"/>
        <v>-26112.398908804331</v>
      </c>
      <c r="M14" s="489">
        <f t="shared" si="2"/>
        <v>-0.22381085198660314</v>
      </c>
    </row>
    <row r="15" spans="2:13" x14ac:dyDescent="0.35">
      <c r="B15" s="560"/>
      <c r="C15" s="77">
        <v>13</v>
      </c>
      <c r="D15" s="411" t="s">
        <v>157</v>
      </c>
      <c r="E15" s="184" t="s">
        <v>338</v>
      </c>
      <c r="F15" s="185">
        <v>12</v>
      </c>
      <c r="G15" s="186">
        <f>'HK Budget (2)'!U19</f>
        <v>19590.071710695651</v>
      </c>
      <c r="H15" s="187">
        <f t="shared" si="0"/>
        <v>235080.86052834781</v>
      </c>
      <c r="K15" s="84">
        <v>24358.380593750004</v>
      </c>
      <c r="L15" s="486">
        <f t="shared" si="1"/>
        <v>-4768.3088830543529</v>
      </c>
      <c r="M15" s="489">
        <f t="shared" si="2"/>
        <v>-0.24340436081461533</v>
      </c>
    </row>
    <row r="16" spans="2:13" ht="58" x14ac:dyDescent="0.35">
      <c r="B16" s="560"/>
      <c r="C16" s="77">
        <v>14</v>
      </c>
      <c r="D16" s="71" t="s">
        <v>339</v>
      </c>
      <c r="E16" s="425" t="s">
        <v>340</v>
      </c>
      <c r="F16" s="402">
        <v>12</v>
      </c>
      <c r="G16" s="186">
        <f>'HK Budget (2)'!V19</f>
        <v>593243.92966347828</v>
      </c>
      <c r="H16" s="187">
        <f t="shared" si="0"/>
        <v>7118927.1559617389</v>
      </c>
      <c r="K16" s="84">
        <v>811438.66764062503</v>
      </c>
      <c r="L16" s="486">
        <f t="shared" si="1"/>
        <v>-218194.73797714675</v>
      </c>
      <c r="M16" s="489">
        <f t="shared" si="2"/>
        <v>-0.36779936054452211</v>
      </c>
    </row>
    <row r="17" spans="2:13" ht="16" thickBot="1" x14ac:dyDescent="0.4">
      <c r="B17" s="561"/>
      <c r="C17" s="428" t="s">
        <v>389</v>
      </c>
      <c r="D17" s="428"/>
      <c r="E17" s="428"/>
      <c r="F17" s="428"/>
      <c r="G17" s="403">
        <f>SUM(G3:G16)</f>
        <v>2946971.4555926672</v>
      </c>
      <c r="H17" s="403">
        <f>SUM(H3:H16)</f>
        <v>35363657.467111997</v>
      </c>
      <c r="K17" s="403">
        <f>SUM(K3:K16)</f>
        <v>4261816.8467343748</v>
      </c>
      <c r="L17" s="486">
        <f t="shared" si="1"/>
        <v>-1314845.3911417075</v>
      </c>
      <c r="M17" s="489">
        <f t="shared" si="2"/>
        <v>-0.44616834976342795</v>
      </c>
    </row>
    <row r="18" spans="2:13" ht="15" thickBot="1" x14ac:dyDescent="0.4"/>
    <row r="19" spans="2:13" ht="43.5" x14ac:dyDescent="0.35">
      <c r="B19" s="562" t="s">
        <v>341</v>
      </c>
      <c r="C19" s="426">
        <v>1</v>
      </c>
      <c r="D19" s="565" t="s">
        <v>145</v>
      </c>
      <c r="E19" s="188" t="s">
        <v>347</v>
      </c>
      <c r="F19" s="189">
        <v>12</v>
      </c>
      <c r="G19" s="190"/>
      <c r="H19" s="191">
        <f>G19*F19</f>
        <v>0</v>
      </c>
    </row>
    <row r="20" spans="2:13" ht="58" x14ac:dyDescent="0.35">
      <c r="B20" s="563"/>
      <c r="C20" s="77">
        <v>2</v>
      </c>
      <c r="D20" s="566"/>
      <c r="E20" s="184" t="s">
        <v>348</v>
      </c>
      <c r="F20" s="185">
        <v>12</v>
      </c>
      <c r="G20" s="186"/>
      <c r="H20" s="187">
        <f t="shared" ref="H20:H40" si="3">G20*F20</f>
        <v>0</v>
      </c>
    </row>
    <row r="21" spans="2:13" ht="43.5" x14ac:dyDescent="0.35">
      <c r="B21" s="563"/>
      <c r="C21" s="77">
        <v>3</v>
      </c>
      <c r="D21" s="566"/>
      <c r="E21" s="184" t="s">
        <v>349</v>
      </c>
      <c r="F21" s="185">
        <v>12</v>
      </c>
      <c r="G21" s="186"/>
      <c r="H21" s="187">
        <f t="shared" si="3"/>
        <v>0</v>
      </c>
    </row>
    <row r="22" spans="2:13" ht="58" x14ac:dyDescent="0.35">
      <c r="B22" s="563"/>
      <c r="C22" s="77">
        <v>4</v>
      </c>
      <c r="D22" s="566" t="s">
        <v>390</v>
      </c>
      <c r="E22" s="184" t="s">
        <v>360</v>
      </c>
      <c r="F22" s="185">
        <v>12</v>
      </c>
      <c r="G22" s="186"/>
      <c r="H22" s="187">
        <f t="shared" si="3"/>
        <v>0</v>
      </c>
    </row>
    <row r="23" spans="2:13" ht="43.5" x14ac:dyDescent="0.35">
      <c r="B23" s="563"/>
      <c r="C23" s="77">
        <v>5</v>
      </c>
      <c r="D23" s="566"/>
      <c r="E23" s="184" t="s">
        <v>361</v>
      </c>
      <c r="F23" s="185">
        <v>12</v>
      </c>
      <c r="G23" s="186"/>
      <c r="H23" s="187">
        <f t="shared" si="3"/>
        <v>0</v>
      </c>
    </row>
    <row r="24" spans="2:13" ht="43.5" x14ac:dyDescent="0.35">
      <c r="B24" s="563"/>
      <c r="C24" s="77">
        <v>6</v>
      </c>
      <c r="D24" s="222" t="s">
        <v>146</v>
      </c>
      <c r="E24" s="184" t="s">
        <v>350</v>
      </c>
      <c r="F24" s="185">
        <v>12</v>
      </c>
      <c r="G24" s="186"/>
      <c r="H24" s="187">
        <f t="shared" si="3"/>
        <v>0</v>
      </c>
    </row>
    <row r="25" spans="2:13" ht="43.5" x14ac:dyDescent="0.35">
      <c r="B25" s="563"/>
      <c r="C25" s="77">
        <v>7</v>
      </c>
      <c r="D25" s="222" t="s">
        <v>147</v>
      </c>
      <c r="E25" s="184" t="s">
        <v>351</v>
      </c>
      <c r="F25" s="185">
        <v>12</v>
      </c>
      <c r="G25" s="186"/>
      <c r="H25" s="187">
        <f t="shared" si="3"/>
        <v>0</v>
      </c>
    </row>
    <row r="26" spans="2:13" ht="43.5" x14ac:dyDescent="0.35">
      <c r="B26" s="563"/>
      <c r="C26" s="77">
        <v>8</v>
      </c>
      <c r="D26" s="222" t="s">
        <v>149</v>
      </c>
      <c r="E26" s="184" t="s">
        <v>354</v>
      </c>
      <c r="F26" s="185">
        <v>12</v>
      </c>
      <c r="G26" s="186"/>
      <c r="H26" s="187">
        <f t="shared" si="3"/>
        <v>0</v>
      </c>
    </row>
    <row r="27" spans="2:13" ht="43.5" x14ac:dyDescent="0.35">
      <c r="B27" s="563"/>
      <c r="C27" s="77">
        <v>9</v>
      </c>
      <c r="D27" s="222" t="s">
        <v>150</v>
      </c>
      <c r="E27" s="184" t="s">
        <v>352</v>
      </c>
      <c r="F27" s="185">
        <v>12</v>
      </c>
      <c r="G27" s="186"/>
      <c r="H27" s="187">
        <f t="shared" si="3"/>
        <v>0</v>
      </c>
    </row>
    <row r="28" spans="2:13" ht="43.5" x14ac:dyDescent="0.35">
      <c r="B28" s="563"/>
      <c r="C28" s="77">
        <v>10</v>
      </c>
      <c r="D28" s="222" t="s">
        <v>151</v>
      </c>
      <c r="E28" s="184" t="s">
        <v>353</v>
      </c>
      <c r="F28" s="185">
        <v>12</v>
      </c>
      <c r="G28" s="186"/>
      <c r="H28" s="187">
        <f t="shared" si="3"/>
        <v>0</v>
      </c>
    </row>
    <row r="29" spans="2:13" ht="58" x14ac:dyDescent="0.35">
      <c r="B29" s="563"/>
      <c r="C29" s="77">
        <v>11</v>
      </c>
      <c r="D29" s="222" t="s">
        <v>355</v>
      </c>
      <c r="E29" s="184" t="s">
        <v>356</v>
      </c>
      <c r="F29" s="185">
        <v>12</v>
      </c>
      <c r="G29" s="186"/>
      <c r="H29" s="187">
        <f t="shared" si="3"/>
        <v>0</v>
      </c>
    </row>
    <row r="30" spans="2:13" ht="58" x14ac:dyDescent="0.35">
      <c r="B30" s="563"/>
      <c r="C30" s="77">
        <v>12</v>
      </c>
      <c r="D30" s="222" t="s">
        <v>362</v>
      </c>
      <c r="E30" s="184" t="s">
        <v>363</v>
      </c>
      <c r="F30" s="185">
        <v>12</v>
      </c>
      <c r="G30" s="186"/>
      <c r="H30" s="187">
        <f t="shared" si="3"/>
        <v>0</v>
      </c>
    </row>
    <row r="31" spans="2:13" ht="43.5" x14ac:dyDescent="0.35">
      <c r="B31" s="563"/>
      <c r="C31" s="77">
        <v>13</v>
      </c>
      <c r="D31" s="222" t="s">
        <v>366</v>
      </c>
      <c r="E31" s="184" t="s">
        <v>367</v>
      </c>
      <c r="F31" s="185">
        <v>12</v>
      </c>
      <c r="G31" s="186"/>
      <c r="H31" s="187">
        <f t="shared" si="3"/>
        <v>0</v>
      </c>
    </row>
    <row r="32" spans="2:13" ht="43.5" x14ac:dyDescent="0.35">
      <c r="B32" s="563"/>
      <c r="C32" s="77">
        <v>14</v>
      </c>
      <c r="D32" s="222" t="s">
        <v>364</v>
      </c>
      <c r="E32" s="184" t="s">
        <v>365</v>
      </c>
      <c r="F32" s="185">
        <v>12</v>
      </c>
      <c r="G32" s="186"/>
      <c r="H32" s="187">
        <f t="shared" si="3"/>
        <v>0</v>
      </c>
    </row>
    <row r="33" spans="2:13" ht="43.5" x14ac:dyDescent="0.35">
      <c r="B33" s="563"/>
      <c r="C33" s="77">
        <v>15</v>
      </c>
      <c r="D33" s="222" t="s">
        <v>357</v>
      </c>
      <c r="E33" s="184" t="s">
        <v>358</v>
      </c>
      <c r="F33" s="185">
        <v>12</v>
      </c>
      <c r="G33" s="186"/>
      <c r="H33" s="187">
        <f t="shared" si="3"/>
        <v>0</v>
      </c>
    </row>
    <row r="34" spans="2:13" ht="29" x14ac:dyDescent="0.35">
      <c r="B34" s="563"/>
      <c r="C34" s="77">
        <v>16</v>
      </c>
      <c r="D34" s="222" t="s">
        <v>159</v>
      </c>
      <c r="E34" s="184" t="s">
        <v>368</v>
      </c>
      <c r="F34" s="185">
        <v>12</v>
      </c>
      <c r="G34" s="186"/>
      <c r="H34" s="187">
        <f t="shared" si="3"/>
        <v>0</v>
      </c>
    </row>
    <row r="35" spans="2:13" ht="29" x14ac:dyDescent="0.35">
      <c r="B35" s="563"/>
      <c r="C35" s="77">
        <v>17</v>
      </c>
      <c r="D35" s="222" t="s">
        <v>160</v>
      </c>
      <c r="E35" s="184" t="s">
        <v>370</v>
      </c>
      <c r="F35" s="185">
        <v>12</v>
      </c>
      <c r="G35" s="186"/>
      <c r="H35" s="187">
        <f t="shared" si="3"/>
        <v>0</v>
      </c>
    </row>
    <row r="36" spans="2:13" ht="29" x14ac:dyDescent="0.35">
      <c r="B36" s="563"/>
      <c r="C36" s="77">
        <v>18</v>
      </c>
      <c r="D36" s="222" t="s">
        <v>161</v>
      </c>
      <c r="E36" s="184" t="s">
        <v>369</v>
      </c>
      <c r="F36" s="185">
        <v>12</v>
      </c>
      <c r="G36" s="186"/>
      <c r="H36" s="187">
        <f t="shared" si="3"/>
        <v>0</v>
      </c>
    </row>
    <row r="37" spans="2:13" ht="43.5" x14ac:dyDescent="0.35">
      <c r="B37" s="563"/>
      <c r="C37" s="77">
        <v>19</v>
      </c>
      <c r="D37" s="411" t="s">
        <v>371</v>
      </c>
      <c r="E37" s="184" t="s">
        <v>372</v>
      </c>
      <c r="F37" s="185">
        <v>12</v>
      </c>
      <c r="G37" s="186"/>
      <c r="H37" s="187">
        <f t="shared" si="3"/>
        <v>0</v>
      </c>
    </row>
    <row r="38" spans="2:13" ht="29" x14ac:dyDescent="0.35">
      <c r="B38" s="563"/>
      <c r="C38" s="77">
        <v>20</v>
      </c>
      <c r="D38" s="411" t="s">
        <v>373</v>
      </c>
      <c r="E38" s="184" t="s">
        <v>374</v>
      </c>
      <c r="F38" s="185">
        <v>12</v>
      </c>
      <c r="G38" s="186"/>
      <c r="H38" s="187">
        <f t="shared" si="3"/>
        <v>0</v>
      </c>
    </row>
    <row r="39" spans="2:13" ht="43.5" x14ac:dyDescent="0.35">
      <c r="B39" s="563"/>
      <c r="C39" s="77">
        <v>21</v>
      </c>
      <c r="D39" s="222" t="s">
        <v>373</v>
      </c>
      <c r="E39" s="184" t="s">
        <v>375</v>
      </c>
      <c r="F39" s="185"/>
      <c r="G39" s="186"/>
      <c r="H39" s="187"/>
    </row>
    <row r="40" spans="2:13" x14ac:dyDescent="0.35">
      <c r="B40" s="563"/>
      <c r="C40" s="77">
        <v>22</v>
      </c>
      <c r="D40" s="411" t="s">
        <v>376</v>
      </c>
      <c r="E40" s="184"/>
      <c r="F40" s="185">
        <v>12</v>
      </c>
      <c r="G40" s="186"/>
      <c r="H40" s="187">
        <f t="shared" si="3"/>
        <v>0</v>
      </c>
    </row>
    <row r="41" spans="2:13" ht="16" thickBot="1" x14ac:dyDescent="0.4">
      <c r="B41" s="564"/>
      <c r="C41" s="429" t="s">
        <v>389</v>
      </c>
      <c r="D41" s="429"/>
      <c r="E41" s="429"/>
      <c r="F41" s="429"/>
      <c r="G41" s="429"/>
      <c r="H41" s="427">
        <f>SUM(H19:H40)</f>
        <v>0</v>
      </c>
    </row>
    <row r="42" spans="2:13" x14ac:dyDescent="0.35">
      <c r="B42" s="567" t="s">
        <v>402</v>
      </c>
      <c r="C42" s="567"/>
      <c r="D42" s="567"/>
      <c r="E42" s="567"/>
      <c r="F42" s="567"/>
      <c r="G42" s="430">
        <f>G17</f>
        <v>2946971.4555926672</v>
      </c>
      <c r="H42" s="430">
        <f>G42*12</f>
        <v>35363657.467112005</v>
      </c>
      <c r="I42" s="223">
        <f>H42-J42</f>
        <v>0</v>
      </c>
      <c r="J42" s="223">
        <f>G42*12</f>
        <v>35363657.467112005</v>
      </c>
      <c r="K42" s="485">
        <v>4261816.8467343748</v>
      </c>
      <c r="L42" s="486">
        <f>G42-K42</f>
        <v>-1314845.3911417075</v>
      </c>
      <c r="M42" s="489">
        <f>L42/G42</f>
        <v>-0.44616834976342795</v>
      </c>
    </row>
    <row r="43" spans="2:13" x14ac:dyDescent="0.35">
      <c r="B43" s="558" t="s">
        <v>391</v>
      </c>
      <c r="C43" s="558"/>
      <c r="D43" s="558"/>
      <c r="E43" s="558"/>
      <c r="F43" s="558"/>
      <c r="G43" s="431">
        <f>G41</f>
        <v>0</v>
      </c>
      <c r="H43" s="431">
        <f>G43*12</f>
        <v>0</v>
      </c>
      <c r="I43" s="223">
        <f t="shared" ref="I43:I53" si="4">H43-J43</f>
        <v>0</v>
      </c>
      <c r="J43" s="223">
        <f t="shared" ref="J43:J53" si="5">G43*12</f>
        <v>0</v>
      </c>
      <c r="K43" s="485">
        <v>0</v>
      </c>
      <c r="L43" s="486">
        <f t="shared" ref="L43:L53" si="6">G43-K43</f>
        <v>0</v>
      </c>
      <c r="M43" s="489" t="e">
        <f t="shared" ref="M43:M53" si="7">L43/G43</f>
        <v>#DIV/0!</v>
      </c>
    </row>
    <row r="44" spans="2:13" x14ac:dyDescent="0.35">
      <c r="B44" s="558" t="s">
        <v>392</v>
      </c>
      <c r="C44" s="558"/>
      <c r="D44" s="558"/>
      <c r="E44" s="558"/>
      <c r="F44" s="558"/>
      <c r="G44" s="431">
        <f>SUM(G42:G43)</f>
        <v>2946971.4555926672</v>
      </c>
      <c r="H44" s="431">
        <f>SUM(H42:H43)</f>
        <v>35363657.467112005</v>
      </c>
      <c r="I44" s="223">
        <f t="shared" si="4"/>
        <v>0</v>
      </c>
      <c r="J44" s="223">
        <f t="shared" si="5"/>
        <v>35363657.467112005</v>
      </c>
      <c r="K44" s="485">
        <v>4261816.8467343748</v>
      </c>
      <c r="L44" s="486">
        <f t="shared" si="6"/>
        <v>-1314845.3911417075</v>
      </c>
      <c r="M44" s="489">
        <f t="shared" si="7"/>
        <v>-0.44616834976342795</v>
      </c>
    </row>
    <row r="45" spans="2:13" x14ac:dyDescent="0.35">
      <c r="B45" s="559" t="s">
        <v>403</v>
      </c>
      <c r="C45" s="559"/>
      <c r="D45" s="559"/>
      <c r="E45" s="559"/>
      <c r="F45" s="559"/>
      <c r="G45" s="432">
        <f>G42*1.12</f>
        <v>3300608.0302637876</v>
      </c>
      <c r="H45" s="432">
        <f>G45*12</f>
        <v>39607296.363165453</v>
      </c>
      <c r="I45" s="223">
        <f t="shared" si="4"/>
        <v>0</v>
      </c>
      <c r="J45" s="223">
        <f t="shared" si="5"/>
        <v>39607296.363165453</v>
      </c>
      <c r="K45" s="485">
        <v>4773234.8683425002</v>
      </c>
      <c r="L45" s="486">
        <f t="shared" si="6"/>
        <v>-1472626.8380787126</v>
      </c>
      <c r="M45" s="489">
        <f t="shared" si="7"/>
        <v>-0.44616834976342795</v>
      </c>
    </row>
    <row r="46" spans="2:13" x14ac:dyDescent="0.35">
      <c r="B46" s="559" t="s">
        <v>393</v>
      </c>
      <c r="C46" s="559"/>
      <c r="D46" s="559"/>
      <c r="E46" s="559"/>
      <c r="F46" s="559"/>
      <c r="G46" s="432">
        <f>G43*1.12</f>
        <v>0</v>
      </c>
      <c r="H46" s="432">
        <f>G46*12</f>
        <v>0</v>
      </c>
      <c r="I46" s="223">
        <f t="shared" si="4"/>
        <v>0</v>
      </c>
      <c r="J46" s="223">
        <f t="shared" si="5"/>
        <v>0</v>
      </c>
      <c r="K46" s="485">
        <v>0</v>
      </c>
      <c r="L46" s="486">
        <f t="shared" si="6"/>
        <v>0</v>
      </c>
      <c r="M46" s="489" t="e">
        <f t="shared" si="7"/>
        <v>#DIV/0!</v>
      </c>
    </row>
    <row r="47" spans="2:13" x14ac:dyDescent="0.35">
      <c r="B47" s="559" t="s">
        <v>394</v>
      </c>
      <c r="C47" s="559"/>
      <c r="D47" s="559"/>
      <c r="E47" s="559"/>
      <c r="F47" s="559"/>
      <c r="G47" s="432">
        <f>SUM(G45:G46)</f>
        <v>3300608.0302637876</v>
      </c>
      <c r="H47" s="432">
        <f>SUM(H45:H46)</f>
        <v>39607296.363165453</v>
      </c>
      <c r="I47" s="223">
        <f t="shared" si="4"/>
        <v>0</v>
      </c>
      <c r="J47" s="223">
        <f t="shared" si="5"/>
        <v>39607296.363165453</v>
      </c>
      <c r="K47" s="485">
        <v>4773234.8683425002</v>
      </c>
      <c r="L47" s="486">
        <f t="shared" si="6"/>
        <v>-1472626.8380787126</v>
      </c>
      <c r="M47" s="489">
        <f t="shared" si="7"/>
        <v>-0.44616834976342795</v>
      </c>
    </row>
    <row r="48" spans="2:13" x14ac:dyDescent="0.35">
      <c r="B48" s="552" t="s">
        <v>404</v>
      </c>
      <c r="C48" s="552"/>
      <c r="D48" s="552"/>
      <c r="E48" s="552"/>
      <c r="F48" s="552"/>
      <c r="G48" s="433">
        <f>G45*1.12</f>
        <v>3696680.9938954427</v>
      </c>
      <c r="H48" s="433">
        <f>G48*12</f>
        <v>44360171.92674531</v>
      </c>
      <c r="I48" s="223">
        <f t="shared" si="4"/>
        <v>0</v>
      </c>
      <c r="J48" s="223">
        <f t="shared" si="5"/>
        <v>44360171.92674531</v>
      </c>
      <c r="K48" s="485">
        <v>5346023.052543601</v>
      </c>
      <c r="L48" s="486">
        <f t="shared" si="6"/>
        <v>-1649342.0586481583</v>
      </c>
      <c r="M48" s="489">
        <f t="shared" si="7"/>
        <v>-0.44616834976342795</v>
      </c>
    </row>
    <row r="49" spans="2:13" x14ac:dyDescent="0.35">
      <c r="B49" s="552" t="s">
        <v>395</v>
      </c>
      <c r="C49" s="552"/>
      <c r="D49" s="552"/>
      <c r="E49" s="552"/>
      <c r="F49" s="552"/>
      <c r="G49" s="433">
        <f>G46*1.12</f>
        <v>0</v>
      </c>
      <c r="H49" s="433">
        <f>G49*12</f>
        <v>0</v>
      </c>
      <c r="I49" s="223">
        <f t="shared" si="4"/>
        <v>0</v>
      </c>
      <c r="J49" s="223">
        <f t="shared" si="5"/>
        <v>0</v>
      </c>
      <c r="K49" s="485">
        <v>0</v>
      </c>
      <c r="L49" s="486">
        <f t="shared" si="6"/>
        <v>0</v>
      </c>
      <c r="M49" s="489" t="e">
        <f t="shared" si="7"/>
        <v>#DIV/0!</v>
      </c>
    </row>
    <row r="50" spans="2:13" x14ac:dyDescent="0.35">
      <c r="B50" s="552" t="s">
        <v>396</v>
      </c>
      <c r="C50" s="552"/>
      <c r="D50" s="552"/>
      <c r="E50" s="552"/>
      <c r="F50" s="552"/>
      <c r="G50" s="433">
        <f>SUM(G48:G49)</f>
        <v>3696680.9938954427</v>
      </c>
      <c r="H50" s="433">
        <f>SUM(H48:H49)</f>
        <v>44360171.92674531</v>
      </c>
      <c r="I50" s="223">
        <f t="shared" si="4"/>
        <v>0</v>
      </c>
      <c r="J50" s="223">
        <f t="shared" si="5"/>
        <v>44360171.92674531</v>
      </c>
      <c r="K50" s="485">
        <v>5346023.052543601</v>
      </c>
      <c r="L50" s="486">
        <f t="shared" si="6"/>
        <v>-1649342.0586481583</v>
      </c>
      <c r="M50" s="489">
        <f t="shared" si="7"/>
        <v>-0.44616834976342795</v>
      </c>
    </row>
    <row r="51" spans="2:13" x14ac:dyDescent="0.35">
      <c r="B51" s="553" t="s">
        <v>397</v>
      </c>
      <c r="C51" s="553"/>
      <c r="D51" s="553"/>
      <c r="E51" s="553"/>
      <c r="F51" s="553"/>
      <c r="G51" s="434">
        <f>G48+G45+G42</f>
        <v>9944260.479751898</v>
      </c>
      <c r="H51" s="434">
        <f>H48+H45+H42</f>
        <v>119331125.75702277</v>
      </c>
      <c r="I51" s="223">
        <f t="shared" si="4"/>
        <v>0</v>
      </c>
      <c r="J51" s="223">
        <f t="shared" si="5"/>
        <v>119331125.75702277</v>
      </c>
      <c r="K51" s="485">
        <v>14381074.767620476</v>
      </c>
      <c r="L51" s="486">
        <f t="shared" si="6"/>
        <v>-4436814.287868578</v>
      </c>
      <c r="M51" s="489">
        <f t="shared" si="7"/>
        <v>-0.4461683497634279</v>
      </c>
    </row>
    <row r="52" spans="2:13" x14ac:dyDescent="0.35">
      <c r="B52" s="553" t="s">
        <v>398</v>
      </c>
      <c r="C52" s="553"/>
      <c r="D52" s="553"/>
      <c r="E52" s="553"/>
      <c r="F52" s="553"/>
      <c r="G52" s="434">
        <f>G49+G46+G43</f>
        <v>0</v>
      </c>
      <c r="H52" s="434">
        <f>H49+H46+H43</f>
        <v>0</v>
      </c>
      <c r="I52" s="223">
        <f t="shared" si="4"/>
        <v>0</v>
      </c>
      <c r="J52" s="223">
        <f t="shared" si="5"/>
        <v>0</v>
      </c>
      <c r="K52" s="485">
        <v>0</v>
      </c>
      <c r="L52" s="486">
        <f t="shared" si="6"/>
        <v>0</v>
      </c>
      <c r="M52" s="489" t="e">
        <f t="shared" si="7"/>
        <v>#DIV/0!</v>
      </c>
    </row>
    <row r="53" spans="2:13" x14ac:dyDescent="0.35">
      <c r="B53" s="553" t="s">
        <v>399</v>
      </c>
      <c r="C53" s="553"/>
      <c r="D53" s="553"/>
      <c r="E53" s="553"/>
      <c r="F53" s="553"/>
      <c r="G53" s="434">
        <f>SUM(G51:G52)</f>
        <v>9944260.479751898</v>
      </c>
      <c r="H53" s="434">
        <f>SUM(H51:H52)</f>
        <v>119331125.75702277</v>
      </c>
      <c r="I53" s="223">
        <f t="shared" si="4"/>
        <v>0</v>
      </c>
      <c r="J53" s="223">
        <f t="shared" si="5"/>
        <v>119331125.75702277</v>
      </c>
      <c r="K53" s="485">
        <v>14381074.767620476</v>
      </c>
      <c r="L53" s="486">
        <f t="shared" si="6"/>
        <v>-4436814.287868578</v>
      </c>
      <c r="M53" s="489">
        <f t="shared" si="7"/>
        <v>-0.4461683497634279</v>
      </c>
    </row>
    <row r="57" spans="2:13" ht="15" thickBot="1" x14ac:dyDescent="0.4"/>
    <row r="58" spans="2:13" ht="15" thickBot="1" x14ac:dyDescent="0.4">
      <c r="D58" s="412" t="s">
        <v>12</v>
      </c>
      <c r="E58" s="412" t="s">
        <v>377</v>
      </c>
      <c r="F58" s="192" t="s">
        <v>14</v>
      </c>
      <c r="G58" s="193" t="s">
        <v>400</v>
      </c>
    </row>
    <row r="59" spans="2:13" x14ac:dyDescent="0.35">
      <c r="D59" s="413">
        <v>1</v>
      </c>
      <c r="E59" s="418" t="s">
        <v>16</v>
      </c>
      <c r="F59" s="404"/>
      <c r="G59" s="194"/>
    </row>
    <row r="60" spans="2:13" x14ac:dyDescent="0.35">
      <c r="D60" s="413">
        <v>2</v>
      </c>
      <c r="E60" s="418" t="s">
        <v>17</v>
      </c>
      <c r="F60" s="404"/>
      <c r="G60" s="195"/>
    </row>
    <row r="61" spans="2:13" x14ac:dyDescent="0.35">
      <c r="D61" s="413">
        <v>3</v>
      </c>
      <c r="E61" s="419" t="s">
        <v>18</v>
      </c>
      <c r="F61" s="405"/>
      <c r="G61" s="195"/>
    </row>
    <row r="62" spans="2:13" x14ac:dyDescent="0.35">
      <c r="D62" s="413">
        <v>4</v>
      </c>
      <c r="E62" s="419" t="s">
        <v>19</v>
      </c>
      <c r="F62" s="405"/>
      <c r="G62" s="195"/>
    </row>
    <row r="63" spans="2:13" ht="29" x14ac:dyDescent="0.35">
      <c r="D63" s="413">
        <v>5</v>
      </c>
      <c r="E63" s="419" t="s">
        <v>20</v>
      </c>
      <c r="F63" s="405"/>
      <c r="G63" s="196"/>
    </row>
    <row r="64" spans="2:13" ht="29" x14ac:dyDescent="0.35">
      <c r="D64" s="413">
        <v>6</v>
      </c>
      <c r="E64" s="419" t="s">
        <v>21</v>
      </c>
      <c r="F64" s="405"/>
      <c r="G64" s="196"/>
    </row>
    <row r="65" spans="4:7" x14ac:dyDescent="0.35">
      <c r="D65" s="413">
        <v>7</v>
      </c>
      <c r="E65" s="419" t="s">
        <v>22</v>
      </c>
      <c r="F65" s="405"/>
      <c r="G65" s="196"/>
    </row>
    <row r="66" spans="4:7" x14ac:dyDescent="0.35">
      <c r="D66" s="413">
        <v>8</v>
      </c>
      <c r="E66" s="419" t="s">
        <v>23</v>
      </c>
      <c r="F66" s="405"/>
      <c r="G66" s="196"/>
    </row>
    <row r="67" spans="4:7" x14ac:dyDescent="0.35">
      <c r="D67" s="413">
        <v>9</v>
      </c>
      <c r="E67" s="418" t="s">
        <v>24</v>
      </c>
      <c r="F67" s="404"/>
      <c r="G67" s="196"/>
    </row>
    <row r="68" spans="4:7" x14ac:dyDescent="0.35">
      <c r="D68" s="413">
        <v>10</v>
      </c>
      <c r="E68" s="418" t="s">
        <v>25</v>
      </c>
      <c r="F68" s="404"/>
      <c r="G68" s="196"/>
    </row>
    <row r="69" spans="4:7" x14ac:dyDescent="0.35">
      <c r="D69" s="413">
        <v>11</v>
      </c>
      <c r="E69" s="418" t="s">
        <v>378</v>
      </c>
      <c r="F69" s="404"/>
      <c r="G69" s="196"/>
    </row>
    <row r="70" spans="4:7" x14ac:dyDescent="0.35">
      <c r="D70" s="413">
        <v>12</v>
      </c>
      <c r="E70" s="419" t="s">
        <v>26</v>
      </c>
      <c r="F70" s="405"/>
      <c r="G70" s="196"/>
    </row>
    <row r="71" spans="4:7" x14ac:dyDescent="0.35">
      <c r="D71" s="413">
        <v>13</v>
      </c>
      <c r="E71" s="420" t="s">
        <v>379</v>
      </c>
      <c r="F71" s="406"/>
      <c r="G71" s="196"/>
    </row>
    <row r="72" spans="4:7" x14ac:dyDescent="0.35">
      <c r="D72" s="414">
        <v>14</v>
      </c>
      <c r="E72" s="420" t="s">
        <v>27</v>
      </c>
      <c r="F72" s="406"/>
      <c r="G72" s="196"/>
    </row>
    <row r="73" spans="4:7" x14ac:dyDescent="0.35">
      <c r="D73" s="414">
        <v>15</v>
      </c>
      <c r="E73" s="420" t="s">
        <v>28</v>
      </c>
      <c r="F73" s="406"/>
      <c r="G73" s="196"/>
    </row>
    <row r="74" spans="4:7" x14ac:dyDescent="0.35">
      <c r="D74" s="414">
        <v>16</v>
      </c>
      <c r="E74" s="420" t="s">
        <v>29</v>
      </c>
      <c r="F74" s="406"/>
      <c r="G74" s="196"/>
    </row>
    <row r="75" spans="4:7" ht="15" thickBot="1" x14ac:dyDescent="0.4">
      <c r="D75" s="415">
        <v>17</v>
      </c>
      <c r="E75" s="421" t="s">
        <v>380</v>
      </c>
      <c r="F75" s="407"/>
      <c r="G75" s="197"/>
    </row>
    <row r="76" spans="4:7" ht="15" thickBot="1" x14ac:dyDescent="0.4">
      <c r="D76" s="412" t="s">
        <v>12</v>
      </c>
      <c r="E76" s="412" t="s">
        <v>381</v>
      </c>
      <c r="F76" s="192" t="s">
        <v>14</v>
      </c>
      <c r="G76" s="193" t="s">
        <v>400</v>
      </c>
    </row>
    <row r="77" spans="4:7" x14ac:dyDescent="0.35">
      <c r="D77" s="413">
        <v>1</v>
      </c>
      <c r="E77" s="420" t="s">
        <v>32</v>
      </c>
      <c r="F77" s="554" t="s">
        <v>33</v>
      </c>
      <c r="G77" s="198"/>
    </row>
    <row r="78" spans="4:7" ht="29" x14ac:dyDescent="0.35">
      <c r="D78" s="413">
        <v>2</v>
      </c>
      <c r="E78" s="420" t="s">
        <v>34</v>
      </c>
      <c r="F78" s="555"/>
      <c r="G78" s="199"/>
    </row>
    <row r="79" spans="4:7" ht="29" x14ac:dyDescent="0.35">
      <c r="D79" s="413">
        <v>3</v>
      </c>
      <c r="E79" s="420" t="s">
        <v>35</v>
      </c>
      <c r="F79" s="555"/>
      <c r="G79" s="199"/>
    </row>
    <row r="80" spans="4:7" ht="29" x14ac:dyDescent="0.35">
      <c r="D80" s="413">
        <v>4</v>
      </c>
      <c r="E80" s="420" t="s">
        <v>36</v>
      </c>
      <c r="F80" s="555"/>
      <c r="G80" s="199"/>
    </row>
    <row r="81" spans="4:7" x14ac:dyDescent="0.35">
      <c r="D81" s="413">
        <v>5</v>
      </c>
      <c r="E81" s="420" t="s">
        <v>37</v>
      </c>
      <c r="F81" s="555"/>
      <c r="G81" s="199"/>
    </row>
    <row r="82" spans="4:7" x14ac:dyDescent="0.35">
      <c r="D82" s="413">
        <v>6</v>
      </c>
      <c r="E82" s="420" t="s">
        <v>38</v>
      </c>
      <c r="F82" s="555"/>
      <c r="G82" s="199"/>
    </row>
    <row r="83" spans="4:7" ht="15" thickBot="1" x14ac:dyDescent="0.4">
      <c r="D83" s="415">
        <v>7</v>
      </c>
      <c r="E83" s="421" t="s">
        <v>39</v>
      </c>
      <c r="F83" s="556"/>
      <c r="G83" s="199"/>
    </row>
    <row r="84" spans="4:7" x14ac:dyDescent="0.35">
      <c r="D84" s="416">
        <v>8</v>
      </c>
      <c r="E84" s="422" t="s">
        <v>32</v>
      </c>
      <c r="F84" s="557" t="s">
        <v>40</v>
      </c>
      <c r="G84" s="199"/>
    </row>
    <row r="85" spans="4:7" ht="29" x14ac:dyDescent="0.35">
      <c r="D85" s="413">
        <v>9</v>
      </c>
      <c r="E85" s="420" t="s">
        <v>34</v>
      </c>
      <c r="F85" s="555"/>
      <c r="G85" s="199"/>
    </row>
    <row r="86" spans="4:7" ht="29" x14ac:dyDescent="0.35">
      <c r="D86" s="413">
        <v>10</v>
      </c>
      <c r="E86" s="420" t="s">
        <v>35</v>
      </c>
      <c r="F86" s="555"/>
      <c r="G86" s="199"/>
    </row>
    <row r="87" spans="4:7" ht="29" x14ac:dyDescent="0.35">
      <c r="D87" s="413">
        <v>11</v>
      </c>
      <c r="E87" s="420" t="s">
        <v>36</v>
      </c>
      <c r="F87" s="555"/>
      <c r="G87" s="199"/>
    </row>
    <row r="88" spans="4:7" x14ac:dyDescent="0.35">
      <c r="D88" s="413">
        <v>12</v>
      </c>
      <c r="E88" s="420" t="s">
        <v>37</v>
      </c>
      <c r="F88" s="555"/>
      <c r="G88" s="199"/>
    </row>
    <row r="89" spans="4:7" x14ac:dyDescent="0.35">
      <c r="D89" s="413">
        <v>13</v>
      </c>
      <c r="E89" s="420" t="s">
        <v>38</v>
      </c>
      <c r="F89" s="555"/>
      <c r="G89" s="199"/>
    </row>
    <row r="90" spans="4:7" ht="15" thickBot="1" x14ac:dyDescent="0.4">
      <c r="D90" s="415">
        <v>14</v>
      </c>
      <c r="E90" s="421" t="s">
        <v>39</v>
      </c>
      <c r="F90" s="556"/>
      <c r="G90" s="200"/>
    </row>
    <row r="91" spans="4:7" x14ac:dyDescent="0.35">
      <c r="E91" s="423"/>
      <c r="F91" s="201"/>
    </row>
    <row r="92" spans="4:7" ht="15" thickBot="1" x14ac:dyDescent="0.4">
      <c r="E92" s="423"/>
      <c r="F92" s="201"/>
    </row>
    <row r="93" spans="4:7" ht="15" thickBot="1" x14ac:dyDescent="0.4">
      <c r="D93" s="417" t="s">
        <v>12</v>
      </c>
      <c r="E93" s="412" t="s">
        <v>382</v>
      </c>
      <c r="F93" s="5"/>
      <c r="G93" s="202"/>
    </row>
    <row r="94" spans="4:7" x14ac:dyDescent="0.35">
      <c r="D94" s="413">
        <v>1</v>
      </c>
      <c r="E94" s="420" t="s">
        <v>383</v>
      </c>
      <c r="F94" s="408"/>
      <c r="G94" s="203" t="s">
        <v>401</v>
      </c>
    </row>
    <row r="95" spans="4:7" ht="29" x14ac:dyDescent="0.35">
      <c r="D95" s="413">
        <v>2</v>
      </c>
      <c r="E95" s="420" t="s">
        <v>384</v>
      </c>
      <c r="F95" s="408"/>
      <c r="G95" s="204" t="s">
        <v>401</v>
      </c>
    </row>
    <row r="96" spans="4:7" ht="29.5" thickBot="1" x14ac:dyDescent="0.4">
      <c r="D96" s="415">
        <v>3</v>
      </c>
      <c r="E96" s="421" t="s">
        <v>385</v>
      </c>
      <c r="F96" s="409"/>
      <c r="G96" s="205" t="s">
        <v>401</v>
      </c>
    </row>
  </sheetData>
  <mergeCells count="18">
    <mergeCell ref="F77:F83"/>
    <mergeCell ref="F84:F90"/>
    <mergeCell ref="B48:F48"/>
    <mergeCell ref="B49:F49"/>
    <mergeCell ref="B50:F50"/>
    <mergeCell ref="B51:F51"/>
    <mergeCell ref="B52:F52"/>
    <mergeCell ref="B53:F53"/>
    <mergeCell ref="B47:F47"/>
    <mergeCell ref="B3:B17"/>
    <mergeCell ref="B19:B41"/>
    <mergeCell ref="D19:D21"/>
    <mergeCell ref="D22:D23"/>
    <mergeCell ref="B42:F42"/>
    <mergeCell ref="B43:F43"/>
    <mergeCell ref="B44:F44"/>
    <mergeCell ref="B45:F45"/>
    <mergeCell ref="B46:F4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5EA3-63F3-4A69-82EA-33479BF9B906}">
  <dimension ref="B3:AT27"/>
  <sheetViews>
    <sheetView zoomScaleNormal="100" workbookViewId="0">
      <selection activeCell="E6" sqref="E6"/>
    </sheetView>
  </sheetViews>
  <sheetFormatPr defaultRowHeight="14.5" x14ac:dyDescent="0.35"/>
  <cols>
    <col min="2" max="2" width="57.08984375" bestFit="1" customWidth="1"/>
    <col min="3" max="3" width="6.81640625" customWidth="1"/>
    <col min="4" max="5" width="18.6328125" customWidth="1"/>
    <col min="6" max="6" width="24.08984375" customWidth="1"/>
    <col min="11" max="11" width="6.81640625" customWidth="1"/>
    <col min="12" max="12" width="11.90625" bestFit="1" customWidth="1"/>
    <col min="13" max="13" width="6.81640625" customWidth="1"/>
    <col min="14" max="14" width="11.90625" bestFit="1" customWidth="1"/>
    <col min="15" max="15" width="6.81640625" customWidth="1"/>
    <col min="16" max="16" width="11.90625" bestFit="1" customWidth="1"/>
    <col min="17" max="17" width="6.81640625" customWidth="1"/>
    <col min="18" max="18" width="11.90625" bestFit="1" customWidth="1"/>
    <col min="19" max="19" width="6.81640625" customWidth="1"/>
    <col min="20" max="20" width="11.90625" bestFit="1" customWidth="1"/>
    <col min="21" max="21" width="6.81640625" customWidth="1"/>
    <col min="22" max="22" width="11.90625" bestFit="1" customWidth="1"/>
    <col min="23" max="23" width="6.81640625" customWidth="1"/>
    <col min="24" max="24" width="11.90625" bestFit="1" customWidth="1"/>
    <col min="25" max="25" width="6.81640625" customWidth="1"/>
    <col min="26" max="26" width="11.90625" bestFit="1" customWidth="1"/>
    <col min="27" max="27" width="6.81640625" customWidth="1"/>
    <col min="28" max="28" width="11.90625" bestFit="1" customWidth="1"/>
    <col min="29" max="29" width="6.81640625" customWidth="1"/>
    <col min="30" max="30" width="11.90625" bestFit="1" customWidth="1"/>
    <col min="31" max="31" width="6.81640625" customWidth="1"/>
    <col min="32" max="32" width="11.90625" bestFit="1" customWidth="1"/>
    <col min="33" max="33" width="6.81640625" customWidth="1"/>
    <col min="34" max="34" width="11.90625" bestFit="1" customWidth="1"/>
    <col min="35" max="35" width="6.81640625" customWidth="1"/>
    <col min="36" max="36" width="11.90625" bestFit="1" customWidth="1"/>
    <col min="37" max="37" width="6.81640625" customWidth="1"/>
    <col min="38" max="38" width="11.90625" bestFit="1" customWidth="1"/>
    <col min="39" max="40" width="11.6328125" style="17" bestFit="1" customWidth="1"/>
    <col min="41" max="41" width="12.54296875" style="17" bestFit="1" customWidth="1"/>
    <col min="42" max="42" width="12" style="17" customWidth="1"/>
    <col min="43" max="43" width="12.54296875" style="17" bestFit="1" customWidth="1"/>
    <col min="44" max="44" width="11.08984375" style="17" bestFit="1" customWidth="1"/>
    <col min="45" max="45" width="12.54296875" style="17" bestFit="1" customWidth="1"/>
    <col min="46" max="46" width="10.08984375" bestFit="1" customWidth="1"/>
  </cols>
  <sheetData>
    <row r="3" spans="2:46" x14ac:dyDescent="0.35">
      <c r="B3" s="36" t="s">
        <v>225</v>
      </c>
      <c r="C3" s="17"/>
      <c r="D3" s="37"/>
      <c r="E3" s="37"/>
      <c r="F3" s="37"/>
    </row>
    <row r="4" spans="2:46" ht="69" customHeight="1" x14ac:dyDescent="0.35">
      <c r="B4" s="38" t="s">
        <v>226</v>
      </c>
      <c r="C4" s="39" t="s">
        <v>227</v>
      </c>
      <c r="D4" s="40" t="s">
        <v>228</v>
      </c>
      <c r="E4" s="41" t="s">
        <v>229</v>
      </c>
      <c r="F4" s="42" t="s">
        <v>230</v>
      </c>
      <c r="K4" s="570" t="s">
        <v>145</v>
      </c>
      <c r="L4" s="571"/>
      <c r="M4" s="568" t="s">
        <v>146</v>
      </c>
      <c r="N4" s="569"/>
      <c r="O4" s="568" t="s">
        <v>147</v>
      </c>
      <c r="P4" s="569"/>
      <c r="Q4" s="568" t="s">
        <v>148</v>
      </c>
      <c r="R4" s="569"/>
      <c r="S4" s="568" t="s">
        <v>149</v>
      </c>
      <c r="T4" s="569"/>
      <c r="U4" s="568" t="s">
        <v>150</v>
      </c>
      <c r="V4" s="569"/>
      <c r="W4" s="568" t="s">
        <v>151</v>
      </c>
      <c r="X4" s="569"/>
      <c r="Y4" s="568" t="s">
        <v>152</v>
      </c>
      <c r="Z4" s="569"/>
      <c r="AA4" s="568" t="s">
        <v>153</v>
      </c>
      <c r="AB4" s="569"/>
      <c r="AC4" s="568" t="s">
        <v>154</v>
      </c>
      <c r="AD4" s="569"/>
      <c r="AE4" s="568" t="s">
        <v>155</v>
      </c>
      <c r="AF4" s="569"/>
      <c r="AG4" s="568" t="s">
        <v>156</v>
      </c>
      <c r="AH4" s="569"/>
      <c r="AI4" s="568" t="s">
        <v>157</v>
      </c>
      <c r="AJ4" s="569"/>
      <c r="AK4" s="572" t="s">
        <v>339</v>
      </c>
      <c r="AL4" s="573"/>
      <c r="AM4" s="215" t="s">
        <v>465</v>
      </c>
      <c r="AN4" s="385" t="s">
        <v>447</v>
      </c>
      <c r="AO4" s="385" t="s">
        <v>240</v>
      </c>
      <c r="AP4" s="386" t="s">
        <v>448</v>
      </c>
      <c r="AQ4" s="387" t="s">
        <v>241</v>
      </c>
      <c r="AR4" s="388" t="s">
        <v>463</v>
      </c>
      <c r="AS4" s="388" t="s">
        <v>464</v>
      </c>
      <c r="AT4" s="388" t="s">
        <v>180</v>
      </c>
    </row>
    <row r="5" spans="2:46" s="384" customFormat="1" ht="29" x14ac:dyDescent="0.35">
      <c r="B5" s="390" t="s">
        <v>227</v>
      </c>
      <c r="C5" s="44"/>
      <c r="D5" s="391"/>
      <c r="E5" s="392"/>
      <c r="F5" s="47"/>
      <c r="K5" s="384" t="s">
        <v>227</v>
      </c>
      <c r="L5" s="384" t="s">
        <v>15</v>
      </c>
      <c r="M5" s="384" t="s">
        <v>227</v>
      </c>
      <c r="N5" s="384" t="s">
        <v>15</v>
      </c>
      <c r="O5" s="384" t="s">
        <v>227</v>
      </c>
      <c r="P5" s="384" t="s">
        <v>15</v>
      </c>
      <c r="Q5" s="384" t="s">
        <v>227</v>
      </c>
      <c r="R5" s="384" t="s">
        <v>15</v>
      </c>
      <c r="S5" s="384" t="s">
        <v>227</v>
      </c>
      <c r="T5" s="384" t="s">
        <v>15</v>
      </c>
      <c r="U5" s="384" t="s">
        <v>227</v>
      </c>
      <c r="V5" s="384" t="s">
        <v>15</v>
      </c>
      <c r="W5" s="384" t="s">
        <v>227</v>
      </c>
      <c r="X5" s="384" t="s">
        <v>15</v>
      </c>
      <c r="Y5" s="384" t="s">
        <v>227</v>
      </c>
      <c r="Z5" s="384" t="s">
        <v>15</v>
      </c>
      <c r="AA5" s="384" t="s">
        <v>227</v>
      </c>
      <c r="AB5" s="384" t="s">
        <v>15</v>
      </c>
      <c r="AC5" s="384" t="s">
        <v>227</v>
      </c>
      <c r="AD5" s="384" t="s">
        <v>15</v>
      </c>
      <c r="AE5" s="384" t="s">
        <v>227</v>
      </c>
      <c r="AF5" s="384" t="s">
        <v>15</v>
      </c>
      <c r="AG5" s="384" t="s">
        <v>227</v>
      </c>
      <c r="AH5" s="384" t="s">
        <v>15</v>
      </c>
      <c r="AI5" s="384" t="s">
        <v>227</v>
      </c>
      <c r="AJ5" s="384" t="s">
        <v>15</v>
      </c>
      <c r="AK5" s="384" t="s">
        <v>227</v>
      </c>
      <c r="AL5" s="384" t="s">
        <v>15</v>
      </c>
      <c r="AM5" s="215"/>
      <c r="AN5" s="393"/>
      <c r="AO5" s="215"/>
      <c r="AP5" s="215"/>
      <c r="AQ5" s="215"/>
      <c r="AR5" s="215"/>
      <c r="AS5" s="215"/>
    </row>
    <row r="6" spans="2:46" x14ac:dyDescent="0.35">
      <c r="B6" s="247" t="str">
        <f>'Manpower CTC'!B5</f>
        <v>Labors Morning Shift</v>
      </c>
      <c r="C6" s="244">
        <f>K6+M6+O6+Q6+S6+U6+W6+Y6+AA6+AC6+AE6+AG6+AI6</f>
        <v>94</v>
      </c>
      <c r="D6" s="48"/>
      <c r="E6" s="49">
        <f>'Manpower CTC'!C5</f>
        <v>6320</v>
      </c>
      <c r="F6" s="50">
        <f>C6*E6</f>
        <v>594080</v>
      </c>
      <c r="H6" s="239">
        <f>C6-(K6+M6+O6+Q6+S6+U6+W6+Y6+AA6+AC6+AE6+AG6+AI6+AK6)</f>
        <v>0</v>
      </c>
      <c r="I6" s="54">
        <f>F6-(L6+N6+P6+R6+T6+V6+X6+Z6+AB6+AD6+AF6+AH6+AJ6+AL6)</f>
        <v>0</v>
      </c>
      <c r="K6" s="243">
        <f>Maning!F6</f>
        <v>20</v>
      </c>
      <c r="L6" s="54">
        <f>E6*K6</f>
        <v>126400</v>
      </c>
      <c r="M6" s="243">
        <f>Maning!G6</f>
        <v>10</v>
      </c>
      <c r="N6" s="54">
        <f>M6*E6</f>
        <v>63200</v>
      </c>
      <c r="O6" s="243">
        <f>Maning!H6</f>
        <v>11</v>
      </c>
      <c r="P6" s="54">
        <f>O6*E6</f>
        <v>69520</v>
      </c>
      <c r="Q6" s="243">
        <f>Maning!I6</f>
        <v>20</v>
      </c>
      <c r="R6" s="54">
        <f>Q6*E6</f>
        <v>126400</v>
      </c>
      <c r="S6" s="243">
        <f>Maning!J6</f>
        <v>5</v>
      </c>
      <c r="T6" s="54">
        <f>S6*E6</f>
        <v>31600</v>
      </c>
      <c r="U6" s="243">
        <f>Maning!K6</f>
        <v>4</v>
      </c>
      <c r="V6" s="54">
        <f>U6*E6</f>
        <v>25280</v>
      </c>
      <c r="W6" s="243">
        <f>Maning!L6</f>
        <v>3</v>
      </c>
      <c r="X6" s="54">
        <f>W6*E6</f>
        <v>18960</v>
      </c>
      <c r="Y6" s="243">
        <f>Maning!M6</f>
        <v>4</v>
      </c>
      <c r="Z6" s="54">
        <f>Y6*E6</f>
        <v>25280</v>
      </c>
      <c r="AA6" s="243">
        <f>Maning!N6</f>
        <v>4</v>
      </c>
      <c r="AB6" s="54">
        <f>AA6*E6</f>
        <v>25280</v>
      </c>
      <c r="AC6" s="243">
        <f>Maning!O6</f>
        <v>5</v>
      </c>
      <c r="AD6" s="54">
        <f>AC6*E6</f>
        <v>31600</v>
      </c>
      <c r="AE6" s="243">
        <f>Maning!P6</f>
        <v>1</v>
      </c>
      <c r="AF6" s="54">
        <f>AE6*E6</f>
        <v>6320</v>
      </c>
      <c r="AG6" s="243">
        <f>Maning!Q6</f>
        <v>6</v>
      </c>
      <c r="AH6" s="54">
        <f>AG6*E6</f>
        <v>37920</v>
      </c>
      <c r="AI6" s="243">
        <f>Maning!R6</f>
        <v>1</v>
      </c>
      <c r="AJ6" s="54">
        <f>AI6*E6</f>
        <v>6320</v>
      </c>
      <c r="AK6" s="243">
        <f>Maning!S6</f>
        <v>0</v>
      </c>
      <c r="AL6" s="54">
        <f>AK6*E6</f>
        <v>0</v>
      </c>
      <c r="AM6" s="83">
        <f>SUM(L6+N6+P6+R6+T6+V6+X6+Z6+AB6+AD6+AF6+AH6+AJ6+AL6)</f>
        <v>594080</v>
      </c>
      <c r="AN6" s="83">
        <f>AM6*$E$17</f>
        <v>47526.400000000001</v>
      </c>
      <c r="AO6" s="83">
        <f>AM6+AN6</f>
        <v>641606.40000000002</v>
      </c>
      <c r="AP6" s="83">
        <f>AO6*$E$19</f>
        <v>8982.4896000000008</v>
      </c>
      <c r="AQ6" s="83">
        <f>AO6+AP6</f>
        <v>650588.88959999999</v>
      </c>
      <c r="AR6" s="83">
        <f>AQ6*$E$21</f>
        <v>91082.444544000013</v>
      </c>
      <c r="AS6" s="83">
        <f>AQ6+AR6</f>
        <v>741671.33414399996</v>
      </c>
      <c r="AT6" s="54">
        <f>AS6/C6</f>
        <v>7890.1205759999993</v>
      </c>
    </row>
    <row r="7" spans="2:46" x14ac:dyDescent="0.35">
      <c r="B7" s="247" t="str">
        <f>'Manpower CTC'!B6</f>
        <v>Labors Noon Shift</v>
      </c>
      <c r="C7" s="244">
        <f t="shared" ref="C7:C12" si="0">K7+M7+O7+Q7+S7+U7+W7+Y7+AA7+AC7+AE7+AG7+AI7</f>
        <v>14</v>
      </c>
      <c r="D7" s="48"/>
      <c r="E7" s="49">
        <f>'Manpower CTC'!C6</f>
        <v>6320</v>
      </c>
      <c r="F7" s="50">
        <f t="shared" ref="F7:F15" si="1">C7*E7</f>
        <v>88480</v>
      </c>
      <c r="H7" s="239">
        <f t="shared" ref="H7:H16" si="2">C7-(K7+M7+O7+Q7+S7+U7+W7+Y7+AA7+AC7+AE7+AG7+AI7+AK7)</f>
        <v>0</v>
      </c>
      <c r="I7" s="54">
        <f t="shared" ref="I7:I15" si="3">F7-(L7+N7+P7+R7+T7+V7+X7+Z7+AB7+AD7+AF7+AH7+AJ7+AL7)</f>
        <v>0</v>
      </c>
      <c r="K7" s="243">
        <f>Maning!F7</f>
        <v>3.2553191489361701</v>
      </c>
      <c r="L7" s="54">
        <f t="shared" ref="L7:L15" si="4">E7*K7</f>
        <v>20573.617021276594</v>
      </c>
      <c r="M7" s="243">
        <f>Maning!G7</f>
        <v>1.7234042553191489</v>
      </c>
      <c r="N7" s="54">
        <f t="shared" ref="N7:N15" si="5">M7*E7</f>
        <v>10891.91489361702</v>
      </c>
      <c r="O7" s="243">
        <f>Maning!H7</f>
        <v>1.3404255319148937</v>
      </c>
      <c r="P7" s="54">
        <f t="shared" ref="P7:P15" si="6">O7*E7</f>
        <v>8471.489361702128</v>
      </c>
      <c r="Q7" s="243">
        <f>Maning!I7</f>
        <v>2.6808510638297873</v>
      </c>
      <c r="R7" s="54">
        <f t="shared" ref="R7:R15" si="7">Q7*E7</f>
        <v>16942.978723404256</v>
      </c>
      <c r="S7" s="243">
        <f>Maning!J7</f>
        <v>0</v>
      </c>
      <c r="T7" s="54">
        <f t="shared" ref="T7:T15" si="8">S7*E7</f>
        <v>0</v>
      </c>
      <c r="U7" s="243">
        <f>Maning!K7</f>
        <v>0</v>
      </c>
      <c r="V7" s="54">
        <f t="shared" ref="V7:V15" si="9">U7*E7</f>
        <v>0</v>
      </c>
      <c r="W7" s="243">
        <f>Maning!L7</f>
        <v>0</v>
      </c>
      <c r="X7" s="54">
        <f t="shared" ref="X7:X15" si="10">W7*E7</f>
        <v>0</v>
      </c>
      <c r="Y7" s="243">
        <f>Maning!M7</f>
        <v>0</v>
      </c>
      <c r="Z7" s="54">
        <f t="shared" ref="Z7:Z15" si="11">Y7*E7</f>
        <v>0</v>
      </c>
      <c r="AA7" s="243">
        <f>Maning!N7</f>
        <v>0</v>
      </c>
      <c r="AB7" s="54">
        <f t="shared" ref="AB7:AB15" si="12">AA7*E7</f>
        <v>0</v>
      </c>
      <c r="AC7" s="243">
        <f>Maning!O7</f>
        <v>5</v>
      </c>
      <c r="AD7" s="54">
        <f t="shared" ref="AD7:AD15" si="13">AC7*E7</f>
        <v>31600</v>
      </c>
      <c r="AE7" s="243">
        <f>Maning!P7</f>
        <v>0</v>
      </c>
      <c r="AF7" s="54">
        <f t="shared" ref="AF7:AF15" si="14">AE7*E7</f>
        <v>0</v>
      </c>
      <c r="AG7" s="243">
        <f>Maning!Q7</f>
        <v>0</v>
      </c>
      <c r="AH7" s="54">
        <f t="shared" ref="AH7:AH15" si="15">AG7*E7</f>
        <v>0</v>
      </c>
      <c r="AI7" s="243">
        <f>Maning!R7</f>
        <v>0</v>
      </c>
      <c r="AJ7" s="54">
        <f t="shared" ref="AJ7:AJ15" si="16">AI7*E7</f>
        <v>0</v>
      </c>
      <c r="AK7" s="243">
        <f>Maning!S7</f>
        <v>0</v>
      </c>
      <c r="AL7" s="54">
        <f t="shared" ref="AL7:AL15" si="17">AK7*E7</f>
        <v>0</v>
      </c>
      <c r="AM7" s="83">
        <f t="shared" ref="AM7:AM15" si="18">SUM(L7+N7+P7+R7+T7+V7+X7+Z7+AB7+AD7+AF7+AH7+AJ7+AL7)</f>
        <v>88480</v>
      </c>
      <c r="AN7" s="83">
        <f t="shared" ref="AN7:AN15" si="19">AM7*$E$17</f>
        <v>7078.4000000000005</v>
      </c>
      <c r="AO7" s="83">
        <f t="shared" ref="AO7:AO15" si="20">AM7+AN7</f>
        <v>95558.399999999994</v>
      </c>
      <c r="AP7" s="83">
        <f t="shared" ref="AP7:AP15" si="21">AO7*$E$19</f>
        <v>1337.8175999999999</v>
      </c>
      <c r="AQ7" s="83">
        <f t="shared" ref="AQ7:AQ15" si="22">AO7+AP7</f>
        <v>96896.217599999989</v>
      </c>
      <c r="AR7" s="83">
        <f t="shared" ref="AR7:AR15" si="23">AQ7*$E$21</f>
        <v>13565.470464</v>
      </c>
      <c r="AS7" s="83">
        <f t="shared" ref="AS7:AS15" si="24">AQ7+AR7</f>
        <v>110461.68806399999</v>
      </c>
      <c r="AT7" s="54">
        <f t="shared" ref="AT7:AT15" si="25">AS7/C7</f>
        <v>7890.1205759999993</v>
      </c>
    </row>
    <row r="8" spans="2:46" x14ac:dyDescent="0.35">
      <c r="B8" s="247" t="str">
        <f>'Manpower CTC'!B7</f>
        <v>Supervisor Morning Shift</v>
      </c>
      <c r="C8" s="244">
        <f t="shared" si="0"/>
        <v>11</v>
      </c>
      <c r="D8" s="48"/>
      <c r="E8" s="49">
        <f>'Manpower CTC'!C7</f>
        <v>10870</v>
      </c>
      <c r="F8" s="50">
        <f t="shared" si="1"/>
        <v>119570</v>
      </c>
      <c r="H8" s="239">
        <f t="shared" si="2"/>
        <v>0</v>
      </c>
      <c r="I8" s="54">
        <f t="shared" si="3"/>
        <v>0</v>
      </c>
      <c r="K8" s="243">
        <f>Maning!F8</f>
        <v>2</v>
      </c>
      <c r="L8" s="54">
        <f t="shared" si="4"/>
        <v>21740</v>
      </c>
      <c r="M8" s="243">
        <f>Maning!G8</f>
        <v>1</v>
      </c>
      <c r="N8" s="54">
        <f t="shared" si="5"/>
        <v>10870</v>
      </c>
      <c r="O8" s="243">
        <f>Maning!H8</f>
        <v>1</v>
      </c>
      <c r="P8" s="54">
        <f t="shared" si="6"/>
        <v>10870</v>
      </c>
      <c r="Q8" s="243">
        <f>Maning!I8</f>
        <v>2</v>
      </c>
      <c r="R8" s="54">
        <f t="shared" si="7"/>
        <v>21740</v>
      </c>
      <c r="S8" s="243">
        <f>Maning!J8</f>
        <v>1</v>
      </c>
      <c r="T8" s="54">
        <f t="shared" si="8"/>
        <v>10870</v>
      </c>
      <c r="U8" s="243">
        <f>Maning!K8</f>
        <v>0.5714285714285714</v>
      </c>
      <c r="V8" s="54">
        <f t="shared" si="9"/>
        <v>6211.4285714285706</v>
      </c>
      <c r="W8" s="243">
        <f>Maning!L8</f>
        <v>0.42857142857142855</v>
      </c>
      <c r="X8" s="54">
        <f t="shared" si="10"/>
        <v>4658.5714285714284</v>
      </c>
      <c r="Y8" s="243">
        <f>Maning!M8</f>
        <v>0.5</v>
      </c>
      <c r="Z8" s="54">
        <f t="shared" si="11"/>
        <v>5435</v>
      </c>
      <c r="AA8" s="243">
        <f>Maning!N8</f>
        <v>0.5</v>
      </c>
      <c r="AB8" s="54">
        <f t="shared" si="12"/>
        <v>5435</v>
      </c>
      <c r="AC8" s="243">
        <f>Maning!O8</f>
        <v>1</v>
      </c>
      <c r="AD8" s="54">
        <f t="shared" si="13"/>
        <v>10870</v>
      </c>
      <c r="AE8" s="243">
        <f>Maning!P8</f>
        <v>0.125</v>
      </c>
      <c r="AF8" s="54">
        <f t="shared" si="14"/>
        <v>1358.75</v>
      </c>
      <c r="AG8" s="243">
        <f>Maning!Q8</f>
        <v>0.75</v>
      </c>
      <c r="AH8" s="54">
        <f t="shared" si="15"/>
        <v>8152.5</v>
      </c>
      <c r="AI8" s="243">
        <f>Maning!R8</f>
        <v>0.125</v>
      </c>
      <c r="AJ8" s="54">
        <f t="shared" si="16"/>
        <v>1358.75</v>
      </c>
      <c r="AK8" s="243">
        <f>Maning!S8</f>
        <v>0</v>
      </c>
      <c r="AL8" s="54">
        <f t="shared" si="17"/>
        <v>0</v>
      </c>
      <c r="AM8" s="83">
        <f t="shared" si="18"/>
        <v>119570</v>
      </c>
      <c r="AN8" s="83">
        <f t="shared" si="19"/>
        <v>9565.6</v>
      </c>
      <c r="AO8" s="83">
        <f t="shared" si="20"/>
        <v>129135.6</v>
      </c>
      <c r="AP8" s="83">
        <f t="shared" si="21"/>
        <v>1807.8984</v>
      </c>
      <c r="AQ8" s="83">
        <f t="shared" si="22"/>
        <v>130943.49840000001</v>
      </c>
      <c r="AR8" s="83">
        <f t="shared" si="23"/>
        <v>18332.089776000004</v>
      </c>
      <c r="AS8" s="83">
        <f t="shared" si="24"/>
        <v>149275.58817600002</v>
      </c>
      <c r="AT8" s="54">
        <f t="shared" si="25"/>
        <v>13570.508016000002</v>
      </c>
    </row>
    <row r="9" spans="2:46" x14ac:dyDescent="0.35">
      <c r="B9" s="247" t="str">
        <f>'Manpower CTC'!B8</f>
        <v>Supervisor Noon Shift</v>
      </c>
      <c r="C9" s="244">
        <f t="shared" si="0"/>
        <v>3</v>
      </c>
      <c r="D9" s="48"/>
      <c r="E9" s="49">
        <f>'Manpower CTC'!C8</f>
        <v>10870</v>
      </c>
      <c r="F9" s="50">
        <f t="shared" si="1"/>
        <v>32610</v>
      </c>
      <c r="H9" s="239">
        <f t="shared" si="2"/>
        <v>0</v>
      </c>
      <c r="I9" s="54">
        <f t="shared" si="3"/>
        <v>0</v>
      </c>
      <c r="K9" s="243">
        <f>Maning!F9</f>
        <v>0.66666666666666663</v>
      </c>
      <c r="L9" s="54">
        <f t="shared" si="4"/>
        <v>7246.6666666666661</v>
      </c>
      <c r="M9" s="243">
        <f>Maning!G9</f>
        <v>0.33333333333333331</v>
      </c>
      <c r="N9" s="54">
        <f t="shared" si="5"/>
        <v>3623.333333333333</v>
      </c>
      <c r="O9" s="243">
        <f>Maning!H9</f>
        <v>0.33333333333333331</v>
      </c>
      <c r="P9" s="54">
        <f t="shared" si="6"/>
        <v>3623.333333333333</v>
      </c>
      <c r="Q9" s="243">
        <f>Maning!I9</f>
        <v>0.66666666666666663</v>
      </c>
      <c r="R9" s="54">
        <f t="shared" si="7"/>
        <v>7246.6666666666661</v>
      </c>
      <c r="S9" s="243">
        <f>Maning!J9</f>
        <v>0</v>
      </c>
      <c r="T9" s="54">
        <f t="shared" si="8"/>
        <v>0</v>
      </c>
      <c r="U9" s="243">
        <f>Maning!K9</f>
        <v>0</v>
      </c>
      <c r="V9" s="54">
        <f t="shared" si="9"/>
        <v>0</v>
      </c>
      <c r="W9" s="243">
        <f>Maning!L9</f>
        <v>0</v>
      </c>
      <c r="X9" s="54">
        <f t="shared" si="10"/>
        <v>0</v>
      </c>
      <c r="Y9" s="243">
        <f>Maning!M9</f>
        <v>0</v>
      </c>
      <c r="Z9" s="54">
        <f t="shared" si="11"/>
        <v>0</v>
      </c>
      <c r="AA9" s="243">
        <f>Maning!N9</f>
        <v>0</v>
      </c>
      <c r="AB9" s="54">
        <f t="shared" si="12"/>
        <v>0</v>
      </c>
      <c r="AC9" s="243">
        <f>Maning!O9</f>
        <v>1</v>
      </c>
      <c r="AD9" s="54">
        <f t="shared" si="13"/>
        <v>10870</v>
      </c>
      <c r="AE9" s="243">
        <f>Maning!P9</f>
        <v>0</v>
      </c>
      <c r="AF9" s="54">
        <f t="shared" si="14"/>
        <v>0</v>
      </c>
      <c r="AG9" s="243">
        <f>Maning!Q9</f>
        <v>0</v>
      </c>
      <c r="AH9" s="54">
        <f t="shared" si="15"/>
        <v>0</v>
      </c>
      <c r="AI9" s="243">
        <f>Maning!R9</f>
        <v>0</v>
      </c>
      <c r="AJ9" s="54">
        <f t="shared" si="16"/>
        <v>0</v>
      </c>
      <c r="AK9" s="243">
        <f>Maning!S9</f>
        <v>0</v>
      </c>
      <c r="AL9" s="54">
        <f t="shared" si="17"/>
        <v>0</v>
      </c>
      <c r="AM9" s="83">
        <f t="shared" si="18"/>
        <v>32610</v>
      </c>
      <c r="AN9" s="83">
        <f t="shared" si="19"/>
        <v>2608.8000000000002</v>
      </c>
      <c r="AO9" s="83">
        <f t="shared" si="20"/>
        <v>35218.800000000003</v>
      </c>
      <c r="AP9" s="83">
        <f t="shared" si="21"/>
        <v>493.06320000000005</v>
      </c>
      <c r="AQ9" s="83">
        <f t="shared" si="22"/>
        <v>35711.8632</v>
      </c>
      <c r="AR9" s="83">
        <f t="shared" si="23"/>
        <v>4999.6608480000004</v>
      </c>
      <c r="AS9" s="83">
        <f t="shared" si="24"/>
        <v>40711.524047999999</v>
      </c>
      <c r="AT9" s="54">
        <f t="shared" si="25"/>
        <v>13570.508016</v>
      </c>
    </row>
    <row r="10" spans="2:46" x14ac:dyDescent="0.35">
      <c r="B10" s="247" t="str">
        <f>'Manpower CTC'!B9</f>
        <v>Site Admin</v>
      </c>
      <c r="C10" s="244">
        <f t="shared" si="0"/>
        <v>2</v>
      </c>
      <c r="D10" s="48"/>
      <c r="E10" s="49">
        <f>'Manpower CTC'!C9</f>
        <v>16920</v>
      </c>
      <c r="F10" s="50">
        <f t="shared" si="1"/>
        <v>33840</v>
      </c>
      <c r="H10" s="239">
        <f t="shared" si="2"/>
        <v>0</v>
      </c>
      <c r="I10" s="54">
        <f t="shared" si="3"/>
        <v>0</v>
      </c>
      <c r="K10" s="243">
        <f>Maning!F10</f>
        <v>0.43065405831363274</v>
      </c>
      <c r="L10" s="54">
        <f t="shared" si="4"/>
        <v>7286.6666666666661</v>
      </c>
      <c r="M10" s="243">
        <f>Maning!G10</f>
        <v>0.21710007880220647</v>
      </c>
      <c r="N10" s="54">
        <f t="shared" si="5"/>
        <v>3673.3333333333335</v>
      </c>
      <c r="O10" s="243">
        <f>Maning!H10</f>
        <v>0.22852639873916469</v>
      </c>
      <c r="P10" s="54">
        <f t="shared" si="6"/>
        <v>3866.6666666666665</v>
      </c>
      <c r="Q10" s="243">
        <f>Maning!I10</f>
        <v>0.42001576044129235</v>
      </c>
      <c r="R10" s="54">
        <f t="shared" si="7"/>
        <v>7106.666666666667</v>
      </c>
      <c r="S10" s="243">
        <f>Maning!J10</f>
        <v>9.2592592592592587E-2</v>
      </c>
      <c r="T10" s="54">
        <f t="shared" si="8"/>
        <v>1566.6666666666665</v>
      </c>
      <c r="U10" s="243">
        <f>Maning!K10</f>
        <v>7.407407407407407E-2</v>
      </c>
      <c r="V10" s="54">
        <f t="shared" si="9"/>
        <v>1253.3333333333333</v>
      </c>
      <c r="W10" s="243">
        <f>Maning!L10</f>
        <v>5.5555555555555552E-2</v>
      </c>
      <c r="X10" s="54">
        <f t="shared" si="10"/>
        <v>940</v>
      </c>
      <c r="Y10" s="243">
        <f>Maning!M10</f>
        <v>7.407407407407407E-2</v>
      </c>
      <c r="Z10" s="54">
        <f t="shared" si="11"/>
        <v>1253.3333333333333</v>
      </c>
      <c r="AA10" s="243">
        <f>Maning!N10</f>
        <v>7.407407407407407E-2</v>
      </c>
      <c r="AB10" s="54">
        <f t="shared" si="12"/>
        <v>1253.3333333333333</v>
      </c>
      <c r="AC10" s="243">
        <f>Maning!O10</f>
        <v>0.18518518518518517</v>
      </c>
      <c r="AD10" s="54">
        <f t="shared" si="13"/>
        <v>3133.333333333333</v>
      </c>
      <c r="AE10" s="243">
        <f>Maning!P10</f>
        <v>1.8518518518518517E-2</v>
      </c>
      <c r="AF10" s="54">
        <f t="shared" si="14"/>
        <v>313.33333333333331</v>
      </c>
      <c r="AG10" s="243">
        <f>Maning!Q10</f>
        <v>0.1111111111111111</v>
      </c>
      <c r="AH10" s="54">
        <f t="shared" si="15"/>
        <v>1880</v>
      </c>
      <c r="AI10" s="243">
        <f>Maning!R10</f>
        <v>1.8518518518518517E-2</v>
      </c>
      <c r="AJ10" s="54">
        <f t="shared" si="16"/>
        <v>313.33333333333331</v>
      </c>
      <c r="AK10" s="243">
        <f>Maning!S10</f>
        <v>0</v>
      </c>
      <c r="AL10" s="54">
        <f t="shared" si="17"/>
        <v>0</v>
      </c>
      <c r="AM10" s="83">
        <f t="shared" si="18"/>
        <v>33839.999999999993</v>
      </c>
      <c r="AN10" s="83">
        <f t="shared" si="19"/>
        <v>2707.1999999999994</v>
      </c>
      <c r="AO10" s="83">
        <f t="shared" si="20"/>
        <v>36547.19999999999</v>
      </c>
      <c r="AP10" s="83">
        <f t="shared" si="21"/>
        <v>511.66079999999988</v>
      </c>
      <c r="AQ10" s="83">
        <f t="shared" si="22"/>
        <v>37058.860799999988</v>
      </c>
      <c r="AR10" s="83">
        <f t="shared" si="23"/>
        <v>5188.2405119999985</v>
      </c>
      <c r="AS10" s="83">
        <f t="shared" si="24"/>
        <v>42247.101311999984</v>
      </c>
      <c r="AT10" s="54">
        <f t="shared" si="25"/>
        <v>21123.550655999992</v>
      </c>
    </row>
    <row r="11" spans="2:46" x14ac:dyDescent="0.35">
      <c r="B11" s="247" t="str">
        <f>'Manpower CTC'!B10</f>
        <v>Site Assistant</v>
      </c>
      <c r="C11" s="244">
        <f t="shared" si="0"/>
        <v>2.9999999999999996</v>
      </c>
      <c r="D11" s="48"/>
      <c r="E11" s="49">
        <f>'Manpower CTC'!C10</f>
        <v>22920</v>
      </c>
      <c r="F11" s="50">
        <f t="shared" si="1"/>
        <v>68759.999999999985</v>
      </c>
      <c r="H11" s="239">
        <f t="shared" si="2"/>
        <v>0</v>
      </c>
      <c r="I11" s="54">
        <f t="shared" si="3"/>
        <v>0</v>
      </c>
      <c r="K11" s="243">
        <f>Maning!F11</f>
        <v>0.64598108747044913</v>
      </c>
      <c r="L11" s="54">
        <f t="shared" si="4"/>
        <v>14805.886524822694</v>
      </c>
      <c r="M11" s="243">
        <f>Maning!G11</f>
        <v>0.32565011820330969</v>
      </c>
      <c r="N11" s="54">
        <f t="shared" si="5"/>
        <v>7463.9007092198581</v>
      </c>
      <c r="O11" s="243">
        <f>Maning!H11</f>
        <v>0.34278959810874704</v>
      </c>
      <c r="P11" s="54">
        <f t="shared" si="6"/>
        <v>7856.7375886524824</v>
      </c>
      <c r="Q11" s="243">
        <f>Maning!I11</f>
        <v>0.6300236406619385</v>
      </c>
      <c r="R11" s="54">
        <f t="shared" si="7"/>
        <v>14440.141843971631</v>
      </c>
      <c r="S11" s="243">
        <f>Maning!J11</f>
        <v>0.1388888888888889</v>
      </c>
      <c r="T11" s="54">
        <f t="shared" si="8"/>
        <v>3183.3333333333335</v>
      </c>
      <c r="U11" s="243">
        <f>Maning!K11</f>
        <v>0.1111111111111111</v>
      </c>
      <c r="V11" s="54">
        <f t="shared" si="9"/>
        <v>2546.6666666666665</v>
      </c>
      <c r="W11" s="243">
        <f>Maning!L11</f>
        <v>8.3333333333333329E-2</v>
      </c>
      <c r="X11" s="54">
        <f t="shared" si="10"/>
        <v>1910</v>
      </c>
      <c r="Y11" s="243">
        <f>Maning!M11</f>
        <v>0.1111111111111111</v>
      </c>
      <c r="Z11" s="54">
        <f t="shared" si="11"/>
        <v>2546.6666666666665</v>
      </c>
      <c r="AA11" s="243">
        <f>Maning!N11</f>
        <v>0.1111111111111111</v>
      </c>
      <c r="AB11" s="54">
        <f t="shared" si="12"/>
        <v>2546.6666666666665</v>
      </c>
      <c r="AC11" s="243">
        <f>Maning!O11</f>
        <v>0.27777777777777779</v>
      </c>
      <c r="AD11" s="54">
        <f t="shared" si="13"/>
        <v>6366.666666666667</v>
      </c>
      <c r="AE11" s="243">
        <f>Maning!P11</f>
        <v>2.7777777777777776E-2</v>
      </c>
      <c r="AF11" s="54">
        <f t="shared" si="14"/>
        <v>636.66666666666663</v>
      </c>
      <c r="AG11" s="243">
        <f>Maning!Q11</f>
        <v>0.16666666666666666</v>
      </c>
      <c r="AH11" s="54">
        <f t="shared" si="15"/>
        <v>3820</v>
      </c>
      <c r="AI11" s="243">
        <f>Maning!R11</f>
        <v>2.7777777777777776E-2</v>
      </c>
      <c r="AJ11" s="54">
        <f t="shared" si="16"/>
        <v>636.66666666666663</v>
      </c>
      <c r="AK11" s="243">
        <f>Maning!S11</f>
        <v>0</v>
      </c>
      <c r="AL11" s="54">
        <f t="shared" si="17"/>
        <v>0</v>
      </c>
      <c r="AM11" s="83">
        <f t="shared" si="18"/>
        <v>68759.999999999985</v>
      </c>
      <c r="AN11" s="83">
        <f t="shared" si="19"/>
        <v>5500.7999999999993</v>
      </c>
      <c r="AO11" s="83">
        <f t="shared" si="20"/>
        <v>74260.799999999988</v>
      </c>
      <c r="AP11" s="83">
        <f t="shared" si="21"/>
        <v>1039.6511999999998</v>
      </c>
      <c r="AQ11" s="83">
        <f t="shared" si="22"/>
        <v>75300.451199999981</v>
      </c>
      <c r="AR11" s="83">
        <f t="shared" si="23"/>
        <v>10542.063167999999</v>
      </c>
      <c r="AS11" s="83">
        <f t="shared" si="24"/>
        <v>85842.514367999975</v>
      </c>
      <c r="AT11" s="54">
        <f t="shared" si="25"/>
        <v>28614.171455999996</v>
      </c>
    </row>
    <row r="12" spans="2:46" x14ac:dyDescent="0.35">
      <c r="B12" s="247" t="str">
        <f>'Manpower CTC'!B11</f>
        <v>Site Manager</v>
      </c>
      <c r="C12" s="244">
        <f t="shared" si="0"/>
        <v>1</v>
      </c>
      <c r="D12" s="48"/>
      <c r="E12" s="49">
        <f>'Manpower CTC'!C11</f>
        <v>52170</v>
      </c>
      <c r="F12" s="50">
        <f t="shared" si="1"/>
        <v>52170</v>
      </c>
      <c r="H12" s="239">
        <f t="shared" si="2"/>
        <v>0</v>
      </c>
      <c r="I12" s="54">
        <f t="shared" si="3"/>
        <v>0</v>
      </c>
      <c r="K12" s="243">
        <f>Maning!F12</f>
        <v>0.21532702915681637</v>
      </c>
      <c r="L12" s="54">
        <f t="shared" si="4"/>
        <v>11233.611111111109</v>
      </c>
      <c r="M12" s="243">
        <f>Maning!G12</f>
        <v>0.10855003940110323</v>
      </c>
      <c r="N12" s="54">
        <f t="shared" si="5"/>
        <v>5663.0555555555557</v>
      </c>
      <c r="O12" s="243">
        <f>Maning!H12</f>
        <v>0.11426319936958235</v>
      </c>
      <c r="P12" s="54">
        <f t="shared" si="6"/>
        <v>5961.1111111111113</v>
      </c>
      <c r="Q12" s="243">
        <f>Maning!I12</f>
        <v>0.21000788022064618</v>
      </c>
      <c r="R12" s="54">
        <f t="shared" si="7"/>
        <v>10956.111111111111</v>
      </c>
      <c r="S12" s="243">
        <f>Maning!J12</f>
        <v>4.6296296296296294E-2</v>
      </c>
      <c r="T12" s="54">
        <f t="shared" si="8"/>
        <v>2415.2777777777778</v>
      </c>
      <c r="U12" s="243">
        <f>Maning!K12</f>
        <v>3.7037037037037035E-2</v>
      </c>
      <c r="V12" s="54">
        <f t="shared" si="9"/>
        <v>1932.2222222222222</v>
      </c>
      <c r="W12" s="243">
        <f>Maning!L12</f>
        <v>2.7777777777777776E-2</v>
      </c>
      <c r="X12" s="54">
        <f t="shared" si="10"/>
        <v>1449.1666666666665</v>
      </c>
      <c r="Y12" s="243">
        <f>Maning!M12</f>
        <v>3.7037037037037035E-2</v>
      </c>
      <c r="Z12" s="54">
        <f t="shared" si="11"/>
        <v>1932.2222222222222</v>
      </c>
      <c r="AA12" s="243">
        <f>Maning!N12</f>
        <v>3.7037037037037035E-2</v>
      </c>
      <c r="AB12" s="54">
        <f t="shared" si="12"/>
        <v>1932.2222222222222</v>
      </c>
      <c r="AC12" s="243">
        <f>Maning!O12</f>
        <v>9.2592592592592587E-2</v>
      </c>
      <c r="AD12" s="54">
        <f t="shared" si="13"/>
        <v>4830.5555555555557</v>
      </c>
      <c r="AE12" s="243">
        <f>Maning!P12</f>
        <v>9.2592592592592587E-3</v>
      </c>
      <c r="AF12" s="54">
        <f t="shared" si="14"/>
        <v>483.05555555555554</v>
      </c>
      <c r="AG12" s="243">
        <f>Maning!Q12</f>
        <v>5.5555555555555552E-2</v>
      </c>
      <c r="AH12" s="54">
        <f t="shared" si="15"/>
        <v>2898.333333333333</v>
      </c>
      <c r="AI12" s="243">
        <f>Maning!R12</f>
        <v>9.2592592592592587E-3</v>
      </c>
      <c r="AJ12" s="54">
        <f t="shared" si="16"/>
        <v>483.05555555555554</v>
      </c>
      <c r="AK12" s="243">
        <f>Maning!S12</f>
        <v>0</v>
      </c>
      <c r="AL12" s="54">
        <f t="shared" si="17"/>
        <v>0</v>
      </c>
      <c r="AM12" s="83">
        <f t="shared" si="18"/>
        <v>52169.999999999985</v>
      </c>
      <c r="AN12" s="83">
        <f t="shared" si="19"/>
        <v>4173.5999999999985</v>
      </c>
      <c r="AO12" s="83">
        <f t="shared" si="20"/>
        <v>56343.599999999984</v>
      </c>
      <c r="AP12" s="83">
        <f t="shared" si="21"/>
        <v>788.81039999999985</v>
      </c>
      <c r="AQ12" s="83">
        <f t="shared" si="22"/>
        <v>57132.410399999986</v>
      </c>
      <c r="AR12" s="83">
        <f t="shared" si="23"/>
        <v>7998.5374559999991</v>
      </c>
      <c r="AS12" s="83">
        <f t="shared" si="24"/>
        <v>65130.947855999984</v>
      </c>
      <c r="AT12" s="54">
        <f t="shared" si="25"/>
        <v>65130.947855999984</v>
      </c>
    </row>
    <row r="13" spans="2:46" x14ac:dyDescent="0.35">
      <c r="B13" s="247" t="str">
        <f>'Manpower CTC'!B12</f>
        <v>Sales Center Labor</v>
      </c>
      <c r="C13" s="244">
        <f>AK13</f>
        <v>30</v>
      </c>
      <c r="D13" s="48"/>
      <c r="E13" s="49">
        <f>'Manpower CTC'!C12</f>
        <v>6820</v>
      </c>
      <c r="F13" s="50">
        <f t="shared" si="1"/>
        <v>204600</v>
      </c>
      <c r="H13" s="239">
        <f t="shared" si="2"/>
        <v>0</v>
      </c>
      <c r="I13" s="54">
        <f t="shared" si="3"/>
        <v>0</v>
      </c>
      <c r="K13" s="243">
        <f>Maning!F13</f>
        <v>0</v>
      </c>
      <c r="L13" s="54">
        <f t="shared" si="4"/>
        <v>0</v>
      </c>
      <c r="M13" s="243">
        <f>Maning!G13</f>
        <v>0</v>
      </c>
      <c r="N13" s="54">
        <f t="shared" si="5"/>
        <v>0</v>
      </c>
      <c r="O13" s="243">
        <f>Maning!H13</f>
        <v>0</v>
      </c>
      <c r="P13" s="54">
        <f t="shared" si="6"/>
        <v>0</v>
      </c>
      <c r="Q13" s="243">
        <f>Maning!I13</f>
        <v>0</v>
      </c>
      <c r="R13" s="54">
        <f t="shared" si="7"/>
        <v>0</v>
      </c>
      <c r="S13" s="243">
        <f>Maning!J13</f>
        <v>0</v>
      </c>
      <c r="T13" s="54">
        <f t="shared" si="8"/>
        <v>0</v>
      </c>
      <c r="U13" s="243">
        <f>Maning!K13</f>
        <v>0</v>
      </c>
      <c r="V13" s="54">
        <f t="shared" si="9"/>
        <v>0</v>
      </c>
      <c r="W13" s="243">
        <f>Maning!L13</f>
        <v>0</v>
      </c>
      <c r="X13" s="54">
        <f t="shared" si="10"/>
        <v>0</v>
      </c>
      <c r="Y13" s="243">
        <f>Maning!M13</f>
        <v>0</v>
      </c>
      <c r="Z13" s="54">
        <f t="shared" si="11"/>
        <v>0</v>
      </c>
      <c r="AA13" s="243">
        <f>Maning!N13</f>
        <v>0</v>
      </c>
      <c r="AB13" s="54">
        <f t="shared" si="12"/>
        <v>0</v>
      </c>
      <c r="AC13" s="243">
        <f>Maning!O13</f>
        <v>0</v>
      </c>
      <c r="AD13" s="54">
        <f t="shared" si="13"/>
        <v>0</v>
      </c>
      <c r="AE13" s="243">
        <f>Maning!P13</f>
        <v>0</v>
      </c>
      <c r="AF13" s="54">
        <f t="shared" si="14"/>
        <v>0</v>
      </c>
      <c r="AG13" s="243">
        <f>Maning!Q13</f>
        <v>0</v>
      </c>
      <c r="AH13" s="54">
        <f t="shared" si="15"/>
        <v>0</v>
      </c>
      <c r="AI13" s="243">
        <f>Maning!R13</f>
        <v>0</v>
      </c>
      <c r="AJ13" s="54">
        <f t="shared" si="16"/>
        <v>0</v>
      </c>
      <c r="AK13" s="243">
        <f>Maning!S13</f>
        <v>30</v>
      </c>
      <c r="AL13" s="54">
        <f t="shared" si="17"/>
        <v>204600</v>
      </c>
      <c r="AM13" s="83">
        <f t="shared" si="18"/>
        <v>204600</v>
      </c>
      <c r="AN13" s="83">
        <f t="shared" si="19"/>
        <v>16368</v>
      </c>
      <c r="AO13" s="83">
        <f t="shared" si="20"/>
        <v>220968</v>
      </c>
      <c r="AP13" s="83">
        <f t="shared" si="21"/>
        <v>3093.5520000000001</v>
      </c>
      <c r="AQ13" s="83">
        <f t="shared" si="22"/>
        <v>224061.552</v>
      </c>
      <c r="AR13" s="83">
        <f t="shared" si="23"/>
        <v>31368.617280000002</v>
      </c>
      <c r="AS13" s="83">
        <f t="shared" si="24"/>
        <v>255430.16928</v>
      </c>
      <c r="AT13" s="54">
        <f t="shared" si="25"/>
        <v>8514.3389760000009</v>
      </c>
    </row>
    <row r="14" spans="2:46" x14ac:dyDescent="0.35">
      <c r="B14" s="247" t="str">
        <f>'Manpower CTC'!B13</f>
        <v>Sales Center supervisor</v>
      </c>
      <c r="C14" s="244">
        <f t="shared" ref="C14:C15" si="26">AK14</f>
        <v>3</v>
      </c>
      <c r="D14" s="48"/>
      <c r="E14" s="49">
        <f>'Manpower CTC'!C13</f>
        <v>11370</v>
      </c>
      <c r="F14" s="50">
        <f t="shared" si="1"/>
        <v>34110</v>
      </c>
      <c r="H14" s="239">
        <f t="shared" si="2"/>
        <v>0</v>
      </c>
      <c r="I14" s="54">
        <f t="shared" si="3"/>
        <v>0</v>
      </c>
      <c r="K14" s="243">
        <f>Maning!F14</f>
        <v>0</v>
      </c>
      <c r="L14" s="54">
        <f t="shared" si="4"/>
        <v>0</v>
      </c>
      <c r="M14" s="243">
        <f>Maning!G14</f>
        <v>0</v>
      </c>
      <c r="N14" s="54">
        <f t="shared" si="5"/>
        <v>0</v>
      </c>
      <c r="O14" s="243">
        <f>Maning!H14</f>
        <v>0</v>
      </c>
      <c r="P14" s="54">
        <f t="shared" si="6"/>
        <v>0</v>
      </c>
      <c r="Q14" s="243">
        <f>Maning!I14</f>
        <v>0</v>
      </c>
      <c r="R14" s="54">
        <f t="shared" si="7"/>
        <v>0</v>
      </c>
      <c r="S14" s="243">
        <f>Maning!J14</f>
        <v>0</v>
      </c>
      <c r="T14" s="54">
        <f t="shared" si="8"/>
        <v>0</v>
      </c>
      <c r="U14" s="243">
        <f>Maning!K14</f>
        <v>0</v>
      </c>
      <c r="V14" s="54">
        <f t="shared" si="9"/>
        <v>0</v>
      </c>
      <c r="W14" s="243">
        <f>Maning!L14</f>
        <v>0</v>
      </c>
      <c r="X14" s="54">
        <f t="shared" si="10"/>
        <v>0</v>
      </c>
      <c r="Y14" s="243">
        <f>Maning!M14</f>
        <v>0</v>
      </c>
      <c r="Z14" s="54">
        <f t="shared" si="11"/>
        <v>0</v>
      </c>
      <c r="AA14" s="243">
        <f>Maning!N14</f>
        <v>0</v>
      </c>
      <c r="AB14" s="54">
        <f t="shared" si="12"/>
        <v>0</v>
      </c>
      <c r="AC14" s="243">
        <f>Maning!O14</f>
        <v>0</v>
      </c>
      <c r="AD14" s="54">
        <f t="shared" si="13"/>
        <v>0</v>
      </c>
      <c r="AE14" s="243">
        <f>Maning!P14</f>
        <v>0</v>
      </c>
      <c r="AF14" s="54">
        <f t="shared" si="14"/>
        <v>0</v>
      </c>
      <c r="AG14" s="243">
        <f>Maning!Q14</f>
        <v>0</v>
      </c>
      <c r="AH14" s="54">
        <f t="shared" si="15"/>
        <v>0</v>
      </c>
      <c r="AI14" s="243">
        <f>Maning!R14</f>
        <v>0</v>
      </c>
      <c r="AJ14" s="54">
        <f t="shared" si="16"/>
        <v>0</v>
      </c>
      <c r="AK14" s="243">
        <f>Maning!S14</f>
        <v>3</v>
      </c>
      <c r="AL14" s="54">
        <f t="shared" si="17"/>
        <v>34110</v>
      </c>
      <c r="AM14" s="83">
        <f t="shared" si="18"/>
        <v>34110</v>
      </c>
      <c r="AN14" s="83">
        <f t="shared" si="19"/>
        <v>2728.8</v>
      </c>
      <c r="AO14" s="83">
        <f t="shared" si="20"/>
        <v>36838.800000000003</v>
      </c>
      <c r="AP14" s="83">
        <f t="shared" si="21"/>
        <v>515.7432</v>
      </c>
      <c r="AQ14" s="83">
        <f t="shared" si="22"/>
        <v>37354.5432</v>
      </c>
      <c r="AR14" s="83">
        <f t="shared" si="23"/>
        <v>5229.6360480000003</v>
      </c>
      <c r="AS14" s="83">
        <f t="shared" si="24"/>
        <v>42584.179248</v>
      </c>
      <c r="AT14" s="54">
        <f t="shared" si="25"/>
        <v>14194.726416</v>
      </c>
    </row>
    <row r="15" spans="2:46" x14ac:dyDescent="0.35">
      <c r="B15" s="263" t="str">
        <f>'Manpower CTC'!B14</f>
        <v>Sales Center Assistant Manager</v>
      </c>
      <c r="C15" s="264">
        <f t="shared" si="26"/>
        <v>1</v>
      </c>
      <c r="D15" s="51"/>
      <c r="E15" s="49">
        <f>'Manpower CTC'!C14</f>
        <v>23420</v>
      </c>
      <c r="F15" s="50">
        <f t="shared" si="1"/>
        <v>23420</v>
      </c>
      <c r="H15" s="239">
        <f t="shared" si="2"/>
        <v>0</v>
      </c>
      <c r="I15" s="54">
        <f t="shared" si="3"/>
        <v>0</v>
      </c>
      <c r="K15" s="243">
        <f>Maning!F15</f>
        <v>0</v>
      </c>
      <c r="L15" s="54">
        <f t="shared" si="4"/>
        <v>0</v>
      </c>
      <c r="M15" s="243">
        <f>Maning!G15</f>
        <v>0</v>
      </c>
      <c r="N15" s="54">
        <f t="shared" si="5"/>
        <v>0</v>
      </c>
      <c r="O15" s="243">
        <f>Maning!H15</f>
        <v>0</v>
      </c>
      <c r="P15" s="54">
        <f t="shared" si="6"/>
        <v>0</v>
      </c>
      <c r="Q15" s="243">
        <f>Maning!I15</f>
        <v>0</v>
      </c>
      <c r="R15" s="54">
        <f t="shared" si="7"/>
        <v>0</v>
      </c>
      <c r="S15" s="243">
        <f>Maning!J15</f>
        <v>0</v>
      </c>
      <c r="T15" s="54">
        <f t="shared" si="8"/>
        <v>0</v>
      </c>
      <c r="U15" s="243">
        <f>Maning!K15</f>
        <v>0</v>
      </c>
      <c r="V15" s="54">
        <f t="shared" si="9"/>
        <v>0</v>
      </c>
      <c r="W15" s="243">
        <f>Maning!L15</f>
        <v>0</v>
      </c>
      <c r="X15" s="54">
        <f t="shared" si="10"/>
        <v>0</v>
      </c>
      <c r="Y15" s="243">
        <f>Maning!M15</f>
        <v>0</v>
      </c>
      <c r="Z15" s="54">
        <f t="shared" si="11"/>
        <v>0</v>
      </c>
      <c r="AA15" s="243">
        <f>Maning!N15</f>
        <v>0</v>
      </c>
      <c r="AB15" s="54">
        <f t="shared" si="12"/>
        <v>0</v>
      </c>
      <c r="AC15" s="243">
        <f>Maning!O15</f>
        <v>0</v>
      </c>
      <c r="AD15" s="54">
        <f t="shared" si="13"/>
        <v>0</v>
      </c>
      <c r="AE15" s="243">
        <f>Maning!P15</f>
        <v>0</v>
      </c>
      <c r="AF15" s="54">
        <f t="shared" si="14"/>
        <v>0</v>
      </c>
      <c r="AG15" s="243">
        <f>Maning!Q15</f>
        <v>0</v>
      </c>
      <c r="AH15" s="54">
        <f t="shared" si="15"/>
        <v>0</v>
      </c>
      <c r="AI15" s="243">
        <f>Maning!R15</f>
        <v>0</v>
      </c>
      <c r="AJ15" s="54">
        <f t="shared" si="16"/>
        <v>0</v>
      </c>
      <c r="AK15" s="243">
        <f>Maning!S15</f>
        <v>1</v>
      </c>
      <c r="AL15" s="54">
        <f t="shared" si="17"/>
        <v>23420</v>
      </c>
      <c r="AM15" s="83">
        <f t="shared" si="18"/>
        <v>23420</v>
      </c>
      <c r="AN15" s="83">
        <f t="shared" si="19"/>
        <v>1873.6000000000001</v>
      </c>
      <c r="AO15" s="83">
        <f t="shared" si="20"/>
        <v>25293.599999999999</v>
      </c>
      <c r="AP15" s="83">
        <f t="shared" si="21"/>
        <v>354.11039999999997</v>
      </c>
      <c r="AQ15" s="83">
        <f t="shared" si="22"/>
        <v>25647.7104</v>
      </c>
      <c r="AR15" s="83">
        <f t="shared" si="23"/>
        <v>3590.6794560000003</v>
      </c>
      <c r="AS15" s="83">
        <f t="shared" si="24"/>
        <v>29238.389856000002</v>
      </c>
      <c r="AT15" s="54">
        <f t="shared" si="25"/>
        <v>29238.389856000002</v>
      </c>
    </row>
    <row r="16" spans="2:46" s="274" customFormat="1" x14ac:dyDescent="0.35">
      <c r="B16" s="270" t="s">
        <v>419</v>
      </c>
      <c r="C16" s="271">
        <f>SUM(C6:C15)</f>
        <v>162</v>
      </c>
      <c r="D16" s="272"/>
      <c r="E16" s="272"/>
      <c r="F16" s="273">
        <f>SUM(F6:F15)</f>
        <v>1251640</v>
      </c>
      <c r="H16" s="275">
        <f t="shared" si="2"/>
        <v>0</v>
      </c>
      <c r="I16" s="58">
        <f>F16-(L16+N16+P16+R16+T16+V16+X16+Z16+AB16+AD16+AF16+AH16+AJ16+AL16)</f>
        <v>0</v>
      </c>
      <c r="K16" s="276">
        <f>SUM(K6:K15)</f>
        <v>27.213947990543737</v>
      </c>
      <c r="L16" s="276">
        <f>SUM(L6:L15)</f>
        <v>209286.44799054373</v>
      </c>
      <c r="M16" s="276">
        <f t="shared" ref="M16:AS16" si="27">SUM(M6:M15)</f>
        <v>13.708037825059103</v>
      </c>
      <c r="N16" s="276">
        <f t="shared" si="27"/>
        <v>105385.5378250591</v>
      </c>
      <c r="O16" s="276">
        <f t="shared" si="27"/>
        <v>14.359338061465721</v>
      </c>
      <c r="P16" s="276">
        <f t="shared" si="27"/>
        <v>110169.33806146572</v>
      </c>
      <c r="Q16" s="276">
        <f t="shared" si="27"/>
        <v>26.607565011820334</v>
      </c>
      <c r="R16" s="276">
        <f t="shared" si="27"/>
        <v>204832.56501182032</v>
      </c>
      <c r="S16" s="276">
        <f t="shared" si="27"/>
        <v>6.2777777777777786</v>
      </c>
      <c r="T16" s="276">
        <f t="shared" si="27"/>
        <v>49635.277777777781</v>
      </c>
      <c r="U16" s="276">
        <f t="shared" si="27"/>
        <v>4.7936507936507935</v>
      </c>
      <c r="V16" s="276">
        <f t="shared" si="27"/>
        <v>37223.650793650791</v>
      </c>
      <c r="W16" s="276">
        <f t="shared" si="27"/>
        <v>3.5952380952380949</v>
      </c>
      <c r="X16" s="276">
        <f t="shared" si="27"/>
        <v>27917.738095238095</v>
      </c>
      <c r="Y16" s="276">
        <f t="shared" si="27"/>
        <v>4.7222222222222223</v>
      </c>
      <c r="Z16" s="276">
        <f t="shared" si="27"/>
        <v>36447.222222222219</v>
      </c>
      <c r="AA16" s="276">
        <f t="shared" si="27"/>
        <v>4.7222222222222223</v>
      </c>
      <c r="AB16" s="276">
        <f t="shared" si="27"/>
        <v>36447.222222222219</v>
      </c>
      <c r="AC16" s="276">
        <f t="shared" si="27"/>
        <v>12.555555555555557</v>
      </c>
      <c r="AD16" s="276">
        <f t="shared" si="27"/>
        <v>99270.555555555562</v>
      </c>
      <c r="AE16" s="276">
        <f t="shared" si="27"/>
        <v>1.1805555555555556</v>
      </c>
      <c r="AF16" s="276">
        <f t="shared" si="27"/>
        <v>9111.8055555555547</v>
      </c>
      <c r="AG16" s="276">
        <f t="shared" si="27"/>
        <v>7.083333333333333</v>
      </c>
      <c r="AH16" s="276">
        <f t="shared" si="27"/>
        <v>54670.833333333336</v>
      </c>
      <c r="AI16" s="276">
        <f t="shared" si="27"/>
        <v>1.1805555555555556</v>
      </c>
      <c r="AJ16" s="276">
        <f t="shared" si="27"/>
        <v>9111.8055555555547</v>
      </c>
      <c r="AK16" s="276">
        <f t="shared" si="27"/>
        <v>34</v>
      </c>
      <c r="AL16" s="276">
        <f t="shared" si="27"/>
        <v>262130</v>
      </c>
      <c r="AM16" s="389">
        <f t="shared" si="27"/>
        <v>1251640</v>
      </c>
      <c r="AN16" s="389">
        <f t="shared" si="27"/>
        <v>100131.2</v>
      </c>
      <c r="AO16" s="389">
        <f t="shared" si="27"/>
        <v>1351771.2000000002</v>
      </c>
      <c r="AP16" s="389">
        <f t="shared" si="27"/>
        <v>18924.796800000004</v>
      </c>
      <c r="AQ16" s="389">
        <f t="shared" si="27"/>
        <v>1370695.9967999998</v>
      </c>
      <c r="AR16" s="389">
        <f t="shared" si="27"/>
        <v>191897.439552</v>
      </c>
      <c r="AS16" s="389">
        <f t="shared" si="27"/>
        <v>1562593.4363519999</v>
      </c>
    </row>
    <row r="17" spans="2:38" x14ac:dyDescent="0.35">
      <c r="B17" s="59" t="s">
        <v>475</v>
      </c>
      <c r="E17" s="352">
        <f>'HK Budget (2)'!C14</f>
        <v>0.08</v>
      </c>
      <c r="F17" s="54">
        <f>F16*$E$17</f>
        <v>100131.2</v>
      </c>
      <c r="H17" s="275">
        <f t="shared" ref="H17:H22" si="28">C17-(K17+M17+O17+Q17+S17+U17+W17+Y17+AA17+AC17+AE17+AG17+AI17+AK17)</f>
        <v>0</v>
      </c>
      <c r="I17" s="58">
        <f>F17-(L17+N17+P17+R17+T17+V17+X17+Z17+AB17+AD17+AF17+AH17+AJ17+AL17)</f>
        <v>0</v>
      </c>
      <c r="L17" s="54">
        <f>L16*$E$17</f>
        <v>16742.915839243498</v>
      </c>
      <c r="N17" s="54">
        <f>N16*$E$17</f>
        <v>8430.843026004728</v>
      </c>
      <c r="P17" s="54">
        <f>P16*$E$17</f>
        <v>8813.5470449172572</v>
      </c>
      <c r="R17" s="54">
        <f>R16*$E$17</f>
        <v>16386.605200945625</v>
      </c>
      <c r="T17" s="54">
        <f>T16*$E$17</f>
        <v>3970.8222222222225</v>
      </c>
      <c r="V17" s="54">
        <f>V16*$E$17</f>
        <v>2977.8920634920632</v>
      </c>
      <c r="X17" s="54">
        <f>X16*$E$17</f>
        <v>2233.4190476190479</v>
      </c>
      <c r="Z17" s="54">
        <f>Z16*$E$17</f>
        <v>2915.7777777777774</v>
      </c>
      <c r="AB17" s="54">
        <f>AB16*$E$17</f>
        <v>2915.7777777777774</v>
      </c>
      <c r="AD17" s="54">
        <f>AD16*$E$17</f>
        <v>7941.6444444444451</v>
      </c>
      <c r="AF17" s="54">
        <f>AF16*$E$17</f>
        <v>728.94444444444434</v>
      </c>
      <c r="AH17" s="54">
        <f>AH16*$E$17</f>
        <v>4373.666666666667</v>
      </c>
      <c r="AJ17" s="54">
        <f>AJ16*$E$17</f>
        <v>728.94444444444434</v>
      </c>
      <c r="AL17" s="54">
        <f>AL16*$E$17</f>
        <v>20970.400000000001</v>
      </c>
    </row>
    <row r="18" spans="2:38" x14ac:dyDescent="0.35">
      <c r="B18" s="65" t="s">
        <v>240</v>
      </c>
      <c r="E18" s="352"/>
      <c r="F18" s="54">
        <f>F16+F17</f>
        <v>1351771.2</v>
      </c>
      <c r="H18" s="275">
        <f t="shared" ref="H18" si="29">C18-(K18+M18+O18+Q18+S18+U18+W18+Y18+AA18+AC18+AE18+AG18+AI18+AK18)</f>
        <v>0</v>
      </c>
      <c r="I18" s="58">
        <f>F18-(L18+N18+P18+R18+T18+V18+X18+Z18+AB18+AD18+AF18+AH18+AJ18+AL18)</f>
        <v>0</v>
      </c>
      <c r="L18" s="54">
        <f>L16+L17</f>
        <v>226029.36382978724</v>
      </c>
      <c r="N18" s="54">
        <f>N16+N17</f>
        <v>113816.38085106383</v>
      </c>
      <c r="P18" s="54">
        <f>P16+P17</f>
        <v>118982.88510638298</v>
      </c>
      <c r="R18" s="54">
        <f>R16+R17</f>
        <v>221219.17021276595</v>
      </c>
      <c r="T18" s="54">
        <f>T16+T17</f>
        <v>53606.100000000006</v>
      </c>
      <c r="V18" s="54">
        <f>V16+V17</f>
        <v>40201.542857142857</v>
      </c>
      <c r="X18" s="54">
        <f>X16+X17</f>
        <v>30151.157142857144</v>
      </c>
      <c r="Z18" s="54">
        <f>Z16+Z17</f>
        <v>39363</v>
      </c>
      <c r="AB18" s="54">
        <f>AB16+AB17</f>
        <v>39363</v>
      </c>
      <c r="AD18" s="54">
        <f>AD16+AD17</f>
        <v>107212.20000000001</v>
      </c>
      <c r="AF18" s="54">
        <f>AF16+AF17</f>
        <v>9840.75</v>
      </c>
      <c r="AH18" s="54">
        <f>AH16+AH17</f>
        <v>59044.5</v>
      </c>
      <c r="AJ18" s="54">
        <f>AJ16+AJ17</f>
        <v>9840.75</v>
      </c>
      <c r="AL18" s="54">
        <f>AL16+AL17</f>
        <v>283100.40000000002</v>
      </c>
    </row>
    <row r="19" spans="2:38" x14ac:dyDescent="0.35">
      <c r="B19" s="494" t="s">
        <v>474</v>
      </c>
      <c r="E19" s="352">
        <f>'HK Budget (2)'!C16</f>
        <v>1.4E-2</v>
      </c>
      <c r="F19" s="54">
        <f>F18*$E$19</f>
        <v>18924.7968</v>
      </c>
      <c r="H19" s="275">
        <f t="shared" si="28"/>
        <v>0</v>
      </c>
      <c r="I19" s="58">
        <f t="shared" ref="I19:I22" si="30">F19-(L19+N19+P19+R19+T19+V19+X19+Z19+AB19+AD19+AF19+AH19+AJ19+AL19)</f>
        <v>0</v>
      </c>
      <c r="L19" s="54">
        <f>L18*$E$19</f>
        <v>3164.4110936170214</v>
      </c>
      <c r="N19" s="54">
        <f>N18*$E$19</f>
        <v>1593.4293319148937</v>
      </c>
      <c r="P19" s="54">
        <f>P18*$E$19</f>
        <v>1665.7603914893618</v>
      </c>
      <c r="R19" s="54">
        <f>R18*$E$19</f>
        <v>3097.0683829787235</v>
      </c>
      <c r="T19" s="54">
        <f>T18*$E$19</f>
        <v>750.48540000000014</v>
      </c>
      <c r="V19" s="54">
        <f>V18*$E$19</f>
        <v>562.82159999999999</v>
      </c>
      <c r="X19" s="54">
        <f>X18*$E$19</f>
        <v>422.11620000000005</v>
      </c>
      <c r="Z19" s="54">
        <f>Z18*$E$19</f>
        <v>551.08199999999999</v>
      </c>
      <c r="AB19" s="54">
        <f>AB18*$E$19</f>
        <v>551.08199999999999</v>
      </c>
      <c r="AD19" s="54">
        <f>AD18*$E$19</f>
        <v>1500.9708000000003</v>
      </c>
      <c r="AF19" s="54">
        <f>AF18*$E$19</f>
        <v>137.7705</v>
      </c>
      <c r="AH19" s="54">
        <f>AH18*$E$19</f>
        <v>826.62300000000005</v>
      </c>
      <c r="AJ19" s="54">
        <f>AJ18*$E$19</f>
        <v>137.7705</v>
      </c>
      <c r="AL19" s="54">
        <f>AL18*$E$19</f>
        <v>3963.4056000000005</v>
      </c>
    </row>
    <row r="20" spans="2:38" x14ac:dyDescent="0.35">
      <c r="B20" s="70" t="s">
        <v>449</v>
      </c>
      <c r="E20" s="352"/>
      <c r="F20" s="54">
        <f>F18+F19</f>
        <v>1370695.9967999998</v>
      </c>
      <c r="H20" s="275">
        <f t="shared" si="28"/>
        <v>0</v>
      </c>
      <c r="I20" s="58">
        <f t="shared" si="30"/>
        <v>0</v>
      </c>
      <c r="L20" s="54">
        <f>L18+L19</f>
        <v>229193.77492340427</v>
      </c>
      <c r="N20" s="54">
        <f>N18+N19</f>
        <v>115409.81018297873</v>
      </c>
      <c r="P20" s="54">
        <f>P18+P19</f>
        <v>120648.64549787233</v>
      </c>
      <c r="R20" s="54">
        <f>R18+R19</f>
        <v>224316.23859574468</v>
      </c>
      <c r="T20" s="54">
        <f>T18+T19</f>
        <v>54356.585400000004</v>
      </c>
      <c r="V20" s="54">
        <f>V18+V19</f>
        <v>40764.364457142859</v>
      </c>
      <c r="X20" s="54">
        <f>X18+X19</f>
        <v>30573.273342857145</v>
      </c>
      <c r="Z20" s="54">
        <f>Z18+Z19</f>
        <v>39914.082000000002</v>
      </c>
      <c r="AB20" s="54">
        <f>AB18+AB19</f>
        <v>39914.082000000002</v>
      </c>
      <c r="AD20" s="54">
        <f>AD18+AD19</f>
        <v>108713.17080000001</v>
      </c>
      <c r="AF20" s="54">
        <f>AF18+AF19</f>
        <v>9978.5205000000005</v>
      </c>
      <c r="AH20" s="54">
        <f>AH18+AH19</f>
        <v>59871.123</v>
      </c>
      <c r="AJ20" s="54">
        <f>AJ18+AJ19</f>
        <v>9978.5205000000005</v>
      </c>
      <c r="AL20" s="54">
        <f>AL18+AL19</f>
        <v>287063.80560000002</v>
      </c>
    </row>
    <row r="21" spans="2:38" x14ac:dyDescent="0.35">
      <c r="B21" s="355" t="s">
        <v>463</v>
      </c>
      <c r="E21" s="352">
        <v>0.14000000000000001</v>
      </c>
      <c r="F21" s="54">
        <f>F20*$E$21</f>
        <v>191897.439552</v>
      </c>
      <c r="H21" s="275">
        <f t="shared" si="28"/>
        <v>0</v>
      </c>
      <c r="I21" s="58">
        <f t="shared" si="30"/>
        <v>0</v>
      </c>
      <c r="L21" s="54">
        <f>L20*$E$21</f>
        <v>32087.128489276602</v>
      </c>
      <c r="N21" s="54">
        <f>N20*$E$21</f>
        <v>16157.373425617025</v>
      </c>
      <c r="P21" s="54">
        <f>P20*$E$21</f>
        <v>16890.810369702129</v>
      </c>
      <c r="R21" s="54">
        <f>R20*$E$21</f>
        <v>31404.273403404259</v>
      </c>
      <c r="T21" s="54">
        <f>T20*$E$21</f>
        <v>7609.921956000001</v>
      </c>
      <c r="V21" s="54">
        <f>V20*$E$21</f>
        <v>5707.0110240000013</v>
      </c>
      <c r="X21" s="54">
        <f>X20*$E$21</f>
        <v>4280.2582680000005</v>
      </c>
      <c r="Z21" s="54">
        <f>Z20*$E$21</f>
        <v>5587.9714800000011</v>
      </c>
      <c r="AB21" s="54">
        <f>AB20*$E$21</f>
        <v>5587.9714800000011</v>
      </c>
      <c r="AD21" s="54">
        <f>AD20*$E$21</f>
        <v>15219.843912000002</v>
      </c>
      <c r="AF21" s="54">
        <f>AF20*$E$21</f>
        <v>1396.9928700000003</v>
      </c>
      <c r="AH21" s="54">
        <f>AH20*$E$21</f>
        <v>8381.9572200000002</v>
      </c>
      <c r="AJ21" s="54">
        <f>AJ20*$E$21</f>
        <v>1396.9928700000003</v>
      </c>
      <c r="AL21" s="54">
        <f>AL20*$E$21</f>
        <v>40188.932784000004</v>
      </c>
    </row>
    <row r="22" spans="2:38" x14ac:dyDescent="0.35">
      <c r="B22" s="355" t="s">
        <v>464</v>
      </c>
      <c r="F22" s="54">
        <f>F20+F21</f>
        <v>1562593.4363519999</v>
      </c>
      <c r="H22" s="275">
        <f t="shared" si="28"/>
        <v>0</v>
      </c>
      <c r="I22" s="58">
        <f t="shared" si="30"/>
        <v>0</v>
      </c>
      <c r="L22" s="54">
        <f>L20+L21</f>
        <v>261280.90341268087</v>
      </c>
      <c r="N22" s="54">
        <f>N20+N21</f>
        <v>131567.18360859575</v>
      </c>
      <c r="P22" s="54">
        <f>P20+P21</f>
        <v>137539.45586757446</v>
      </c>
      <c r="R22" s="54">
        <f>R20+R21</f>
        <v>255720.51199914893</v>
      </c>
      <c r="T22" s="54">
        <f>T20+T21</f>
        <v>61966.507356000002</v>
      </c>
      <c r="V22" s="54">
        <f>V20+V21</f>
        <v>46471.375481142859</v>
      </c>
      <c r="X22" s="54">
        <f>X20+X21</f>
        <v>34853.531610857142</v>
      </c>
      <c r="Z22" s="54">
        <f>Z20+Z21</f>
        <v>45502.053480000002</v>
      </c>
      <c r="AB22" s="54">
        <f>AB20+AB21</f>
        <v>45502.053480000002</v>
      </c>
      <c r="AD22" s="54">
        <f>AD20+AD21</f>
        <v>123933.014712</v>
      </c>
      <c r="AF22" s="54">
        <f>AF20+AF21</f>
        <v>11375.513370000001</v>
      </c>
      <c r="AH22" s="54">
        <f>AH20+AH21</f>
        <v>68253.080220000003</v>
      </c>
      <c r="AJ22" s="54">
        <f>AJ20+AJ21</f>
        <v>11375.513370000001</v>
      </c>
      <c r="AL22" s="54">
        <f>AL20+AL21</f>
        <v>327252.73838400003</v>
      </c>
    </row>
    <row r="24" spans="2:38" x14ac:dyDescent="0.35">
      <c r="F24" s="54">
        <f>'Transportation Cost'!G20</f>
        <v>460673.17920000001</v>
      </c>
    </row>
    <row r="25" spans="2:38" x14ac:dyDescent="0.35">
      <c r="F25" s="54">
        <f>'Mobilization &amp; Over Head Cost'!G20</f>
        <v>43001.712000000007</v>
      </c>
    </row>
    <row r="26" spans="2:38" x14ac:dyDescent="0.35">
      <c r="F26" s="54">
        <f>'Others Cost '!G18</f>
        <v>46816.38</v>
      </c>
    </row>
    <row r="27" spans="2:38" x14ac:dyDescent="0.35">
      <c r="F27" s="54">
        <f>F22+F24+F25+F26</f>
        <v>2113084.7075519999</v>
      </c>
    </row>
  </sheetData>
  <mergeCells count="14">
    <mergeCell ref="AI4:AJ4"/>
    <mergeCell ref="AK4:AL4"/>
    <mergeCell ref="W4:X4"/>
    <mergeCell ref="Y4:Z4"/>
    <mergeCell ref="AA4:AB4"/>
    <mergeCell ref="AC4:AD4"/>
    <mergeCell ref="AE4:AF4"/>
    <mergeCell ref="AG4:AH4"/>
    <mergeCell ref="U4:V4"/>
    <mergeCell ref="K4:L4"/>
    <mergeCell ref="M4:N4"/>
    <mergeCell ref="O4:P4"/>
    <mergeCell ref="Q4:R4"/>
    <mergeCell ref="S4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1831-264F-4C83-A995-B20401765C06}">
  <dimension ref="A3:AU79"/>
  <sheetViews>
    <sheetView zoomScaleNormal="100" workbookViewId="0">
      <pane xSplit="2" ySplit="4" topLeftCell="C62" activePane="bottomRight" state="frozen"/>
      <selection pane="topRight" activeCell="C1" sqref="C1"/>
      <selection pane="bottomLeft" activeCell="A5" sqref="A5"/>
      <selection pane="bottomRight" activeCell="L65" sqref="L65"/>
    </sheetView>
  </sheetViews>
  <sheetFormatPr defaultColWidth="8.90625" defaultRowHeight="14.5" x14ac:dyDescent="0.35"/>
  <cols>
    <col min="1" max="1" width="5.36328125" style="17" customWidth="1"/>
    <col min="2" max="2" width="39.08984375" style="85" customWidth="1"/>
    <col min="3" max="3" width="6.54296875" style="17" bestFit="1" customWidth="1"/>
    <col min="4" max="4" width="8" style="17" customWidth="1"/>
    <col min="5" max="5" width="11.08984375" style="17" bestFit="1" customWidth="1"/>
    <col min="6" max="6" width="12.90625" style="17" customWidth="1"/>
    <col min="7" max="7" width="16.1796875" style="17" customWidth="1"/>
    <col min="8" max="8" width="4.6328125" style="17" customWidth="1"/>
    <col min="9" max="10" width="4.54296875" style="17" bestFit="1" customWidth="1"/>
    <col min="11" max="11" width="0.90625" style="17" customWidth="1"/>
    <col min="12" max="12" width="12" style="17" bestFit="1" customWidth="1"/>
    <col min="13" max="13" width="11.90625" style="17" bestFit="1" customWidth="1"/>
    <col min="14" max="14" width="12" style="17" bestFit="1" customWidth="1"/>
    <col min="15" max="15" width="11.90625" style="17" bestFit="1" customWidth="1"/>
    <col min="16" max="16" width="12" style="17" bestFit="1" customWidth="1"/>
    <col min="17" max="17" width="11.90625" style="17" bestFit="1" customWidth="1"/>
    <col min="18" max="18" width="12" style="17" bestFit="1" customWidth="1"/>
    <col min="19" max="19" width="11.90625" style="17" bestFit="1" customWidth="1"/>
    <col min="20" max="20" width="12" style="17" bestFit="1" customWidth="1"/>
    <col min="21" max="21" width="11.90625" style="17" bestFit="1" customWidth="1"/>
    <col min="22" max="22" width="12" style="17" bestFit="1" customWidth="1"/>
    <col min="23" max="23" width="11.90625" style="17" bestFit="1" customWidth="1"/>
    <col min="24" max="24" width="12" style="17" bestFit="1" customWidth="1"/>
    <col min="25" max="25" width="11.90625" style="17" bestFit="1" customWidth="1"/>
    <col min="26" max="26" width="12" style="17" bestFit="1" customWidth="1"/>
    <col min="27" max="27" width="11.90625" style="17" bestFit="1" customWidth="1"/>
    <col min="28" max="28" width="12" style="17" bestFit="1" customWidth="1"/>
    <col min="29" max="29" width="11.90625" style="17" bestFit="1" customWidth="1"/>
    <col min="30" max="30" width="12" style="17" bestFit="1" customWidth="1"/>
    <col min="31" max="31" width="11.90625" style="17" bestFit="1" customWidth="1"/>
    <col min="32" max="32" width="12" style="17" bestFit="1" customWidth="1"/>
    <col min="33" max="33" width="11.90625" style="17" bestFit="1" customWidth="1"/>
    <col min="34" max="34" width="12" style="17" bestFit="1" customWidth="1"/>
    <col min="35" max="35" width="11.90625" style="17" bestFit="1" customWidth="1"/>
    <col min="36" max="36" width="12" style="17" bestFit="1" customWidth="1"/>
    <col min="37" max="37" width="11.90625" style="17" bestFit="1" customWidth="1"/>
    <col min="38" max="38" width="10.54296875" style="17" bestFit="1" customWidth="1"/>
    <col min="39" max="39" width="11.90625" style="17" bestFit="1" customWidth="1"/>
    <col min="40" max="40" width="11.453125" style="17" bestFit="1" customWidth="1"/>
    <col min="41" max="41" width="10.453125" style="17" bestFit="1" customWidth="1"/>
    <col min="42" max="42" width="11.453125" style="17" bestFit="1" customWidth="1"/>
    <col min="43" max="43" width="10.453125" style="17" bestFit="1" customWidth="1"/>
    <col min="44" max="44" width="11.453125" style="17" bestFit="1" customWidth="1"/>
    <col min="45" max="45" width="10.453125" style="17" bestFit="1" customWidth="1"/>
    <col min="46" max="46" width="11.453125" style="17" bestFit="1" customWidth="1"/>
    <col min="47" max="47" width="10.08984375" style="17" bestFit="1" customWidth="1"/>
    <col min="48" max="16384" width="8.90625" style="17"/>
  </cols>
  <sheetData>
    <row r="3" spans="1:47" x14ac:dyDescent="0.35">
      <c r="B3" s="36"/>
      <c r="E3" s="37"/>
      <c r="F3" s="37"/>
      <c r="G3" s="37"/>
      <c r="L3" s="17">
        <v>27.213947990543737</v>
      </c>
      <c r="M3" s="17">
        <v>0</v>
      </c>
      <c r="N3" s="17">
        <v>13.708037825059103</v>
      </c>
      <c r="O3" s="17">
        <v>0</v>
      </c>
      <c r="P3" s="17">
        <v>14.359338061465721</v>
      </c>
      <c r="Q3" s="17">
        <v>0</v>
      </c>
      <c r="R3" s="17">
        <v>26.607565011820334</v>
      </c>
      <c r="S3" s="17">
        <v>0</v>
      </c>
      <c r="T3" s="17">
        <v>6.2777777777777786</v>
      </c>
      <c r="U3" s="17">
        <v>0</v>
      </c>
      <c r="V3" s="17">
        <v>4.7936507936507935</v>
      </c>
      <c r="W3" s="17">
        <v>0</v>
      </c>
      <c r="X3" s="17">
        <v>3.5952380952380949</v>
      </c>
      <c r="Y3" s="17">
        <v>0</v>
      </c>
      <c r="Z3" s="17">
        <v>4.7222222222222223</v>
      </c>
      <c r="AA3" s="17">
        <v>0</v>
      </c>
      <c r="AB3" s="17">
        <v>4.7222222222222223</v>
      </c>
      <c r="AC3" s="17">
        <v>0</v>
      </c>
      <c r="AD3" s="17">
        <v>12.555555555555557</v>
      </c>
      <c r="AE3" s="17">
        <v>0</v>
      </c>
      <c r="AF3" s="17">
        <v>1.1805555555555556</v>
      </c>
      <c r="AG3" s="17">
        <v>0</v>
      </c>
      <c r="AH3" s="17">
        <v>7.083333333333333</v>
      </c>
      <c r="AI3" s="17">
        <v>0</v>
      </c>
      <c r="AJ3" s="17">
        <v>1.1805555555555556</v>
      </c>
      <c r="AK3" s="17">
        <v>0</v>
      </c>
      <c r="AL3" s="17">
        <v>34</v>
      </c>
      <c r="AM3" s="17">
        <v>0</v>
      </c>
    </row>
    <row r="4" spans="1:47" ht="43.5" x14ac:dyDescent="0.35">
      <c r="B4" s="38" t="s">
        <v>226</v>
      </c>
      <c r="C4" s="39" t="s">
        <v>227</v>
      </c>
      <c r="D4" s="298" t="s">
        <v>441</v>
      </c>
      <c r="E4" s="40" t="s">
        <v>68</v>
      </c>
      <c r="F4" s="41" t="s">
        <v>421</v>
      </c>
      <c r="G4" s="42" t="s">
        <v>230</v>
      </c>
      <c r="L4" s="570" t="s">
        <v>145</v>
      </c>
      <c r="M4" s="571"/>
      <c r="N4" s="568" t="s">
        <v>146</v>
      </c>
      <c r="O4" s="569"/>
      <c r="P4" s="568" t="s">
        <v>147</v>
      </c>
      <c r="Q4" s="569"/>
      <c r="R4" s="568" t="s">
        <v>148</v>
      </c>
      <c r="S4" s="569"/>
      <c r="T4" s="568" t="s">
        <v>149</v>
      </c>
      <c r="U4" s="569"/>
      <c r="V4" s="568" t="s">
        <v>150</v>
      </c>
      <c r="W4" s="569"/>
      <c r="X4" s="568" t="s">
        <v>151</v>
      </c>
      <c r="Y4" s="569"/>
      <c r="Z4" s="568" t="s">
        <v>152</v>
      </c>
      <c r="AA4" s="569"/>
      <c r="AB4" s="568" t="s">
        <v>153</v>
      </c>
      <c r="AC4" s="569"/>
      <c r="AD4" s="568" t="s">
        <v>154</v>
      </c>
      <c r="AE4" s="569"/>
      <c r="AF4" s="568" t="s">
        <v>155</v>
      </c>
      <c r="AG4" s="569"/>
      <c r="AH4" s="568" t="s">
        <v>156</v>
      </c>
      <c r="AI4" s="569"/>
      <c r="AJ4" s="568" t="s">
        <v>157</v>
      </c>
      <c r="AK4" s="569"/>
      <c r="AL4" s="572" t="s">
        <v>339</v>
      </c>
      <c r="AM4" s="573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1:47" x14ac:dyDescent="0.35">
      <c r="B5" s="43"/>
      <c r="C5" s="44"/>
      <c r="D5" s="44"/>
      <c r="E5" s="45"/>
      <c r="F5" s="46"/>
      <c r="G5" s="47"/>
      <c r="L5" s="17" t="s">
        <v>183</v>
      </c>
      <c r="M5" s="17" t="s">
        <v>15</v>
      </c>
      <c r="N5" s="17" t="s">
        <v>227</v>
      </c>
      <c r="O5" s="17" t="s">
        <v>15</v>
      </c>
      <c r="P5" s="17" t="s">
        <v>227</v>
      </c>
      <c r="Q5" s="17" t="s">
        <v>15</v>
      </c>
      <c r="R5" s="17" t="s">
        <v>227</v>
      </c>
      <c r="S5" s="17" t="s">
        <v>15</v>
      </c>
      <c r="T5" s="17" t="s">
        <v>227</v>
      </c>
      <c r="U5" s="17" t="s">
        <v>15</v>
      </c>
      <c r="V5" s="17" t="s">
        <v>227</v>
      </c>
      <c r="W5" s="17" t="s">
        <v>15</v>
      </c>
      <c r="X5" s="17" t="s">
        <v>227</v>
      </c>
      <c r="Y5" s="17" t="s">
        <v>15</v>
      </c>
      <c r="Z5" s="17" t="s">
        <v>227</v>
      </c>
      <c r="AA5" s="17" t="s">
        <v>15</v>
      </c>
      <c r="AB5" s="17" t="s">
        <v>227</v>
      </c>
      <c r="AC5" s="17" t="s">
        <v>15</v>
      </c>
      <c r="AD5" s="17" t="s">
        <v>227</v>
      </c>
      <c r="AE5" s="17" t="s">
        <v>15</v>
      </c>
      <c r="AF5" s="17" t="s">
        <v>227</v>
      </c>
      <c r="AG5" s="17" t="s">
        <v>15</v>
      </c>
      <c r="AH5" s="17" t="s">
        <v>227</v>
      </c>
      <c r="AI5" s="17" t="s">
        <v>15</v>
      </c>
      <c r="AJ5" s="17" t="s">
        <v>227</v>
      </c>
      <c r="AK5" s="17" t="s">
        <v>15</v>
      </c>
      <c r="AL5" s="17" t="s">
        <v>227</v>
      </c>
      <c r="AM5" s="17" t="s">
        <v>15</v>
      </c>
    </row>
    <row r="6" spans="1:47" ht="15" thickBot="1" x14ac:dyDescent="0.4">
      <c r="A6" s="17">
        <v>5</v>
      </c>
      <c r="B6" s="436" t="s">
        <v>196</v>
      </c>
      <c r="C6" s="244">
        <f>L6+N6+P6+R6+T6+V6+X6+Z6+AB6+AD6+AF6+AH6+AJ6+AL6</f>
        <v>8</v>
      </c>
      <c r="D6" s="67">
        <v>60</v>
      </c>
      <c r="E6" s="99">
        <f>'[2]per item'!$B$5</f>
        <v>60000</v>
      </c>
      <c r="F6" s="49">
        <f>E6/D6</f>
        <v>1000</v>
      </c>
      <c r="G6" s="50">
        <f>C6*F6</f>
        <v>8000</v>
      </c>
      <c r="I6" s="330">
        <f>C6-(L6+N6+P6+R6+T6+V6+X6+Z6+AB6+AD6+AF6+AH6+AJ6+AL6)</f>
        <v>0</v>
      </c>
      <c r="J6" s="330">
        <f>G6-(M6+O6+Q6+S6+U6+W6+Y6+AA6+AC6+AE6+AG6+AI6+AK6+AM6)</f>
        <v>0</v>
      </c>
      <c r="L6" s="328">
        <f>'BOQ Zone A Equipment'!F5</f>
        <v>1</v>
      </c>
      <c r="M6" s="83">
        <f>F6*L6</f>
        <v>1000</v>
      </c>
      <c r="N6" s="245">
        <f>'BOQ Zone A Equipment'!G5</f>
        <v>1</v>
      </c>
      <c r="O6" s="83">
        <f>N6*F6</f>
        <v>1000</v>
      </c>
      <c r="P6" s="245">
        <f>'BOQ Zone A Equipment'!H5</f>
        <v>1</v>
      </c>
      <c r="Q6" s="83">
        <f>P6*F6</f>
        <v>1000</v>
      </c>
      <c r="R6" s="245">
        <f>'BOQ Zone A Equipment'!I5</f>
        <v>1</v>
      </c>
      <c r="S6" s="83">
        <f>R6*F6</f>
        <v>1000</v>
      </c>
      <c r="T6" s="245">
        <f>'BOQ Zone A Equipment'!J5</f>
        <v>0</v>
      </c>
      <c r="U6" s="83">
        <f>T6*F6</f>
        <v>0</v>
      </c>
      <c r="V6" s="245">
        <f>'BOQ Zone A Equipment'!K5</f>
        <v>0</v>
      </c>
      <c r="W6" s="83">
        <f>V6*F6</f>
        <v>0</v>
      </c>
      <c r="X6" s="245">
        <f>'BOQ Zone A Equipment'!L5</f>
        <v>0</v>
      </c>
      <c r="Y6" s="83">
        <f>X6*F6</f>
        <v>0</v>
      </c>
      <c r="Z6" s="245">
        <f>'BOQ Zone A Equipment'!M5</f>
        <v>0</v>
      </c>
      <c r="AA6" s="83">
        <f>Z6*F6</f>
        <v>0</v>
      </c>
      <c r="AB6" s="245">
        <f>'BOQ Zone A Equipment'!N5</f>
        <v>0</v>
      </c>
      <c r="AC6" s="83">
        <f>AB6*F6</f>
        <v>0</v>
      </c>
      <c r="AD6" s="245">
        <f>'BOQ Zone A Equipment'!O5</f>
        <v>1</v>
      </c>
      <c r="AE6" s="83">
        <f>AD6*F6</f>
        <v>1000</v>
      </c>
      <c r="AF6" s="245">
        <f>'BOQ Zone A Equipment'!P5</f>
        <v>0</v>
      </c>
      <c r="AG6" s="83">
        <f>AF6*F6</f>
        <v>0</v>
      </c>
      <c r="AH6" s="245">
        <f>'BOQ Zone A Equipment'!Q5</f>
        <v>0</v>
      </c>
      <c r="AI6" s="83">
        <f>AH6*F6</f>
        <v>0</v>
      </c>
      <c r="AJ6" s="245">
        <f>'BOQ Zone A Equipment'!R5</f>
        <v>0</v>
      </c>
      <c r="AK6" s="83">
        <f>AJ6*F6</f>
        <v>0</v>
      </c>
      <c r="AL6" s="245">
        <f>'BOQ Zone A Equipment'!S5</f>
        <v>3</v>
      </c>
      <c r="AM6" s="83">
        <f>AL6*F6</f>
        <v>3000</v>
      </c>
      <c r="AN6" s="83">
        <f>M6+O6+Q6+S6+U6+W6+Y6+AA6+AC6+AE6+AG6+AI6+AK6+AM6</f>
        <v>8000</v>
      </c>
      <c r="AO6" s="83">
        <f>AN6*$F$53</f>
        <v>640</v>
      </c>
      <c r="AP6" s="83">
        <f>AN6+AO6</f>
        <v>8640</v>
      </c>
      <c r="AQ6" s="83">
        <f>AP6*$F$55</f>
        <v>120.96000000000001</v>
      </c>
      <c r="AR6" s="83">
        <f>AP6+AQ6</f>
        <v>8760.9599999999991</v>
      </c>
      <c r="AS6" s="83">
        <f>AR6*$F$57</f>
        <v>1226.5344</v>
      </c>
      <c r="AT6" s="83">
        <f>AR6+AS6</f>
        <v>9987.4943999999996</v>
      </c>
      <c r="AU6" s="83">
        <f>ROUNDUP(AT6/C6,0)</f>
        <v>1249</v>
      </c>
    </row>
    <row r="7" spans="1:47" ht="15" thickBot="1" x14ac:dyDescent="0.4">
      <c r="B7" s="207" t="s">
        <v>51</v>
      </c>
      <c r="C7" s="244">
        <f t="shared" ref="C7:C51" si="0">L7+N7+P7+R7+T7+V7+X7+Z7+AB7+AD7+AF7+AH7+AJ7+AL7</f>
        <v>0</v>
      </c>
      <c r="D7" s="67">
        <v>60</v>
      </c>
      <c r="E7" s="99">
        <f>'[2]Unit rates'!$D$24</f>
        <v>200000</v>
      </c>
      <c r="F7" s="49">
        <f t="shared" ref="F7:F51" si="1">E7/D7</f>
        <v>3333.3333333333335</v>
      </c>
      <c r="G7" s="50">
        <f t="shared" ref="G7:G51" si="2">C7*F7</f>
        <v>0</v>
      </c>
      <c r="I7" s="330">
        <f t="shared" ref="I7:I50" si="3">C7-(L7+N7+P7+R7+T7+V7+X7+Z7+AB7+AD7+AF7+AH7+AJ7+AL7)</f>
        <v>0</v>
      </c>
      <c r="J7" s="330">
        <f t="shared" ref="J7:J51" si="4">G7-(M7+O7+Q7+S7+U7+W7+Y7+AA7+AC7+AE7+AG7+AI7+AK7+AM7)</f>
        <v>0</v>
      </c>
      <c r="L7" s="328">
        <f>'BOQ Zone A Equipment'!F6</f>
        <v>0</v>
      </c>
      <c r="M7" s="83">
        <f t="shared" ref="M7:M51" si="5">F7*L7</f>
        <v>0</v>
      </c>
      <c r="N7" s="245">
        <f>'BOQ Zone A Equipment'!G6</f>
        <v>0</v>
      </c>
      <c r="O7" s="83">
        <f t="shared" ref="O7:O45" si="6">N7*F7</f>
        <v>0</v>
      </c>
      <c r="P7" s="245">
        <f>'BOQ Zone A Equipment'!H6</f>
        <v>0</v>
      </c>
      <c r="Q7" s="83">
        <f t="shared" ref="Q7:Q45" si="7">P7*F7</f>
        <v>0</v>
      </c>
      <c r="R7" s="245">
        <f>'BOQ Zone A Equipment'!I6</f>
        <v>0</v>
      </c>
      <c r="S7" s="83">
        <f t="shared" ref="S7:S45" si="8">R7*F7</f>
        <v>0</v>
      </c>
      <c r="T7" s="245">
        <f>'BOQ Zone A Equipment'!J6</f>
        <v>0</v>
      </c>
      <c r="U7" s="83">
        <f t="shared" ref="U7:U45" si="9">T7*F7</f>
        <v>0</v>
      </c>
      <c r="V7" s="245">
        <f>'BOQ Zone A Equipment'!K6</f>
        <v>0</v>
      </c>
      <c r="W7" s="83">
        <f t="shared" ref="W7:W45" si="10">V7*F7</f>
        <v>0</v>
      </c>
      <c r="X7" s="245">
        <f>'BOQ Zone A Equipment'!L6</f>
        <v>0</v>
      </c>
      <c r="Y7" s="83">
        <f t="shared" ref="Y7:Y45" si="11">X7*F7</f>
        <v>0</v>
      </c>
      <c r="Z7" s="245">
        <f>'BOQ Zone A Equipment'!M6</f>
        <v>0</v>
      </c>
      <c r="AA7" s="83">
        <f t="shared" ref="AA7:AA45" si="12">Z7*F7</f>
        <v>0</v>
      </c>
      <c r="AB7" s="245">
        <f>'BOQ Zone A Equipment'!N6</f>
        <v>0</v>
      </c>
      <c r="AC7" s="83">
        <f t="shared" ref="AC7:AC45" si="13">AB7*F7</f>
        <v>0</v>
      </c>
      <c r="AD7" s="245">
        <f>'BOQ Zone A Equipment'!O6</f>
        <v>0</v>
      </c>
      <c r="AE7" s="83">
        <f t="shared" ref="AE7:AE45" si="14">AD7*F7</f>
        <v>0</v>
      </c>
      <c r="AF7" s="245">
        <f>'BOQ Zone A Equipment'!P6</f>
        <v>0</v>
      </c>
      <c r="AG7" s="83">
        <f t="shared" ref="AG7:AG45" si="15">AF7*F7</f>
        <v>0</v>
      </c>
      <c r="AH7" s="245">
        <f>'BOQ Zone A Equipment'!Q6</f>
        <v>0</v>
      </c>
      <c r="AI7" s="83">
        <f t="shared" ref="AI7:AI45" si="16">AH7*F7</f>
        <v>0</v>
      </c>
      <c r="AJ7" s="245">
        <f>'BOQ Zone A Equipment'!R6</f>
        <v>0</v>
      </c>
      <c r="AK7" s="83">
        <f t="shared" ref="AK7:AK45" si="17">AJ7*F7</f>
        <v>0</v>
      </c>
      <c r="AL7" s="245">
        <f>'BOQ Zone A Equipment'!S6</f>
        <v>0</v>
      </c>
      <c r="AM7" s="83">
        <f t="shared" ref="AM7:AM45" si="18">AL7*F7</f>
        <v>0</v>
      </c>
      <c r="AN7" s="83">
        <f t="shared" ref="AN7:AN51" si="19">M7+O7+Q7+S7+U7+W7+Y7+AA7+AC7+AE7+AG7+AI7+AK7+AM7</f>
        <v>0</v>
      </c>
      <c r="AO7" s="83">
        <f t="shared" ref="AO7:AO51" si="20">AN7*$F$53</f>
        <v>0</v>
      </c>
      <c r="AP7" s="83">
        <f t="shared" ref="AP7:AP51" si="21">AN7+AO7</f>
        <v>0</v>
      </c>
      <c r="AQ7" s="83">
        <f t="shared" ref="AQ7:AQ51" si="22">AP7*$F$55</f>
        <v>0</v>
      </c>
      <c r="AR7" s="83">
        <f t="shared" ref="AR7:AR51" si="23">AP7+AQ7</f>
        <v>0</v>
      </c>
      <c r="AS7" s="83">
        <f t="shared" ref="AS7:AS51" si="24">AR7*$F$57</f>
        <v>0</v>
      </c>
      <c r="AT7" s="83">
        <f t="shared" ref="AT7:AT51" si="25">AR7+AS7</f>
        <v>0</v>
      </c>
      <c r="AU7" s="83" t="e">
        <f t="shared" ref="AU7:AU51" si="26">ROUNDUP(AT7/C7,0)</f>
        <v>#DIV/0!</v>
      </c>
    </row>
    <row r="8" spans="1:47" ht="15" thickBot="1" x14ac:dyDescent="0.4">
      <c r="A8" s="17">
        <v>6</v>
      </c>
      <c r="B8" s="436" t="s">
        <v>197</v>
      </c>
      <c r="C8" s="244">
        <f t="shared" si="0"/>
        <v>8</v>
      </c>
      <c r="D8" s="67">
        <v>60</v>
      </c>
      <c r="E8" s="99">
        <f>'[2]per item'!$B$6</f>
        <v>35000</v>
      </c>
      <c r="F8" s="49">
        <f t="shared" si="1"/>
        <v>583.33333333333337</v>
      </c>
      <c r="G8" s="50">
        <f t="shared" si="2"/>
        <v>4666.666666666667</v>
      </c>
      <c r="I8" s="330">
        <f t="shared" si="3"/>
        <v>0</v>
      </c>
      <c r="J8" s="330">
        <f t="shared" si="4"/>
        <v>0</v>
      </c>
      <c r="L8" s="328">
        <f>'BOQ Zone A Equipment'!F7</f>
        <v>1</v>
      </c>
      <c r="M8" s="83">
        <f t="shared" si="5"/>
        <v>583.33333333333337</v>
      </c>
      <c r="N8" s="245">
        <f>'BOQ Zone A Equipment'!G7</f>
        <v>1</v>
      </c>
      <c r="O8" s="83">
        <f t="shared" si="6"/>
        <v>583.33333333333337</v>
      </c>
      <c r="P8" s="245">
        <f>'BOQ Zone A Equipment'!H7</f>
        <v>1</v>
      </c>
      <c r="Q8" s="83">
        <f t="shared" si="7"/>
        <v>583.33333333333337</v>
      </c>
      <c r="R8" s="245">
        <f>'BOQ Zone A Equipment'!I7</f>
        <v>1</v>
      </c>
      <c r="S8" s="83">
        <f t="shared" si="8"/>
        <v>583.33333333333337</v>
      </c>
      <c r="T8" s="245">
        <f>'BOQ Zone A Equipment'!J7</f>
        <v>1</v>
      </c>
      <c r="U8" s="83">
        <f t="shared" si="9"/>
        <v>583.33333333333337</v>
      </c>
      <c r="V8" s="245">
        <f>'BOQ Zone A Equipment'!K7</f>
        <v>0</v>
      </c>
      <c r="W8" s="83">
        <f t="shared" si="10"/>
        <v>0</v>
      </c>
      <c r="X8" s="245">
        <f>'BOQ Zone A Equipment'!L7</f>
        <v>0</v>
      </c>
      <c r="Y8" s="83">
        <f t="shared" si="11"/>
        <v>0</v>
      </c>
      <c r="Z8" s="245">
        <f>'BOQ Zone A Equipment'!M7</f>
        <v>0</v>
      </c>
      <c r="AA8" s="83">
        <f t="shared" si="12"/>
        <v>0</v>
      </c>
      <c r="AB8" s="245">
        <f>'BOQ Zone A Equipment'!N7</f>
        <v>0</v>
      </c>
      <c r="AC8" s="83">
        <f t="shared" si="13"/>
        <v>0</v>
      </c>
      <c r="AD8" s="245">
        <f>'BOQ Zone A Equipment'!O7</f>
        <v>1</v>
      </c>
      <c r="AE8" s="83">
        <f t="shared" si="14"/>
        <v>583.33333333333337</v>
      </c>
      <c r="AF8" s="245">
        <f>'BOQ Zone A Equipment'!P7</f>
        <v>0</v>
      </c>
      <c r="AG8" s="83">
        <f t="shared" si="15"/>
        <v>0</v>
      </c>
      <c r="AH8" s="245">
        <f>'BOQ Zone A Equipment'!Q7</f>
        <v>0</v>
      </c>
      <c r="AI8" s="83">
        <f t="shared" si="16"/>
        <v>0</v>
      </c>
      <c r="AJ8" s="245">
        <f>'BOQ Zone A Equipment'!R7</f>
        <v>0</v>
      </c>
      <c r="AK8" s="83">
        <f t="shared" si="17"/>
        <v>0</v>
      </c>
      <c r="AL8" s="245">
        <f>'BOQ Zone A Equipment'!S7</f>
        <v>2</v>
      </c>
      <c r="AM8" s="83">
        <f t="shared" si="18"/>
        <v>1166.6666666666667</v>
      </c>
      <c r="AN8" s="83">
        <f t="shared" si="19"/>
        <v>4666.666666666667</v>
      </c>
      <c r="AO8" s="83">
        <f t="shared" si="20"/>
        <v>373.33333333333337</v>
      </c>
      <c r="AP8" s="83">
        <f t="shared" si="21"/>
        <v>5040</v>
      </c>
      <c r="AQ8" s="83">
        <f t="shared" si="22"/>
        <v>70.56</v>
      </c>
      <c r="AR8" s="83">
        <f t="shared" si="23"/>
        <v>5110.5600000000004</v>
      </c>
      <c r="AS8" s="83">
        <f t="shared" si="24"/>
        <v>715.47840000000008</v>
      </c>
      <c r="AT8" s="83">
        <f t="shared" si="25"/>
        <v>5826.0384000000004</v>
      </c>
      <c r="AU8" s="83">
        <f t="shared" si="26"/>
        <v>729</v>
      </c>
    </row>
    <row r="9" spans="1:47" s="331" customFormat="1" ht="15" thickBot="1" x14ac:dyDescent="0.4">
      <c r="B9" s="437" t="s">
        <v>318</v>
      </c>
      <c r="C9" s="244">
        <f t="shared" si="0"/>
        <v>1</v>
      </c>
      <c r="D9" s="67">
        <v>60</v>
      </c>
      <c r="E9" s="99">
        <v>75000</v>
      </c>
      <c r="F9" s="49">
        <f t="shared" si="1"/>
        <v>1250</v>
      </c>
      <c r="G9" s="50">
        <f t="shared" si="2"/>
        <v>1250</v>
      </c>
      <c r="I9" s="330">
        <f t="shared" si="3"/>
        <v>0</v>
      </c>
      <c r="J9" s="330">
        <f t="shared" si="4"/>
        <v>0</v>
      </c>
      <c r="L9" s="328">
        <f>'BOQ Zone A Equipment'!F8</f>
        <v>0</v>
      </c>
      <c r="M9" s="83">
        <f t="shared" si="5"/>
        <v>0</v>
      </c>
      <c r="N9" s="245">
        <f>'BOQ Zone A Equipment'!G8</f>
        <v>0</v>
      </c>
      <c r="O9" s="83">
        <f t="shared" si="6"/>
        <v>0</v>
      </c>
      <c r="P9" s="245">
        <f>'BOQ Zone A Equipment'!H8</f>
        <v>0</v>
      </c>
      <c r="Q9" s="83">
        <f t="shared" si="7"/>
        <v>0</v>
      </c>
      <c r="R9" s="245">
        <f>'BOQ Zone A Equipment'!I8</f>
        <v>0</v>
      </c>
      <c r="S9" s="83">
        <f t="shared" si="8"/>
        <v>0</v>
      </c>
      <c r="T9" s="245">
        <f>'BOQ Zone A Equipment'!J8</f>
        <v>0</v>
      </c>
      <c r="U9" s="83">
        <f t="shared" si="9"/>
        <v>0</v>
      </c>
      <c r="V9" s="245">
        <f>'BOQ Zone A Equipment'!K8</f>
        <v>0</v>
      </c>
      <c r="W9" s="83">
        <f t="shared" si="10"/>
        <v>0</v>
      </c>
      <c r="X9" s="245">
        <f>'BOQ Zone A Equipment'!L8</f>
        <v>0</v>
      </c>
      <c r="Y9" s="83">
        <f t="shared" si="11"/>
        <v>0</v>
      </c>
      <c r="Z9" s="245">
        <f>'BOQ Zone A Equipment'!M8</f>
        <v>0</v>
      </c>
      <c r="AA9" s="83">
        <f t="shared" si="12"/>
        <v>0</v>
      </c>
      <c r="AB9" s="245">
        <f>'BOQ Zone A Equipment'!N8</f>
        <v>0</v>
      </c>
      <c r="AC9" s="83">
        <f t="shared" si="13"/>
        <v>0</v>
      </c>
      <c r="AD9" s="245">
        <f>'BOQ Zone A Equipment'!O8</f>
        <v>0</v>
      </c>
      <c r="AE9" s="83">
        <f t="shared" si="14"/>
        <v>0</v>
      </c>
      <c r="AF9" s="245">
        <f>'BOQ Zone A Equipment'!P8</f>
        <v>0</v>
      </c>
      <c r="AG9" s="83">
        <f t="shared" si="15"/>
        <v>0</v>
      </c>
      <c r="AH9" s="245">
        <f>'BOQ Zone A Equipment'!Q8</f>
        <v>0</v>
      </c>
      <c r="AI9" s="83">
        <f t="shared" si="16"/>
        <v>0</v>
      </c>
      <c r="AJ9" s="245">
        <f>'BOQ Zone A Equipment'!R8</f>
        <v>0</v>
      </c>
      <c r="AK9" s="83">
        <f t="shared" si="17"/>
        <v>0</v>
      </c>
      <c r="AL9" s="245">
        <f>'BOQ Zone A Equipment'!S8</f>
        <v>1</v>
      </c>
      <c r="AM9" s="83">
        <f t="shared" si="18"/>
        <v>1250</v>
      </c>
      <c r="AN9" s="83">
        <f t="shared" si="19"/>
        <v>1250</v>
      </c>
      <c r="AO9" s="83">
        <f t="shared" si="20"/>
        <v>100</v>
      </c>
      <c r="AP9" s="83">
        <f t="shared" si="21"/>
        <v>1350</v>
      </c>
      <c r="AQ9" s="83">
        <f t="shared" si="22"/>
        <v>18.900000000000002</v>
      </c>
      <c r="AR9" s="83">
        <f t="shared" si="23"/>
        <v>1368.9</v>
      </c>
      <c r="AS9" s="83">
        <f t="shared" si="24"/>
        <v>191.64600000000004</v>
      </c>
      <c r="AT9" s="83">
        <f t="shared" si="25"/>
        <v>1560.546</v>
      </c>
      <c r="AU9" s="83">
        <f t="shared" si="26"/>
        <v>1561</v>
      </c>
    </row>
    <row r="10" spans="1:47" ht="15" thickBot="1" x14ac:dyDescent="0.4">
      <c r="B10" s="437" t="s">
        <v>319</v>
      </c>
      <c r="C10" s="244">
        <f t="shared" si="0"/>
        <v>28</v>
      </c>
      <c r="D10" s="67">
        <v>36</v>
      </c>
      <c r="E10" s="99">
        <f>'[2]per item'!$B$16</f>
        <v>8000</v>
      </c>
      <c r="F10" s="49">
        <f t="shared" si="1"/>
        <v>222.22222222222223</v>
      </c>
      <c r="G10" s="50">
        <f t="shared" si="2"/>
        <v>6222.2222222222226</v>
      </c>
      <c r="I10" s="330">
        <f t="shared" si="3"/>
        <v>0</v>
      </c>
      <c r="J10" s="330">
        <f t="shared" si="4"/>
        <v>0</v>
      </c>
      <c r="L10" s="328">
        <f>'BOQ Zone A Equipment'!F9</f>
        <v>10</v>
      </c>
      <c r="M10" s="83">
        <f t="shared" si="5"/>
        <v>2222.2222222222222</v>
      </c>
      <c r="N10" s="245">
        <f>'BOQ Zone A Equipment'!G9</f>
        <v>4</v>
      </c>
      <c r="O10" s="83">
        <f t="shared" si="6"/>
        <v>888.88888888888891</v>
      </c>
      <c r="P10" s="245">
        <f>'BOQ Zone A Equipment'!H9</f>
        <v>4</v>
      </c>
      <c r="Q10" s="83">
        <f t="shared" si="7"/>
        <v>888.88888888888891</v>
      </c>
      <c r="R10" s="245">
        <f>'BOQ Zone A Equipment'!I9</f>
        <v>7</v>
      </c>
      <c r="S10" s="83">
        <f t="shared" si="8"/>
        <v>1555.5555555555557</v>
      </c>
      <c r="T10" s="245">
        <f>'BOQ Zone A Equipment'!J9</f>
        <v>0</v>
      </c>
      <c r="U10" s="83">
        <f t="shared" si="9"/>
        <v>0</v>
      </c>
      <c r="V10" s="245">
        <f>'BOQ Zone A Equipment'!K9</f>
        <v>0</v>
      </c>
      <c r="W10" s="83">
        <f t="shared" si="10"/>
        <v>0</v>
      </c>
      <c r="X10" s="245">
        <f>'BOQ Zone A Equipment'!L9</f>
        <v>0</v>
      </c>
      <c r="Y10" s="83">
        <f t="shared" si="11"/>
        <v>0</v>
      </c>
      <c r="Z10" s="245">
        <f>'BOQ Zone A Equipment'!M9</f>
        <v>0</v>
      </c>
      <c r="AA10" s="83">
        <f t="shared" si="12"/>
        <v>0</v>
      </c>
      <c r="AB10" s="245">
        <f>'BOQ Zone A Equipment'!N9</f>
        <v>0</v>
      </c>
      <c r="AC10" s="83">
        <f t="shared" si="13"/>
        <v>0</v>
      </c>
      <c r="AD10" s="245">
        <f>'BOQ Zone A Equipment'!O9</f>
        <v>0</v>
      </c>
      <c r="AE10" s="83">
        <f t="shared" si="14"/>
        <v>0</v>
      </c>
      <c r="AF10" s="245">
        <f>'BOQ Zone A Equipment'!P9</f>
        <v>0</v>
      </c>
      <c r="AG10" s="83">
        <f t="shared" si="15"/>
        <v>0</v>
      </c>
      <c r="AH10" s="245">
        <f>'BOQ Zone A Equipment'!Q9</f>
        <v>0</v>
      </c>
      <c r="AI10" s="83">
        <f t="shared" si="16"/>
        <v>0</v>
      </c>
      <c r="AJ10" s="245">
        <f>'BOQ Zone A Equipment'!R9</f>
        <v>0</v>
      </c>
      <c r="AK10" s="83">
        <f t="shared" si="17"/>
        <v>0</v>
      </c>
      <c r="AL10" s="245">
        <f>'BOQ Zone A Equipment'!S9</f>
        <v>3</v>
      </c>
      <c r="AM10" s="83">
        <f t="shared" si="18"/>
        <v>666.66666666666674</v>
      </c>
      <c r="AN10" s="83">
        <f t="shared" si="19"/>
        <v>6222.2222222222226</v>
      </c>
      <c r="AO10" s="83">
        <f t="shared" si="20"/>
        <v>497.77777777777783</v>
      </c>
      <c r="AP10" s="83">
        <f t="shared" si="21"/>
        <v>6720</v>
      </c>
      <c r="AQ10" s="83">
        <f t="shared" si="22"/>
        <v>94.08</v>
      </c>
      <c r="AR10" s="83">
        <f t="shared" si="23"/>
        <v>6814.08</v>
      </c>
      <c r="AS10" s="83">
        <f t="shared" si="24"/>
        <v>953.97120000000007</v>
      </c>
      <c r="AT10" s="83">
        <f t="shared" si="25"/>
        <v>7768.0511999999999</v>
      </c>
      <c r="AU10" s="83">
        <f t="shared" si="26"/>
        <v>278</v>
      </c>
    </row>
    <row r="11" spans="1:47" ht="15" thickBot="1" x14ac:dyDescent="0.4">
      <c r="A11" s="17">
        <v>10</v>
      </c>
      <c r="B11" s="437" t="s">
        <v>198</v>
      </c>
      <c r="C11" s="244">
        <f t="shared" si="0"/>
        <v>12</v>
      </c>
      <c r="D11" s="67">
        <v>60</v>
      </c>
      <c r="E11" s="99">
        <f>'[2]per item'!$B$7</f>
        <v>45000</v>
      </c>
      <c r="F11" s="49">
        <f t="shared" si="1"/>
        <v>750</v>
      </c>
      <c r="G11" s="50">
        <f t="shared" si="2"/>
        <v>9000</v>
      </c>
      <c r="I11" s="330">
        <f t="shared" si="3"/>
        <v>0</v>
      </c>
      <c r="J11" s="330">
        <f t="shared" si="4"/>
        <v>0</v>
      </c>
      <c r="L11" s="328">
        <f>'BOQ Zone A Equipment'!F10</f>
        <v>1</v>
      </c>
      <c r="M11" s="83">
        <f t="shared" si="5"/>
        <v>750</v>
      </c>
      <c r="N11" s="245">
        <f>'BOQ Zone A Equipment'!G10</f>
        <v>1</v>
      </c>
      <c r="O11" s="83">
        <f t="shared" si="6"/>
        <v>750</v>
      </c>
      <c r="P11" s="245">
        <f>'BOQ Zone A Equipment'!H10</f>
        <v>1</v>
      </c>
      <c r="Q11" s="83">
        <f t="shared" si="7"/>
        <v>750</v>
      </c>
      <c r="R11" s="245">
        <f>'BOQ Zone A Equipment'!I10</f>
        <v>1</v>
      </c>
      <c r="S11" s="83">
        <f t="shared" si="8"/>
        <v>750</v>
      </c>
      <c r="T11" s="245">
        <f>'BOQ Zone A Equipment'!J10</f>
        <v>1</v>
      </c>
      <c r="U11" s="83">
        <f t="shared" si="9"/>
        <v>750</v>
      </c>
      <c r="V11" s="245">
        <f>'BOQ Zone A Equipment'!K10</f>
        <v>1</v>
      </c>
      <c r="W11" s="83">
        <f t="shared" si="10"/>
        <v>750</v>
      </c>
      <c r="X11" s="245">
        <f>'BOQ Zone A Equipment'!L10</f>
        <v>1</v>
      </c>
      <c r="Y11" s="83">
        <f t="shared" si="11"/>
        <v>750</v>
      </c>
      <c r="Z11" s="245">
        <f>'BOQ Zone A Equipment'!M10</f>
        <v>1</v>
      </c>
      <c r="AA11" s="83">
        <f t="shared" si="12"/>
        <v>750</v>
      </c>
      <c r="AB11" s="245">
        <f>'BOQ Zone A Equipment'!N10</f>
        <v>0</v>
      </c>
      <c r="AC11" s="83">
        <f t="shared" si="13"/>
        <v>0</v>
      </c>
      <c r="AD11" s="245">
        <f>'BOQ Zone A Equipment'!O10</f>
        <v>1</v>
      </c>
      <c r="AE11" s="83">
        <f t="shared" si="14"/>
        <v>750</v>
      </c>
      <c r="AF11" s="245">
        <f>'BOQ Zone A Equipment'!P10</f>
        <v>1</v>
      </c>
      <c r="AG11" s="83">
        <f t="shared" si="15"/>
        <v>750</v>
      </c>
      <c r="AH11" s="245">
        <f>'BOQ Zone A Equipment'!Q10</f>
        <v>0</v>
      </c>
      <c r="AI11" s="83">
        <f t="shared" si="16"/>
        <v>0</v>
      </c>
      <c r="AJ11" s="245">
        <f>'BOQ Zone A Equipment'!R10</f>
        <v>0</v>
      </c>
      <c r="AK11" s="83">
        <f t="shared" si="17"/>
        <v>0</v>
      </c>
      <c r="AL11" s="245">
        <f>'BOQ Zone A Equipment'!S10</f>
        <v>2</v>
      </c>
      <c r="AM11" s="83">
        <f t="shared" si="18"/>
        <v>1500</v>
      </c>
      <c r="AN11" s="83">
        <f t="shared" si="19"/>
        <v>9000</v>
      </c>
      <c r="AO11" s="83">
        <f t="shared" si="20"/>
        <v>720</v>
      </c>
      <c r="AP11" s="83">
        <f t="shared" si="21"/>
        <v>9720</v>
      </c>
      <c r="AQ11" s="83">
        <f t="shared" si="22"/>
        <v>136.08000000000001</v>
      </c>
      <c r="AR11" s="83">
        <f t="shared" si="23"/>
        <v>9856.08</v>
      </c>
      <c r="AS11" s="83">
        <f t="shared" si="24"/>
        <v>1379.8512000000001</v>
      </c>
      <c r="AT11" s="83">
        <f t="shared" si="25"/>
        <v>11235.931199999999</v>
      </c>
      <c r="AU11" s="83">
        <f t="shared" si="26"/>
        <v>937</v>
      </c>
    </row>
    <row r="12" spans="1:47" ht="15" thickBot="1" x14ac:dyDescent="0.4">
      <c r="A12" s="331">
        <v>12</v>
      </c>
      <c r="B12" s="437" t="s">
        <v>199</v>
      </c>
      <c r="C12" s="244">
        <f t="shared" si="0"/>
        <v>17</v>
      </c>
      <c r="D12" s="67">
        <v>36</v>
      </c>
      <c r="E12" s="99">
        <f>'[2]per item'!$B$8</f>
        <v>11150</v>
      </c>
      <c r="F12" s="49">
        <f t="shared" si="1"/>
        <v>309.72222222222223</v>
      </c>
      <c r="G12" s="50">
        <f t="shared" si="2"/>
        <v>5265.2777777777783</v>
      </c>
      <c r="I12" s="330">
        <f t="shared" si="3"/>
        <v>0</v>
      </c>
      <c r="J12" s="330">
        <f t="shared" si="4"/>
        <v>0</v>
      </c>
      <c r="L12" s="328">
        <f>'BOQ Zone A Equipment'!F11</f>
        <v>2</v>
      </c>
      <c r="M12" s="83">
        <f t="shared" si="5"/>
        <v>619.44444444444446</v>
      </c>
      <c r="N12" s="245">
        <f>'BOQ Zone A Equipment'!G11</f>
        <v>1</v>
      </c>
      <c r="O12" s="83">
        <f t="shared" si="6"/>
        <v>309.72222222222223</v>
      </c>
      <c r="P12" s="245">
        <f>'BOQ Zone A Equipment'!H11</f>
        <v>2</v>
      </c>
      <c r="Q12" s="83">
        <f t="shared" si="7"/>
        <v>619.44444444444446</v>
      </c>
      <c r="R12" s="245">
        <f>'BOQ Zone A Equipment'!I11</f>
        <v>2</v>
      </c>
      <c r="S12" s="83">
        <f t="shared" si="8"/>
        <v>619.44444444444446</v>
      </c>
      <c r="T12" s="245">
        <f>'BOQ Zone A Equipment'!J11</f>
        <v>1</v>
      </c>
      <c r="U12" s="83">
        <f t="shared" si="9"/>
        <v>309.72222222222223</v>
      </c>
      <c r="V12" s="245">
        <f>'BOQ Zone A Equipment'!K11</f>
        <v>1</v>
      </c>
      <c r="W12" s="83">
        <f t="shared" si="10"/>
        <v>309.72222222222223</v>
      </c>
      <c r="X12" s="245">
        <f>'BOQ Zone A Equipment'!L11</f>
        <v>1</v>
      </c>
      <c r="Y12" s="83">
        <f t="shared" si="11"/>
        <v>309.72222222222223</v>
      </c>
      <c r="Z12" s="245">
        <f>'BOQ Zone A Equipment'!M11</f>
        <v>1</v>
      </c>
      <c r="AA12" s="83">
        <f t="shared" si="12"/>
        <v>309.72222222222223</v>
      </c>
      <c r="AB12" s="245">
        <f>'BOQ Zone A Equipment'!N11</f>
        <v>1</v>
      </c>
      <c r="AC12" s="83">
        <f t="shared" si="13"/>
        <v>309.72222222222223</v>
      </c>
      <c r="AD12" s="245">
        <f>'BOQ Zone A Equipment'!O11</f>
        <v>1</v>
      </c>
      <c r="AE12" s="83">
        <f t="shared" si="14"/>
        <v>309.72222222222223</v>
      </c>
      <c r="AF12" s="245">
        <f>'BOQ Zone A Equipment'!P11</f>
        <v>1</v>
      </c>
      <c r="AG12" s="83">
        <f t="shared" si="15"/>
        <v>309.72222222222223</v>
      </c>
      <c r="AH12" s="245">
        <f>'BOQ Zone A Equipment'!Q11</f>
        <v>0</v>
      </c>
      <c r="AI12" s="83">
        <f t="shared" si="16"/>
        <v>0</v>
      </c>
      <c r="AJ12" s="245">
        <f>'BOQ Zone A Equipment'!R11</f>
        <v>0</v>
      </c>
      <c r="AK12" s="83">
        <f t="shared" si="17"/>
        <v>0</v>
      </c>
      <c r="AL12" s="245">
        <f>'BOQ Zone A Equipment'!S11</f>
        <v>3</v>
      </c>
      <c r="AM12" s="83">
        <f t="shared" si="18"/>
        <v>929.16666666666674</v>
      </c>
      <c r="AN12" s="83">
        <f t="shared" si="19"/>
        <v>5265.2777777777783</v>
      </c>
      <c r="AO12" s="83">
        <f t="shared" si="20"/>
        <v>421.22222222222229</v>
      </c>
      <c r="AP12" s="83">
        <f t="shared" si="21"/>
        <v>5686.5000000000009</v>
      </c>
      <c r="AQ12" s="83">
        <f t="shared" si="22"/>
        <v>79.611000000000018</v>
      </c>
      <c r="AR12" s="83">
        <f t="shared" si="23"/>
        <v>5766.1110000000008</v>
      </c>
      <c r="AS12" s="83">
        <f t="shared" si="24"/>
        <v>807.25554000000022</v>
      </c>
      <c r="AT12" s="83">
        <f t="shared" si="25"/>
        <v>6573.3665400000009</v>
      </c>
      <c r="AU12" s="83">
        <f t="shared" si="26"/>
        <v>387</v>
      </c>
    </row>
    <row r="13" spans="1:47" ht="15" thickBot="1" x14ac:dyDescent="0.4">
      <c r="A13" s="17">
        <v>23</v>
      </c>
      <c r="B13" s="437" t="s">
        <v>52</v>
      </c>
      <c r="C13" s="244">
        <f t="shared" si="0"/>
        <v>33</v>
      </c>
      <c r="D13" s="67">
        <v>6</v>
      </c>
      <c r="E13" s="99">
        <f>'[2]per item'!$B$9</f>
        <v>450</v>
      </c>
      <c r="F13" s="49">
        <f t="shared" si="1"/>
        <v>75</v>
      </c>
      <c r="G13" s="50">
        <f t="shared" si="2"/>
        <v>2475</v>
      </c>
      <c r="I13" s="330">
        <f t="shared" si="3"/>
        <v>0</v>
      </c>
      <c r="J13" s="330">
        <f t="shared" si="4"/>
        <v>0</v>
      </c>
      <c r="L13" s="328">
        <f>'BOQ Zone A Equipment'!F12</f>
        <v>2</v>
      </c>
      <c r="M13" s="83">
        <f t="shared" si="5"/>
        <v>150</v>
      </c>
      <c r="N13" s="245">
        <f>'BOQ Zone A Equipment'!G12</f>
        <v>2</v>
      </c>
      <c r="O13" s="83">
        <f t="shared" si="6"/>
        <v>150</v>
      </c>
      <c r="P13" s="245">
        <f>'BOQ Zone A Equipment'!H12</f>
        <v>2</v>
      </c>
      <c r="Q13" s="83">
        <f t="shared" si="7"/>
        <v>150</v>
      </c>
      <c r="R13" s="245">
        <f>'BOQ Zone A Equipment'!I12</f>
        <v>2</v>
      </c>
      <c r="S13" s="83">
        <f t="shared" si="8"/>
        <v>150</v>
      </c>
      <c r="T13" s="245">
        <f>'BOQ Zone A Equipment'!J12</f>
        <v>2</v>
      </c>
      <c r="U13" s="83">
        <f t="shared" si="9"/>
        <v>150</v>
      </c>
      <c r="V13" s="245">
        <f>'BOQ Zone A Equipment'!K12</f>
        <v>2</v>
      </c>
      <c r="W13" s="83">
        <f t="shared" si="10"/>
        <v>150</v>
      </c>
      <c r="X13" s="245">
        <f>'BOQ Zone A Equipment'!L12</f>
        <v>2</v>
      </c>
      <c r="Y13" s="83">
        <f t="shared" si="11"/>
        <v>150</v>
      </c>
      <c r="Z13" s="245">
        <f>'BOQ Zone A Equipment'!M12</f>
        <v>2</v>
      </c>
      <c r="AA13" s="83">
        <f t="shared" si="12"/>
        <v>150</v>
      </c>
      <c r="AB13" s="245">
        <f>'BOQ Zone A Equipment'!N12</f>
        <v>2</v>
      </c>
      <c r="AC13" s="83">
        <f t="shared" si="13"/>
        <v>150</v>
      </c>
      <c r="AD13" s="245">
        <f>'BOQ Zone A Equipment'!O12</f>
        <v>4</v>
      </c>
      <c r="AE13" s="83">
        <f t="shared" si="14"/>
        <v>300</v>
      </c>
      <c r="AF13" s="245">
        <f>'BOQ Zone A Equipment'!P12</f>
        <v>1</v>
      </c>
      <c r="AG13" s="83">
        <f t="shared" si="15"/>
        <v>75</v>
      </c>
      <c r="AH13" s="245">
        <f>'BOQ Zone A Equipment'!Q12</f>
        <v>0</v>
      </c>
      <c r="AI13" s="83">
        <f t="shared" si="16"/>
        <v>0</v>
      </c>
      <c r="AJ13" s="245">
        <f>'BOQ Zone A Equipment'!R12</f>
        <v>0</v>
      </c>
      <c r="AK13" s="83">
        <f t="shared" si="17"/>
        <v>0</v>
      </c>
      <c r="AL13" s="245">
        <f>'BOQ Zone A Equipment'!S12</f>
        <v>10</v>
      </c>
      <c r="AM13" s="83">
        <f t="shared" si="18"/>
        <v>750</v>
      </c>
      <c r="AN13" s="83">
        <f t="shared" si="19"/>
        <v>2475</v>
      </c>
      <c r="AO13" s="83">
        <f t="shared" si="20"/>
        <v>198</v>
      </c>
      <c r="AP13" s="83">
        <f t="shared" si="21"/>
        <v>2673</v>
      </c>
      <c r="AQ13" s="83">
        <f t="shared" si="22"/>
        <v>37.422000000000004</v>
      </c>
      <c r="AR13" s="83">
        <f t="shared" si="23"/>
        <v>2710.422</v>
      </c>
      <c r="AS13" s="83">
        <f t="shared" si="24"/>
        <v>379.45908000000003</v>
      </c>
      <c r="AT13" s="83">
        <f t="shared" si="25"/>
        <v>3089.8810800000001</v>
      </c>
      <c r="AU13" s="83">
        <f t="shared" si="26"/>
        <v>94</v>
      </c>
    </row>
    <row r="14" spans="1:47" ht="15" thickBot="1" x14ac:dyDescent="0.4">
      <c r="A14" s="17">
        <v>12</v>
      </c>
      <c r="B14" s="437" t="s">
        <v>53</v>
      </c>
      <c r="C14" s="244">
        <f t="shared" si="0"/>
        <v>15</v>
      </c>
      <c r="D14" s="67">
        <v>6</v>
      </c>
      <c r="E14" s="99">
        <f>'[2]per item'!$B$10</f>
        <v>500</v>
      </c>
      <c r="F14" s="49">
        <f t="shared" si="1"/>
        <v>83.333333333333329</v>
      </c>
      <c r="G14" s="50">
        <f t="shared" si="2"/>
        <v>1250</v>
      </c>
      <c r="I14" s="330">
        <f t="shared" si="3"/>
        <v>0</v>
      </c>
      <c r="J14" s="330">
        <f t="shared" si="4"/>
        <v>0</v>
      </c>
      <c r="L14" s="328">
        <f>'BOQ Zone A Equipment'!F13</f>
        <v>2</v>
      </c>
      <c r="M14" s="83">
        <f t="shared" si="5"/>
        <v>166.66666666666666</v>
      </c>
      <c r="N14" s="245">
        <f>'BOQ Zone A Equipment'!G13</f>
        <v>1</v>
      </c>
      <c r="O14" s="83">
        <f t="shared" si="6"/>
        <v>83.333333333333329</v>
      </c>
      <c r="P14" s="245">
        <f>'BOQ Zone A Equipment'!H13</f>
        <v>1</v>
      </c>
      <c r="Q14" s="83">
        <f t="shared" si="7"/>
        <v>83.333333333333329</v>
      </c>
      <c r="R14" s="245">
        <f>'BOQ Zone A Equipment'!I13</f>
        <v>1</v>
      </c>
      <c r="S14" s="83">
        <f t="shared" si="8"/>
        <v>83.333333333333329</v>
      </c>
      <c r="T14" s="245">
        <f>'BOQ Zone A Equipment'!J13</f>
        <v>1</v>
      </c>
      <c r="U14" s="83">
        <f t="shared" si="9"/>
        <v>83.333333333333329</v>
      </c>
      <c r="V14" s="245">
        <f>'BOQ Zone A Equipment'!K13</f>
        <v>1</v>
      </c>
      <c r="W14" s="83">
        <f t="shared" si="10"/>
        <v>83.333333333333329</v>
      </c>
      <c r="X14" s="245">
        <f>'BOQ Zone A Equipment'!L13</f>
        <v>1</v>
      </c>
      <c r="Y14" s="83">
        <f t="shared" si="11"/>
        <v>83.333333333333329</v>
      </c>
      <c r="Z14" s="245">
        <f>'BOQ Zone A Equipment'!M13</f>
        <v>1</v>
      </c>
      <c r="AA14" s="83">
        <f t="shared" si="12"/>
        <v>83.333333333333329</v>
      </c>
      <c r="AB14" s="245">
        <f>'BOQ Zone A Equipment'!N13</f>
        <v>1</v>
      </c>
      <c r="AC14" s="83">
        <f t="shared" si="13"/>
        <v>83.333333333333329</v>
      </c>
      <c r="AD14" s="245">
        <f>'BOQ Zone A Equipment'!O13</f>
        <v>1</v>
      </c>
      <c r="AE14" s="83">
        <f t="shared" si="14"/>
        <v>83.333333333333329</v>
      </c>
      <c r="AF14" s="245">
        <f>'BOQ Zone A Equipment'!P13</f>
        <v>1</v>
      </c>
      <c r="AG14" s="83">
        <f t="shared" si="15"/>
        <v>83.333333333333329</v>
      </c>
      <c r="AH14" s="245">
        <f>'BOQ Zone A Equipment'!Q13</f>
        <v>0</v>
      </c>
      <c r="AI14" s="83">
        <f t="shared" si="16"/>
        <v>0</v>
      </c>
      <c r="AJ14" s="245">
        <f>'BOQ Zone A Equipment'!R13</f>
        <v>0</v>
      </c>
      <c r="AK14" s="83">
        <f t="shared" si="17"/>
        <v>0</v>
      </c>
      <c r="AL14" s="245">
        <f>'BOQ Zone A Equipment'!S13</f>
        <v>3</v>
      </c>
      <c r="AM14" s="83">
        <f t="shared" si="18"/>
        <v>250</v>
      </c>
      <c r="AN14" s="83">
        <f t="shared" si="19"/>
        <v>1250</v>
      </c>
      <c r="AO14" s="83">
        <f t="shared" si="20"/>
        <v>100</v>
      </c>
      <c r="AP14" s="83">
        <f t="shared" si="21"/>
        <v>1350</v>
      </c>
      <c r="AQ14" s="83">
        <f t="shared" si="22"/>
        <v>18.900000000000002</v>
      </c>
      <c r="AR14" s="83">
        <f t="shared" si="23"/>
        <v>1368.9</v>
      </c>
      <c r="AS14" s="83">
        <f t="shared" si="24"/>
        <v>191.64600000000004</v>
      </c>
      <c r="AT14" s="83">
        <f t="shared" si="25"/>
        <v>1560.546</v>
      </c>
      <c r="AU14" s="83">
        <f t="shared" si="26"/>
        <v>105</v>
      </c>
    </row>
    <row r="15" spans="1:47" ht="15" thickBot="1" x14ac:dyDescent="0.4">
      <c r="A15" s="17">
        <v>25</v>
      </c>
      <c r="B15" s="437" t="s">
        <v>54</v>
      </c>
      <c r="C15" s="244">
        <f t="shared" si="0"/>
        <v>35</v>
      </c>
      <c r="D15" s="67">
        <v>12</v>
      </c>
      <c r="E15" s="99">
        <f>'[2]per item'!$B$11</f>
        <v>600</v>
      </c>
      <c r="F15" s="49">
        <f t="shared" si="1"/>
        <v>50</v>
      </c>
      <c r="G15" s="50">
        <f t="shared" si="2"/>
        <v>1750</v>
      </c>
      <c r="I15" s="330">
        <f t="shared" si="3"/>
        <v>0</v>
      </c>
      <c r="J15" s="330">
        <f t="shared" si="4"/>
        <v>0</v>
      </c>
      <c r="L15" s="328">
        <f>'BOQ Zone A Equipment'!F14</f>
        <v>10</v>
      </c>
      <c r="M15" s="83">
        <f t="shared" si="5"/>
        <v>500</v>
      </c>
      <c r="N15" s="245">
        <f>'BOQ Zone A Equipment'!G14</f>
        <v>6</v>
      </c>
      <c r="O15" s="83">
        <f t="shared" si="6"/>
        <v>300</v>
      </c>
      <c r="P15" s="245">
        <f>'BOQ Zone A Equipment'!H14</f>
        <v>3</v>
      </c>
      <c r="Q15" s="83">
        <f t="shared" si="7"/>
        <v>150</v>
      </c>
      <c r="R15" s="245">
        <f>'BOQ Zone A Equipment'!I14</f>
        <v>6</v>
      </c>
      <c r="S15" s="83">
        <f t="shared" si="8"/>
        <v>300</v>
      </c>
      <c r="T15" s="245">
        <f>'BOQ Zone A Equipment'!J14</f>
        <v>0</v>
      </c>
      <c r="U15" s="83">
        <f t="shared" si="9"/>
        <v>0</v>
      </c>
      <c r="V15" s="245">
        <f>'BOQ Zone A Equipment'!K14</f>
        <v>0</v>
      </c>
      <c r="W15" s="83">
        <f t="shared" si="10"/>
        <v>0</v>
      </c>
      <c r="X15" s="245">
        <f>'BOQ Zone A Equipment'!L14</f>
        <v>0</v>
      </c>
      <c r="Y15" s="83">
        <f t="shared" si="11"/>
        <v>0</v>
      </c>
      <c r="Z15" s="245">
        <f>'BOQ Zone A Equipment'!M14</f>
        <v>0</v>
      </c>
      <c r="AA15" s="83">
        <f t="shared" si="12"/>
        <v>0</v>
      </c>
      <c r="AB15" s="245">
        <f>'BOQ Zone A Equipment'!N14</f>
        <v>0</v>
      </c>
      <c r="AC15" s="83">
        <f t="shared" si="13"/>
        <v>0</v>
      </c>
      <c r="AD15" s="245">
        <f>'BOQ Zone A Equipment'!O14</f>
        <v>0</v>
      </c>
      <c r="AE15" s="83">
        <f t="shared" si="14"/>
        <v>0</v>
      </c>
      <c r="AF15" s="245">
        <f>'BOQ Zone A Equipment'!P14</f>
        <v>0</v>
      </c>
      <c r="AG15" s="83">
        <f t="shared" si="15"/>
        <v>0</v>
      </c>
      <c r="AH15" s="245">
        <f>'BOQ Zone A Equipment'!Q14</f>
        <v>0</v>
      </c>
      <c r="AI15" s="83">
        <f t="shared" si="16"/>
        <v>0</v>
      </c>
      <c r="AJ15" s="245">
        <f>'BOQ Zone A Equipment'!R14</f>
        <v>0</v>
      </c>
      <c r="AK15" s="83">
        <f t="shared" si="17"/>
        <v>0</v>
      </c>
      <c r="AL15" s="245">
        <f>'BOQ Zone A Equipment'!S14</f>
        <v>10</v>
      </c>
      <c r="AM15" s="83">
        <f t="shared" si="18"/>
        <v>500</v>
      </c>
      <c r="AN15" s="83">
        <f t="shared" si="19"/>
        <v>1750</v>
      </c>
      <c r="AO15" s="83">
        <f t="shared" si="20"/>
        <v>140</v>
      </c>
      <c r="AP15" s="83">
        <f t="shared" si="21"/>
        <v>1890</v>
      </c>
      <c r="AQ15" s="83">
        <f t="shared" si="22"/>
        <v>26.46</v>
      </c>
      <c r="AR15" s="83">
        <f t="shared" si="23"/>
        <v>1916.46</v>
      </c>
      <c r="AS15" s="83">
        <f t="shared" si="24"/>
        <v>268.30440000000004</v>
      </c>
      <c r="AT15" s="83">
        <f t="shared" si="25"/>
        <v>2184.7644</v>
      </c>
      <c r="AU15" s="83">
        <f t="shared" si="26"/>
        <v>63</v>
      </c>
    </row>
    <row r="16" spans="1:47" s="78" customFormat="1" ht="15" thickBot="1" x14ac:dyDescent="0.4">
      <c r="B16" s="437" t="s">
        <v>320</v>
      </c>
      <c r="C16" s="244">
        <f t="shared" si="0"/>
        <v>69</v>
      </c>
      <c r="D16" s="67">
        <v>12</v>
      </c>
      <c r="E16" s="99">
        <f>'[2]per item'!$B$17</f>
        <v>150</v>
      </c>
      <c r="F16" s="49">
        <f t="shared" si="1"/>
        <v>12.5</v>
      </c>
      <c r="G16" s="50">
        <f t="shared" si="2"/>
        <v>862.5</v>
      </c>
      <c r="I16" s="330">
        <f t="shared" si="3"/>
        <v>0</v>
      </c>
      <c r="J16" s="330">
        <f t="shared" si="4"/>
        <v>0</v>
      </c>
      <c r="L16" s="328">
        <f>'BOQ Zone A Equipment'!F15</f>
        <v>26</v>
      </c>
      <c r="M16" s="83">
        <f t="shared" si="5"/>
        <v>325</v>
      </c>
      <c r="N16" s="245">
        <f>'BOQ Zone A Equipment'!G15</f>
        <v>9</v>
      </c>
      <c r="O16" s="83">
        <f t="shared" si="6"/>
        <v>112.5</v>
      </c>
      <c r="P16" s="245">
        <f>'BOQ Zone A Equipment'!H15</f>
        <v>7</v>
      </c>
      <c r="Q16" s="83">
        <f t="shared" si="7"/>
        <v>87.5</v>
      </c>
      <c r="R16" s="245">
        <f>'BOQ Zone A Equipment'!I15</f>
        <v>14</v>
      </c>
      <c r="S16" s="83">
        <f t="shared" si="8"/>
        <v>175</v>
      </c>
      <c r="T16" s="245">
        <f>'BOQ Zone A Equipment'!J15</f>
        <v>0</v>
      </c>
      <c r="U16" s="83">
        <f t="shared" si="9"/>
        <v>0</v>
      </c>
      <c r="V16" s="245">
        <f>'BOQ Zone A Equipment'!K15</f>
        <v>0</v>
      </c>
      <c r="W16" s="83">
        <f t="shared" si="10"/>
        <v>0</v>
      </c>
      <c r="X16" s="245">
        <f>'BOQ Zone A Equipment'!L15</f>
        <v>0</v>
      </c>
      <c r="Y16" s="83">
        <f t="shared" si="11"/>
        <v>0</v>
      </c>
      <c r="Z16" s="245">
        <f>'BOQ Zone A Equipment'!M15</f>
        <v>0</v>
      </c>
      <c r="AA16" s="83">
        <f t="shared" si="12"/>
        <v>0</v>
      </c>
      <c r="AB16" s="245">
        <f>'BOQ Zone A Equipment'!N15</f>
        <v>0</v>
      </c>
      <c r="AC16" s="83">
        <f t="shared" si="13"/>
        <v>0</v>
      </c>
      <c r="AD16" s="245">
        <f>'BOQ Zone A Equipment'!O15</f>
        <v>0</v>
      </c>
      <c r="AE16" s="83">
        <f t="shared" si="14"/>
        <v>0</v>
      </c>
      <c r="AF16" s="245">
        <f>'BOQ Zone A Equipment'!P15</f>
        <v>0</v>
      </c>
      <c r="AG16" s="83">
        <f t="shared" si="15"/>
        <v>0</v>
      </c>
      <c r="AH16" s="245">
        <f>'BOQ Zone A Equipment'!Q15</f>
        <v>0</v>
      </c>
      <c r="AI16" s="83">
        <f t="shared" si="16"/>
        <v>0</v>
      </c>
      <c r="AJ16" s="245">
        <f>'BOQ Zone A Equipment'!R15</f>
        <v>0</v>
      </c>
      <c r="AK16" s="83">
        <f t="shared" si="17"/>
        <v>0</v>
      </c>
      <c r="AL16" s="245">
        <f>'BOQ Zone A Equipment'!S15</f>
        <v>13</v>
      </c>
      <c r="AM16" s="83">
        <f t="shared" si="18"/>
        <v>162.5</v>
      </c>
      <c r="AN16" s="83">
        <f t="shared" si="19"/>
        <v>862.5</v>
      </c>
      <c r="AO16" s="83">
        <f t="shared" si="20"/>
        <v>69</v>
      </c>
      <c r="AP16" s="83">
        <f t="shared" si="21"/>
        <v>931.5</v>
      </c>
      <c r="AQ16" s="83">
        <f t="shared" si="22"/>
        <v>13.041</v>
      </c>
      <c r="AR16" s="83">
        <f t="shared" si="23"/>
        <v>944.54100000000005</v>
      </c>
      <c r="AS16" s="83">
        <f t="shared" si="24"/>
        <v>132.23574000000002</v>
      </c>
      <c r="AT16" s="83">
        <f t="shared" si="25"/>
        <v>1076.77674</v>
      </c>
      <c r="AU16" s="83">
        <f t="shared" si="26"/>
        <v>16</v>
      </c>
    </row>
    <row r="17" spans="1:47" ht="15" thickBot="1" x14ac:dyDescent="0.4">
      <c r="A17" s="17">
        <v>2</v>
      </c>
      <c r="B17" s="436" t="s">
        <v>200</v>
      </c>
      <c r="C17" s="244">
        <f t="shared" si="0"/>
        <v>2.0000000000000004</v>
      </c>
      <c r="D17" s="67">
        <v>60</v>
      </c>
      <c r="E17" s="99">
        <f>'[2]Unit rates'!$D$10</f>
        <v>380000</v>
      </c>
      <c r="F17" s="49">
        <f t="shared" si="1"/>
        <v>6333.333333333333</v>
      </c>
      <c r="G17" s="50">
        <f t="shared" si="2"/>
        <v>12666.66666666667</v>
      </c>
      <c r="I17" s="330">
        <f t="shared" si="3"/>
        <v>0</v>
      </c>
      <c r="J17" s="330">
        <f t="shared" si="4"/>
        <v>0</v>
      </c>
      <c r="L17" s="335">
        <f>'BOQ Zone A Equipment'!F16</f>
        <v>0.3370336108541474</v>
      </c>
      <c r="M17" s="83">
        <f t="shared" si="5"/>
        <v>2134.5462020762666</v>
      </c>
      <c r="N17" s="245">
        <f>'BOQ Zone A Equipment'!G16</f>
        <v>0.16990440949737898</v>
      </c>
      <c r="O17" s="83">
        <f t="shared" si="6"/>
        <v>1076.0612601500668</v>
      </c>
      <c r="P17" s="245">
        <f>'BOQ Zone A Equipment'!H16</f>
        <v>0.17884674683934629</v>
      </c>
      <c r="Q17" s="83">
        <f t="shared" si="7"/>
        <v>1132.6960633158599</v>
      </c>
      <c r="R17" s="245">
        <f>'BOQ Zone A Equipment'!I16</f>
        <v>0.32870798643231575</v>
      </c>
      <c r="S17" s="83">
        <f t="shared" si="8"/>
        <v>2081.8172474046664</v>
      </c>
      <c r="T17" s="245">
        <f>'BOQ Zone A Equipment'!J16</f>
        <v>7.2463768115942032E-2</v>
      </c>
      <c r="U17" s="83">
        <f t="shared" si="9"/>
        <v>458.93719806763283</v>
      </c>
      <c r="V17" s="245">
        <f>'BOQ Zone A Equipment'!K16</f>
        <v>5.7971014492753624E-2</v>
      </c>
      <c r="W17" s="83">
        <f t="shared" si="10"/>
        <v>367.14975845410629</v>
      </c>
      <c r="X17" s="245">
        <f>'BOQ Zone A Equipment'!L16</f>
        <v>4.3478260869565216E-2</v>
      </c>
      <c r="Y17" s="83">
        <f t="shared" si="11"/>
        <v>275.36231884057969</v>
      </c>
      <c r="Z17" s="245">
        <f>'BOQ Zone A Equipment'!M16</f>
        <v>5.7971014492753624E-2</v>
      </c>
      <c r="AA17" s="83">
        <f t="shared" si="12"/>
        <v>367.14975845410629</v>
      </c>
      <c r="AB17" s="245">
        <f>'BOQ Zone A Equipment'!N16</f>
        <v>5.7971014492753624E-2</v>
      </c>
      <c r="AC17" s="83">
        <f t="shared" si="13"/>
        <v>367.14975845410629</v>
      </c>
      <c r="AD17" s="245">
        <f>'BOQ Zone A Equipment'!O16</f>
        <v>0.14492753623188406</v>
      </c>
      <c r="AE17" s="83">
        <f t="shared" si="14"/>
        <v>917.87439613526567</v>
      </c>
      <c r="AF17" s="245">
        <f>'BOQ Zone A Equipment'!P16</f>
        <v>1.4492753623188406E-2</v>
      </c>
      <c r="AG17" s="83">
        <f t="shared" si="15"/>
        <v>91.787439613526573</v>
      </c>
      <c r="AH17" s="245">
        <f>'BOQ Zone A Equipment'!Q16</f>
        <v>8.6956521739130432E-2</v>
      </c>
      <c r="AI17" s="83">
        <f t="shared" si="16"/>
        <v>550.72463768115938</v>
      </c>
      <c r="AJ17" s="245">
        <f>'BOQ Zone A Equipment'!R16</f>
        <v>1.4492753623188406E-2</v>
      </c>
      <c r="AK17" s="83">
        <f t="shared" si="17"/>
        <v>91.787439613526573</v>
      </c>
      <c r="AL17" s="245">
        <f>'BOQ Zone A Equipment'!S16</f>
        <v>0.43478260869565216</v>
      </c>
      <c r="AM17" s="83">
        <f t="shared" si="18"/>
        <v>2753.623188405797</v>
      </c>
      <c r="AN17" s="83">
        <f t="shared" si="19"/>
        <v>12666.666666666668</v>
      </c>
      <c r="AO17" s="83">
        <f t="shared" si="20"/>
        <v>1013.3333333333335</v>
      </c>
      <c r="AP17" s="83">
        <f t="shared" si="21"/>
        <v>13680.000000000002</v>
      </c>
      <c r="AQ17" s="83">
        <f t="shared" si="22"/>
        <v>191.52000000000004</v>
      </c>
      <c r="AR17" s="83">
        <f t="shared" si="23"/>
        <v>13871.520000000002</v>
      </c>
      <c r="AS17" s="83">
        <f t="shared" si="24"/>
        <v>1942.0128000000004</v>
      </c>
      <c r="AT17" s="83">
        <f t="shared" si="25"/>
        <v>15813.532800000003</v>
      </c>
      <c r="AU17" s="83">
        <f t="shared" si="26"/>
        <v>7907</v>
      </c>
    </row>
    <row r="18" spans="1:47" ht="15" thickBot="1" x14ac:dyDescent="0.4">
      <c r="A18" s="17">
        <v>1</v>
      </c>
      <c r="B18" s="436" t="s">
        <v>321</v>
      </c>
      <c r="C18" s="244">
        <f t="shared" si="0"/>
        <v>2.0000000000000004</v>
      </c>
      <c r="D18" s="67">
        <v>1</v>
      </c>
      <c r="E18" s="99">
        <f>'Transportation Cost'!G36</f>
        <v>51833.333333333328</v>
      </c>
      <c r="F18" s="49">
        <f t="shared" si="1"/>
        <v>51833.333333333328</v>
      </c>
      <c r="G18" s="50">
        <f t="shared" si="2"/>
        <v>103666.66666666669</v>
      </c>
      <c r="I18" s="330">
        <f t="shared" si="3"/>
        <v>0</v>
      </c>
      <c r="J18" s="330">
        <f t="shared" si="4"/>
        <v>0</v>
      </c>
      <c r="L18" s="335">
        <f>'BOQ Zone A Equipment'!F17</f>
        <v>0.3370336108541474</v>
      </c>
      <c r="M18" s="83">
        <f>F18*L18</f>
        <v>17469.575495939971</v>
      </c>
      <c r="N18" s="245">
        <f>'BOQ Zone A Equipment'!G17</f>
        <v>0.16990440949737898</v>
      </c>
      <c r="O18" s="83">
        <f t="shared" si="6"/>
        <v>8806.7118922808095</v>
      </c>
      <c r="P18" s="245">
        <f>'BOQ Zone A Equipment'!H17</f>
        <v>0.17884674683934629</v>
      </c>
      <c r="Q18" s="83">
        <f t="shared" si="7"/>
        <v>9270.2230445061159</v>
      </c>
      <c r="R18" s="245">
        <f>'BOQ Zone A Equipment'!I17</f>
        <v>0.32870798643231575</v>
      </c>
      <c r="S18" s="83">
        <f t="shared" si="8"/>
        <v>17038.030630075031</v>
      </c>
      <c r="T18" s="245">
        <f>'BOQ Zone A Equipment'!J17</f>
        <v>7.2463768115942032E-2</v>
      </c>
      <c r="U18" s="83">
        <f t="shared" si="9"/>
        <v>3756.0386473429949</v>
      </c>
      <c r="V18" s="245">
        <f>'BOQ Zone A Equipment'!K17</f>
        <v>5.7971014492753624E-2</v>
      </c>
      <c r="W18" s="83">
        <f t="shared" si="10"/>
        <v>3004.8309178743957</v>
      </c>
      <c r="X18" s="245">
        <f>'BOQ Zone A Equipment'!L17</f>
        <v>4.3478260869565216E-2</v>
      </c>
      <c r="Y18" s="83">
        <f t="shared" si="11"/>
        <v>2253.623188405797</v>
      </c>
      <c r="Z18" s="245">
        <f>'BOQ Zone A Equipment'!M17</f>
        <v>5.7971014492753624E-2</v>
      </c>
      <c r="AA18" s="83">
        <f t="shared" si="12"/>
        <v>3004.8309178743957</v>
      </c>
      <c r="AB18" s="245">
        <f>'BOQ Zone A Equipment'!N17</f>
        <v>5.7971014492753624E-2</v>
      </c>
      <c r="AC18" s="83">
        <f t="shared" si="13"/>
        <v>3004.8309178743957</v>
      </c>
      <c r="AD18" s="245">
        <f>'BOQ Zone A Equipment'!O17</f>
        <v>0.14492753623188406</v>
      </c>
      <c r="AE18" s="83">
        <f t="shared" si="14"/>
        <v>7512.0772946859897</v>
      </c>
      <c r="AF18" s="245">
        <f>'BOQ Zone A Equipment'!P17</f>
        <v>1.4492753623188406E-2</v>
      </c>
      <c r="AG18" s="83">
        <f t="shared" si="15"/>
        <v>751.20772946859893</v>
      </c>
      <c r="AH18" s="245">
        <f>'BOQ Zone A Equipment'!Q17</f>
        <v>8.6956521739130432E-2</v>
      </c>
      <c r="AI18" s="83">
        <f t="shared" si="16"/>
        <v>4507.246376811594</v>
      </c>
      <c r="AJ18" s="245">
        <f>'BOQ Zone A Equipment'!R17</f>
        <v>1.4492753623188406E-2</v>
      </c>
      <c r="AK18" s="83">
        <f t="shared" si="17"/>
        <v>751.20772946859893</v>
      </c>
      <c r="AL18" s="245">
        <f>'BOQ Zone A Equipment'!S17</f>
        <v>0.43478260869565216</v>
      </c>
      <c r="AM18" s="83">
        <f t="shared" si="18"/>
        <v>22536.231884057968</v>
      </c>
      <c r="AN18" s="83">
        <f t="shared" si="19"/>
        <v>103666.66666666667</v>
      </c>
      <c r="AO18" s="83">
        <f t="shared" si="20"/>
        <v>8293.3333333333339</v>
      </c>
      <c r="AP18" s="83">
        <f t="shared" si="21"/>
        <v>111960</v>
      </c>
      <c r="AQ18" s="345"/>
      <c r="AR18" s="83">
        <f t="shared" si="23"/>
        <v>111960</v>
      </c>
      <c r="AS18" s="83">
        <f t="shared" si="24"/>
        <v>15674.400000000001</v>
      </c>
      <c r="AT18" s="83">
        <f t="shared" si="25"/>
        <v>127634.4</v>
      </c>
      <c r="AU18" s="83">
        <f t="shared" si="26"/>
        <v>63818</v>
      </c>
    </row>
    <row r="19" spans="1:47" ht="15" thickBot="1" x14ac:dyDescent="0.4">
      <c r="A19" s="17">
        <v>1</v>
      </c>
      <c r="B19" s="437" t="s">
        <v>322</v>
      </c>
      <c r="C19" s="244">
        <f t="shared" si="0"/>
        <v>2.0000000000000004</v>
      </c>
      <c r="D19" s="67">
        <v>1</v>
      </c>
      <c r="E19" s="99">
        <v>55000</v>
      </c>
      <c r="F19" s="49">
        <f t="shared" si="1"/>
        <v>55000</v>
      </c>
      <c r="G19" s="50">
        <f t="shared" si="2"/>
        <v>110000.00000000003</v>
      </c>
      <c r="I19" s="330">
        <f t="shared" si="3"/>
        <v>0</v>
      </c>
      <c r="J19" s="330">
        <f t="shared" si="4"/>
        <v>0</v>
      </c>
      <c r="L19" s="335">
        <f>'BOQ Zone A Equipment'!F18</f>
        <v>0.3370336108541474</v>
      </c>
      <c r="M19" s="83">
        <f t="shared" si="5"/>
        <v>18536.848596978107</v>
      </c>
      <c r="N19" s="245">
        <f>'BOQ Zone A Equipment'!G18</f>
        <v>0.16990440949737898</v>
      </c>
      <c r="O19" s="83">
        <f t="shared" si="6"/>
        <v>9344.7425223558439</v>
      </c>
      <c r="P19" s="245">
        <f>'BOQ Zone A Equipment'!H18</f>
        <v>0.17884674683934629</v>
      </c>
      <c r="Q19" s="83">
        <f t="shared" si="7"/>
        <v>9836.5710761640457</v>
      </c>
      <c r="R19" s="245">
        <f>'BOQ Zone A Equipment'!I18</f>
        <v>0.32870798643231575</v>
      </c>
      <c r="S19" s="83">
        <f t="shared" si="8"/>
        <v>18078.939253777367</v>
      </c>
      <c r="T19" s="245">
        <f>'BOQ Zone A Equipment'!J18</f>
        <v>7.2463768115942032E-2</v>
      </c>
      <c r="U19" s="83">
        <f t="shared" si="9"/>
        <v>3985.507246376812</v>
      </c>
      <c r="V19" s="245">
        <f>'BOQ Zone A Equipment'!K18</f>
        <v>5.7971014492753624E-2</v>
      </c>
      <c r="W19" s="83">
        <f t="shared" si="10"/>
        <v>3188.4057971014495</v>
      </c>
      <c r="X19" s="245">
        <f>'BOQ Zone A Equipment'!L18</f>
        <v>4.3478260869565216E-2</v>
      </c>
      <c r="Y19" s="83">
        <f t="shared" si="11"/>
        <v>2391.304347826087</v>
      </c>
      <c r="Z19" s="245">
        <f>'BOQ Zone A Equipment'!M18</f>
        <v>5.7971014492753624E-2</v>
      </c>
      <c r="AA19" s="83">
        <f t="shared" si="12"/>
        <v>3188.4057971014495</v>
      </c>
      <c r="AB19" s="245">
        <f>'BOQ Zone A Equipment'!N18</f>
        <v>5.7971014492753624E-2</v>
      </c>
      <c r="AC19" s="83">
        <f t="shared" si="13"/>
        <v>3188.4057971014495</v>
      </c>
      <c r="AD19" s="245">
        <f>'BOQ Zone A Equipment'!O18</f>
        <v>0.14492753623188406</v>
      </c>
      <c r="AE19" s="83">
        <f t="shared" si="14"/>
        <v>7971.0144927536239</v>
      </c>
      <c r="AF19" s="245">
        <f>'BOQ Zone A Equipment'!P18</f>
        <v>1.4492753623188406E-2</v>
      </c>
      <c r="AG19" s="83">
        <f t="shared" si="15"/>
        <v>797.10144927536237</v>
      </c>
      <c r="AH19" s="245">
        <f>'BOQ Zone A Equipment'!Q18</f>
        <v>8.6956521739130432E-2</v>
      </c>
      <c r="AI19" s="83">
        <f t="shared" si="16"/>
        <v>4782.608695652174</v>
      </c>
      <c r="AJ19" s="245">
        <f>'BOQ Zone A Equipment'!R18</f>
        <v>1.4492753623188406E-2</v>
      </c>
      <c r="AK19" s="83">
        <f t="shared" si="17"/>
        <v>797.10144927536237</v>
      </c>
      <c r="AL19" s="245">
        <f>'BOQ Zone A Equipment'!S18</f>
        <v>0.43478260869565216</v>
      </c>
      <c r="AM19" s="83">
        <f t="shared" si="18"/>
        <v>23913.043478260868</v>
      </c>
      <c r="AN19" s="83">
        <f t="shared" si="19"/>
        <v>110000.00000000001</v>
      </c>
      <c r="AO19" s="83">
        <f t="shared" si="20"/>
        <v>8800.0000000000018</v>
      </c>
      <c r="AP19" s="83">
        <f t="shared" si="21"/>
        <v>118800.00000000001</v>
      </c>
      <c r="AQ19" s="345"/>
      <c r="AR19" s="83">
        <f t="shared" si="23"/>
        <v>118800.00000000001</v>
      </c>
      <c r="AS19" s="83">
        <f t="shared" si="24"/>
        <v>16632.000000000004</v>
      </c>
      <c r="AT19" s="83">
        <f t="shared" si="25"/>
        <v>135432.00000000003</v>
      </c>
      <c r="AU19" s="83">
        <f t="shared" si="26"/>
        <v>67716</v>
      </c>
    </row>
    <row r="20" spans="1:47" ht="15" thickBot="1" x14ac:dyDescent="0.4">
      <c r="A20" s="78">
        <v>1</v>
      </c>
      <c r="B20" s="437" t="s">
        <v>323</v>
      </c>
      <c r="C20" s="244">
        <f t="shared" si="0"/>
        <v>2.0000000000000004</v>
      </c>
      <c r="D20" s="67">
        <v>1</v>
      </c>
      <c r="E20" s="99">
        <f>1400*30</f>
        <v>42000</v>
      </c>
      <c r="F20" s="49">
        <f t="shared" si="1"/>
        <v>42000</v>
      </c>
      <c r="G20" s="50">
        <f t="shared" si="2"/>
        <v>84000.000000000015</v>
      </c>
      <c r="I20" s="330">
        <f t="shared" si="3"/>
        <v>0</v>
      </c>
      <c r="J20" s="330">
        <f>G20-(M20+O20+Q20+S20+U20+W20+Y20+AA20+AC20+AE20+AG20+AI20+AK20+AM20)</f>
        <v>0</v>
      </c>
      <c r="L20" s="335">
        <f>'BOQ Zone A Equipment'!F20</f>
        <v>0.3370336108541474</v>
      </c>
      <c r="M20" s="83">
        <f t="shared" si="5"/>
        <v>14155.411655874192</v>
      </c>
      <c r="N20" s="245">
        <f>'BOQ Zone A Equipment'!G20</f>
        <v>0.16990440949737898</v>
      </c>
      <c r="O20" s="83">
        <f t="shared" si="6"/>
        <v>7135.9851988899172</v>
      </c>
      <c r="P20" s="245">
        <f>'BOQ Zone A Equipment'!H20</f>
        <v>0.17884674683934629</v>
      </c>
      <c r="Q20" s="83">
        <f t="shared" si="7"/>
        <v>7511.5633672525437</v>
      </c>
      <c r="R20" s="245">
        <f>'BOQ Zone A Equipment'!I20</f>
        <v>0.32870798643231575</v>
      </c>
      <c r="S20" s="83">
        <f t="shared" si="8"/>
        <v>13805.735430157261</v>
      </c>
      <c r="T20" s="245">
        <f>'BOQ Zone A Equipment'!J20</f>
        <v>7.2463768115942032E-2</v>
      </c>
      <c r="U20" s="83">
        <f t="shared" si="9"/>
        <v>3043.4782608695655</v>
      </c>
      <c r="V20" s="245">
        <f>'BOQ Zone A Equipment'!K20</f>
        <v>5.7971014492753624E-2</v>
      </c>
      <c r="W20" s="83">
        <f t="shared" si="10"/>
        <v>2434.782608695652</v>
      </c>
      <c r="X20" s="245">
        <f>'BOQ Zone A Equipment'!L20</f>
        <v>4.3478260869565216E-2</v>
      </c>
      <c r="Y20" s="83">
        <f t="shared" si="11"/>
        <v>1826.086956521739</v>
      </c>
      <c r="Z20" s="245">
        <f>'BOQ Zone A Equipment'!M20</f>
        <v>5.7971014492753624E-2</v>
      </c>
      <c r="AA20" s="83">
        <f t="shared" si="12"/>
        <v>2434.782608695652</v>
      </c>
      <c r="AB20" s="245">
        <f>'BOQ Zone A Equipment'!N20</f>
        <v>5.7971014492753624E-2</v>
      </c>
      <c r="AC20" s="83">
        <f t="shared" si="13"/>
        <v>2434.782608695652</v>
      </c>
      <c r="AD20" s="245">
        <f>'BOQ Zone A Equipment'!O20</f>
        <v>0.14492753623188406</v>
      </c>
      <c r="AE20" s="83">
        <f t="shared" si="14"/>
        <v>6086.9565217391309</v>
      </c>
      <c r="AF20" s="245">
        <f>'BOQ Zone A Equipment'!P20</f>
        <v>1.4492753623188406E-2</v>
      </c>
      <c r="AG20" s="83">
        <f t="shared" si="15"/>
        <v>608.695652173913</v>
      </c>
      <c r="AH20" s="245">
        <f>'BOQ Zone A Equipment'!Q20</f>
        <v>8.6956521739130432E-2</v>
      </c>
      <c r="AI20" s="83">
        <f t="shared" si="16"/>
        <v>3652.173913043478</v>
      </c>
      <c r="AJ20" s="245">
        <f>'BOQ Zone A Equipment'!R20</f>
        <v>1.4492753623188406E-2</v>
      </c>
      <c r="AK20" s="83">
        <f t="shared" si="17"/>
        <v>608.695652173913</v>
      </c>
      <c r="AL20" s="245">
        <f>'BOQ Zone A Equipment'!S20</f>
        <v>0.43478260869565216</v>
      </c>
      <c r="AM20" s="83">
        <f t="shared" si="18"/>
        <v>18260.869565217392</v>
      </c>
      <c r="AN20" s="83">
        <f t="shared" si="19"/>
        <v>84000</v>
      </c>
      <c r="AO20" s="83">
        <f t="shared" si="20"/>
        <v>6720</v>
      </c>
      <c r="AP20" s="83">
        <f t="shared" si="21"/>
        <v>90720</v>
      </c>
      <c r="AQ20" s="83">
        <f t="shared" si="22"/>
        <v>1270.08</v>
      </c>
      <c r="AR20" s="83">
        <f t="shared" si="23"/>
        <v>91990.080000000002</v>
      </c>
      <c r="AS20" s="83">
        <f t="shared" si="24"/>
        <v>12878.611200000001</v>
      </c>
      <c r="AT20" s="83">
        <f t="shared" si="25"/>
        <v>104868.6912</v>
      </c>
      <c r="AU20" s="83">
        <f t="shared" si="26"/>
        <v>52435</v>
      </c>
    </row>
    <row r="21" spans="1:47" x14ac:dyDescent="0.35">
      <c r="B21" s="293" t="s">
        <v>425</v>
      </c>
      <c r="C21" s="244">
        <f t="shared" ref="C21" si="27">L21+N21+P21+R21+T21+V21+X21+Z21+AB21+AD21+AF21+AH21+AJ21+AL21</f>
        <v>7.5</v>
      </c>
      <c r="D21" s="67">
        <v>1</v>
      </c>
      <c r="E21" s="99">
        <v>1500</v>
      </c>
      <c r="F21" s="49">
        <f t="shared" ref="F21" si="28">E21/D21</f>
        <v>1500</v>
      </c>
      <c r="G21" s="50">
        <f t="shared" ref="G21" si="29">C21*F21</f>
        <v>11250</v>
      </c>
      <c r="I21" s="330">
        <f t="shared" ref="I21" si="30">C21-(L21+N21+P21+R21+T21+V21+X21+Z21+AB21+AD21+AF21+AH21+AJ21+AL21)</f>
        <v>0</v>
      </c>
      <c r="J21" s="330">
        <f t="shared" ref="J21" si="31">G21-(M21+O21+Q21+S21+U21+W21+Y21+AA21+AC21+AE21+AG21+AI21+AK21+AM21)</f>
        <v>0</v>
      </c>
      <c r="L21" s="245">
        <v>1</v>
      </c>
      <c r="M21" s="83">
        <f t="shared" ref="M21" si="32">F21*L21</f>
        <v>1500</v>
      </c>
      <c r="N21" s="245">
        <v>1</v>
      </c>
      <c r="O21" s="83">
        <f t="shared" ref="O21" si="33">N21*F21</f>
        <v>1500</v>
      </c>
      <c r="P21" s="245">
        <v>1</v>
      </c>
      <c r="Q21" s="83">
        <f t="shared" ref="Q21" si="34">P21*F21</f>
        <v>1500</v>
      </c>
      <c r="R21" s="245">
        <v>1</v>
      </c>
      <c r="S21" s="83">
        <f t="shared" ref="S21" si="35">R21*F21</f>
        <v>1500</v>
      </c>
      <c r="T21" s="245">
        <v>0.5</v>
      </c>
      <c r="U21" s="83">
        <f t="shared" ref="U21" si="36">T21*F21</f>
        <v>750</v>
      </c>
      <c r="V21" s="245">
        <v>0.5</v>
      </c>
      <c r="W21" s="83">
        <f t="shared" ref="W21" si="37">V21*F21</f>
        <v>750</v>
      </c>
      <c r="X21" s="245">
        <v>0.5</v>
      </c>
      <c r="Y21" s="83">
        <f t="shared" ref="Y21" si="38">X21*F21</f>
        <v>750</v>
      </c>
      <c r="Z21" s="245">
        <v>0.25</v>
      </c>
      <c r="AA21" s="83">
        <f t="shared" ref="AA21" si="39">Z21*F21</f>
        <v>375</v>
      </c>
      <c r="AB21" s="245">
        <v>0.25</v>
      </c>
      <c r="AC21" s="83">
        <f t="shared" ref="AC21" si="40">AB21*F21</f>
        <v>375</v>
      </c>
      <c r="AD21" s="245">
        <v>0.5</v>
      </c>
      <c r="AE21" s="83">
        <f t="shared" ref="AE21" si="41">AD21*F21</f>
        <v>750</v>
      </c>
      <c r="AF21" s="245"/>
      <c r="AG21" s="83">
        <f t="shared" ref="AG21" si="42">AF21*F21</f>
        <v>0</v>
      </c>
      <c r="AH21" s="245"/>
      <c r="AI21" s="83">
        <f t="shared" ref="AI21" si="43">AH21*F21</f>
        <v>0</v>
      </c>
      <c r="AJ21" s="245"/>
      <c r="AK21" s="83">
        <f t="shared" ref="AK21" si="44">AJ21*F21</f>
        <v>0</v>
      </c>
      <c r="AL21" s="245">
        <v>1</v>
      </c>
      <c r="AM21" s="83">
        <f>AL21*F21</f>
        <v>1500</v>
      </c>
      <c r="AN21" s="83">
        <f t="shared" si="19"/>
        <v>11250</v>
      </c>
      <c r="AO21" s="83">
        <f t="shared" si="20"/>
        <v>900</v>
      </c>
      <c r="AP21" s="83">
        <f t="shared" si="21"/>
        <v>12150</v>
      </c>
      <c r="AQ21" s="83">
        <f t="shared" si="22"/>
        <v>170.1</v>
      </c>
      <c r="AR21" s="83">
        <f t="shared" si="23"/>
        <v>12320.1</v>
      </c>
      <c r="AS21" s="83">
        <f t="shared" si="24"/>
        <v>1724.8140000000003</v>
      </c>
      <c r="AT21" s="83">
        <f t="shared" si="25"/>
        <v>14044.914000000001</v>
      </c>
      <c r="AU21" s="83">
        <f t="shared" si="26"/>
        <v>1873</v>
      </c>
    </row>
    <row r="22" spans="1:47" s="336" customFormat="1" x14ac:dyDescent="0.35">
      <c r="B22" s="337" t="s">
        <v>247</v>
      </c>
      <c r="C22" s="338">
        <f t="shared" si="0"/>
        <v>15</v>
      </c>
      <c r="D22" s="339">
        <v>36</v>
      </c>
      <c r="E22" s="340">
        <v>3800</v>
      </c>
      <c r="F22" s="341">
        <f t="shared" si="1"/>
        <v>105.55555555555556</v>
      </c>
      <c r="G22" s="342">
        <f t="shared" si="2"/>
        <v>1583.3333333333333</v>
      </c>
      <c r="I22" s="343">
        <f t="shared" si="3"/>
        <v>0</v>
      </c>
      <c r="J22" s="343">
        <f t="shared" si="4"/>
        <v>0</v>
      </c>
      <c r="L22" s="344">
        <v>2</v>
      </c>
      <c r="M22" s="345">
        <f t="shared" si="5"/>
        <v>211.11111111111111</v>
      </c>
      <c r="N22" s="344">
        <v>2</v>
      </c>
      <c r="O22" s="345">
        <f t="shared" si="6"/>
        <v>211.11111111111111</v>
      </c>
      <c r="P22" s="344">
        <v>2</v>
      </c>
      <c r="Q22" s="345">
        <f t="shared" si="7"/>
        <v>211.11111111111111</v>
      </c>
      <c r="R22" s="344">
        <v>4</v>
      </c>
      <c r="S22" s="345">
        <f t="shared" si="8"/>
        <v>422.22222222222223</v>
      </c>
      <c r="T22" s="344"/>
      <c r="U22" s="345">
        <f t="shared" si="9"/>
        <v>0</v>
      </c>
      <c r="V22" s="344"/>
      <c r="W22" s="345">
        <f t="shared" si="10"/>
        <v>0</v>
      </c>
      <c r="X22" s="344"/>
      <c r="Y22" s="345">
        <f t="shared" si="11"/>
        <v>0</v>
      </c>
      <c r="Z22" s="344"/>
      <c r="AA22" s="345">
        <f t="shared" si="12"/>
        <v>0</v>
      </c>
      <c r="AB22" s="344"/>
      <c r="AC22" s="345">
        <f t="shared" si="13"/>
        <v>0</v>
      </c>
      <c r="AD22" s="344"/>
      <c r="AE22" s="345">
        <f t="shared" si="14"/>
        <v>0</v>
      </c>
      <c r="AF22" s="344"/>
      <c r="AG22" s="345">
        <f t="shared" si="15"/>
        <v>0</v>
      </c>
      <c r="AI22" s="345">
        <f t="shared" si="16"/>
        <v>0</v>
      </c>
      <c r="AJ22" s="344"/>
      <c r="AK22" s="345">
        <f t="shared" si="17"/>
        <v>0</v>
      </c>
      <c r="AL22" s="336">
        <v>5</v>
      </c>
      <c r="AM22" s="345">
        <f t="shared" si="18"/>
        <v>527.77777777777783</v>
      </c>
      <c r="AN22" s="83">
        <f t="shared" si="19"/>
        <v>1583.3333333333335</v>
      </c>
      <c r="AO22" s="83">
        <f t="shared" si="20"/>
        <v>126.66666666666669</v>
      </c>
      <c r="AP22" s="83">
        <f t="shared" si="21"/>
        <v>1710.0000000000002</v>
      </c>
      <c r="AQ22" s="83">
        <f t="shared" si="22"/>
        <v>23.940000000000005</v>
      </c>
      <c r="AR22" s="83">
        <f t="shared" si="23"/>
        <v>1733.9400000000003</v>
      </c>
      <c r="AS22" s="83">
        <f t="shared" si="24"/>
        <v>242.75160000000005</v>
      </c>
      <c r="AT22" s="83">
        <f t="shared" si="25"/>
        <v>1976.6916000000003</v>
      </c>
      <c r="AU22" s="83">
        <f t="shared" si="26"/>
        <v>132</v>
      </c>
    </row>
    <row r="23" spans="1:47" x14ac:dyDescent="0.35">
      <c r="B23" s="59" t="s">
        <v>248</v>
      </c>
      <c r="C23" s="244">
        <f t="shared" si="0"/>
        <v>7</v>
      </c>
      <c r="D23" s="67">
        <v>36</v>
      </c>
      <c r="E23" s="99">
        <v>5800</v>
      </c>
      <c r="F23" s="49">
        <f t="shared" si="1"/>
        <v>161.11111111111111</v>
      </c>
      <c r="G23" s="50">
        <f t="shared" si="2"/>
        <v>1127.7777777777778</v>
      </c>
      <c r="I23" s="330">
        <f t="shared" si="3"/>
        <v>0</v>
      </c>
      <c r="J23" s="330">
        <f t="shared" si="4"/>
        <v>0</v>
      </c>
      <c r="L23" s="245">
        <v>1</v>
      </c>
      <c r="M23" s="83">
        <f t="shared" si="5"/>
        <v>161.11111111111111</v>
      </c>
      <c r="N23" s="245">
        <v>1</v>
      </c>
      <c r="O23" s="83">
        <f t="shared" si="6"/>
        <v>161.11111111111111</v>
      </c>
      <c r="P23" s="245">
        <v>1</v>
      </c>
      <c r="Q23" s="83">
        <f t="shared" si="7"/>
        <v>161.11111111111111</v>
      </c>
      <c r="R23" s="245">
        <v>1</v>
      </c>
      <c r="S23" s="83">
        <f t="shared" si="8"/>
        <v>161.11111111111111</v>
      </c>
      <c r="T23" s="245"/>
      <c r="U23" s="83">
        <f t="shared" si="9"/>
        <v>0</v>
      </c>
      <c r="V23" s="245"/>
      <c r="W23" s="83">
        <f t="shared" si="10"/>
        <v>0</v>
      </c>
      <c r="X23" s="245"/>
      <c r="Y23" s="83">
        <f t="shared" si="11"/>
        <v>0</v>
      </c>
      <c r="Z23" s="245"/>
      <c r="AA23" s="83">
        <f t="shared" si="12"/>
        <v>0</v>
      </c>
      <c r="AB23" s="245"/>
      <c r="AC23" s="83">
        <f t="shared" si="13"/>
        <v>0</v>
      </c>
      <c r="AD23" s="17">
        <v>1</v>
      </c>
      <c r="AE23" s="83">
        <f t="shared" si="14"/>
        <v>161.11111111111111</v>
      </c>
      <c r="AF23" s="245"/>
      <c r="AG23" s="83">
        <f t="shared" si="15"/>
        <v>0</v>
      </c>
      <c r="AI23" s="83">
        <f t="shared" si="16"/>
        <v>0</v>
      </c>
      <c r="AJ23" s="245"/>
      <c r="AK23" s="83">
        <f t="shared" si="17"/>
        <v>0</v>
      </c>
      <c r="AL23" s="17">
        <v>2</v>
      </c>
      <c r="AM23" s="83">
        <f t="shared" si="18"/>
        <v>322.22222222222223</v>
      </c>
      <c r="AN23" s="83">
        <f t="shared" si="19"/>
        <v>1127.7777777777778</v>
      </c>
      <c r="AO23" s="83">
        <f t="shared" si="20"/>
        <v>90.222222222222229</v>
      </c>
      <c r="AP23" s="83">
        <f t="shared" si="21"/>
        <v>1218</v>
      </c>
      <c r="AQ23" s="83">
        <f t="shared" si="22"/>
        <v>17.052</v>
      </c>
      <c r="AR23" s="83">
        <f t="shared" si="23"/>
        <v>1235.0519999999999</v>
      </c>
      <c r="AS23" s="83">
        <f t="shared" si="24"/>
        <v>172.90728000000001</v>
      </c>
      <c r="AT23" s="83">
        <f t="shared" si="25"/>
        <v>1407.95928</v>
      </c>
      <c r="AU23" s="83">
        <f t="shared" si="26"/>
        <v>202</v>
      </c>
    </row>
    <row r="24" spans="1:47" x14ac:dyDescent="0.35">
      <c r="B24" s="59" t="s">
        <v>251</v>
      </c>
      <c r="C24" s="244">
        <f t="shared" si="0"/>
        <v>11</v>
      </c>
      <c r="D24" s="67">
        <v>12</v>
      </c>
      <c r="E24" s="99">
        <v>1250</v>
      </c>
      <c r="F24" s="49">
        <f t="shared" si="1"/>
        <v>104.16666666666667</v>
      </c>
      <c r="G24" s="50">
        <f t="shared" si="2"/>
        <v>1145.8333333333335</v>
      </c>
      <c r="I24" s="330">
        <f t="shared" si="3"/>
        <v>0</v>
      </c>
      <c r="J24" s="330">
        <f t="shared" si="4"/>
        <v>0</v>
      </c>
      <c r="L24" s="245">
        <v>2</v>
      </c>
      <c r="M24" s="83">
        <f t="shared" si="5"/>
        <v>208.33333333333334</v>
      </c>
      <c r="N24" s="245">
        <v>2</v>
      </c>
      <c r="O24" s="83">
        <f t="shared" si="6"/>
        <v>208.33333333333334</v>
      </c>
      <c r="P24" s="245">
        <v>1</v>
      </c>
      <c r="Q24" s="83">
        <f t="shared" si="7"/>
        <v>104.16666666666667</v>
      </c>
      <c r="R24" s="245">
        <v>2</v>
      </c>
      <c r="S24" s="83">
        <f t="shared" si="8"/>
        <v>208.33333333333334</v>
      </c>
      <c r="T24" s="245"/>
      <c r="U24" s="83">
        <f t="shared" si="9"/>
        <v>0</v>
      </c>
      <c r="V24" s="245"/>
      <c r="W24" s="83">
        <f t="shared" si="10"/>
        <v>0</v>
      </c>
      <c r="X24" s="245"/>
      <c r="Y24" s="83">
        <f t="shared" si="11"/>
        <v>0</v>
      </c>
      <c r="Z24" s="245"/>
      <c r="AA24" s="83">
        <f t="shared" si="12"/>
        <v>0</v>
      </c>
      <c r="AB24" s="245"/>
      <c r="AC24" s="83">
        <f t="shared" si="13"/>
        <v>0</v>
      </c>
      <c r="AD24" s="17">
        <v>1</v>
      </c>
      <c r="AE24" s="83">
        <f t="shared" si="14"/>
        <v>104.16666666666667</v>
      </c>
      <c r="AF24" s="245"/>
      <c r="AG24" s="83">
        <f t="shared" si="15"/>
        <v>0</v>
      </c>
      <c r="AI24" s="83">
        <f t="shared" si="16"/>
        <v>0</v>
      </c>
      <c r="AJ24" s="245"/>
      <c r="AK24" s="83">
        <f t="shared" si="17"/>
        <v>0</v>
      </c>
      <c r="AL24" s="17">
        <v>3</v>
      </c>
      <c r="AM24" s="83">
        <f t="shared" si="18"/>
        <v>312.5</v>
      </c>
      <c r="AN24" s="83">
        <f t="shared" si="19"/>
        <v>1145.8333333333335</v>
      </c>
      <c r="AO24" s="83">
        <f t="shared" si="20"/>
        <v>91.666666666666686</v>
      </c>
      <c r="AP24" s="83">
        <f t="shared" si="21"/>
        <v>1237.5000000000002</v>
      </c>
      <c r="AQ24" s="83">
        <f t="shared" si="22"/>
        <v>17.325000000000003</v>
      </c>
      <c r="AR24" s="83">
        <f t="shared" si="23"/>
        <v>1254.8250000000003</v>
      </c>
      <c r="AS24" s="83">
        <f t="shared" si="24"/>
        <v>175.67550000000006</v>
      </c>
      <c r="AT24" s="83">
        <f t="shared" si="25"/>
        <v>1430.5005000000003</v>
      </c>
      <c r="AU24" s="83">
        <f t="shared" si="26"/>
        <v>131</v>
      </c>
    </row>
    <row r="25" spans="1:47" x14ac:dyDescent="0.35">
      <c r="B25" s="61" t="s">
        <v>252</v>
      </c>
      <c r="C25" s="244">
        <f t="shared" si="0"/>
        <v>50</v>
      </c>
      <c r="D25" s="67">
        <v>12</v>
      </c>
      <c r="E25" s="99">
        <v>220</v>
      </c>
      <c r="F25" s="49">
        <f t="shared" si="1"/>
        <v>18.333333333333332</v>
      </c>
      <c r="G25" s="50">
        <f t="shared" si="2"/>
        <v>916.66666666666663</v>
      </c>
      <c r="I25" s="330">
        <f t="shared" si="3"/>
        <v>0</v>
      </c>
      <c r="J25" s="330">
        <f t="shared" si="4"/>
        <v>0</v>
      </c>
      <c r="L25" s="245">
        <v>10</v>
      </c>
      <c r="M25" s="83">
        <f t="shared" si="5"/>
        <v>183.33333333333331</v>
      </c>
      <c r="N25" s="245">
        <v>5</v>
      </c>
      <c r="O25" s="83">
        <f t="shared" si="6"/>
        <v>91.666666666666657</v>
      </c>
      <c r="P25" s="245">
        <v>5</v>
      </c>
      <c r="Q25" s="83">
        <f t="shared" si="7"/>
        <v>91.666666666666657</v>
      </c>
      <c r="R25" s="245">
        <v>10</v>
      </c>
      <c r="S25" s="83">
        <f t="shared" si="8"/>
        <v>183.33333333333331</v>
      </c>
      <c r="T25" s="245">
        <v>1</v>
      </c>
      <c r="U25" s="83">
        <f t="shared" si="9"/>
        <v>18.333333333333332</v>
      </c>
      <c r="V25" s="245">
        <v>1</v>
      </c>
      <c r="W25" s="83">
        <f t="shared" si="10"/>
        <v>18.333333333333332</v>
      </c>
      <c r="X25" s="245">
        <v>1</v>
      </c>
      <c r="Y25" s="83">
        <f t="shared" si="11"/>
        <v>18.333333333333332</v>
      </c>
      <c r="Z25" s="245">
        <v>1</v>
      </c>
      <c r="AA25" s="83">
        <f t="shared" si="12"/>
        <v>18.333333333333332</v>
      </c>
      <c r="AB25" s="245">
        <v>1</v>
      </c>
      <c r="AC25" s="83">
        <f t="shared" si="13"/>
        <v>18.333333333333332</v>
      </c>
      <c r="AD25" s="17">
        <v>5</v>
      </c>
      <c r="AE25" s="83">
        <f t="shared" si="14"/>
        <v>91.666666666666657</v>
      </c>
      <c r="AF25" s="245"/>
      <c r="AG25" s="83">
        <f t="shared" si="15"/>
        <v>0</v>
      </c>
      <c r="AI25" s="83">
        <f t="shared" si="16"/>
        <v>0</v>
      </c>
      <c r="AJ25" s="245"/>
      <c r="AK25" s="83">
        <f t="shared" si="17"/>
        <v>0</v>
      </c>
      <c r="AL25" s="17">
        <v>10</v>
      </c>
      <c r="AM25" s="83">
        <f t="shared" si="18"/>
        <v>183.33333333333331</v>
      </c>
      <c r="AN25" s="83">
        <f t="shared" si="19"/>
        <v>916.66666666666674</v>
      </c>
      <c r="AO25" s="83">
        <f t="shared" si="20"/>
        <v>73.333333333333343</v>
      </c>
      <c r="AP25" s="83">
        <f t="shared" si="21"/>
        <v>990.00000000000011</v>
      </c>
      <c r="AQ25" s="83">
        <f t="shared" si="22"/>
        <v>13.860000000000001</v>
      </c>
      <c r="AR25" s="83">
        <f t="shared" si="23"/>
        <v>1003.8600000000001</v>
      </c>
      <c r="AS25" s="83">
        <f t="shared" si="24"/>
        <v>140.54040000000003</v>
      </c>
      <c r="AT25" s="83">
        <f t="shared" si="25"/>
        <v>1144.4004000000002</v>
      </c>
      <c r="AU25" s="83">
        <f t="shared" si="26"/>
        <v>23</v>
      </c>
    </row>
    <row r="26" spans="1:47" x14ac:dyDescent="0.35">
      <c r="B26" s="59" t="s">
        <v>422</v>
      </c>
      <c r="C26" s="244">
        <f t="shared" si="0"/>
        <v>64</v>
      </c>
      <c r="D26" s="67">
        <v>12</v>
      </c>
      <c r="E26" s="99">
        <v>350</v>
      </c>
      <c r="F26" s="49">
        <f t="shared" si="1"/>
        <v>29.166666666666668</v>
      </c>
      <c r="G26" s="50">
        <f t="shared" si="2"/>
        <v>1866.6666666666667</v>
      </c>
      <c r="I26" s="330">
        <f t="shared" si="3"/>
        <v>0</v>
      </c>
      <c r="J26" s="330">
        <f t="shared" si="4"/>
        <v>0</v>
      </c>
      <c r="L26" s="245">
        <v>14</v>
      </c>
      <c r="M26" s="83">
        <f t="shared" si="5"/>
        <v>408.33333333333337</v>
      </c>
      <c r="N26" s="245">
        <v>7</v>
      </c>
      <c r="O26" s="83">
        <f t="shared" si="6"/>
        <v>204.16666666666669</v>
      </c>
      <c r="P26" s="245">
        <v>7</v>
      </c>
      <c r="Q26" s="83">
        <f t="shared" si="7"/>
        <v>204.16666666666669</v>
      </c>
      <c r="R26" s="245">
        <v>14</v>
      </c>
      <c r="S26" s="83">
        <f t="shared" si="8"/>
        <v>408.33333333333337</v>
      </c>
      <c r="T26" s="245">
        <v>1</v>
      </c>
      <c r="U26" s="83">
        <f t="shared" si="9"/>
        <v>29.166666666666668</v>
      </c>
      <c r="V26" s="245">
        <v>1</v>
      </c>
      <c r="W26" s="83">
        <f t="shared" si="10"/>
        <v>29.166666666666668</v>
      </c>
      <c r="X26" s="245">
        <v>1</v>
      </c>
      <c r="Y26" s="83">
        <f t="shared" si="11"/>
        <v>29.166666666666668</v>
      </c>
      <c r="Z26" s="245">
        <v>1</v>
      </c>
      <c r="AA26" s="83">
        <f t="shared" si="12"/>
        <v>29.166666666666668</v>
      </c>
      <c r="AB26" s="245">
        <v>1</v>
      </c>
      <c r="AC26" s="83">
        <f t="shared" si="13"/>
        <v>29.166666666666668</v>
      </c>
      <c r="AD26" s="17">
        <v>5</v>
      </c>
      <c r="AE26" s="83">
        <f t="shared" si="14"/>
        <v>145.83333333333334</v>
      </c>
      <c r="AF26" s="17">
        <v>1</v>
      </c>
      <c r="AG26" s="83">
        <f t="shared" si="15"/>
        <v>29.166666666666668</v>
      </c>
      <c r="AI26" s="83">
        <f t="shared" si="16"/>
        <v>0</v>
      </c>
      <c r="AJ26" s="17">
        <v>1</v>
      </c>
      <c r="AK26" s="83">
        <f t="shared" si="17"/>
        <v>29.166666666666668</v>
      </c>
      <c r="AL26" s="17">
        <v>10</v>
      </c>
      <c r="AM26" s="83">
        <f t="shared" si="18"/>
        <v>291.66666666666669</v>
      </c>
      <c r="AN26" s="83">
        <f t="shared" si="19"/>
        <v>1866.6666666666672</v>
      </c>
      <c r="AO26" s="83">
        <f t="shared" si="20"/>
        <v>149.33333333333337</v>
      </c>
      <c r="AP26" s="83">
        <f t="shared" si="21"/>
        <v>2016.0000000000005</v>
      </c>
      <c r="AQ26" s="83">
        <f t="shared" si="22"/>
        <v>28.224000000000007</v>
      </c>
      <c r="AR26" s="83">
        <f t="shared" si="23"/>
        <v>2044.2240000000004</v>
      </c>
      <c r="AS26" s="83">
        <f t="shared" si="24"/>
        <v>286.19136000000009</v>
      </c>
      <c r="AT26" s="83">
        <f t="shared" si="25"/>
        <v>2330.4153600000004</v>
      </c>
      <c r="AU26" s="83">
        <f t="shared" si="26"/>
        <v>37</v>
      </c>
    </row>
    <row r="27" spans="1:47" x14ac:dyDescent="0.35">
      <c r="B27" s="59" t="s">
        <v>254</v>
      </c>
      <c r="C27" s="244">
        <f t="shared" si="0"/>
        <v>64</v>
      </c>
      <c r="D27" s="67">
        <v>1</v>
      </c>
      <c r="E27" s="99">
        <v>150</v>
      </c>
      <c r="F27" s="49">
        <f t="shared" si="1"/>
        <v>150</v>
      </c>
      <c r="G27" s="50">
        <f t="shared" si="2"/>
        <v>9600</v>
      </c>
      <c r="I27" s="330">
        <f t="shared" si="3"/>
        <v>0</v>
      </c>
      <c r="J27" s="330">
        <f t="shared" si="4"/>
        <v>0</v>
      </c>
      <c r="L27" s="245">
        <v>14</v>
      </c>
      <c r="M27" s="83">
        <f t="shared" si="5"/>
        <v>2100</v>
      </c>
      <c r="N27" s="245">
        <v>7</v>
      </c>
      <c r="O27" s="83">
        <f t="shared" si="6"/>
        <v>1050</v>
      </c>
      <c r="P27" s="245">
        <v>7</v>
      </c>
      <c r="Q27" s="83">
        <f t="shared" si="7"/>
        <v>1050</v>
      </c>
      <c r="R27" s="245">
        <v>14</v>
      </c>
      <c r="S27" s="83">
        <f t="shared" si="8"/>
        <v>2100</v>
      </c>
      <c r="T27" s="245">
        <v>1</v>
      </c>
      <c r="U27" s="83">
        <f t="shared" si="9"/>
        <v>150</v>
      </c>
      <c r="V27" s="245">
        <v>1</v>
      </c>
      <c r="W27" s="83">
        <f t="shared" si="10"/>
        <v>150</v>
      </c>
      <c r="X27" s="245">
        <v>1</v>
      </c>
      <c r="Y27" s="83">
        <f t="shared" si="11"/>
        <v>150</v>
      </c>
      <c r="Z27" s="245">
        <v>1</v>
      </c>
      <c r="AA27" s="83">
        <f t="shared" si="12"/>
        <v>150</v>
      </c>
      <c r="AB27" s="245">
        <v>1</v>
      </c>
      <c r="AC27" s="83">
        <f t="shared" si="13"/>
        <v>150</v>
      </c>
      <c r="AD27" s="17">
        <v>5</v>
      </c>
      <c r="AE27" s="83">
        <f t="shared" si="14"/>
        <v>750</v>
      </c>
      <c r="AF27" s="17">
        <v>1</v>
      </c>
      <c r="AG27" s="83">
        <f t="shared" si="15"/>
        <v>150</v>
      </c>
      <c r="AI27" s="83">
        <f t="shared" si="16"/>
        <v>0</v>
      </c>
      <c r="AJ27" s="17">
        <v>1</v>
      </c>
      <c r="AK27" s="83">
        <f t="shared" si="17"/>
        <v>150</v>
      </c>
      <c r="AL27" s="17">
        <v>10</v>
      </c>
      <c r="AM27" s="83">
        <f t="shared" si="18"/>
        <v>1500</v>
      </c>
      <c r="AN27" s="83">
        <f t="shared" si="19"/>
        <v>9600</v>
      </c>
      <c r="AO27" s="83">
        <f t="shared" si="20"/>
        <v>768</v>
      </c>
      <c r="AP27" s="83">
        <f t="shared" si="21"/>
        <v>10368</v>
      </c>
      <c r="AQ27" s="83">
        <f t="shared" si="22"/>
        <v>145.15200000000002</v>
      </c>
      <c r="AR27" s="83">
        <f t="shared" si="23"/>
        <v>10513.152</v>
      </c>
      <c r="AS27" s="83">
        <f t="shared" si="24"/>
        <v>1471.8412800000001</v>
      </c>
      <c r="AT27" s="83">
        <f t="shared" si="25"/>
        <v>11984.993280000001</v>
      </c>
      <c r="AU27" s="83">
        <f t="shared" si="26"/>
        <v>188</v>
      </c>
    </row>
    <row r="28" spans="1:47" x14ac:dyDescent="0.35">
      <c r="B28" s="59" t="s">
        <v>255</v>
      </c>
      <c r="C28" s="244">
        <f t="shared" si="0"/>
        <v>64</v>
      </c>
      <c r="D28" s="67">
        <v>12</v>
      </c>
      <c r="E28" s="99">
        <v>350</v>
      </c>
      <c r="F28" s="49">
        <f t="shared" si="1"/>
        <v>29.166666666666668</v>
      </c>
      <c r="G28" s="50">
        <f t="shared" si="2"/>
        <v>1866.6666666666667</v>
      </c>
      <c r="I28" s="330">
        <f t="shared" si="3"/>
        <v>0</v>
      </c>
      <c r="J28" s="330">
        <f t="shared" si="4"/>
        <v>0</v>
      </c>
      <c r="L28" s="245">
        <v>14</v>
      </c>
      <c r="M28" s="83">
        <f t="shared" si="5"/>
        <v>408.33333333333337</v>
      </c>
      <c r="N28" s="245">
        <v>7</v>
      </c>
      <c r="O28" s="83">
        <f t="shared" si="6"/>
        <v>204.16666666666669</v>
      </c>
      <c r="P28" s="245">
        <v>7</v>
      </c>
      <c r="Q28" s="83">
        <f t="shared" si="7"/>
        <v>204.16666666666669</v>
      </c>
      <c r="R28" s="245">
        <v>14</v>
      </c>
      <c r="S28" s="83">
        <f t="shared" si="8"/>
        <v>408.33333333333337</v>
      </c>
      <c r="T28" s="245">
        <v>1</v>
      </c>
      <c r="U28" s="83">
        <f t="shared" si="9"/>
        <v>29.166666666666668</v>
      </c>
      <c r="V28" s="245">
        <v>1</v>
      </c>
      <c r="W28" s="83">
        <f t="shared" si="10"/>
        <v>29.166666666666668</v>
      </c>
      <c r="X28" s="245">
        <v>1</v>
      </c>
      <c r="Y28" s="83">
        <f t="shared" si="11"/>
        <v>29.166666666666668</v>
      </c>
      <c r="Z28" s="245">
        <v>1</v>
      </c>
      <c r="AA28" s="83">
        <f t="shared" si="12"/>
        <v>29.166666666666668</v>
      </c>
      <c r="AB28" s="245">
        <v>1</v>
      </c>
      <c r="AC28" s="83">
        <f t="shared" si="13"/>
        <v>29.166666666666668</v>
      </c>
      <c r="AD28" s="17">
        <v>5</v>
      </c>
      <c r="AE28" s="83">
        <f t="shared" si="14"/>
        <v>145.83333333333334</v>
      </c>
      <c r="AF28" s="17">
        <v>1</v>
      </c>
      <c r="AG28" s="83">
        <f t="shared" si="15"/>
        <v>29.166666666666668</v>
      </c>
      <c r="AI28" s="83">
        <f t="shared" si="16"/>
        <v>0</v>
      </c>
      <c r="AJ28" s="17">
        <v>1</v>
      </c>
      <c r="AK28" s="83">
        <f t="shared" si="17"/>
        <v>29.166666666666668</v>
      </c>
      <c r="AL28" s="17">
        <v>10</v>
      </c>
      <c r="AM28" s="83">
        <f t="shared" si="18"/>
        <v>291.66666666666669</v>
      </c>
      <c r="AN28" s="83">
        <f t="shared" si="19"/>
        <v>1866.6666666666672</v>
      </c>
      <c r="AO28" s="83">
        <f t="shared" si="20"/>
        <v>149.33333333333337</v>
      </c>
      <c r="AP28" s="83">
        <f t="shared" si="21"/>
        <v>2016.0000000000005</v>
      </c>
      <c r="AQ28" s="83">
        <f t="shared" si="22"/>
        <v>28.224000000000007</v>
      </c>
      <c r="AR28" s="83">
        <f t="shared" si="23"/>
        <v>2044.2240000000004</v>
      </c>
      <c r="AS28" s="83">
        <f t="shared" si="24"/>
        <v>286.19136000000009</v>
      </c>
      <c r="AT28" s="83">
        <f t="shared" si="25"/>
        <v>2330.4153600000004</v>
      </c>
      <c r="AU28" s="83">
        <f t="shared" si="26"/>
        <v>37</v>
      </c>
    </row>
    <row r="29" spans="1:47" x14ac:dyDescent="0.35">
      <c r="B29" s="59" t="s">
        <v>256</v>
      </c>
      <c r="C29" s="244">
        <f t="shared" si="0"/>
        <v>64</v>
      </c>
      <c r="D29" s="67">
        <v>1</v>
      </c>
      <c r="E29" s="99">
        <v>125</v>
      </c>
      <c r="F29" s="49">
        <f t="shared" si="1"/>
        <v>125</v>
      </c>
      <c r="G29" s="50">
        <f t="shared" si="2"/>
        <v>8000</v>
      </c>
      <c r="I29" s="330">
        <f t="shared" si="3"/>
        <v>0</v>
      </c>
      <c r="J29" s="330">
        <f t="shared" si="4"/>
        <v>0</v>
      </c>
      <c r="L29" s="245">
        <v>14</v>
      </c>
      <c r="M29" s="83">
        <f t="shared" si="5"/>
        <v>1750</v>
      </c>
      <c r="N29" s="245">
        <v>7</v>
      </c>
      <c r="O29" s="83">
        <f t="shared" si="6"/>
        <v>875</v>
      </c>
      <c r="P29" s="245">
        <v>7</v>
      </c>
      <c r="Q29" s="83">
        <f t="shared" si="7"/>
        <v>875</v>
      </c>
      <c r="R29" s="245">
        <v>14</v>
      </c>
      <c r="S29" s="83">
        <f t="shared" si="8"/>
        <v>1750</v>
      </c>
      <c r="T29" s="245">
        <v>1</v>
      </c>
      <c r="U29" s="83">
        <f t="shared" si="9"/>
        <v>125</v>
      </c>
      <c r="V29" s="245">
        <v>1</v>
      </c>
      <c r="W29" s="83">
        <f t="shared" si="10"/>
        <v>125</v>
      </c>
      <c r="X29" s="245">
        <v>1</v>
      </c>
      <c r="Y29" s="83">
        <f t="shared" si="11"/>
        <v>125</v>
      </c>
      <c r="Z29" s="245">
        <v>1</v>
      </c>
      <c r="AA29" s="83">
        <f t="shared" si="12"/>
        <v>125</v>
      </c>
      <c r="AB29" s="245">
        <v>1</v>
      </c>
      <c r="AC29" s="83">
        <f t="shared" si="13"/>
        <v>125</v>
      </c>
      <c r="AD29" s="17">
        <v>5</v>
      </c>
      <c r="AE29" s="83">
        <f t="shared" si="14"/>
        <v>625</v>
      </c>
      <c r="AF29" s="17">
        <v>1</v>
      </c>
      <c r="AG29" s="83">
        <f t="shared" si="15"/>
        <v>125</v>
      </c>
      <c r="AI29" s="83">
        <f t="shared" si="16"/>
        <v>0</v>
      </c>
      <c r="AJ29" s="17">
        <v>1</v>
      </c>
      <c r="AK29" s="83">
        <f t="shared" si="17"/>
        <v>125</v>
      </c>
      <c r="AL29" s="17">
        <v>10</v>
      </c>
      <c r="AM29" s="83">
        <f t="shared" si="18"/>
        <v>1250</v>
      </c>
      <c r="AN29" s="83">
        <f t="shared" si="19"/>
        <v>8000</v>
      </c>
      <c r="AO29" s="83">
        <f t="shared" si="20"/>
        <v>640</v>
      </c>
      <c r="AP29" s="83">
        <f t="shared" si="21"/>
        <v>8640</v>
      </c>
      <c r="AQ29" s="83">
        <f t="shared" si="22"/>
        <v>120.96000000000001</v>
      </c>
      <c r="AR29" s="83">
        <f t="shared" si="23"/>
        <v>8760.9599999999991</v>
      </c>
      <c r="AS29" s="83">
        <f t="shared" si="24"/>
        <v>1226.5344</v>
      </c>
      <c r="AT29" s="83">
        <f t="shared" si="25"/>
        <v>9987.4943999999996</v>
      </c>
      <c r="AU29" s="83">
        <f t="shared" si="26"/>
        <v>157</v>
      </c>
    </row>
    <row r="30" spans="1:47" x14ac:dyDescent="0.35">
      <c r="B30" s="59" t="s">
        <v>257</v>
      </c>
      <c r="C30" s="244">
        <f t="shared" si="0"/>
        <v>51</v>
      </c>
      <c r="D30" s="67">
        <v>3</v>
      </c>
      <c r="E30" s="99">
        <v>250</v>
      </c>
      <c r="F30" s="49">
        <f t="shared" si="1"/>
        <v>83.333333333333329</v>
      </c>
      <c r="G30" s="50">
        <f t="shared" si="2"/>
        <v>4250</v>
      </c>
      <c r="I30" s="330">
        <f t="shared" si="3"/>
        <v>0</v>
      </c>
      <c r="J30" s="330">
        <f t="shared" si="4"/>
        <v>0</v>
      </c>
      <c r="L30" s="245">
        <v>5</v>
      </c>
      <c r="M30" s="83">
        <f t="shared" si="5"/>
        <v>416.66666666666663</v>
      </c>
      <c r="N30" s="245">
        <v>2</v>
      </c>
      <c r="O30" s="83">
        <f t="shared" si="6"/>
        <v>166.66666666666666</v>
      </c>
      <c r="P30" s="245">
        <v>2</v>
      </c>
      <c r="Q30" s="83">
        <f t="shared" si="7"/>
        <v>166.66666666666666</v>
      </c>
      <c r="R30" s="245">
        <v>5</v>
      </c>
      <c r="S30" s="83">
        <f t="shared" si="8"/>
        <v>416.66666666666663</v>
      </c>
      <c r="T30" s="245">
        <v>5</v>
      </c>
      <c r="U30" s="83">
        <f t="shared" si="9"/>
        <v>416.66666666666663</v>
      </c>
      <c r="V30" s="245">
        <v>4</v>
      </c>
      <c r="W30" s="83">
        <f t="shared" si="10"/>
        <v>333.33333333333331</v>
      </c>
      <c r="X30" s="245">
        <v>2</v>
      </c>
      <c r="Y30" s="83">
        <f t="shared" si="11"/>
        <v>166.66666666666666</v>
      </c>
      <c r="Z30" s="245">
        <v>4</v>
      </c>
      <c r="AA30" s="83">
        <f t="shared" si="12"/>
        <v>333.33333333333331</v>
      </c>
      <c r="AB30" s="245">
        <v>4</v>
      </c>
      <c r="AC30" s="83">
        <f t="shared" si="13"/>
        <v>333.33333333333331</v>
      </c>
      <c r="AD30" s="17">
        <v>5</v>
      </c>
      <c r="AE30" s="83">
        <f t="shared" si="14"/>
        <v>416.66666666666663</v>
      </c>
      <c r="AF30" s="17">
        <v>1</v>
      </c>
      <c r="AG30" s="83">
        <f t="shared" si="15"/>
        <v>83.333333333333329</v>
      </c>
      <c r="AH30" s="17">
        <v>6</v>
      </c>
      <c r="AI30" s="83">
        <f t="shared" si="16"/>
        <v>500</v>
      </c>
      <c r="AJ30" s="17">
        <v>1</v>
      </c>
      <c r="AK30" s="83">
        <f t="shared" si="17"/>
        <v>83.333333333333329</v>
      </c>
      <c r="AL30" s="17">
        <v>5</v>
      </c>
      <c r="AM30" s="83">
        <f t="shared" si="18"/>
        <v>416.66666666666663</v>
      </c>
      <c r="AN30" s="83">
        <f t="shared" si="19"/>
        <v>4250</v>
      </c>
      <c r="AO30" s="83">
        <f t="shared" si="20"/>
        <v>340</v>
      </c>
      <c r="AP30" s="83">
        <f t="shared" si="21"/>
        <v>4590</v>
      </c>
      <c r="AQ30" s="83">
        <f t="shared" si="22"/>
        <v>64.260000000000005</v>
      </c>
      <c r="AR30" s="83">
        <f t="shared" si="23"/>
        <v>4654.26</v>
      </c>
      <c r="AS30" s="83">
        <f t="shared" si="24"/>
        <v>651.59640000000013</v>
      </c>
      <c r="AT30" s="83">
        <f t="shared" si="25"/>
        <v>5305.8564000000006</v>
      </c>
      <c r="AU30" s="83">
        <f t="shared" si="26"/>
        <v>105</v>
      </c>
    </row>
    <row r="31" spans="1:47" x14ac:dyDescent="0.35">
      <c r="B31" s="59" t="s">
        <v>258</v>
      </c>
      <c r="C31" s="244">
        <f t="shared" si="0"/>
        <v>84</v>
      </c>
      <c r="D31" s="74">
        <v>1</v>
      </c>
      <c r="E31" s="99">
        <v>60</v>
      </c>
      <c r="F31" s="49">
        <f t="shared" si="1"/>
        <v>60</v>
      </c>
      <c r="G31" s="50">
        <f t="shared" si="2"/>
        <v>5040</v>
      </c>
      <c r="I31" s="330">
        <f t="shared" si="3"/>
        <v>0</v>
      </c>
      <c r="J31" s="330">
        <f t="shared" si="4"/>
        <v>0</v>
      </c>
      <c r="L31" s="245">
        <v>15</v>
      </c>
      <c r="M31" s="83">
        <f t="shared" si="5"/>
        <v>900</v>
      </c>
      <c r="N31" s="245">
        <v>7</v>
      </c>
      <c r="O31" s="83">
        <f t="shared" si="6"/>
        <v>420</v>
      </c>
      <c r="P31" s="245">
        <v>7</v>
      </c>
      <c r="Q31" s="83">
        <f t="shared" si="7"/>
        <v>420</v>
      </c>
      <c r="R31" s="245">
        <v>15</v>
      </c>
      <c r="S31" s="83">
        <f t="shared" si="8"/>
        <v>900</v>
      </c>
      <c r="T31" s="245">
        <v>5</v>
      </c>
      <c r="U31" s="83">
        <f t="shared" si="9"/>
        <v>300</v>
      </c>
      <c r="V31" s="245">
        <v>4</v>
      </c>
      <c r="W31" s="83">
        <f t="shared" si="10"/>
        <v>240</v>
      </c>
      <c r="X31" s="245">
        <v>2</v>
      </c>
      <c r="Y31" s="83">
        <f t="shared" si="11"/>
        <v>120</v>
      </c>
      <c r="Z31" s="245">
        <v>4</v>
      </c>
      <c r="AA31" s="83">
        <f t="shared" si="12"/>
        <v>240</v>
      </c>
      <c r="AB31" s="245">
        <v>4</v>
      </c>
      <c r="AC31" s="83">
        <f t="shared" si="13"/>
        <v>240</v>
      </c>
      <c r="AD31" s="17">
        <v>3</v>
      </c>
      <c r="AE31" s="83">
        <f t="shared" si="14"/>
        <v>180</v>
      </c>
      <c r="AF31" s="17">
        <v>1</v>
      </c>
      <c r="AG31" s="83">
        <f t="shared" si="15"/>
        <v>60</v>
      </c>
      <c r="AH31" s="17">
        <v>6</v>
      </c>
      <c r="AI31" s="83">
        <f t="shared" si="16"/>
        <v>360</v>
      </c>
      <c r="AJ31" s="17">
        <v>1</v>
      </c>
      <c r="AK31" s="83">
        <f t="shared" si="17"/>
        <v>60</v>
      </c>
      <c r="AL31" s="17">
        <v>10</v>
      </c>
      <c r="AM31" s="83">
        <f t="shared" si="18"/>
        <v>600</v>
      </c>
      <c r="AN31" s="83">
        <f t="shared" si="19"/>
        <v>5040</v>
      </c>
      <c r="AO31" s="83">
        <f t="shared" si="20"/>
        <v>403.2</v>
      </c>
      <c r="AP31" s="83">
        <f t="shared" si="21"/>
        <v>5443.2</v>
      </c>
      <c r="AQ31" s="83">
        <f t="shared" si="22"/>
        <v>76.204800000000006</v>
      </c>
      <c r="AR31" s="83">
        <f t="shared" si="23"/>
        <v>5519.4048000000003</v>
      </c>
      <c r="AS31" s="83">
        <f t="shared" si="24"/>
        <v>772.71667200000013</v>
      </c>
      <c r="AT31" s="83">
        <f t="shared" si="25"/>
        <v>6292.1214720000007</v>
      </c>
      <c r="AU31" s="83">
        <f t="shared" si="26"/>
        <v>75</v>
      </c>
    </row>
    <row r="32" spans="1:47" x14ac:dyDescent="0.35">
      <c r="B32" s="61" t="s">
        <v>259</v>
      </c>
      <c r="C32" s="244">
        <f t="shared" si="0"/>
        <v>72</v>
      </c>
      <c r="D32" s="74">
        <v>1</v>
      </c>
      <c r="E32" s="99">
        <v>60</v>
      </c>
      <c r="F32" s="49">
        <f t="shared" si="1"/>
        <v>60</v>
      </c>
      <c r="G32" s="50">
        <f t="shared" si="2"/>
        <v>4320</v>
      </c>
      <c r="I32" s="330">
        <f t="shared" si="3"/>
        <v>0</v>
      </c>
      <c r="J32" s="330">
        <f t="shared" si="4"/>
        <v>0</v>
      </c>
      <c r="L32" s="245">
        <v>15</v>
      </c>
      <c r="M32" s="83">
        <f t="shared" si="5"/>
        <v>900</v>
      </c>
      <c r="N32" s="245">
        <v>7</v>
      </c>
      <c r="O32" s="83">
        <f t="shared" si="6"/>
        <v>420</v>
      </c>
      <c r="P32" s="245">
        <v>7</v>
      </c>
      <c r="Q32" s="83">
        <f t="shared" si="7"/>
        <v>420</v>
      </c>
      <c r="R32" s="245">
        <v>15</v>
      </c>
      <c r="S32" s="83">
        <f t="shared" si="8"/>
        <v>900</v>
      </c>
      <c r="T32" s="245">
        <v>1</v>
      </c>
      <c r="U32" s="83">
        <f t="shared" si="9"/>
        <v>60</v>
      </c>
      <c r="V32" s="245">
        <v>1</v>
      </c>
      <c r="W32" s="83">
        <f t="shared" si="10"/>
        <v>60</v>
      </c>
      <c r="X32" s="245">
        <v>1</v>
      </c>
      <c r="Y32" s="83">
        <f t="shared" si="11"/>
        <v>60</v>
      </c>
      <c r="Z32" s="245">
        <v>1</v>
      </c>
      <c r="AA32" s="83">
        <f t="shared" si="12"/>
        <v>60</v>
      </c>
      <c r="AB32" s="245">
        <v>1</v>
      </c>
      <c r="AC32" s="83">
        <f t="shared" si="13"/>
        <v>60</v>
      </c>
      <c r="AD32" s="17">
        <v>5</v>
      </c>
      <c r="AE32" s="83">
        <f t="shared" si="14"/>
        <v>300</v>
      </c>
      <c r="AF32" s="17">
        <v>1</v>
      </c>
      <c r="AG32" s="83">
        <f t="shared" si="15"/>
        <v>60</v>
      </c>
      <c r="AH32" s="17">
        <v>6</v>
      </c>
      <c r="AI32" s="83">
        <f t="shared" si="16"/>
        <v>360</v>
      </c>
      <c r="AJ32" s="17">
        <v>1</v>
      </c>
      <c r="AK32" s="83">
        <f t="shared" si="17"/>
        <v>60</v>
      </c>
      <c r="AL32" s="17">
        <v>10</v>
      </c>
      <c r="AM32" s="83">
        <f t="shared" si="18"/>
        <v>600</v>
      </c>
      <c r="AN32" s="83">
        <f t="shared" si="19"/>
        <v>4320</v>
      </c>
      <c r="AO32" s="83">
        <f t="shared" si="20"/>
        <v>345.6</v>
      </c>
      <c r="AP32" s="83">
        <f t="shared" si="21"/>
        <v>4665.6000000000004</v>
      </c>
      <c r="AQ32" s="83">
        <f t="shared" si="22"/>
        <v>65.318400000000011</v>
      </c>
      <c r="AR32" s="83">
        <f t="shared" si="23"/>
        <v>4730.9184000000005</v>
      </c>
      <c r="AS32" s="83">
        <f t="shared" si="24"/>
        <v>662.32857600000011</v>
      </c>
      <c r="AT32" s="83">
        <f t="shared" si="25"/>
        <v>5393.2469760000004</v>
      </c>
      <c r="AU32" s="83">
        <f t="shared" si="26"/>
        <v>75</v>
      </c>
    </row>
    <row r="33" spans="2:47" x14ac:dyDescent="0.35">
      <c r="B33" s="61" t="s">
        <v>260</v>
      </c>
      <c r="C33" s="244">
        <f t="shared" si="0"/>
        <v>60</v>
      </c>
      <c r="D33" s="74">
        <v>2</v>
      </c>
      <c r="E33" s="99">
        <v>135</v>
      </c>
      <c r="F33" s="49">
        <f t="shared" si="1"/>
        <v>67.5</v>
      </c>
      <c r="G33" s="50">
        <f t="shared" si="2"/>
        <v>4050</v>
      </c>
      <c r="I33" s="330">
        <f t="shared" si="3"/>
        <v>0</v>
      </c>
      <c r="J33" s="330">
        <f t="shared" si="4"/>
        <v>0</v>
      </c>
      <c r="L33" s="245">
        <v>5</v>
      </c>
      <c r="M33" s="83">
        <f t="shared" si="5"/>
        <v>337.5</v>
      </c>
      <c r="N33" s="245">
        <v>7</v>
      </c>
      <c r="O33" s="83">
        <f t="shared" si="6"/>
        <v>472.5</v>
      </c>
      <c r="P33" s="245">
        <v>7</v>
      </c>
      <c r="Q33" s="83">
        <f t="shared" si="7"/>
        <v>472.5</v>
      </c>
      <c r="R33" s="245">
        <v>5</v>
      </c>
      <c r="S33" s="83">
        <f t="shared" si="8"/>
        <v>337.5</v>
      </c>
      <c r="T33" s="245">
        <v>5</v>
      </c>
      <c r="U33" s="83">
        <f t="shared" si="9"/>
        <v>337.5</v>
      </c>
      <c r="V33" s="245">
        <v>2</v>
      </c>
      <c r="W33" s="83">
        <f t="shared" si="10"/>
        <v>135</v>
      </c>
      <c r="X33" s="245">
        <v>2</v>
      </c>
      <c r="Y33" s="83">
        <f t="shared" si="11"/>
        <v>135</v>
      </c>
      <c r="Z33" s="245">
        <v>2</v>
      </c>
      <c r="AA33" s="83">
        <f t="shared" si="12"/>
        <v>135</v>
      </c>
      <c r="AB33" s="245">
        <v>2</v>
      </c>
      <c r="AC33" s="83">
        <f t="shared" si="13"/>
        <v>135</v>
      </c>
      <c r="AD33" s="17">
        <v>5</v>
      </c>
      <c r="AE33" s="83">
        <f t="shared" si="14"/>
        <v>337.5</v>
      </c>
      <c r="AF33" s="17">
        <v>1</v>
      </c>
      <c r="AG33" s="83">
        <f t="shared" si="15"/>
        <v>67.5</v>
      </c>
      <c r="AH33" s="17">
        <v>6</v>
      </c>
      <c r="AI33" s="83">
        <f t="shared" si="16"/>
        <v>405</v>
      </c>
      <c r="AJ33" s="17">
        <v>1</v>
      </c>
      <c r="AK33" s="83">
        <f t="shared" si="17"/>
        <v>67.5</v>
      </c>
      <c r="AL33" s="17">
        <v>10</v>
      </c>
      <c r="AM33" s="83">
        <f t="shared" si="18"/>
        <v>675</v>
      </c>
      <c r="AN33" s="83">
        <f t="shared" si="19"/>
        <v>4050</v>
      </c>
      <c r="AO33" s="83">
        <f t="shared" si="20"/>
        <v>324</v>
      </c>
      <c r="AP33" s="83">
        <f t="shared" si="21"/>
        <v>4374</v>
      </c>
      <c r="AQ33" s="83">
        <f t="shared" si="22"/>
        <v>61.236000000000004</v>
      </c>
      <c r="AR33" s="83">
        <f t="shared" si="23"/>
        <v>4435.2359999999999</v>
      </c>
      <c r="AS33" s="83">
        <f t="shared" si="24"/>
        <v>620.93304000000001</v>
      </c>
      <c r="AT33" s="83">
        <f t="shared" si="25"/>
        <v>5056.1690399999998</v>
      </c>
      <c r="AU33" s="83">
        <f t="shared" si="26"/>
        <v>85</v>
      </c>
    </row>
    <row r="34" spans="2:47" x14ac:dyDescent="0.35">
      <c r="B34" s="59" t="s">
        <v>261</v>
      </c>
      <c r="C34" s="244">
        <f t="shared" si="0"/>
        <v>32</v>
      </c>
      <c r="D34" s="74">
        <v>1</v>
      </c>
      <c r="E34" s="99">
        <v>90</v>
      </c>
      <c r="F34" s="49">
        <f t="shared" si="1"/>
        <v>90</v>
      </c>
      <c r="G34" s="50">
        <f t="shared" si="2"/>
        <v>2880</v>
      </c>
      <c r="I34" s="330">
        <f t="shared" si="3"/>
        <v>0</v>
      </c>
      <c r="J34" s="330">
        <f t="shared" si="4"/>
        <v>0</v>
      </c>
      <c r="L34" s="245">
        <v>4</v>
      </c>
      <c r="M34" s="83">
        <f t="shared" si="5"/>
        <v>360</v>
      </c>
      <c r="N34" s="245">
        <v>2</v>
      </c>
      <c r="O34" s="83">
        <f t="shared" si="6"/>
        <v>180</v>
      </c>
      <c r="P34" s="245">
        <v>2</v>
      </c>
      <c r="Q34" s="83">
        <f t="shared" si="7"/>
        <v>180</v>
      </c>
      <c r="R34" s="245">
        <v>4</v>
      </c>
      <c r="S34" s="83">
        <f t="shared" si="8"/>
        <v>360</v>
      </c>
      <c r="T34" s="245">
        <v>1</v>
      </c>
      <c r="U34" s="83">
        <f t="shared" si="9"/>
        <v>90</v>
      </c>
      <c r="V34" s="245">
        <v>1</v>
      </c>
      <c r="W34" s="83">
        <f t="shared" si="10"/>
        <v>90</v>
      </c>
      <c r="X34" s="245">
        <v>1</v>
      </c>
      <c r="Y34" s="83">
        <f t="shared" si="11"/>
        <v>90</v>
      </c>
      <c r="Z34" s="245">
        <v>1</v>
      </c>
      <c r="AA34" s="83">
        <f t="shared" si="12"/>
        <v>90</v>
      </c>
      <c r="AB34" s="245">
        <v>1</v>
      </c>
      <c r="AC34" s="83">
        <f t="shared" si="13"/>
        <v>90</v>
      </c>
      <c r="AD34" s="17">
        <v>5</v>
      </c>
      <c r="AE34" s="83">
        <f t="shared" si="14"/>
        <v>450</v>
      </c>
      <c r="AG34" s="83">
        <f t="shared" si="15"/>
        <v>0</v>
      </c>
      <c r="AI34" s="83">
        <f t="shared" si="16"/>
        <v>0</v>
      </c>
      <c r="AK34" s="83">
        <f t="shared" si="17"/>
        <v>0</v>
      </c>
      <c r="AL34" s="17">
        <v>10</v>
      </c>
      <c r="AM34" s="83">
        <f t="shared" si="18"/>
        <v>900</v>
      </c>
      <c r="AN34" s="83">
        <f t="shared" si="19"/>
        <v>2880</v>
      </c>
      <c r="AO34" s="83">
        <f t="shared" si="20"/>
        <v>230.4</v>
      </c>
      <c r="AP34" s="83">
        <f t="shared" si="21"/>
        <v>3110.4</v>
      </c>
      <c r="AQ34" s="83">
        <f t="shared" si="22"/>
        <v>43.5456</v>
      </c>
      <c r="AR34" s="83">
        <f t="shared" si="23"/>
        <v>3153.9456</v>
      </c>
      <c r="AS34" s="83">
        <f t="shared" si="24"/>
        <v>441.55238400000002</v>
      </c>
      <c r="AT34" s="83">
        <f t="shared" si="25"/>
        <v>3595.4979840000001</v>
      </c>
      <c r="AU34" s="83">
        <f t="shared" si="26"/>
        <v>113</v>
      </c>
    </row>
    <row r="35" spans="2:47" x14ac:dyDescent="0.35">
      <c r="B35" s="62" t="s">
        <v>262</v>
      </c>
      <c r="C35" s="244">
        <f t="shared" si="0"/>
        <v>118</v>
      </c>
      <c r="D35" s="74">
        <v>1</v>
      </c>
      <c r="E35" s="99">
        <v>35</v>
      </c>
      <c r="F35" s="49">
        <f t="shared" si="1"/>
        <v>35</v>
      </c>
      <c r="G35" s="50">
        <f t="shared" si="2"/>
        <v>4130</v>
      </c>
      <c r="I35" s="330">
        <f t="shared" si="3"/>
        <v>0</v>
      </c>
      <c r="J35" s="330">
        <f t="shared" si="4"/>
        <v>0</v>
      </c>
      <c r="L35" s="245">
        <v>25</v>
      </c>
      <c r="M35" s="83">
        <f t="shared" si="5"/>
        <v>875</v>
      </c>
      <c r="N35" s="245">
        <v>12</v>
      </c>
      <c r="O35" s="83">
        <f t="shared" si="6"/>
        <v>420</v>
      </c>
      <c r="P35" s="245">
        <v>12</v>
      </c>
      <c r="Q35" s="83">
        <f t="shared" si="7"/>
        <v>420</v>
      </c>
      <c r="R35" s="245">
        <v>25</v>
      </c>
      <c r="S35" s="83">
        <f t="shared" si="8"/>
        <v>875</v>
      </c>
      <c r="T35" s="245">
        <v>5</v>
      </c>
      <c r="U35" s="83">
        <f t="shared" si="9"/>
        <v>175</v>
      </c>
      <c r="V35" s="245">
        <v>3</v>
      </c>
      <c r="W35" s="83">
        <f t="shared" si="10"/>
        <v>105</v>
      </c>
      <c r="X35" s="245">
        <v>3</v>
      </c>
      <c r="Y35" s="83">
        <f t="shared" si="11"/>
        <v>105</v>
      </c>
      <c r="Z35" s="245">
        <v>3</v>
      </c>
      <c r="AA35" s="83">
        <f t="shared" si="12"/>
        <v>105</v>
      </c>
      <c r="AB35" s="245">
        <v>3</v>
      </c>
      <c r="AC35" s="83">
        <f t="shared" si="13"/>
        <v>105</v>
      </c>
      <c r="AD35" s="17">
        <v>10</v>
      </c>
      <c r="AE35" s="83">
        <f t="shared" si="14"/>
        <v>350</v>
      </c>
      <c r="AF35" s="17">
        <v>1</v>
      </c>
      <c r="AG35" s="83">
        <f t="shared" si="15"/>
        <v>35</v>
      </c>
      <c r="AI35" s="83">
        <f t="shared" si="16"/>
        <v>0</v>
      </c>
      <c r="AJ35" s="17">
        <v>1</v>
      </c>
      <c r="AK35" s="83">
        <f t="shared" si="17"/>
        <v>35</v>
      </c>
      <c r="AL35" s="17">
        <v>15</v>
      </c>
      <c r="AM35" s="83">
        <f t="shared" si="18"/>
        <v>525</v>
      </c>
      <c r="AN35" s="83">
        <f t="shared" si="19"/>
        <v>4130</v>
      </c>
      <c r="AO35" s="83">
        <f t="shared" si="20"/>
        <v>330.40000000000003</v>
      </c>
      <c r="AP35" s="83">
        <f t="shared" si="21"/>
        <v>4460.3999999999996</v>
      </c>
      <c r="AQ35" s="83">
        <f t="shared" si="22"/>
        <v>62.445599999999999</v>
      </c>
      <c r="AR35" s="83">
        <f t="shared" si="23"/>
        <v>4522.8455999999996</v>
      </c>
      <c r="AS35" s="83">
        <f t="shared" si="24"/>
        <v>633.19838400000003</v>
      </c>
      <c r="AT35" s="83">
        <f t="shared" si="25"/>
        <v>5156.0439839999999</v>
      </c>
      <c r="AU35" s="83">
        <f t="shared" si="26"/>
        <v>44</v>
      </c>
    </row>
    <row r="36" spans="2:47" x14ac:dyDescent="0.35">
      <c r="B36" s="59" t="s">
        <v>423</v>
      </c>
      <c r="C36" s="244">
        <f t="shared" si="0"/>
        <v>77</v>
      </c>
      <c r="D36" s="74">
        <v>1</v>
      </c>
      <c r="E36" s="99">
        <v>35</v>
      </c>
      <c r="F36" s="49">
        <f t="shared" si="1"/>
        <v>35</v>
      </c>
      <c r="G36" s="50">
        <f t="shared" si="2"/>
        <v>2695</v>
      </c>
      <c r="I36" s="330">
        <f t="shared" si="3"/>
        <v>0</v>
      </c>
      <c r="J36" s="330">
        <f t="shared" si="4"/>
        <v>0</v>
      </c>
      <c r="L36" s="245">
        <v>15</v>
      </c>
      <c r="M36" s="83">
        <f t="shared" si="5"/>
        <v>525</v>
      </c>
      <c r="N36" s="245">
        <v>7</v>
      </c>
      <c r="O36" s="83">
        <f t="shared" si="6"/>
        <v>245</v>
      </c>
      <c r="P36" s="245">
        <v>7</v>
      </c>
      <c r="Q36" s="83">
        <f t="shared" si="7"/>
        <v>245</v>
      </c>
      <c r="R36" s="245">
        <v>15</v>
      </c>
      <c r="S36" s="83">
        <f t="shared" si="8"/>
        <v>525</v>
      </c>
      <c r="T36" s="245">
        <v>2</v>
      </c>
      <c r="U36" s="83">
        <f t="shared" si="9"/>
        <v>70</v>
      </c>
      <c r="V36" s="245">
        <v>2</v>
      </c>
      <c r="W36" s="83">
        <f t="shared" si="10"/>
        <v>70</v>
      </c>
      <c r="X36" s="245">
        <v>2</v>
      </c>
      <c r="Y36" s="83">
        <f t="shared" si="11"/>
        <v>70</v>
      </c>
      <c r="Z36" s="245">
        <v>2</v>
      </c>
      <c r="AA36" s="83">
        <f t="shared" si="12"/>
        <v>70</v>
      </c>
      <c r="AB36" s="245">
        <v>2</v>
      </c>
      <c r="AC36" s="83">
        <f t="shared" si="13"/>
        <v>70</v>
      </c>
      <c r="AD36" s="17">
        <v>10</v>
      </c>
      <c r="AE36" s="83">
        <f t="shared" si="14"/>
        <v>350</v>
      </c>
      <c r="AF36" s="17">
        <v>1</v>
      </c>
      <c r="AG36" s="83">
        <f t="shared" si="15"/>
        <v>35</v>
      </c>
      <c r="AH36" s="17">
        <v>6</v>
      </c>
      <c r="AI36" s="83">
        <f t="shared" si="16"/>
        <v>210</v>
      </c>
      <c r="AJ36" s="17">
        <v>1</v>
      </c>
      <c r="AK36" s="83">
        <f t="shared" si="17"/>
        <v>35</v>
      </c>
      <c r="AL36" s="17">
        <v>5</v>
      </c>
      <c r="AM36" s="83">
        <f t="shared" si="18"/>
        <v>175</v>
      </c>
      <c r="AN36" s="83">
        <f t="shared" si="19"/>
        <v>2695</v>
      </c>
      <c r="AO36" s="83">
        <f t="shared" si="20"/>
        <v>215.6</v>
      </c>
      <c r="AP36" s="83">
        <f t="shared" si="21"/>
        <v>2910.6</v>
      </c>
      <c r="AQ36" s="83">
        <f t="shared" si="22"/>
        <v>40.748399999999997</v>
      </c>
      <c r="AR36" s="83">
        <f t="shared" si="23"/>
        <v>2951.3483999999999</v>
      </c>
      <c r="AS36" s="83">
        <f t="shared" si="24"/>
        <v>413.18877600000002</v>
      </c>
      <c r="AT36" s="83">
        <f t="shared" si="25"/>
        <v>3364.5371759999998</v>
      </c>
      <c r="AU36" s="83">
        <f t="shared" si="26"/>
        <v>44</v>
      </c>
    </row>
    <row r="37" spans="2:47" x14ac:dyDescent="0.35">
      <c r="B37" s="59" t="s">
        <v>264</v>
      </c>
      <c r="C37" s="244">
        <f t="shared" si="0"/>
        <v>21</v>
      </c>
      <c r="D37" s="74">
        <v>3</v>
      </c>
      <c r="E37" s="99">
        <v>65</v>
      </c>
      <c r="F37" s="49">
        <f t="shared" si="1"/>
        <v>21.666666666666668</v>
      </c>
      <c r="G37" s="50">
        <f t="shared" si="2"/>
        <v>455</v>
      </c>
      <c r="I37" s="330">
        <f t="shared" si="3"/>
        <v>0</v>
      </c>
      <c r="J37" s="330">
        <f t="shared" si="4"/>
        <v>0</v>
      </c>
      <c r="L37" s="245">
        <v>2</v>
      </c>
      <c r="M37" s="83">
        <f t="shared" si="5"/>
        <v>43.333333333333336</v>
      </c>
      <c r="N37" s="245">
        <v>1</v>
      </c>
      <c r="O37" s="83">
        <f t="shared" si="6"/>
        <v>21.666666666666668</v>
      </c>
      <c r="P37" s="245">
        <v>1</v>
      </c>
      <c r="Q37" s="83">
        <f t="shared" si="7"/>
        <v>21.666666666666668</v>
      </c>
      <c r="R37" s="245">
        <v>2</v>
      </c>
      <c r="S37" s="83">
        <f t="shared" si="8"/>
        <v>43.333333333333336</v>
      </c>
      <c r="T37" s="245">
        <v>1</v>
      </c>
      <c r="U37" s="83">
        <f t="shared" si="9"/>
        <v>21.666666666666668</v>
      </c>
      <c r="V37" s="245">
        <v>1</v>
      </c>
      <c r="W37" s="83">
        <f t="shared" si="10"/>
        <v>21.666666666666668</v>
      </c>
      <c r="X37" s="245">
        <v>1</v>
      </c>
      <c r="Y37" s="83">
        <f t="shared" si="11"/>
        <v>21.666666666666668</v>
      </c>
      <c r="Z37" s="245">
        <v>1</v>
      </c>
      <c r="AA37" s="83">
        <f t="shared" si="12"/>
        <v>21.666666666666668</v>
      </c>
      <c r="AB37" s="245">
        <v>1</v>
      </c>
      <c r="AC37" s="83">
        <f t="shared" si="13"/>
        <v>21.666666666666668</v>
      </c>
      <c r="AD37" s="17">
        <v>5</v>
      </c>
      <c r="AE37" s="83">
        <f t="shared" si="14"/>
        <v>108.33333333333334</v>
      </c>
      <c r="AG37" s="83">
        <f t="shared" si="15"/>
        <v>0</v>
      </c>
      <c r="AI37" s="83">
        <f t="shared" si="16"/>
        <v>0</v>
      </c>
      <c r="AK37" s="83">
        <f t="shared" si="17"/>
        <v>0</v>
      </c>
      <c r="AL37" s="17">
        <v>5</v>
      </c>
      <c r="AM37" s="83">
        <f t="shared" si="18"/>
        <v>108.33333333333334</v>
      </c>
      <c r="AN37" s="83">
        <f t="shared" si="19"/>
        <v>455</v>
      </c>
      <c r="AO37" s="83">
        <f t="shared" si="20"/>
        <v>36.4</v>
      </c>
      <c r="AP37" s="83">
        <f t="shared" si="21"/>
        <v>491.4</v>
      </c>
      <c r="AQ37" s="83">
        <f t="shared" si="22"/>
        <v>6.8795999999999999</v>
      </c>
      <c r="AR37" s="83">
        <f t="shared" si="23"/>
        <v>498.27959999999996</v>
      </c>
      <c r="AS37" s="83">
        <f t="shared" si="24"/>
        <v>69.759144000000006</v>
      </c>
      <c r="AT37" s="83">
        <f t="shared" si="25"/>
        <v>568.03874399999995</v>
      </c>
      <c r="AU37" s="83">
        <f t="shared" si="26"/>
        <v>28</v>
      </c>
    </row>
    <row r="38" spans="2:47" x14ac:dyDescent="0.35">
      <c r="B38" s="59" t="s">
        <v>265</v>
      </c>
      <c r="C38" s="244">
        <f t="shared" si="0"/>
        <v>91</v>
      </c>
      <c r="D38" s="74">
        <v>1</v>
      </c>
      <c r="E38" s="99">
        <v>60</v>
      </c>
      <c r="F38" s="49">
        <f t="shared" si="1"/>
        <v>60</v>
      </c>
      <c r="G38" s="50">
        <f t="shared" si="2"/>
        <v>5460</v>
      </c>
      <c r="I38" s="330">
        <f t="shared" si="3"/>
        <v>0</v>
      </c>
      <c r="J38" s="330">
        <f t="shared" si="4"/>
        <v>0</v>
      </c>
      <c r="L38" s="245">
        <v>15</v>
      </c>
      <c r="M38" s="83">
        <f t="shared" si="5"/>
        <v>900</v>
      </c>
      <c r="N38" s="245">
        <v>7</v>
      </c>
      <c r="O38" s="83">
        <f t="shared" si="6"/>
        <v>420</v>
      </c>
      <c r="P38" s="245">
        <v>7</v>
      </c>
      <c r="Q38" s="83">
        <f t="shared" si="7"/>
        <v>420</v>
      </c>
      <c r="R38" s="245">
        <v>15</v>
      </c>
      <c r="S38" s="83">
        <f t="shared" si="8"/>
        <v>900</v>
      </c>
      <c r="T38" s="245">
        <v>5</v>
      </c>
      <c r="U38" s="83">
        <f t="shared" si="9"/>
        <v>300</v>
      </c>
      <c r="V38" s="245">
        <v>4</v>
      </c>
      <c r="W38" s="83">
        <f t="shared" si="10"/>
        <v>240</v>
      </c>
      <c r="X38" s="245">
        <v>2</v>
      </c>
      <c r="Y38" s="83">
        <f t="shared" si="11"/>
        <v>120</v>
      </c>
      <c r="Z38" s="245">
        <v>4</v>
      </c>
      <c r="AA38" s="83">
        <f t="shared" si="12"/>
        <v>240</v>
      </c>
      <c r="AB38" s="245">
        <v>4</v>
      </c>
      <c r="AC38" s="83">
        <f t="shared" si="13"/>
        <v>240</v>
      </c>
      <c r="AD38" s="17">
        <v>5</v>
      </c>
      <c r="AE38" s="83">
        <f t="shared" si="14"/>
        <v>300</v>
      </c>
      <c r="AF38" s="17">
        <v>1</v>
      </c>
      <c r="AG38" s="83">
        <f t="shared" si="15"/>
        <v>60</v>
      </c>
      <c r="AH38" s="17">
        <v>6</v>
      </c>
      <c r="AI38" s="83">
        <f t="shared" si="16"/>
        <v>360</v>
      </c>
      <c r="AJ38" s="17">
        <v>1</v>
      </c>
      <c r="AK38" s="83">
        <f t="shared" si="17"/>
        <v>60</v>
      </c>
      <c r="AL38" s="17">
        <v>15</v>
      </c>
      <c r="AM38" s="83">
        <f t="shared" si="18"/>
        <v>900</v>
      </c>
      <c r="AN38" s="83">
        <f t="shared" si="19"/>
        <v>5460</v>
      </c>
      <c r="AO38" s="83">
        <f t="shared" si="20"/>
        <v>436.8</v>
      </c>
      <c r="AP38" s="83">
        <f t="shared" si="21"/>
        <v>5896.8</v>
      </c>
      <c r="AQ38" s="83">
        <f t="shared" si="22"/>
        <v>82.555199999999999</v>
      </c>
      <c r="AR38" s="83">
        <f t="shared" si="23"/>
        <v>5979.3552</v>
      </c>
      <c r="AS38" s="83">
        <f t="shared" si="24"/>
        <v>837.10972800000013</v>
      </c>
      <c r="AT38" s="83">
        <f t="shared" si="25"/>
        <v>6816.4649280000003</v>
      </c>
      <c r="AU38" s="83">
        <f t="shared" si="26"/>
        <v>75</v>
      </c>
    </row>
    <row r="39" spans="2:47" x14ac:dyDescent="0.35">
      <c r="B39" s="59" t="s">
        <v>424</v>
      </c>
      <c r="C39" s="244">
        <f t="shared" si="0"/>
        <v>71</v>
      </c>
      <c r="D39" s="74">
        <v>6</v>
      </c>
      <c r="E39" s="99">
        <v>220</v>
      </c>
      <c r="F39" s="49">
        <f t="shared" si="1"/>
        <v>36.666666666666664</v>
      </c>
      <c r="G39" s="50">
        <f t="shared" si="2"/>
        <v>2603.333333333333</v>
      </c>
      <c r="I39" s="330">
        <f t="shared" si="3"/>
        <v>0</v>
      </c>
      <c r="J39" s="330">
        <f t="shared" si="4"/>
        <v>0</v>
      </c>
      <c r="L39" s="245">
        <v>15</v>
      </c>
      <c r="M39" s="83">
        <f t="shared" si="5"/>
        <v>550</v>
      </c>
      <c r="N39" s="245">
        <v>7</v>
      </c>
      <c r="O39" s="83">
        <f t="shared" si="6"/>
        <v>256.66666666666663</v>
      </c>
      <c r="P39" s="245">
        <v>7</v>
      </c>
      <c r="Q39" s="83">
        <f t="shared" si="7"/>
        <v>256.66666666666663</v>
      </c>
      <c r="R39" s="245">
        <v>15</v>
      </c>
      <c r="S39" s="83">
        <f t="shared" si="8"/>
        <v>550</v>
      </c>
      <c r="T39" s="245">
        <v>2</v>
      </c>
      <c r="U39" s="83">
        <f t="shared" si="9"/>
        <v>73.333333333333329</v>
      </c>
      <c r="V39" s="245">
        <v>2</v>
      </c>
      <c r="W39" s="83">
        <f t="shared" si="10"/>
        <v>73.333333333333329</v>
      </c>
      <c r="X39" s="245">
        <v>2</v>
      </c>
      <c r="Y39" s="83">
        <f t="shared" si="11"/>
        <v>73.333333333333329</v>
      </c>
      <c r="Z39" s="245">
        <v>2</v>
      </c>
      <c r="AA39" s="83">
        <f t="shared" si="12"/>
        <v>73.333333333333329</v>
      </c>
      <c r="AB39" s="245">
        <v>2</v>
      </c>
      <c r="AC39" s="83">
        <f t="shared" si="13"/>
        <v>73.333333333333329</v>
      </c>
      <c r="AD39" s="17">
        <v>5</v>
      </c>
      <c r="AE39" s="83">
        <f t="shared" si="14"/>
        <v>183.33333333333331</v>
      </c>
      <c r="AF39" s="17">
        <v>1</v>
      </c>
      <c r="AG39" s="83">
        <f t="shared" si="15"/>
        <v>36.666666666666664</v>
      </c>
      <c r="AI39" s="83">
        <f t="shared" si="16"/>
        <v>0</v>
      </c>
      <c r="AJ39" s="17">
        <v>1</v>
      </c>
      <c r="AK39" s="83">
        <f t="shared" si="17"/>
        <v>36.666666666666664</v>
      </c>
      <c r="AL39" s="17">
        <v>10</v>
      </c>
      <c r="AM39" s="83">
        <f t="shared" si="18"/>
        <v>366.66666666666663</v>
      </c>
      <c r="AN39" s="83">
        <f t="shared" si="19"/>
        <v>2603.3333333333326</v>
      </c>
      <c r="AO39" s="83">
        <f t="shared" si="20"/>
        <v>208.26666666666662</v>
      </c>
      <c r="AP39" s="83">
        <f t="shared" si="21"/>
        <v>2811.599999999999</v>
      </c>
      <c r="AQ39" s="83">
        <f t="shared" si="22"/>
        <v>39.362399999999987</v>
      </c>
      <c r="AR39" s="83">
        <f t="shared" si="23"/>
        <v>2850.962399999999</v>
      </c>
      <c r="AS39" s="83">
        <f t="shared" si="24"/>
        <v>399.13473599999992</v>
      </c>
      <c r="AT39" s="83">
        <f t="shared" si="25"/>
        <v>3250.097135999999</v>
      </c>
      <c r="AU39" s="83">
        <f t="shared" si="26"/>
        <v>46</v>
      </c>
    </row>
    <row r="40" spans="2:47" x14ac:dyDescent="0.35">
      <c r="B40" s="59" t="s">
        <v>268</v>
      </c>
      <c r="C40" s="244">
        <f t="shared" si="0"/>
        <v>71</v>
      </c>
      <c r="D40" s="74">
        <v>1</v>
      </c>
      <c r="E40" s="99">
        <v>25</v>
      </c>
      <c r="F40" s="49">
        <f t="shared" si="1"/>
        <v>25</v>
      </c>
      <c r="G40" s="50">
        <f t="shared" si="2"/>
        <v>1775</v>
      </c>
      <c r="I40" s="330">
        <f t="shared" si="3"/>
        <v>0</v>
      </c>
      <c r="J40" s="330">
        <f t="shared" si="4"/>
        <v>0</v>
      </c>
      <c r="L40" s="245">
        <v>15</v>
      </c>
      <c r="M40" s="83">
        <f t="shared" si="5"/>
        <v>375</v>
      </c>
      <c r="N40" s="245">
        <v>7</v>
      </c>
      <c r="O40" s="83">
        <f t="shared" si="6"/>
        <v>175</v>
      </c>
      <c r="P40" s="245">
        <v>7</v>
      </c>
      <c r="Q40" s="83">
        <f t="shared" si="7"/>
        <v>175</v>
      </c>
      <c r="R40" s="245">
        <v>15</v>
      </c>
      <c r="S40" s="83">
        <f t="shared" si="8"/>
        <v>375</v>
      </c>
      <c r="T40" s="245">
        <v>2</v>
      </c>
      <c r="U40" s="83">
        <f t="shared" si="9"/>
        <v>50</v>
      </c>
      <c r="V40" s="245">
        <v>2</v>
      </c>
      <c r="W40" s="83">
        <f t="shared" si="10"/>
        <v>50</v>
      </c>
      <c r="X40" s="245">
        <v>2</v>
      </c>
      <c r="Y40" s="83">
        <f t="shared" si="11"/>
        <v>50</v>
      </c>
      <c r="Z40" s="245">
        <v>2</v>
      </c>
      <c r="AA40" s="83">
        <f t="shared" si="12"/>
        <v>50</v>
      </c>
      <c r="AB40" s="245">
        <v>2</v>
      </c>
      <c r="AC40" s="83">
        <f t="shared" si="13"/>
        <v>50</v>
      </c>
      <c r="AD40" s="17">
        <v>5</v>
      </c>
      <c r="AE40" s="83">
        <f t="shared" si="14"/>
        <v>125</v>
      </c>
      <c r="AF40" s="17">
        <v>1</v>
      </c>
      <c r="AG40" s="83">
        <f t="shared" si="15"/>
        <v>25</v>
      </c>
      <c r="AI40" s="83">
        <f t="shared" si="16"/>
        <v>0</v>
      </c>
      <c r="AJ40" s="17">
        <v>1</v>
      </c>
      <c r="AK40" s="83">
        <f t="shared" si="17"/>
        <v>25</v>
      </c>
      <c r="AL40" s="17">
        <v>10</v>
      </c>
      <c r="AM40" s="83">
        <f t="shared" si="18"/>
        <v>250</v>
      </c>
      <c r="AN40" s="83">
        <f t="shared" si="19"/>
        <v>1775</v>
      </c>
      <c r="AO40" s="83">
        <f t="shared" si="20"/>
        <v>142</v>
      </c>
      <c r="AP40" s="83">
        <f t="shared" si="21"/>
        <v>1917</v>
      </c>
      <c r="AQ40" s="83">
        <f t="shared" si="22"/>
        <v>26.838000000000001</v>
      </c>
      <c r="AR40" s="83">
        <f t="shared" si="23"/>
        <v>1943.838</v>
      </c>
      <c r="AS40" s="83">
        <f t="shared" si="24"/>
        <v>272.13732000000005</v>
      </c>
      <c r="AT40" s="83">
        <f t="shared" si="25"/>
        <v>2215.97532</v>
      </c>
      <c r="AU40" s="83">
        <f t="shared" si="26"/>
        <v>32</v>
      </c>
    </row>
    <row r="41" spans="2:47" x14ac:dyDescent="0.35">
      <c r="B41" s="59" t="s">
        <v>269</v>
      </c>
      <c r="C41" s="244">
        <f t="shared" si="0"/>
        <v>64</v>
      </c>
      <c r="D41" s="74">
        <v>1</v>
      </c>
      <c r="E41" s="99">
        <v>35</v>
      </c>
      <c r="F41" s="49">
        <f t="shared" si="1"/>
        <v>35</v>
      </c>
      <c r="G41" s="50">
        <f t="shared" si="2"/>
        <v>2240</v>
      </c>
      <c r="I41" s="330">
        <f t="shared" si="3"/>
        <v>0</v>
      </c>
      <c r="J41" s="330">
        <f t="shared" si="4"/>
        <v>0</v>
      </c>
      <c r="L41" s="245">
        <v>15</v>
      </c>
      <c r="M41" s="83">
        <f t="shared" si="5"/>
        <v>525</v>
      </c>
      <c r="N41" s="245">
        <v>7</v>
      </c>
      <c r="O41" s="83">
        <f t="shared" si="6"/>
        <v>245</v>
      </c>
      <c r="P41" s="245">
        <v>7</v>
      </c>
      <c r="Q41" s="83">
        <f t="shared" si="7"/>
        <v>245</v>
      </c>
      <c r="R41" s="245">
        <v>15</v>
      </c>
      <c r="S41" s="83">
        <f t="shared" si="8"/>
        <v>525</v>
      </c>
      <c r="T41" s="245">
        <v>1</v>
      </c>
      <c r="U41" s="83">
        <f t="shared" si="9"/>
        <v>35</v>
      </c>
      <c r="V41" s="245">
        <v>1</v>
      </c>
      <c r="W41" s="83">
        <f t="shared" si="10"/>
        <v>35</v>
      </c>
      <c r="X41" s="245">
        <v>1</v>
      </c>
      <c r="Y41" s="83">
        <f t="shared" si="11"/>
        <v>35</v>
      </c>
      <c r="Z41" s="245">
        <v>1</v>
      </c>
      <c r="AA41" s="83">
        <f t="shared" si="12"/>
        <v>35</v>
      </c>
      <c r="AB41" s="245">
        <v>1</v>
      </c>
      <c r="AC41" s="83">
        <f t="shared" si="13"/>
        <v>35</v>
      </c>
      <c r="AD41" s="17">
        <v>5</v>
      </c>
      <c r="AE41" s="83">
        <f t="shared" si="14"/>
        <v>175</v>
      </c>
      <c r="AF41" s="245"/>
      <c r="AG41" s="83">
        <f t="shared" si="15"/>
        <v>0</v>
      </c>
      <c r="AI41" s="83">
        <f t="shared" si="16"/>
        <v>0</v>
      </c>
      <c r="AJ41" s="245"/>
      <c r="AK41" s="83">
        <f t="shared" si="17"/>
        <v>0</v>
      </c>
      <c r="AL41" s="17">
        <v>10</v>
      </c>
      <c r="AM41" s="83">
        <f t="shared" si="18"/>
        <v>350</v>
      </c>
      <c r="AN41" s="83">
        <f t="shared" si="19"/>
        <v>2240</v>
      </c>
      <c r="AO41" s="83">
        <f t="shared" si="20"/>
        <v>179.20000000000002</v>
      </c>
      <c r="AP41" s="83">
        <f t="shared" si="21"/>
        <v>2419.1999999999998</v>
      </c>
      <c r="AQ41" s="83">
        <f t="shared" si="22"/>
        <v>33.8688</v>
      </c>
      <c r="AR41" s="83">
        <f t="shared" si="23"/>
        <v>2453.0688</v>
      </c>
      <c r="AS41" s="83">
        <f t="shared" si="24"/>
        <v>343.42963200000003</v>
      </c>
      <c r="AT41" s="83">
        <f t="shared" si="25"/>
        <v>2796.4984319999999</v>
      </c>
      <c r="AU41" s="83">
        <f t="shared" si="26"/>
        <v>44</v>
      </c>
    </row>
    <row r="42" spans="2:47" x14ac:dyDescent="0.35">
      <c r="B42" s="59" t="s">
        <v>270</v>
      </c>
      <c r="C42" s="244">
        <f t="shared" si="0"/>
        <v>21</v>
      </c>
      <c r="D42" s="74">
        <v>1</v>
      </c>
      <c r="E42" s="99">
        <v>150</v>
      </c>
      <c r="F42" s="49">
        <f t="shared" si="1"/>
        <v>150</v>
      </c>
      <c r="G42" s="50">
        <f t="shared" si="2"/>
        <v>3150</v>
      </c>
      <c r="I42" s="330">
        <f t="shared" si="3"/>
        <v>0</v>
      </c>
      <c r="J42" s="330">
        <f t="shared" si="4"/>
        <v>0</v>
      </c>
      <c r="L42" s="245">
        <v>5</v>
      </c>
      <c r="M42" s="83">
        <f t="shared" si="5"/>
        <v>750</v>
      </c>
      <c r="N42" s="245">
        <v>2</v>
      </c>
      <c r="O42" s="83">
        <f t="shared" si="6"/>
        <v>300</v>
      </c>
      <c r="P42" s="245">
        <v>2</v>
      </c>
      <c r="Q42" s="83">
        <f t="shared" si="7"/>
        <v>300</v>
      </c>
      <c r="R42" s="245">
        <v>5</v>
      </c>
      <c r="S42" s="83">
        <f t="shared" si="8"/>
        <v>750</v>
      </c>
      <c r="T42" s="245"/>
      <c r="U42" s="83">
        <f t="shared" si="9"/>
        <v>0</v>
      </c>
      <c r="V42" s="245"/>
      <c r="W42" s="83">
        <f t="shared" si="10"/>
        <v>0</v>
      </c>
      <c r="X42" s="245"/>
      <c r="Y42" s="83">
        <f t="shared" si="11"/>
        <v>0</v>
      </c>
      <c r="Z42" s="245"/>
      <c r="AA42" s="83">
        <f t="shared" si="12"/>
        <v>0</v>
      </c>
      <c r="AB42" s="245"/>
      <c r="AC42" s="83">
        <f t="shared" si="13"/>
        <v>0</v>
      </c>
      <c r="AD42" s="17">
        <v>5</v>
      </c>
      <c r="AE42" s="83">
        <f t="shared" si="14"/>
        <v>750</v>
      </c>
      <c r="AF42" s="245"/>
      <c r="AG42" s="83">
        <f t="shared" si="15"/>
        <v>0</v>
      </c>
      <c r="AI42" s="83">
        <f t="shared" si="16"/>
        <v>0</v>
      </c>
      <c r="AJ42" s="245"/>
      <c r="AK42" s="83">
        <f t="shared" si="17"/>
        <v>0</v>
      </c>
      <c r="AL42" s="17">
        <v>2</v>
      </c>
      <c r="AM42" s="83">
        <f t="shared" si="18"/>
        <v>300</v>
      </c>
      <c r="AN42" s="83">
        <f t="shared" si="19"/>
        <v>3150</v>
      </c>
      <c r="AO42" s="83">
        <f t="shared" si="20"/>
        <v>252</v>
      </c>
      <c r="AP42" s="83">
        <f t="shared" si="21"/>
        <v>3402</v>
      </c>
      <c r="AQ42" s="83">
        <f t="shared" si="22"/>
        <v>47.628</v>
      </c>
      <c r="AR42" s="83">
        <f t="shared" si="23"/>
        <v>3449.6280000000002</v>
      </c>
      <c r="AS42" s="83">
        <f t="shared" si="24"/>
        <v>482.94792000000007</v>
      </c>
      <c r="AT42" s="83">
        <f t="shared" si="25"/>
        <v>3932.5759200000002</v>
      </c>
      <c r="AU42" s="83">
        <f t="shared" si="26"/>
        <v>188</v>
      </c>
    </row>
    <row r="43" spans="2:47" x14ac:dyDescent="0.35">
      <c r="B43" s="59" t="s">
        <v>271</v>
      </c>
      <c r="C43" s="244">
        <f t="shared" si="0"/>
        <v>26</v>
      </c>
      <c r="D43" s="74">
        <v>2</v>
      </c>
      <c r="E43" s="99">
        <v>120</v>
      </c>
      <c r="F43" s="49">
        <f t="shared" si="1"/>
        <v>60</v>
      </c>
      <c r="G43" s="50">
        <f t="shared" si="2"/>
        <v>1560</v>
      </c>
      <c r="I43" s="330">
        <f t="shared" si="3"/>
        <v>0</v>
      </c>
      <c r="J43" s="330">
        <f t="shared" si="4"/>
        <v>0</v>
      </c>
      <c r="L43" s="245">
        <v>5</v>
      </c>
      <c r="M43" s="83">
        <f t="shared" si="5"/>
        <v>300</v>
      </c>
      <c r="N43" s="245">
        <v>2</v>
      </c>
      <c r="O43" s="83">
        <f t="shared" si="6"/>
        <v>120</v>
      </c>
      <c r="P43" s="245">
        <v>2</v>
      </c>
      <c r="Q43" s="83">
        <f t="shared" si="7"/>
        <v>120</v>
      </c>
      <c r="R43" s="245">
        <v>5</v>
      </c>
      <c r="S43" s="83">
        <f t="shared" si="8"/>
        <v>300</v>
      </c>
      <c r="T43" s="245">
        <v>2</v>
      </c>
      <c r="U43" s="83">
        <f t="shared" si="9"/>
        <v>120</v>
      </c>
      <c r="V43" s="245">
        <v>1</v>
      </c>
      <c r="W43" s="83">
        <f t="shared" si="10"/>
        <v>60</v>
      </c>
      <c r="X43" s="245">
        <v>1</v>
      </c>
      <c r="Y43" s="83">
        <f t="shared" si="11"/>
        <v>60</v>
      </c>
      <c r="Z43" s="245">
        <v>1</v>
      </c>
      <c r="AA43" s="83">
        <f t="shared" si="12"/>
        <v>60</v>
      </c>
      <c r="AB43" s="245">
        <v>1</v>
      </c>
      <c r="AC43" s="83">
        <f t="shared" si="13"/>
        <v>60</v>
      </c>
      <c r="AD43" s="17">
        <v>1</v>
      </c>
      <c r="AE43" s="83">
        <f t="shared" si="14"/>
        <v>60</v>
      </c>
      <c r="AF43" s="245"/>
      <c r="AG43" s="83">
        <f t="shared" si="15"/>
        <v>0</v>
      </c>
      <c r="AI43" s="83">
        <f t="shared" si="16"/>
        <v>0</v>
      </c>
      <c r="AJ43" s="245"/>
      <c r="AK43" s="83">
        <f t="shared" si="17"/>
        <v>0</v>
      </c>
      <c r="AL43" s="17">
        <v>5</v>
      </c>
      <c r="AM43" s="83">
        <f t="shared" si="18"/>
        <v>300</v>
      </c>
      <c r="AN43" s="83">
        <f t="shared" si="19"/>
        <v>1560</v>
      </c>
      <c r="AO43" s="83">
        <f t="shared" si="20"/>
        <v>124.8</v>
      </c>
      <c r="AP43" s="83">
        <f t="shared" si="21"/>
        <v>1684.8</v>
      </c>
      <c r="AQ43" s="83">
        <f t="shared" si="22"/>
        <v>23.587199999999999</v>
      </c>
      <c r="AR43" s="83">
        <f t="shared" si="23"/>
        <v>1708.3871999999999</v>
      </c>
      <c r="AS43" s="83">
        <f t="shared" si="24"/>
        <v>239.17420800000002</v>
      </c>
      <c r="AT43" s="83">
        <f t="shared" si="25"/>
        <v>1947.561408</v>
      </c>
      <c r="AU43" s="83">
        <f t="shared" si="26"/>
        <v>75</v>
      </c>
    </row>
    <row r="44" spans="2:47" x14ac:dyDescent="0.35">
      <c r="B44" s="59" t="s">
        <v>272</v>
      </c>
      <c r="C44" s="244">
        <f t="shared" si="0"/>
        <v>30</v>
      </c>
      <c r="D44" s="74">
        <v>2</v>
      </c>
      <c r="E44" s="99">
        <v>95</v>
      </c>
      <c r="F44" s="49">
        <f t="shared" si="1"/>
        <v>47.5</v>
      </c>
      <c r="G44" s="50">
        <f t="shared" si="2"/>
        <v>1425</v>
      </c>
      <c r="I44" s="330">
        <f t="shared" si="3"/>
        <v>0</v>
      </c>
      <c r="J44" s="330">
        <f t="shared" si="4"/>
        <v>0</v>
      </c>
      <c r="L44" s="245">
        <v>5</v>
      </c>
      <c r="M44" s="83">
        <f t="shared" si="5"/>
        <v>237.5</v>
      </c>
      <c r="N44" s="245">
        <v>2</v>
      </c>
      <c r="O44" s="83">
        <f t="shared" si="6"/>
        <v>95</v>
      </c>
      <c r="P44" s="245">
        <v>2</v>
      </c>
      <c r="Q44" s="83">
        <f t="shared" si="7"/>
        <v>95</v>
      </c>
      <c r="R44" s="245">
        <v>5</v>
      </c>
      <c r="S44" s="83">
        <f t="shared" si="8"/>
        <v>237.5</v>
      </c>
      <c r="T44" s="245">
        <v>2</v>
      </c>
      <c r="U44" s="83">
        <f t="shared" si="9"/>
        <v>95</v>
      </c>
      <c r="V44" s="245">
        <v>1</v>
      </c>
      <c r="W44" s="83">
        <f t="shared" si="10"/>
        <v>47.5</v>
      </c>
      <c r="X44" s="245">
        <v>1</v>
      </c>
      <c r="Y44" s="83">
        <f t="shared" si="11"/>
        <v>47.5</v>
      </c>
      <c r="Z44" s="245">
        <v>1</v>
      </c>
      <c r="AA44" s="83">
        <f t="shared" si="12"/>
        <v>47.5</v>
      </c>
      <c r="AB44" s="245">
        <v>1</v>
      </c>
      <c r="AC44" s="83">
        <f t="shared" si="13"/>
        <v>47.5</v>
      </c>
      <c r="AD44" s="17">
        <v>5</v>
      </c>
      <c r="AE44" s="83">
        <f t="shared" si="14"/>
        <v>237.5</v>
      </c>
      <c r="AF44" s="245"/>
      <c r="AG44" s="83">
        <f t="shared" si="15"/>
        <v>0</v>
      </c>
      <c r="AI44" s="83">
        <f t="shared" si="16"/>
        <v>0</v>
      </c>
      <c r="AJ44" s="245"/>
      <c r="AK44" s="83">
        <f t="shared" si="17"/>
        <v>0</v>
      </c>
      <c r="AL44" s="17">
        <v>5</v>
      </c>
      <c r="AM44" s="83">
        <f t="shared" si="18"/>
        <v>237.5</v>
      </c>
      <c r="AN44" s="83">
        <f t="shared" si="19"/>
        <v>1425</v>
      </c>
      <c r="AO44" s="83">
        <f t="shared" si="20"/>
        <v>114</v>
      </c>
      <c r="AP44" s="83">
        <f t="shared" si="21"/>
        <v>1539</v>
      </c>
      <c r="AQ44" s="83">
        <f t="shared" si="22"/>
        <v>21.545999999999999</v>
      </c>
      <c r="AR44" s="83">
        <f t="shared" si="23"/>
        <v>1560.546</v>
      </c>
      <c r="AS44" s="83">
        <f t="shared" si="24"/>
        <v>218.47644000000003</v>
      </c>
      <c r="AT44" s="83">
        <f t="shared" si="25"/>
        <v>1779.0224400000002</v>
      </c>
      <c r="AU44" s="83">
        <f t="shared" si="26"/>
        <v>60</v>
      </c>
    </row>
    <row r="45" spans="2:47" x14ac:dyDescent="0.35">
      <c r="B45" s="59" t="s">
        <v>273</v>
      </c>
      <c r="C45" s="244">
        <f t="shared" si="0"/>
        <v>30</v>
      </c>
      <c r="D45" s="74">
        <v>1</v>
      </c>
      <c r="E45" s="99">
        <v>35</v>
      </c>
      <c r="F45" s="49">
        <f t="shared" si="1"/>
        <v>35</v>
      </c>
      <c r="G45" s="50">
        <f t="shared" si="2"/>
        <v>1050</v>
      </c>
      <c r="I45" s="330">
        <f t="shared" si="3"/>
        <v>0</v>
      </c>
      <c r="J45" s="330">
        <f t="shared" si="4"/>
        <v>0</v>
      </c>
      <c r="L45" s="245">
        <v>5</v>
      </c>
      <c r="M45" s="83">
        <f t="shared" si="5"/>
        <v>175</v>
      </c>
      <c r="N45" s="245">
        <v>2</v>
      </c>
      <c r="O45" s="83">
        <f t="shared" si="6"/>
        <v>70</v>
      </c>
      <c r="P45" s="245">
        <v>2</v>
      </c>
      <c r="Q45" s="83">
        <f t="shared" si="7"/>
        <v>70</v>
      </c>
      <c r="R45" s="245">
        <v>5</v>
      </c>
      <c r="S45" s="83">
        <f t="shared" si="8"/>
        <v>175</v>
      </c>
      <c r="T45" s="245">
        <v>2</v>
      </c>
      <c r="U45" s="83">
        <f t="shared" si="9"/>
        <v>70</v>
      </c>
      <c r="V45" s="245">
        <v>1</v>
      </c>
      <c r="W45" s="83">
        <f t="shared" si="10"/>
        <v>35</v>
      </c>
      <c r="X45" s="245">
        <v>1</v>
      </c>
      <c r="Y45" s="83">
        <f t="shared" si="11"/>
        <v>35</v>
      </c>
      <c r="Z45" s="245">
        <v>1</v>
      </c>
      <c r="AA45" s="83">
        <f t="shared" si="12"/>
        <v>35</v>
      </c>
      <c r="AB45" s="245">
        <v>1</v>
      </c>
      <c r="AC45" s="83">
        <f t="shared" si="13"/>
        <v>35</v>
      </c>
      <c r="AD45" s="17">
        <v>5</v>
      </c>
      <c r="AE45" s="83">
        <f t="shared" si="14"/>
        <v>175</v>
      </c>
      <c r="AF45" s="245"/>
      <c r="AG45" s="83">
        <f t="shared" si="15"/>
        <v>0</v>
      </c>
      <c r="AI45" s="83">
        <f t="shared" si="16"/>
        <v>0</v>
      </c>
      <c r="AJ45" s="245"/>
      <c r="AK45" s="83">
        <f t="shared" si="17"/>
        <v>0</v>
      </c>
      <c r="AL45" s="17">
        <v>5</v>
      </c>
      <c r="AM45" s="83">
        <f t="shared" si="18"/>
        <v>175</v>
      </c>
      <c r="AN45" s="83">
        <f t="shared" si="19"/>
        <v>1050</v>
      </c>
      <c r="AO45" s="83">
        <f t="shared" si="20"/>
        <v>84</v>
      </c>
      <c r="AP45" s="83">
        <f t="shared" si="21"/>
        <v>1134</v>
      </c>
      <c r="AQ45" s="83">
        <f t="shared" si="22"/>
        <v>15.875999999999999</v>
      </c>
      <c r="AR45" s="83">
        <f t="shared" si="23"/>
        <v>1149.876</v>
      </c>
      <c r="AS45" s="83">
        <f t="shared" si="24"/>
        <v>160.98264</v>
      </c>
      <c r="AT45" s="83">
        <f t="shared" si="25"/>
        <v>1310.8586399999999</v>
      </c>
      <c r="AU45" s="83">
        <f t="shared" si="26"/>
        <v>44</v>
      </c>
    </row>
    <row r="46" spans="2:47" x14ac:dyDescent="0.35">
      <c r="B46" s="59" t="s">
        <v>274</v>
      </c>
      <c r="C46" s="244">
        <f t="shared" si="0"/>
        <v>30</v>
      </c>
      <c r="D46" s="74">
        <v>1</v>
      </c>
      <c r="E46" s="99">
        <v>45</v>
      </c>
      <c r="F46" s="49">
        <f t="shared" si="1"/>
        <v>45</v>
      </c>
      <c r="G46" s="50">
        <f t="shared" si="2"/>
        <v>1350</v>
      </c>
      <c r="I46" s="330">
        <f t="shared" si="3"/>
        <v>0</v>
      </c>
      <c r="J46" s="330">
        <f t="shared" si="4"/>
        <v>0</v>
      </c>
      <c r="L46" s="245">
        <v>5</v>
      </c>
      <c r="M46" s="83">
        <f t="shared" si="5"/>
        <v>225</v>
      </c>
      <c r="N46" s="245">
        <v>2</v>
      </c>
      <c r="O46" s="83">
        <f>N46*F46</f>
        <v>90</v>
      </c>
      <c r="P46" s="245">
        <v>2</v>
      </c>
      <c r="Q46" s="83">
        <f>P46*F46</f>
        <v>90</v>
      </c>
      <c r="R46" s="245">
        <v>5</v>
      </c>
      <c r="S46" s="83">
        <f>R46*F46</f>
        <v>225</v>
      </c>
      <c r="T46" s="245">
        <v>2</v>
      </c>
      <c r="U46" s="83">
        <f>T46*F46</f>
        <v>90</v>
      </c>
      <c r="V46" s="245">
        <v>1</v>
      </c>
      <c r="W46" s="83">
        <f>V46*F46</f>
        <v>45</v>
      </c>
      <c r="X46" s="245">
        <v>1</v>
      </c>
      <c r="Y46" s="83">
        <f>X46*F46</f>
        <v>45</v>
      </c>
      <c r="Z46" s="245">
        <v>1</v>
      </c>
      <c r="AA46" s="83">
        <f>Z46*F46</f>
        <v>45</v>
      </c>
      <c r="AB46" s="245">
        <v>1</v>
      </c>
      <c r="AC46" s="83">
        <f>AB46*F46</f>
        <v>45</v>
      </c>
      <c r="AD46" s="17">
        <v>5</v>
      </c>
      <c r="AE46" s="83">
        <f>AD46*F46</f>
        <v>225</v>
      </c>
      <c r="AF46" s="245"/>
      <c r="AG46" s="83">
        <f>AF46*F46</f>
        <v>0</v>
      </c>
      <c r="AI46" s="83">
        <f>AH46*F46</f>
        <v>0</v>
      </c>
      <c r="AJ46" s="245"/>
      <c r="AK46" s="83">
        <f>AJ46*F46</f>
        <v>0</v>
      </c>
      <c r="AL46" s="17">
        <v>5</v>
      </c>
      <c r="AM46" s="83">
        <f>AL46*F46</f>
        <v>225</v>
      </c>
      <c r="AN46" s="83">
        <f t="shared" si="19"/>
        <v>1350</v>
      </c>
      <c r="AO46" s="83">
        <f t="shared" si="20"/>
        <v>108</v>
      </c>
      <c r="AP46" s="83">
        <f t="shared" si="21"/>
        <v>1458</v>
      </c>
      <c r="AQ46" s="83">
        <f t="shared" si="22"/>
        <v>20.411999999999999</v>
      </c>
      <c r="AR46" s="83">
        <f t="shared" si="23"/>
        <v>1478.412</v>
      </c>
      <c r="AS46" s="83">
        <f t="shared" si="24"/>
        <v>206.97768000000002</v>
      </c>
      <c r="AT46" s="83">
        <f t="shared" si="25"/>
        <v>1685.38968</v>
      </c>
      <c r="AU46" s="83">
        <f t="shared" si="26"/>
        <v>57</v>
      </c>
    </row>
    <row r="47" spans="2:47" x14ac:dyDescent="0.35">
      <c r="B47" s="59" t="s">
        <v>275</v>
      </c>
      <c r="C47" s="244">
        <f t="shared" si="0"/>
        <v>7</v>
      </c>
      <c r="D47" s="74">
        <v>1</v>
      </c>
      <c r="E47" s="99">
        <v>390</v>
      </c>
      <c r="F47" s="49">
        <f t="shared" si="1"/>
        <v>390</v>
      </c>
      <c r="G47" s="50">
        <f t="shared" si="2"/>
        <v>2730</v>
      </c>
      <c r="I47" s="330">
        <f t="shared" si="3"/>
        <v>0</v>
      </c>
      <c r="J47" s="330">
        <f t="shared" si="4"/>
        <v>0</v>
      </c>
      <c r="L47" s="245">
        <v>1</v>
      </c>
      <c r="M47" s="83">
        <f t="shared" si="5"/>
        <v>390</v>
      </c>
      <c r="N47" s="245">
        <v>1</v>
      </c>
      <c r="O47" s="83">
        <f t="shared" ref="O47:O51" si="45">N47*F47</f>
        <v>390</v>
      </c>
      <c r="P47" s="245">
        <v>1</v>
      </c>
      <c r="Q47" s="83">
        <f t="shared" ref="Q47:Q51" si="46">P47*F47</f>
        <v>390</v>
      </c>
      <c r="R47" s="245">
        <v>1</v>
      </c>
      <c r="S47" s="83">
        <f t="shared" ref="S47:S51" si="47">R47*F47</f>
        <v>390</v>
      </c>
      <c r="T47" s="245"/>
      <c r="U47" s="83">
        <f t="shared" ref="U47:U51" si="48">T47*F47</f>
        <v>0</v>
      </c>
      <c r="V47" s="245"/>
      <c r="W47" s="83">
        <f t="shared" ref="W47:W51" si="49">V47*F47</f>
        <v>0</v>
      </c>
      <c r="X47" s="245"/>
      <c r="Y47" s="83">
        <f t="shared" ref="Y47:Y51" si="50">X47*F47</f>
        <v>0</v>
      </c>
      <c r="Z47" s="245"/>
      <c r="AA47" s="83">
        <f t="shared" ref="AA47:AA51" si="51">Z47*F47</f>
        <v>0</v>
      </c>
      <c r="AB47" s="245"/>
      <c r="AC47" s="83">
        <f t="shared" ref="AC47:AC51" si="52">AB47*F47</f>
        <v>0</v>
      </c>
      <c r="AD47" s="17">
        <v>1</v>
      </c>
      <c r="AE47" s="83">
        <f t="shared" ref="AE47:AE51" si="53">AD47*F47</f>
        <v>390</v>
      </c>
      <c r="AF47" s="245"/>
      <c r="AG47" s="83">
        <f t="shared" ref="AG47:AG51" si="54">AF47*F47</f>
        <v>0</v>
      </c>
      <c r="AI47" s="83">
        <f t="shared" ref="AI47:AI51" si="55">AH47*F47</f>
        <v>0</v>
      </c>
      <c r="AJ47" s="245"/>
      <c r="AK47" s="83">
        <f t="shared" ref="AK47:AK51" si="56">AJ47*F47</f>
        <v>0</v>
      </c>
      <c r="AL47" s="17">
        <v>2</v>
      </c>
      <c r="AM47" s="83">
        <f t="shared" ref="AM47:AM51" si="57">AL47*F47</f>
        <v>780</v>
      </c>
      <c r="AN47" s="83">
        <f t="shared" si="19"/>
        <v>2730</v>
      </c>
      <c r="AO47" s="83">
        <f t="shared" si="20"/>
        <v>218.4</v>
      </c>
      <c r="AP47" s="83">
        <f t="shared" si="21"/>
        <v>2948.4</v>
      </c>
      <c r="AQ47" s="83">
        <f t="shared" si="22"/>
        <v>41.2776</v>
      </c>
      <c r="AR47" s="83">
        <f t="shared" si="23"/>
        <v>2989.6776</v>
      </c>
      <c r="AS47" s="83">
        <f t="shared" si="24"/>
        <v>418.55486400000007</v>
      </c>
      <c r="AT47" s="83">
        <f t="shared" si="25"/>
        <v>3408.2324640000002</v>
      </c>
      <c r="AU47" s="83">
        <f t="shared" si="26"/>
        <v>487</v>
      </c>
    </row>
    <row r="48" spans="2:47" x14ac:dyDescent="0.35">
      <c r="B48" s="59" t="s">
        <v>276</v>
      </c>
      <c r="C48" s="244">
        <f t="shared" si="0"/>
        <v>7</v>
      </c>
      <c r="D48" s="74">
        <v>1</v>
      </c>
      <c r="E48" s="99">
        <v>390</v>
      </c>
      <c r="F48" s="49">
        <f t="shared" si="1"/>
        <v>390</v>
      </c>
      <c r="G48" s="50">
        <f t="shared" si="2"/>
        <v>2730</v>
      </c>
      <c r="I48" s="330">
        <f t="shared" si="3"/>
        <v>0</v>
      </c>
      <c r="J48" s="330">
        <f t="shared" si="4"/>
        <v>0</v>
      </c>
      <c r="L48" s="245">
        <v>1</v>
      </c>
      <c r="M48" s="83">
        <f t="shared" si="5"/>
        <v>390</v>
      </c>
      <c r="N48" s="245">
        <v>1</v>
      </c>
      <c r="O48" s="83">
        <f t="shared" si="45"/>
        <v>390</v>
      </c>
      <c r="P48" s="245">
        <v>1</v>
      </c>
      <c r="Q48" s="83">
        <f t="shared" si="46"/>
        <v>390</v>
      </c>
      <c r="R48" s="245">
        <v>1</v>
      </c>
      <c r="S48" s="83">
        <f t="shared" si="47"/>
        <v>390</v>
      </c>
      <c r="T48" s="245"/>
      <c r="U48" s="83">
        <f t="shared" si="48"/>
        <v>0</v>
      </c>
      <c r="V48" s="245"/>
      <c r="W48" s="83">
        <f t="shared" si="49"/>
        <v>0</v>
      </c>
      <c r="X48" s="245"/>
      <c r="Y48" s="83">
        <f t="shared" si="50"/>
        <v>0</v>
      </c>
      <c r="Z48" s="245"/>
      <c r="AA48" s="83">
        <f t="shared" si="51"/>
        <v>0</v>
      </c>
      <c r="AB48" s="245"/>
      <c r="AC48" s="83">
        <f t="shared" si="52"/>
        <v>0</v>
      </c>
      <c r="AD48" s="17">
        <v>1</v>
      </c>
      <c r="AE48" s="83">
        <f t="shared" si="53"/>
        <v>390</v>
      </c>
      <c r="AF48" s="245"/>
      <c r="AG48" s="83">
        <f t="shared" si="54"/>
        <v>0</v>
      </c>
      <c r="AI48" s="83">
        <f t="shared" si="55"/>
        <v>0</v>
      </c>
      <c r="AJ48" s="245"/>
      <c r="AK48" s="83">
        <f t="shared" si="56"/>
        <v>0</v>
      </c>
      <c r="AL48" s="17">
        <v>2</v>
      </c>
      <c r="AM48" s="83">
        <f t="shared" si="57"/>
        <v>780</v>
      </c>
      <c r="AN48" s="83">
        <f t="shared" si="19"/>
        <v>2730</v>
      </c>
      <c r="AO48" s="83">
        <f t="shared" si="20"/>
        <v>218.4</v>
      </c>
      <c r="AP48" s="83">
        <f t="shared" si="21"/>
        <v>2948.4</v>
      </c>
      <c r="AQ48" s="83">
        <f t="shared" si="22"/>
        <v>41.2776</v>
      </c>
      <c r="AR48" s="83">
        <f t="shared" si="23"/>
        <v>2989.6776</v>
      </c>
      <c r="AS48" s="83">
        <f t="shared" si="24"/>
        <v>418.55486400000007</v>
      </c>
      <c r="AT48" s="83">
        <f t="shared" si="25"/>
        <v>3408.2324640000002</v>
      </c>
      <c r="AU48" s="83">
        <f t="shared" si="26"/>
        <v>487</v>
      </c>
    </row>
    <row r="49" spans="2:47" x14ac:dyDescent="0.35">
      <c r="B49" s="59" t="s">
        <v>277</v>
      </c>
      <c r="C49" s="244">
        <f t="shared" si="0"/>
        <v>5</v>
      </c>
      <c r="D49" s="74">
        <v>1</v>
      </c>
      <c r="E49" s="99">
        <v>390</v>
      </c>
      <c r="F49" s="49">
        <f t="shared" si="1"/>
        <v>390</v>
      </c>
      <c r="G49" s="50">
        <f t="shared" si="2"/>
        <v>1950</v>
      </c>
      <c r="I49" s="330">
        <f t="shared" si="3"/>
        <v>0</v>
      </c>
      <c r="J49" s="330">
        <f t="shared" si="4"/>
        <v>0</v>
      </c>
      <c r="L49" s="245">
        <v>1</v>
      </c>
      <c r="M49" s="83">
        <f t="shared" si="5"/>
        <v>390</v>
      </c>
      <c r="N49" s="245"/>
      <c r="O49" s="83">
        <f t="shared" si="45"/>
        <v>0</v>
      </c>
      <c r="P49" s="245"/>
      <c r="Q49" s="83">
        <f t="shared" si="46"/>
        <v>0</v>
      </c>
      <c r="R49" s="245">
        <v>1</v>
      </c>
      <c r="S49" s="83">
        <f t="shared" si="47"/>
        <v>390</v>
      </c>
      <c r="T49" s="245"/>
      <c r="U49" s="83">
        <f t="shared" si="48"/>
        <v>0</v>
      </c>
      <c r="V49" s="245"/>
      <c r="W49" s="83">
        <f t="shared" si="49"/>
        <v>0</v>
      </c>
      <c r="X49" s="245"/>
      <c r="Y49" s="83">
        <f t="shared" si="50"/>
        <v>0</v>
      </c>
      <c r="Z49" s="245"/>
      <c r="AA49" s="83">
        <f t="shared" si="51"/>
        <v>0</v>
      </c>
      <c r="AB49" s="245"/>
      <c r="AC49" s="83">
        <f t="shared" si="52"/>
        <v>0</v>
      </c>
      <c r="AD49" s="17">
        <v>1</v>
      </c>
      <c r="AE49" s="83">
        <f t="shared" si="53"/>
        <v>390</v>
      </c>
      <c r="AF49" s="245"/>
      <c r="AG49" s="83">
        <f t="shared" si="54"/>
        <v>0</v>
      </c>
      <c r="AI49" s="83">
        <f t="shared" si="55"/>
        <v>0</v>
      </c>
      <c r="AJ49" s="245"/>
      <c r="AK49" s="83">
        <f t="shared" si="56"/>
        <v>0</v>
      </c>
      <c r="AL49" s="17">
        <v>2</v>
      </c>
      <c r="AM49" s="83">
        <f t="shared" si="57"/>
        <v>780</v>
      </c>
      <c r="AN49" s="83">
        <f t="shared" si="19"/>
        <v>1950</v>
      </c>
      <c r="AO49" s="83">
        <f t="shared" si="20"/>
        <v>156</v>
      </c>
      <c r="AP49" s="83">
        <f t="shared" si="21"/>
        <v>2106</v>
      </c>
      <c r="AQ49" s="83">
        <f t="shared" si="22"/>
        <v>29.484000000000002</v>
      </c>
      <c r="AR49" s="83">
        <f t="shared" si="23"/>
        <v>2135.4839999999999</v>
      </c>
      <c r="AS49" s="83">
        <f t="shared" si="24"/>
        <v>298.96776</v>
      </c>
      <c r="AT49" s="83">
        <f t="shared" si="25"/>
        <v>2434.4517599999999</v>
      </c>
      <c r="AU49" s="83">
        <f t="shared" si="26"/>
        <v>487</v>
      </c>
    </row>
    <row r="50" spans="2:47" x14ac:dyDescent="0.35">
      <c r="B50" s="59" t="s">
        <v>278</v>
      </c>
      <c r="C50" s="244">
        <f t="shared" si="0"/>
        <v>10</v>
      </c>
      <c r="D50" s="74">
        <v>12</v>
      </c>
      <c r="E50" s="99">
        <v>2250</v>
      </c>
      <c r="F50" s="49">
        <f t="shared" si="1"/>
        <v>187.5</v>
      </c>
      <c r="G50" s="50">
        <f t="shared" si="2"/>
        <v>1875</v>
      </c>
      <c r="I50" s="330">
        <f t="shared" si="3"/>
        <v>0</v>
      </c>
      <c r="J50" s="330">
        <f t="shared" si="4"/>
        <v>0</v>
      </c>
      <c r="L50" s="245">
        <v>2</v>
      </c>
      <c r="M50" s="83">
        <f t="shared" si="5"/>
        <v>375</v>
      </c>
      <c r="N50" s="245">
        <v>1</v>
      </c>
      <c r="O50" s="83">
        <f t="shared" si="45"/>
        <v>187.5</v>
      </c>
      <c r="P50" s="245">
        <v>1</v>
      </c>
      <c r="Q50" s="83">
        <f t="shared" si="46"/>
        <v>187.5</v>
      </c>
      <c r="R50" s="245">
        <v>2</v>
      </c>
      <c r="S50" s="83">
        <f t="shared" si="47"/>
        <v>375</v>
      </c>
      <c r="T50" s="245"/>
      <c r="U50" s="83">
        <f t="shared" si="48"/>
        <v>0</v>
      </c>
      <c r="V50" s="245"/>
      <c r="W50" s="83">
        <f t="shared" si="49"/>
        <v>0</v>
      </c>
      <c r="X50" s="245"/>
      <c r="Y50" s="83">
        <f t="shared" si="50"/>
        <v>0</v>
      </c>
      <c r="Z50" s="245"/>
      <c r="AA50" s="83">
        <f t="shared" si="51"/>
        <v>0</v>
      </c>
      <c r="AB50" s="245"/>
      <c r="AC50" s="83">
        <f t="shared" si="52"/>
        <v>0</v>
      </c>
      <c r="AD50" s="17">
        <v>2</v>
      </c>
      <c r="AE50" s="83">
        <f t="shared" si="53"/>
        <v>375</v>
      </c>
      <c r="AF50" s="245"/>
      <c r="AG50" s="83">
        <f t="shared" si="54"/>
        <v>0</v>
      </c>
      <c r="AI50" s="83">
        <f t="shared" si="55"/>
        <v>0</v>
      </c>
      <c r="AJ50" s="245"/>
      <c r="AK50" s="83">
        <f t="shared" si="56"/>
        <v>0</v>
      </c>
      <c r="AL50" s="17">
        <v>2</v>
      </c>
      <c r="AM50" s="83">
        <f t="shared" si="57"/>
        <v>375</v>
      </c>
      <c r="AN50" s="83">
        <f t="shared" si="19"/>
        <v>1875</v>
      </c>
      <c r="AO50" s="83">
        <f t="shared" si="20"/>
        <v>150</v>
      </c>
      <c r="AP50" s="83">
        <f t="shared" si="21"/>
        <v>2025</v>
      </c>
      <c r="AQ50" s="83">
        <f t="shared" si="22"/>
        <v>28.35</v>
      </c>
      <c r="AR50" s="83">
        <f t="shared" si="23"/>
        <v>2053.35</v>
      </c>
      <c r="AS50" s="83">
        <f t="shared" si="24"/>
        <v>287.46899999999999</v>
      </c>
      <c r="AT50" s="83">
        <f t="shared" si="25"/>
        <v>2340.819</v>
      </c>
      <c r="AU50" s="83">
        <f t="shared" si="26"/>
        <v>235</v>
      </c>
    </row>
    <row r="51" spans="2:47" x14ac:dyDescent="0.35">
      <c r="B51" s="59" t="s">
        <v>279</v>
      </c>
      <c r="C51" s="244">
        <f t="shared" si="0"/>
        <v>5</v>
      </c>
      <c r="D51" s="74">
        <v>3</v>
      </c>
      <c r="E51" s="99">
        <v>1200</v>
      </c>
      <c r="F51" s="49">
        <f t="shared" si="1"/>
        <v>400</v>
      </c>
      <c r="G51" s="50">
        <f t="shared" si="2"/>
        <v>2000</v>
      </c>
      <c r="I51" s="330">
        <f>C51-(L51+N51+P51+R51+T51+V51+X51+Z51+AB51+AD51+AF51+AH51+AJ51+AL51)</f>
        <v>0</v>
      </c>
      <c r="J51" s="330">
        <f t="shared" si="4"/>
        <v>0</v>
      </c>
      <c r="L51" s="245">
        <v>1</v>
      </c>
      <c r="M51" s="83">
        <f t="shared" si="5"/>
        <v>400</v>
      </c>
      <c r="N51" s="245"/>
      <c r="O51" s="83">
        <f t="shared" si="45"/>
        <v>0</v>
      </c>
      <c r="P51" s="245"/>
      <c r="Q51" s="83">
        <f t="shared" si="46"/>
        <v>0</v>
      </c>
      <c r="R51" s="245">
        <v>1</v>
      </c>
      <c r="S51" s="83">
        <f t="shared" si="47"/>
        <v>400</v>
      </c>
      <c r="T51" s="245"/>
      <c r="U51" s="83">
        <f t="shared" si="48"/>
        <v>0</v>
      </c>
      <c r="V51" s="245"/>
      <c r="W51" s="83">
        <f t="shared" si="49"/>
        <v>0</v>
      </c>
      <c r="X51" s="245"/>
      <c r="Y51" s="83">
        <f t="shared" si="50"/>
        <v>0</v>
      </c>
      <c r="Z51" s="245"/>
      <c r="AA51" s="83">
        <f t="shared" si="51"/>
        <v>0</v>
      </c>
      <c r="AB51" s="245"/>
      <c r="AC51" s="83">
        <f t="shared" si="52"/>
        <v>0</v>
      </c>
      <c r="AD51" s="17">
        <v>2</v>
      </c>
      <c r="AE51" s="83">
        <f t="shared" si="53"/>
        <v>800</v>
      </c>
      <c r="AF51" s="245"/>
      <c r="AG51" s="83">
        <f t="shared" si="54"/>
        <v>0</v>
      </c>
      <c r="AI51" s="83">
        <f t="shared" si="55"/>
        <v>0</v>
      </c>
      <c r="AJ51" s="245"/>
      <c r="AK51" s="83">
        <f t="shared" si="56"/>
        <v>0</v>
      </c>
      <c r="AL51" s="17">
        <v>1</v>
      </c>
      <c r="AM51" s="83">
        <f t="shared" si="57"/>
        <v>400</v>
      </c>
      <c r="AN51" s="83">
        <f t="shared" si="19"/>
        <v>2000</v>
      </c>
      <c r="AO51" s="83">
        <f t="shared" si="20"/>
        <v>160</v>
      </c>
      <c r="AP51" s="83">
        <f t="shared" si="21"/>
        <v>2160</v>
      </c>
      <c r="AQ51" s="83">
        <f t="shared" si="22"/>
        <v>30.240000000000002</v>
      </c>
      <c r="AR51" s="83">
        <f t="shared" si="23"/>
        <v>2190.2399999999998</v>
      </c>
      <c r="AS51" s="83">
        <f t="shared" si="24"/>
        <v>306.6336</v>
      </c>
      <c r="AT51" s="83">
        <f t="shared" si="25"/>
        <v>2496.8735999999999</v>
      </c>
      <c r="AU51" s="83">
        <f t="shared" si="26"/>
        <v>500</v>
      </c>
    </row>
    <row r="52" spans="2:47" s="78" customFormat="1" x14ac:dyDescent="0.35">
      <c r="B52" s="321" t="s">
        <v>234</v>
      </c>
      <c r="G52" s="356">
        <f>SUM(G6:G51)</f>
        <v>448150.27777777781</v>
      </c>
      <c r="I52" s="357">
        <f t="shared" ref="I52" si="58">C52-(L52+N52+P52+R52+T52+V52+X52+Z52+AB52+AD52+AF52+AH52+AJ52+AL52)</f>
        <v>0</v>
      </c>
      <c r="J52" s="357">
        <f t="shared" ref="J52:J58" si="59">G52-(M52+O52+Q52+S52+U52+W52+Y52+AA52+AC52+AE52+AG52+AI52+AK52+AM52)</f>
        <v>0</v>
      </c>
      <c r="L52" s="358"/>
      <c r="M52" s="356">
        <f>SUM(M6:M51)</f>
        <v>75883.604173090775</v>
      </c>
      <c r="N52" s="358"/>
      <c r="O52" s="356">
        <f>SUM(O6:O51)</f>
        <v>40131.834207009953</v>
      </c>
      <c r="P52" s="358"/>
      <c r="Q52" s="356">
        <f>SUM(Q6:Q51)</f>
        <v>41549.942440127437</v>
      </c>
      <c r="R52" s="358"/>
      <c r="S52" s="356">
        <f>SUM(S6:S51)</f>
        <v>73702.85589474767</v>
      </c>
      <c r="T52" s="358"/>
      <c r="U52" s="356">
        <f>SUM(U6:U51)</f>
        <v>16526.183574879229</v>
      </c>
      <c r="V52" s="358"/>
      <c r="W52" s="356">
        <f>SUM(W6:W51)</f>
        <v>13030.72463768116</v>
      </c>
      <c r="X52" s="358"/>
      <c r="Y52" s="356">
        <f>SUM(Y6:Y51)</f>
        <v>10375.265700483091</v>
      </c>
      <c r="Z52" s="358"/>
      <c r="AA52" s="356">
        <f>SUM(AA6:AA51)</f>
        <v>12655.72463768116</v>
      </c>
      <c r="AB52" s="358"/>
      <c r="AC52" s="356">
        <f>SUM(AC6:AC51)</f>
        <v>11905.72463768116</v>
      </c>
      <c r="AE52" s="356">
        <f>SUM(AE6:AE51)</f>
        <v>35356.256038647341</v>
      </c>
      <c r="AF52" s="358"/>
      <c r="AG52" s="356">
        <f>SUM(AG6:AG51)</f>
        <v>4262.68115942029</v>
      </c>
      <c r="AH52" s="358"/>
      <c r="AI52" s="356">
        <f>SUM(AI6:AI51)</f>
        <v>15687.753623188406</v>
      </c>
      <c r="AJ52" s="358"/>
      <c r="AK52" s="356">
        <f>SUM(AK6:AK51)</f>
        <v>3044.6256038647339</v>
      </c>
      <c r="AL52" s="358"/>
      <c r="AM52" s="356">
        <f>SUM(AM6:AM51)</f>
        <v>94037.10144927536</v>
      </c>
      <c r="AN52" s="356">
        <f>SUM(AN6:AN51)</f>
        <v>448150.27777777775</v>
      </c>
      <c r="AO52" s="356">
        <f t="shared" ref="AO52:AT52" si="60">SUM(AO6:AO51)</f>
        <v>35852.022222222229</v>
      </c>
      <c r="AP52" s="356">
        <f t="shared" si="60"/>
        <v>484002.30000000005</v>
      </c>
      <c r="AQ52" s="356">
        <f t="shared" si="60"/>
        <v>3545.3922000000002</v>
      </c>
      <c r="AR52" s="356">
        <f t="shared" si="60"/>
        <v>487547.69220000005</v>
      </c>
      <c r="AS52" s="356">
        <f t="shared" si="60"/>
        <v>68256.676908000023</v>
      </c>
      <c r="AT52" s="356">
        <f t="shared" si="60"/>
        <v>555804.36910800019</v>
      </c>
      <c r="AU52" s="435"/>
    </row>
    <row r="53" spans="2:47" x14ac:dyDescent="0.35">
      <c r="B53" s="59" t="s">
        <v>475</v>
      </c>
      <c r="F53" s="81">
        <f>'HK Budget (2)'!C14</f>
        <v>0.08</v>
      </c>
      <c r="G53" s="84">
        <f>G52*$F$53</f>
        <v>35852.022222222229</v>
      </c>
      <c r="I53" s="330"/>
      <c r="J53" s="330">
        <f t="shared" si="59"/>
        <v>0</v>
      </c>
      <c r="M53" s="84">
        <f>M52*$F$53</f>
        <v>6070.6883338472617</v>
      </c>
      <c r="O53" s="84">
        <f>O52*$F$53</f>
        <v>3210.5467365607965</v>
      </c>
      <c r="Q53" s="84">
        <f>Q52*$F$53</f>
        <v>3323.9953952101951</v>
      </c>
      <c r="S53" s="84">
        <f>S52*$F$53</f>
        <v>5896.2284715798141</v>
      </c>
      <c r="U53" s="84">
        <f>U52*$F$53</f>
        <v>1322.0946859903383</v>
      </c>
      <c r="W53" s="84">
        <f>W52*$F$53</f>
        <v>1042.4579710144928</v>
      </c>
      <c r="Y53" s="84">
        <f>Y52*$F$53</f>
        <v>830.02125603864727</v>
      </c>
      <c r="AA53" s="84">
        <f>AA52*$F$53</f>
        <v>1012.4579710144928</v>
      </c>
      <c r="AC53" s="84">
        <f>AC52*$F$53</f>
        <v>952.45797101449284</v>
      </c>
      <c r="AE53" s="84">
        <f>AE52*$F$53</f>
        <v>2828.5004830917874</v>
      </c>
      <c r="AG53" s="84">
        <f>AG52*$F$53</f>
        <v>341.01449275362319</v>
      </c>
      <c r="AI53" s="84">
        <f>AI52*$F$53</f>
        <v>1255.0202898550724</v>
      </c>
      <c r="AK53" s="84">
        <f>AK52*$F$53</f>
        <v>243.5700483091787</v>
      </c>
      <c r="AM53" s="84">
        <f>AM52*$F$53</f>
        <v>7522.9681159420288</v>
      </c>
      <c r="AN53" s="83"/>
      <c r="AO53" s="83"/>
      <c r="AP53" s="83"/>
      <c r="AQ53" s="83"/>
      <c r="AR53" s="83"/>
      <c r="AS53" s="83"/>
      <c r="AT53" s="83"/>
      <c r="AU53" s="83"/>
    </row>
    <row r="54" spans="2:47" x14ac:dyDescent="0.35">
      <c r="B54" s="65" t="s">
        <v>240</v>
      </c>
      <c r="F54" s="81"/>
      <c r="G54" s="84">
        <f>G52+G53</f>
        <v>484002.30000000005</v>
      </c>
      <c r="I54" s="330"/>
      <c r="J54" s="330">
        <f t="shared" si="59"/>
        <v>0</v>
      </c>
      <c r="M54" s="84">
        <f>M52+M53</f>
        <v>81954.292506938044</v>
      </c>
      <c r="O54" s="84">
        <f>O52+O53</f>
        <v>43342.380943570752</v>
      </c>
      <c r="Q54" s="84">
        <f>Q52+Q53</f>
        <v>44873.937835337631</v>
      </c>
      <c r="S54" s="84">
        <f>S52+S53</f>
        <v>79599.084366327486</v>
      </c>
      <c r="U54" s="84">
        <f>U52+U53</f>
        <v>17848.278260869567</v>
      </c>
      <c r="W54" s="84">
        <f>W52+W53</f>
        <v>14073.182608695653</v>
      </c>
      <c r="Y54" s="84">
        <f>Y52+Y53</f>
        <v>11205.286956521739</v>
      </c>
      <c r="AA54" s="84">
        <f>AA52+AA53</f>
        <v>13668.182608695653</v>
      </c>
      <c r="AC54" s="84">
        <f>AC52+AC53</f>
        <v>12858.182608695653</v>
      </c>
      <c r="AE54" s="84">
        <f>AE52+AE53</f>
        <v>38184.756521739131</v>
      </c>
      <c r="AG54" s="84">
        <f>AG52+AG53</f>
        <v>4603.695652173913</v>
      </c>
      <c r="AI54" s="84">
        <f>AI52+AI53</f>
        <v>16942.773913043478</v>
      </c>
      <c r="AK54" s="84">
        <f>AK52+AK53</f>
        <v>3288.1956521739125</v>
      </c>
      <c r="AM54" s="84">
        <f>AM52+AM53</f>
        <v>101560.06956521739</v>
      </c>
      <c r="AN54" s="83"/>
      <c r="AO54" s="83"/>
      <c r="AP54" s="83"/>
      <c r="AQ54" s="83"/>
      <c r="AR54" s="83"/>
      <c r="AS54" s="83"/>
      <c r="AT54" s="83"/>
      <c r="AU54" s="83"/>
    </row>
    <row r="55" spans="2:47" x14ac:dyDescent="0.35">
      <c r="B55" s="494" t="s">
        <v>474</v>
      </c>
      <c r="F55" s="81">
        <f>'HK Budget (2)'!C16</f>
        <v>1.4E-2</v>
      </c>
      <c r="G55" s="84">
        <f>G54*$F$55</f>
        <v>6776.0322000000006</v>
      </c>
      <c r="I55" s="330"/>
      <c r="J55" s="330">
        <f t="shared" si="59"/>
        <v>0</v>
      </c>
      <c r="M55" s="84">
        <f>M54*$F$55</f>
        <v>1147.3600950971327</v>
      </c>
      <c r="O55" s="84">
        <f>O54*$F$55</f>
        <v>606.79333320999058</v>
      </c>
      <c r="Q55" s="84">
        <f>Q54*$F$55</f>
        <v>628.23512969472688</v>
      </c>
      <c r="S55" s="84">
        <f>S54*$F$55</f>
        <v>1114.3871811285849</v>
      </c>
      <c r="U55" s="84">
        <f>U54*$F$55</f>
        <v>249.87589565217394</v>
      </c>
      <c r="W55" s="84">
        <f>W54*$F$55</f>
        <v>197.02455652173916</v>
      </c>
      <c r="Y55" s="84">
        <f>Y54*$F$55</f>
        <v>156.87401739130433</v>
      </c>
      <c r="AA55" s="84">
        <f>AA54*$F$55</f>
        <v>191.35455652173914</v>
      </c>
      <c r="AC55" s="84">
        <f>AC54*$F$55</f>
        <v>180.01455652173917</v>
      </c>
      <c r="AE55" s="84">
        <f>AE54*$F$55</f>
        <v>534.58659130434785</v>
      </c>
      <c r="AG55" s="84">
        <f>AG54*$F$55</f>
        <v>64.451739130434788</v>
      </c>
      <c r="AI55" s="84">
        <f>AI54*$F$55</f>
        <v>237.19883478260871</v>
      </c>
      <c r="AK55" s="84">
        <f>AK54*$F$55</f>
        <v>46.034739130434779</v>
      </c>
      <c r="AM55" s="84">
        <f>AM54*$F$55</f>
        <v>1421.8409739130434</v>
      </c>
      <c r="AN55" s="83"/>
      <c r="AO55" s="83"/>
      <c r="AP55" s="83"/>
      <c r="AQ55" s="83"/>
      <c r="AR55" s="83"/>
      <c r="AS55" s="83"/>
      <c r="AT55" s="83"/>
      <c r="AU55" s="83"/>
    </row>
    <row r="56" spans="2:47" x14ac:dyDescent="0.35">
      <c r="B56" s="70" t="s">
        <v>449</v>
      </c>
      <c r="F56" s="81"/>
      <c r="G56" s="84">
        <f>G54+G55</f>
        <v>490778.33220000006</v>
      </c>
      <c r="I56" s="330"/>
      <c r="J56" s="330">
        <f t="shared" si="59"/>
        <v>0</v>
      </c>
      <c r="M56" s="84">
        <f>M54+M55</f>
        <v>83101.652602035174</v>
      </c>
      <c r="O56" s="84">
        <f>O54+O55</f>
        <v>43949.174276780745</v>
      </c>
      <c r="Q56" s="84">
        <f>Q54+Q55</f>
        <v>45502.172965032354</v>
      </c>
      <c r="S56" s="84">
        <f>S54+S55</f>
        <v>80713.471547456065</v>
      </c>
      <c r="U56" s="84">
        <f>U54+U55</f>
        <v>18098.154156521741</v>
      </c>
      <c r="W56" s="84">
        <f>W54+W55</f>
        <v>14270.207165217393</v>
      </c>
      <c r="Y56" s="84">
        <f>Y54+Y55</f>
        <v>11362.160973913044</v>
      </c>
      <c r="AA56" s="84">
        <f>AA54+AA55</f>
        <v>13859.537165217393</v>
      </c>
      <c r="AC56" s="84">
        <f>AC54+AC55</f>
        <v>13038.197165217392</v>
      </c>
      <c r="AE56" s="84">
        <f>AE54+AE55</f>
        <v>38719.343113043476</v>
      </c>
      <c r="AG56" s="84">
        <f>AG54+AG55</f>
        <v>4668.1473913043474</v>
      </c>
      <c r="AI56" s="84">
        <f>AI54+AI55</f>
        <v>17179.972747826087</v>
      </c>
      <c r="AK56" s="84">
        <f>AK54+AK55</f>
        <v>3334.2303913043474</v>
      </c>
      <c r="AM56" s="84">
        <f>AM54+AM55</f>
        <v>102981.91053913043</v>
      </c>
      <c r="AN56" s="83"/>
      <c r="AO56" s="83"/>
      <c r="AP56" s="83"/>
      <c r="AQ56" s="83"/>
      <c r="AR56" s="83"/>
      <c r="AS56" s="83"/>
      <c r="AT56" s="83"/>
      <c r="AU56" s="83"/>
    </row>
    <row r="57" spans="2:47" x14ac:dyDescent="0.35">
      <c r="B57" s="355" t="s">
        <v>463</v>
      </c>
      <c r="F57" s="81">
        <v>0.14000000000000001</v>
      </c>
      <c r="G57" s="84">
        <f>G56*$F$57</f>
        <v>68708.966508000012</v>
      </c>
      <c r="I57" s="330"/>
      <c r="J57" s="330">
        <f t="shared" si="59"/>
        <v>0</v>
      </c>
      <c r="M57" s="84">
        <f>M56*$F$57</f>
        <v>11634.231364284926</v>
      </c>
      <c r="O57" s="84">
        <f>O56*$F$57</f>
        <v>6152.8843987493046</v>
      </c>
      <c r="Q57" s="84">
        <f>Q56*$F$57</f>
        <v>6370.3042151045302</v>
      </c>
      <c r="S57" s="84">
        <f>S56*$F$57</f>
        <v>11299.88601664385</v>
      </c>
      <c r="U57" s="84">
        <f>U56*$F$57</f>
        <v>2533.7415819130442</v>
      </c>
      <c r="W57" s="84">
        <f>W56*$F$57</f>
        <v>1997.8290031304352</v>
      </c>
      <c r="Y57" s="84">
        <f>Y56*$F$57</f>
        <v>1590.7025363478263</v>
      </c>
      <c r="AA57" s="84">
        <f>AA56*$F$57</f>
        <v>1940.335203130435</v>
      </c>
      <c r="AC57" s="84">
        <f>AC56*$F$57</f>
        <v>1825.3476031304351</v>
      </c>
      <c r="AE57" s="84">
        <f>AE56*$F$57</f>
        <v>5420.7080358260873</v>
      </c>
      <c r="AG57" s="84">
        <f>AG56*$F$57</f>
        <v>653.54063478260866</v>
      </c>
      <c r="AI57" s="84">
        <f>AI56*$F$57</f>
        <v>2405.1961846956524</v>
      </c>
      <c r="AK57" s="84">
        <f>AK56*$F$57</f>
        <v>466.79225478260867</v>
      </c>
      <c r="AM57" s="84">
        <f>AM56*$F$57</f>
        <v>14417.467475478263</v>
      </c>
      <c r="AN57" s="83"/>
      <c r="AO57" s="83"/>
      <c r="AP57" s="83"/>
      <c r="AQ57" s="83"/>
      <c r="AR57" s="83"/>
      <c r="AS57" s="83"/>
      <c r="AT57" s="83"/>
      <c r="AU57" s="83"/>
    </row>
    <row r="58" spans="2:47" x14ac:dyDescent="0.35">
      <c r="B58" s="355" t="s">
        <v>464</v>
      </c>
      <c r="G58" s="83">
        <f>G56+G57</f>
        <v>559487.2987080001</v>
      </c>
      <c r="J58" s="330">
        <f t="shared" si="59"/>
        <v>0</v>
      </c>
      <c r="M58" s="83">
        <f>M56+M57</f>
        <v>94735.883966320107</v>
      </c>
      <c r="O58" s="83">
        <f>O56+O57</f>
        <v>50102.058675530046</v>
      </c>
      <c r="Q58" s="83">
        <f>Q56+Q57</f>
        <v>51872.477180136884</v>
      </c>
      <c r="S58" s="83">
        <f>S56+S57</f>
        <v>92013.357564099919</v>
      </c>
      <c r="U58" s="83">
        <f>U56+U57</f>
        <v>20631.895738434785</v>
      </c>
      <c r="W58" s="83">
        <f>W56+W57</f>
        <v>16268.036168347828</v>
      </c>
      <c r="Y58" s="83">
        <f>Y56+Y57</f>
        <v>12952.86351026087</v>
      </c>
      <c r="AA58" s="83">
        <f>AA56+AA57</f>
        <v>15799.872368347827</v>
      </c>
      <c r="AC58" s="83">
        <f>AC56+AC57</f>
        <v>14863.544768347827</v>
      </c>
      <c r="AE58" s="83">
        <f>AE56+AE57</f>
        <v>44140.051148869563</v>
      </c>
      <c r="AG58" s="83">
        <f>AG56+AG57</f>
        <v>5321.6880260869557</v>
      </c>
      <c r="AI58" s="83">
        <f>AI56+AI57</f>
        <v>19585.168932521738</v>
      </c>
      <c r="AK58" s="83">
        <f>AK56+AK57</f>
        <v>3801.0226460869562</v>
      </c>
      <c r="AM58" s="83">
        <f>AM56+AM57</f>
        <v>117399.37801460869</v>
      </c>
      <c r="AN58" s="83"/>
      <c r="AO58" s="83"/>
      <c r="AP58" s="83"/>
      <c r="AQ58" s="83"/>
      <c r="AR58" s="83"/>
      <c r="AS58" s="83"/>
      <c r="AT58" s="83"/>
      <c r="AU58" s="83"/>
    </row>
    <row r="60" spans="2:47" x14ac:dyDescent="0.35">
      <c r="F60" s="83"/>
    </row>
    <row r="61" spans="2:47" x14ac:dyDescent="0.35">
      <c r="G61" s="83">
        <f>'Consumables Cost '!G39</f>
        <v>89119.660967999997</v>
      </c>
      <c r="AM61" s="83"/>
    </row>
    <row r="62" spans="2:47" x14ac:dyDescent="0.35">
      <c r="AM62" s="83">
        <f>AM58+'Consumables Cost '!AM39</f>
        <v>135532.92253460869</v>
      </c>
    </row>
    <row r="63" spans="2:47" x14ac:dyDescent="0.35">
      <c r="AM63" s="83"/>
    </row>
    <row r="64" spans="2:47" x14ac:dyDescent="0.35">
      <c r="E64" s="83">
        <f>E76+E77+F73+F74</f>
        <v>648606.95967600006</v>
      </c>
      <c r="G64" s="83">
        <f>G58+G61</f>
        <v>648606.95967600006</v>
      </c>
      <c r="AM64" s="439" t="e">
        <f>#REF!+#REF!+#REF!+#REF!+#REF!+#REF!+#REF!+#REF!+#REF!+#REF!+#REF!+#REF!</f>
        <v>#REF!</v>
      </c>
    </row>
    <row r="65" spans="2:39" x14ac:dyDescent="0.35">
      <c r="F65" s="83">
        <f>E64-F75</f>
        <v>213481.95967600006</v>
      </c>
      <c r="G65" s="17">
        <v>0.3</v>
      </c>
      <c r="L65" s="83">
        <f>F65*G65</f>
        <v>64044.587902800013</v>
      </c>
      <c r="M65" s="83">
        <f>F65*L66</f>
        <v>149437.37177320002</v>
      </c>
      <c r="AM65" s="439"/>
    </row>
    <row r="66" spans="2:39" x14ac:dyDescent="0.35">
      <c r="L66" s="17">
        <f>1-G65</f>
        <v>0.7</v>
      </c>
      <c r="AM66" s="83" t="e">
        <f>AM62-AM64</f>
        <v>#REF!</v>
      </c>
    </row>
    <row r="67" spans="2:39" x14ac:dyDescent="0.35">
      <c r="E67" s="17" t="s">
        <v>492</v>
      </c>
      <c r="F67" s="17" t="s">
        <v>220</v>
      </c>
      <c r="AM67" s="83"/>
    </row>
    <row r="68" spans="2:39" x14ac:dyDescent="0.35">
      <c r="B68" s="85" t="s">
        <v>490</v>
      </c>
      <c r="E68" s="83">
        <f>'Consumables Cost '!G39-'Consumables Cost '!AM39</f>
        <v>70986.116448000001</v>
      </c>
      <c r="F68" s="83">
        <f>G58-AM58</f>
        <v>442087.92069339141</v>
      </c>
      <c r="G68" s="83">
        <f>E68+F68</f>
        <v>513074.03714139143</v>
      </c>
    </row>
    <row r="69" spans="2:39" x14ac:dyDescent="0.35">
      <c r="B69" s="85" t="s">
        <v>491</v>
      </c>
      <c r="E69" s="83">
        <f>'Consumables Cost '!AM39</f>
        <v>18133.544519999999</v>
      </c>
      <c r="F69" s="83">
        <f>AM58</f>
        <v>117399.37801460869</v>
      </c>
      <c r="G69" s="83">
        <f>E69+F69</f>
        <v>135532.92253460869</v>
      </c>
    </row>
    <row r="70" spans="2:39" x14ac:dyDescent="0.35">
      <c r="E70" s="83">
        <f>E68+E69</f>
        <v>89119.660967999997</v>
      </c>
      <c r="F70" s="83">
        <f>F68+F69</f>
        <v>559487.2987080001</v>
      </c>
      <c r="G70" s="83">
        <f>E70+F70</f>
        <v>648606.95967600006</v>
      </c>
    </row>
    <row r="71" spans="2:39" x14ac:dyDescent="0.35">
      <c r="AH71" s="83">
        <f>G58+'Consumables Cost '!G39</f>
        <v>648606.95967600006</v>
      </c>
      <c r="AI71" s="84">
        <v>762207.80592496949</v>
      </c>
      <c r="AK71" s="83">
        <f>AH71-AI71</f>
        <v>-113600.84624896944</v>
      </c>
      <c r="AM71" s="83"/>
    </row>
    <row r="72" spans="2:39" x14ac:dyDescent="0.35">
      <c r="AI72" s="84"/>
      <c r="AM72" s="84"/>
    </row>
    <row r="73" spans="2:39" x14ac:dyDescent="0.35">
      <c r="B73" s="85" t="s">
        <v>493</v>
      </c>
      <c r="E73" s="439"/>
      <c r="F73" s="439">
        <f>'BOQ Basic -Residential'!D21+'BOQ Basic -Residential'!D22+'BOQ Basic -Residential'!D23+'BOQ Basic -Residential'!D24+'BOQ Basic -Residential'!D25+'BOQ Basic -Residential'!D26+'BOQ Basic -Residential'!D27+'BOQ Basic -Residential'!D28+'BOQ Basic -Residential'!D29+'BOQ Basic -Residential'!D30+'BOQ Basic -Residential'!D31+'BOQ Basic -Residential'!D32+'BOQ Basic -Residential'!D33</f>
        <v>422002</v>
      </c>
      <c r="G73" s="83">
        <f>F68-F73</f>
        <v>20085.92069339141</v>
      </c>
      <c r="AH73" s="439" t="e">
        <f>#REF!+#REF!+#REF!+#REF!+#REF!+#REF!+#REF!+#REF!+#REF!+#REF!+#REF!+#REF!+#REF!</f>
        <v>#REF!</v>
      </c>
      <c r="AI73" s="84" t="e">
        <f>G58-(AH74+AI74)</f>
        <v>#REF!</v>
      </c>
      <c r="AJ73" s="83" t="e">
        <f>AH71-(AI73+AI74+AJ74)</f>
        <v>#REF!</v>
      </c>
      <c r="AK73" s="83" t="e">
        <f>AJ73+AJ74+AK71</f>
        <v>#REF!</v>
      </c>
      <c r="AM73" s="83"/>
    </row>
    <row r="74" spans="2:39" x14ac:dyDescent="0.35">
      <c r="B74" s="85" t="s">
        <v>494</v>
      </c>
      <c r="E74" s="83"/>
      <c r="F74" s="439">
        <f>'BOQ Basic -Residential'!D35+'BOQ Basic -Residential'!D36+'BOQ Basic -Residential'!D37+'BOQ Basic -Residential'!D38+'BOQ Basic -Residential'!D39+'BOQ Basic -Residential'!D40+'BOQ Basic -Residential'!D41+'BOQ Basic -Residential'!D42+'BOQ Basic -Residential'!D43+'BOQ Basic -Residential'!D44+'BOQ Basic -Residential'!D45+'BOQ Basic -Residential'!D46</f>
        <v>13123</v>
      </c>
      <c r="G74" s="83">
        <f>F69-F74</f>
        <v>104276.37801460869</v>
      </c>
      <c r="AH74" s="439" t="e">
        <f>#REF!+#REF!+#REF!+#REF!+#REF!+#REF!+#REF!+#REF!+#REF!+#REF!+#REF!+#REF!</f>
        <v>#REF!</v>
      </c>
      <c r="AI74" s="83">
        <f>AM58-(AM18+AM19+AM20)</f>
        <v>52689.233087072469</v>
      </c>
      <c r="AJ74" s="83">
        <f>'Consumables Cost '!AM39</f>
        <v>18133.544519999999</v>
      </c>
    </row>
    <row r="75" spans="2:39" x14ac:dyDescent="0.35">
      <c r="F75" s="439">
        <f>SUM(F73:F74)</f>
        <v>435125</v>
      </c>
      <c r="AM75" s="83"/>
    </row>
    <row r="76" spans="2:39" x14ac:dyDescent="0.35">
      <c r="E76" s="83">
        <f>E68+G73</f>
        <v>91072.037141391411</v>
      </c>
    </row>
    <row r="77" spans="2:39" x14ac:dyDescent="0.35">
      <c r="E77" s="83">
        <f>E69+G74</f>
        <v>122409.92253460869</v>
      </c>
      <c r="F77" s="83">
        <f>E77-AM18+AM19+AM20</f>
        <v>142047.60369402898</v>
      </c>
      <c r="AH77" s="83" t="e">
        <f>AH71-(AH73+AH74)</f>
        <v>#REF!</v>
      </c>
      <c r="AI77" s="83"/>
    </row>
    <row r="79" spans="2:39" x14ac:dyDescent="0.35">
      <c r="E79" s="209">
        <v>196009</v>
      </c>
      <c r="F79" s="83">
        <f>E64-E79</f>
        <v>452597.95967600006</v>
      </c>
    </row>
  </sheetData>
  <mergeCells count="14">
    <mergeCell ref="AJ4:AK4"/>
    <mergeCell ref="AL4:AM4"/>
    <mergeCell ref="X4:Y4"/>
    <mergeCell ref="Z4:AA4"/>
    <mergeCell ref="AB4:AC4"/>
    <mergeCell ref="AD4:AE4"/>
    <mergeCell ref="AF4:AG4"/>
    <mergeCell ref="AH4:AI4"/>
    <mergeCell ref="V4:W4"/>
    <mergeCell ref="L4:M4"/>
    <mergeCell ref="N4:O4"/>
    <mergeCell ref="P4:Q4"/>
    <mergeCell ref="R4:S4"/>
    <mergeCell ref="T4:U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C838-814E-48B3-91C5-188BE21E931E}">
  <dimension ref="B3:AV45"/>
  <sheetViews>
    <sheetView topLeftCell="A25" zoomScale="106" zoomScaleNormal="106" workbookViewId="0">
      <pane xSplit="3" topLeftCell="D1" activePane="topRight" state="frozen"/>
      <selection pane="topRight" activeCell="C43" sqref="C43"/>
    </sheetView>
  </sheetViews>
  <sheetFormatPr defaultRowHeight="14.5" x14ac:dyDescent="0.35"/>
  <cols>
    <col min="2" max="2" width="57.08984375" bestFit="1" customWidth="1"/>
    <col min="3" max="4" width="9.90625" customWidth="1"/>
    <col min="5" max="6" width="18.6328125" customWidth="1"/>
    <col min="7" max="7" width="24.08984375" customWidth="1"/>
    <col min="9" max="9" width="18.1796875" bestFit="1" customWidth="1"/>
    <col min="13" max="13" width="14.81640625" customWidth="1"/>
    <col min="15" max="15" width="14.81640625" customWidth="1"/>
    <col min="17" max="17" width="14.81640625" customWidth="1"/>
    <col min="19" max="19" width="14.81640625" customWidth="1"/>
    <col min="21" max="21" width="14.81640625" customWidth="1"/>
    <col min="23" max="23" width="14.81640625" customWidth="1"/>
    <col min="25" max="25" width="14.81640625" customWidth="1"/>
    <col min="27" max="27" width="14.81640625" customWidth="1"/>
    <col min="29" max="29" width="14.81640625" customWidth="1"/>
    <col min="31" max="31" width="14.81640625" customWidth="1"/>
    <col min="33" max="33" width="14.81640625" customWidth="1"/>
    <col min="35" max="35" width="14.81640625" customWidth="1"/>
    <col min="37" max="37" width="14.81640625" customWidth="1"/>
    <col min="39" max="39" width="14.81640625" customWidth="1"/>
    <col min="40" max="40" width="11.08984375" bestFit="1" customWidth="1"/>
    <col min="41" max="41" width="10.453125" bestFit="1" customWidth="1"/>
    <col min="42" max="42" width="11.453125" bestFit="1" customWidth="1"/>
    <col min="43" max="43" width="9.453125" bestFit="1" customWidth="1"/>
    <col min="44" max="44" width="11.453125" bestFit="1" customWidth="1"/>
    <col min="45" max="45" width="10.453125" bestFit="1" customWidth="1"/>
    <col min="46" max="46" width="11.453125" bestFit="1" customWidth="1"/>
  </cols>
  <sheetData>
    <row r="3" spans="2:47" x14ac:dyDescent="0.35">
      <c r="B3" s="36"/>
      <c r="C3" s="17"/>
      <c r="D3" s="17"/>
      <c r="E3" s="37"/>
      <c r="F3" s="37"/>
      <c r="G3" s="37"/>
      <c r="L3">
        <v>27.213947990543737</v>
      </c>
      <c r="M3">
        <v>0</v>
      </c>
      <c r="N3">
        <v>13.708037825059103</v>
      </c>
      <c r="O3">
        <v>0</v>
      </c>
      <c r="P3">
        <v>14.359338061465721</v>
      </c>
      <c r="Q3">
        <v>0</v>
      </c>
      <c r="R3">
        <v>26.607565011820334</v>
      </c>
      <c r="S3">
        <v>0</v>
      </c>
      <c r="T3">
        <v>6.2777777777777786</v>
      </c>
      <c r="U3">
        <v>0</v>
      </c>
      <c r="V3">
        <v>4.7936507936507935</v>
      </c>
      <c r="W3">
        <v>0</v>
      </c>
      <c r="X3">
        <v>3.5952380952380949</v>
      </c>
      <c r="Y3">
        <v>0</v>
      </c>
      <c r="Z3">
        <v>4.7222222222222223</v>
      </c>
      <c r="AA3">
        <v>0</v>
      </c>
      <c r="AB3">
        <v>4.7222222222222223</v>
      </c>
      <c r="AC3">
        <v>0</v>
      </c>
      <c r="AD3">
        <v>12.555555555555557</v>
      </c>
      <c r="AE3">
        <v>0</v>
      </c>
      <c r="AF3">
        <v>1.1805555555555556</v>
      </c>
      <c r="AG3">
        <v>0</v>
      </c>
      <c r="AH3">
        <v>7.083333333333333</v>
      </c>
      <c r="AI3">
        <v>0</v>
      </c>
      <c r="AJ3">
        <v>1.1805555555555556</v>
      </c>
      <c r="AK3">
        <v>0</v>
      </c>
      <c r="AL3">
        <v>34</v>
      </c>
      <c r="AM3">
        <v>0</v>
      </c>
    </row>
    <row r="4" spans="2:47" ht="43.5" x14ac:dyDescent="0.35">
      <c r="B4" s="38" t="s">
        <v>226</v>
      </c>
      <c r="C4" s="39" t="s">
        <v>227</v>
      </c>
      <c r="D4" s="298" t="s">
        <v>441</v>
      </c>
      <c r="E4" s="40" t="s">
        <v>68</v>
      </c>
      <c r="F4" s="41" t="s">
        <v>421</v>
      </c>
      <c r="G4" s="42" t="s">
        <v>230</v>
      </c>
      <c r="L4" s="570" t="s">
        <v>145</v>
      </c>
      <c r="M4" s="571"/>
      <c r="N4" s="568" t="s">
        <v>146</v>
      </c>
      <c r="O4" s="569"/>
      <c r="P4" s="568" t="s">
        <v>147</v>
      </c>
      <c r="Q4" s="569"/>
      <c r="R4" s="568" t="s">
        <v>148</v>
      </c>
      <c r="S4" s="569"/>
      <c r="T4" s="568" t="s">
        <v>149</v>
      </c>
      <c r="U4" s="569"/>
      <c r="V4" s="568" t="s">
        <v>150</v>
      </c>
      <c r="W4" s="569"/>
      <c r="X4" s="568" t="s">
        <v>151</v>
      </c>
      <c r="Y4" s="569"/>
      <c r="Z4" s="568" t="s">
        <v>152</v>
      </c>
      <c r="AA4" s="569"/>
      <c r="AB4" s="568" t="s">
        <v>153</v>
      </c>
      <c r="AC4" s="569"/>
      <c r="AD4" s="568" t="s">
        <v>154</v>
      </c>
      <c r="AE4" s="569"/>
      <c r="AF4" s="568" t="s">
        <v>155</v>
      </c>
      <c r="AG4" s="569"/>
      <c r="AH4" s="568" t="s">
        <v>156</v>
      </c>
      <c r="AI4" s="569"/>
      <c r="AJ4" s="568" t="s">
        <v>157</v>
      </c>
      <c r="AK4" s="569"/>
      <c r="AL4" s="572" t="s">
        <v>339</v>
      </c>
      <c r="AM4" s="573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2:47" x14ac:dyDescent="0.35">
      <c r="B5" s="43"/>
      <c r="C5" s="44"/>
      <c r="D5" s="44"/>
      <c r="E5" s="45"/>
      <c r="F5" s="46"/>
      <c r="G5" s="47"/>
      <c r="L5" t="s">
        <v>183</v>
      </c>
      <c r="M5" t="s">
        <v>15</v>
      </c>
      <c r="N5" t="s">
        <v>227</v>
      </c>
      <c r="O5" t="s">
        <v>15</v>
      </c>
      <c r="P5" t="s">
        <v>227</v>
      </c>
      <c r="Q5" t="s">
        <v>15</v>
      </c>
      <c r="R5" t="s">
        <v>227</v>
      </c>
      <c r="S5" t="s">
        <v>15</v>
      </c>
      <c r="T5" t="s">
        <v>227</v>
      </c>
      <c r="U5" t="s">
        <v>15</v>
      </c>
      <c r="V5" t="s">
        <v>227</v>
      </c>
      <c r="W5" t="s">
        <v>15</v>
      </c>
      <c r="X5" t="s">
        <v>227</v>
      </c>
      <c r="Y5" t="s">
        <v>15</v>
      </c>
      <c r="Z5" t="s">
        <v>227</v>
      </c>
      <c r="AA5" t="s">
        <v>15</v>
      </c>
      <c r="AB5" t="s">
        <v>227</v>
      </c>
      <c r="AC5" t="s">
        <v>15</v>
      </c>
      <c r="AD5" t="s">
        <v>227</v>
      </c>
      <c r="AE5" t="s">
        <v>15</v>
      </c>
      <c r="AF5" t="s">
        <v>227</v>
      </c>
      <c r="AG5" t="s">
        <v>15</v>
      </c>
      <c r="AH5" t="s">
        <v>227</v>
      </c>
      <c r="AI5" t="s">
        <v>15</v>
      </c>
      <c r="AJ5" t="s">
        <v>227</v>
      </c>
      <c r="AK5" t="s">
        <v>15</v>
      </c>
      <c r="AL5" t="s">
        <v>227</v>
      </c>
      <c r="AM5" t="s">
        <v>15</v>
      </c>
    </row>
    <row r="6" spans="2:47" x14ac:dyDescent="0.35">
      <c r="B6" s="294" t="s">
        <v>280</v>
      </c>
      <c r="C6" s="244">
        <f>L6+N6+P6+R6+T6+V6+X6+Z6+AB6+AD6+AF6+AH6+AJ6+AL6</f>
        <v>50</v>
      </c>
      <c r="D6" s="67">
        <v>1</v>
      </c>
      <c r="E6" s="296">
        <v>110</v>
      </c>
      <c r="F6" s="49">
        <f>E6/D6</f>
        <v>110</v>
      </c>
      <c r="G6" s="50">
        <f>C6*F6</f>
        <v>5500</v>
      </c>
      <c r="H6" s="243"/>
      <c r="I6" s="239">
        <f>C6-(L6+N6+P6+R6+T6+V6+X6+Z6+AB6+AD6+AF6+AH6+AJ6+AL6)</f>
        <v>0</v>
      </c>
      <c r="J6" s="239">
        <f>G6-(M6+O6+Q6+S6+U6+W6+Y6+AA6+AC6+AE6+AG6+AI6+AK6+AM6)</f>
        <v>0</v>
      </c>
      <c r="L6" s="132">
        <v>10</v>
      </c>
      <c r="M6" s="54">
        <f>F6*L6</f>
        <v>1100</v>
      </c>
      <c r="N6" s="329">
        <v>5</v>
      </c>
      <c r="O6" s="54">
        <f>N6*F6</f>
        <v>550</v>
      </c>
      <c r="P6" s="329">
        <v>5</v>
      </c>
      <c r="Q6" s="54">
        <f>P6*F6</f>
        <v>550</v>
      </c>
      <c r="R6" s="347">
        <v>10</v>
      </c>
      <c r="S6" s="54">
        <f>R6*F6</f>
        <v>1100</v>
      </c>
      <c r="U6" s="54">
        <f>T6*F6</f>
        <v>0</v>
      </c>
      <c r="W6" s="54">
        <f>V6*F6</f>
        <v>0</v>
      </c>
      <c r="Y6" s="54">
        <f>X6*F6</f>
        <v>0</v>
      </c>
      <c r="Z6" s="243"/>
      <c r="AA6" s="54">
        <f>Z6*F6</f>
        <v>0</v>
      </c>
      <c r="AB6" s="243"/>
      <c r="AC6" s="54">
        <f>AB6*F6</f>
        <v>0</v>
      </c>
      <c r="AD6">
        <v>10</v>
      </c>
      <c r="AE6" s="54">
        <f>AD6*F6</f>
        <v>1100</v>
      </c>
      <c r="AG6" s="54">
        <f>AF6*F6</f>
        <v>0</v>
      </c>
      <c r="AI6" s="54">
        <f>AH6*F6</f>
        <v>0</v>
      </c>
      <c r="AK6" s="54">
        <f>AJ6*F6</f>
        <v>0</v>
      </c>
      <c r="AL6" s="243">
        <v>10</v>
      </c>
      <c r="AM6" s="54">
        <f>AL6*F6</f>
        <v>1100</v>
      </c>
      <c r="AN6" s="54">
        <f>M6+O6+Q6+S6+U6+W6+Y6+AA6+AC6+AE6+AG6+AI6+AK6+AM6</f>
        <v>5500</v>
      </c>
      <c r="AO6" s="54">
        <f>AN6*$F$34</f>
        <v>440</v>
      </c>
      <c r="AP6" s="54">
        <f>AN6+AO6</f>
        <v>5940</v>
      </c>
      <c r="AQ6" s="54">
        <f>AP6*$F$36</f>
        <v>83.16</v>
      </c>
      <c r="AR6" s="54">
        <f>AP6+AQ6</f>
        <v>6023.16</v>
      </c>
      <c r="AS6" s="54">
        <f>AR6*$F$38</f>
        <v>843.24240000000009</v>
      </c>
      <c r="AT6" s="54">
        <f>AR6+AS6</f>
        <v>6866.4023999999999</v>
      </c>
      <c r="AU6" s="54">
        <f>AT6/C6</f>
        <v>137.328048</v>
      </c>
    </row>
    <row r="7" spans="2:47" x14ac:dyDescent="0.35">
      <c r="B7" s="294" t="s">
        <v>281</v>
      </c>
      <c r="C7" s="244">
        <f t="shared" ref="C7:C32" si="0">L7+N7+P7+R7+T7+V7+X7+Z7+AB7+AD7+AF7+AH7+AJ7+AL7</f>
        <v>120</v>
      </c>
      <c r="D7" s="67">
        <v>1</v>
      </c>
      <c r="E7" s="296">
        <v>65</v>
      </c>
      <c r="F7" s="49">
        <f t="shared" ref="F7:F32" si="1">E7/D7</f>
        <v>65</v>
      </c>
      <c r="G7" s="50">
        <f t="shared" ref="G7:G32" si="2">C7*F7</f>
        <v>7800</v>
      </c>
      <c r="H7" s="243"/>
      <c r="I7" s="239">
        <f t="shared" ref="I7:I32" si="3">C7-(L7+N7+P7+R7+T7+V7+X7+Z7+AB7+AD7+AF7+AH7+AJ7+AL7)</f>
        <v>0</v>
      </c>
      <c r="J7" s="239">
        <f t="shared" ref="J7:J32" si="4">G7-(M7+O7+Q7+S7+U7+W7+Y7+AA7+AC7+AE7+AG7+AI7+AK7+AM7)</f>
        <v>0</v>
      </c>
      <c r="L7" s="132">
        <v>20</v>
      </c>
      <c r="M7" s="54">
        <f t="shared" ref="M7:M32" si="5">F7*L7</f>
        <v>1300</v>
      </c>
      <c r="N7" s="329">
        <v>10</v>
      </c>
      <c r="O7" s="54">
        <f t="shared" ref="O7:O32" si="6">N7*F7</f>
        <v>650</v>
      </c>
      <c r="P7" s="329">
        <v>10</v>
      </c>
      <c r="Q7" s="54">
        <f t="shared" ref="Q7:Q32" si="7">P7*F7</f>
        <v>650</v>
      </c>
      <c r="R7" s="347">
        <v>20</v>
      </c>
      <c r="S7" s="54">
        <f t="shared" ref="S7:S32" si="8">R7*F7</f>
        <v>1300</v>
      </c>
      <c r="T7">
        <v>5</v>
      </c>
      <c r="U7" s="54">
        <f t="shared" ref="U7:U32" si="9">T7*F7</f>
        <v>325</v>
      </c>
      <c r="V7">
        <v>5</v>
      </c>
      <c r="W7" s="54">
        <f t="shared" ref="W7:W32" si="10">V7*F7</f>
        <v>325</v>
      </c>
      <c r="X7">
        <v>5</v>
      </c>
      <c r="Y7" s="54">
        <f t="shared" ref="Y7:Y32" si="11">X7*F7</f>
        <v>325</v>
      </c>
      <c r="Z7">
        <v>5</v>
      </c>
      <c r="AA7" s="54">
        <f t="shared" ref="AA7:AA32" si="12">Z7*F7</f>
        <v>325</v>
      </c>
      <c r="AB7">
        <v>5</v>
      </c>
      <c r="AC7" s="54">
        <f t="shared" ref="AC7:AC32" si="13">AB7*F7</f>
        <v>325</v>
      </c>
      <c r="AD7">
        <v>10</v>
      </c>
      <c r="AE7" s="54">
        <f t="shared" ref="AE7:AE32" si="14">AD7*F7</f>
        <v>650</v>
      </c>
      <c r="AG7" s="54">
        <f t="shared" ref="AG7:AG32" si="15">AF7*F7</f>
        <v>0</v>
      </c>
      <c r="AH7">
        <v>5</v>
      </c>
      <c r="AI7" s="54">
        <f t="shared" ref="AI7:AI32" si="16">AH7*F7</f>
        <v>325</v>
      </c>
      <c r="AK7" s="54">
        <f t="shared" ref="AK7:AK32" si="17">AJ7*F7</f>
        <v>0</v>
      </c>
      <c r="AL7" s="243">
        <v>20</v>
      </c>
      <c r="AM7" s="54">
        <f t="shared" ref="AM7:AM32" si="18">AL7*F7</f>
        <v>1300</v>
      </c>
      <c r="AN7" s="54">
        <f t="shared" ref="AN7:AN32" si="19">M7+O7+Q7+S7+U7+W7+Y7+AA7+AC7+AE7+AG7+AI7+AK7+AM7</f>
        <v>7800</v>
      </c>
      <c r="AO7" s="54">
        <f t="shared" ref="AO7:AO32" si="20">AN7*$F$34</f>
        <v>624</v>
      </c>
      <c r="AP7" s="54">
        <f t="shared" ref="AP7:AP32" si="21">AN7+AO7</f>
        <v>8424</v>
      </c>
      <c r="AQ7" s="54">
        <f t="shared" ref="AQ7:AQ32" si="22">AP7*$F$36</f>
        <v>117.93600000000001</v>
      </c>
      <c r="AR7" s="54">
        <f t="shared" ref="AR7:AR32" si="23">AP7+AQ7</f>
        <v>8541.9359999999997</v>
      </c>
      <c r="AS7" s="54">
        <f t="shared" ref="AS7:AS32" si="24">AR7*$F$38</f>
        <v>1195.87104</v>
      </c>
      <c r="AT7" s="54">
        <f t="shared" ref="AT7:AT32" si="25">AR7+AS7</f>
        <v>9737.8070399999997</v>
      </c>
      <c r="AU7" s="54">
        <f t="shared" ref="AU7:AU32" si="26">AT7/C7</f>
        <v>81.148392000000001</v>
      </c>
    </row>
    <row r="8" spans="2:47" x14ac:dyDescent="0.35">
      <c r="B8" s="294" t="s">
        <v>282</v>
      </c>
      <c r="C8" s="244">
        <f t="shared" si="0"/>
        <v>40</v>
      </c>
      <c r="D8" s="67">
        <v>1</v>
      </c>
      <c r="E8" s="296">
        <v>60</v>
      </c>
      <c r="F8" s="49">
        <f t="shared" si="1"/>
        <v>60</v>
      </c>
      <c r="G8" s="50">
        <f t="shared" si="2"/>
        <v>2400</v>
      </c>
      <c r="H8" s="243"/>
      <c r="I8" s="239">
        <f t="shared" si="3"/>
        <v>0</v>
      </c>
      <c r="J8" s="239">
        <f t="shared" si="4"/>
        <v>0</v>
      </c>
      <c r="L8" s="132">
        <v>10</v>
      </c>
      <c r="M8" s="54">
        <f t="shared" si="5"/>
        <v>600</v>
      </c>
      <c r="N8" s="329">
        <v>5</v>
      </c>
      <c r="O8" s="54">
        <f t="shared" si="6"/>
        <v>300</v>
      </c>
      <c r="P8" s="329">
        <v>5</v>
      </c>
      <c r="Q8" s="54">
        <f t="shared" si="7"/>
        <v>300</v>
      </c>
      <c r="R8" s="347">
        <v>10</v>
      </c>
      <c r="S8" s="54">
        <f t="shared" si="8"/>
        <v>600</v>
      </c>
      <c r="U8" s="54">
        <f t="shared" si="9"/>
        <v>0</v>
      </c>
      <c r="W8" s="54">
        <f t="shared" si="10"/>
        <v>0</v>
      </c>
      <c r="Y8" s="54">
        <f t="shared" si="11"/>
        <v>0</v>
      </c>
      <c r="AA8" s="54">
        <f t="shared" si="12"/>
        <v>0</v>
      </c>
      <c r="AC8" s="54">
        <f t="shared" si="13"/>
        <v>0</v>
      </c>
      <c r="AD8">
        <v>10</v>
      </c>
      <c r="AE8" s="54">
        <f t="shared" si="14"/>
        <v>600</v>
      </c>
      <c r="AG8" s="54">
        <f t="shared" si="15"/>
        <v>0</v>
      </c>
      <c r="AI8" s="54">
        <f t="shared" si="16"/>
        <v>0</v>
      </c>
      <c r="AK8" s="54">
        <f t="shared" si="17"/>
        <v>0</v>
      </c>
      <c r="AL8" s="243"/>
      <c r="AM8" s="54">
        <f t="shared" si="18"/>
        <v>0</v>
      </c>
      <c r="AN8" s="54">
        <f t="shared" si="19"/>
        <v>2400</v>
      </c>
      <c r="AO8" s="54">
        <f t="shared" si="20"/>
        <v>192</v>
      </c>
      <c r="AP8" s="54">
        <f t="shared" si="21"/>
        <v>2592</v>
      </c>
      <c r="AQ8" s="54">
        <f t="shared" si="22"/>
        <v>36.288000000000004</v>
      </c>
      <c r="AR8" s="54">
        <f t="shared" si="23"/>
        <v>2628.288</v>
      </c>
      <c r="AS8" s="54">
        <f t="shared" si="24"/>
        <v>367.96032000000002</v>
      </c>
      <c r="AT8" s="54">
        <f t="shared" si="25"/>
        <v>2996.2483200000001</v>
      </c>
      <c r="AU8" s="54">
        <f t="shared" si="26"/>
        <v>74.906208000000007</v>
      </c>
    </row>
    <row r="9" spans="2:47" s="214" customFormat="1" x14ac:dyDescent="0.35">
      <c r="B9" s="294" t="s">
        <v>283</v>
      </c>
      <c r="C9" s="244">
        <f t="shared" si="0"/>
        <v>61</v>
      </c>
      <c r="D9" s="67">
        <v>1</v>
      </c>
      <c r="E9" s="296">
        <v>60</v>
      </c>
      <c r="F9" s="49">
        <f t="shared" si="1"/>
        <v>60</v>
      </c>
      <c r="G9" s="50">
        <f t="shared" si="2"/>
        <v>3660</v>
      </c>
      <c r="I9" s="239">
        <f t="shared" si="3"/>
        <v>0</v>
      </c>
      <c r="J9" s="239">
        <f t="shared" si="4"/>
        <v>0</v>
      </c>
      <c r="L9" s="132">
        <v>10</v>
      </c>
      <c r="M9" s="54">
        <f t="shared" si="5"/>
        <v>600</v>
      </c>
      <c r="N9" s="329">
        <v>5</v>
      </c>
      <c r="O9" s="54">
        <f t="shared" si="6"/>
        <v>300</v>
      </c>
      <c r="P9" s="329">
        <v>5</v>
      </c>
      <c r="Q9" s="54">
        <f t="shared" si="7"/>
        <v>300</v>
      </c>
      <c r="R9" s="347">
        <v>10</v>
      </c>
      <c r="S9" s="54">
        <f t="shared" si="8"/>
        <v>600</v>
      </c>
      <c r="T9" s="214">
        <v>3</v>
      </c>
      <c r="U9" s="54">
        <f t="shared" si="9"/>
        <v>180</v>
      </c>
      <c r="V9" s="214">
        <v>2</v>
      </c>
      <c r="W9" s="54">
        <f t="shared" si="10"/>
        <v>120</v>
      </c>
      <c r="X9" s="214">
        <v>2</v>
      </c>
      <c r="Y9" s="54">
        <f t="shared" si="11"/>
        <v>120</v>
      </c>
      <c r="Z9" s="214">
        <v>2</v>
      </c>
      <c r="AA9" s="54">
        <f t="shared" si="12"/>
        <v>120</v>
      </c>
      <c r="AB9" s="214">
        <v>2</v>
      </c>
      <c r="AC9" s="54">
        <f t="shared" si="13"/>
        <v>120</v>
      </c>
      <c r="AD9" s="214">
        <v>10</v>
      </c>
      <c r="AE9" s="54">
        <f t="shared" si="14"/>
        <v>600</v>
      </c>
      <c r="AG9" s="54">
        <f t="shared" si="15"/>
        <v>0</v>
      </c>
      <c r="AI9" s="54">
        <f t="shared" si="16"/>
        <v>0</v>
      </c>
      <c r="AK9" s="54">
        <f t="shared" si="17"/>
        <v>0</v>
      </c>
      <c r="AL9" s="214">
        <v>10</v>
      </c>
      <c r="AM9" s="54">
        <f t="shared" si="18"/>
        <v>600</v>
      </c>
      <c r="AN9" s="54">
        <f t="shared" si="19"/>
        <v>3660</v>
      </c>
      <c r="AO9" s="54">
        <f t="shared" si="20"/>
        <v>292.8</v>
      </c>
      <c r="AP9" s="54">
        <f t="shared" si="21"/>
        <v>3952.8</v>
      </c>
      <c r="AQ9" s="54">
        <f t="shared" si="22"/>
        <v>55.339200000000005</v>
      </c>
      <c r="AR9" s="54">
        <f t="shared" si="23"/>
        <v>4008.1392000000001</v>
      </c>
      <c r="AS9" s="54">
        <f t="shared" si="24"/>
        <v>561.13948800000003</v>
      </c>
      <c r="AT9" s="54">
        <f t="shared" si="25"/>
        <v>4569.2786880000003</v>
      </c>
      <c r="AU9" s="54">
        <f t="shared" si="26"/>
        <v>74.906208000000007</v>
      </c>
    </row>
    <row r="10" spans="2:47" x14ac:dyDescent="0.35">
      <c r="B10" s="294" t="s">
        <v>284</v>
      </c>
      <c r="C10" s="244">
        <f t="shared" si="0"/>
        <v>0</v>
      </c>
      <c r="D10" s="67">
        <v>1</v>
      </c>
      <c r="E10" s="296">
        <v>135</v>
      </c>
      <c r="F10" s="49">
        <f t="shared" si="1"/>
        <v>135</v>
      </c>
      <c r="G10" s="50">
        <f t="shared" si="2"/>
        <v>0</v>
      </c>
      <c r="I10" s="239">
        <f t="shared" si="3"/>
        <v>0</v>
      </c>
      <c r="J10" s="239">
        <f t="shared" si="4"/>
        <v>0</v>
      </c>
      <c r="L10" s="132"/>
      <c r="M10" s="54">
        <f t="shared" si="5"/>
        <v>0</v>
      </c>
      <c r="N10" s="329"/>
      <c r="O10" s="54">
        <f t="shared" si="6"/>
        <v>0</v>
      </c>
      <c r="P10" s="329"/>
      <c r="Q10" s="54">
        <f t="shared" si="7"/>
        <v>0</v>
      </c>
      <c r="R10" s="347"/>
      <c r="S10" s="54">
        <f t="shared" si="8"/>
        <v>0</v>
      </c>
      <c r="U10" s="54">
        <f t="shared" si="9"/>
        <v>0</v>
      </c>
      <c r="W10" s="54">
        <f t="shared" si="10"/>
        <v>0</v>
      </c>
      <c r="Y10" s="54">
        <f t="shared" si="11"/>
        <v>0</v>
      </c>
      <c r="AA10" s="54">
        <f t="shared" si="12"/>
        <v>0</v>
      </c>
      <c r="AC10" s="54">
        <f t="shared" si="13"/>
        <v>0</v>
      </c>
      <c r="AE10" s="54">
        <f t="shared" si="14"/>
        <v>0</v>
      </c>
      <c r="AG10" s="54">
        <f t="shared" si="15"/>
        <v>0</v>
      </c>
      <c r="AI10" s="54">
        <f t="shared" si="16"/>
        <v>0</v>
      </c>
      <c r="AK10" s="54">
        <f t="shared" si="17"/>
        <v>0</v>
      </c>
      <c r="AM10" s="54">
        <f t="shared" si="18"/>
        <v>0</v>
      </c>
      <c r="AN10" s="54">
        <f t="shared" si="19"/>
        <v>0</v>
      </c>
      <c r="AO10" s="54">
        <f t="shared" si="20"/>
        <v>0</v>
      </c>
      <c r="AP10" s="54">
        <f t="shared" si="21"/>
        <v>0</v>
      </c>
      <c r="AQ10" s="54">
        <f t="shared" si="22"/>
        <v>0</v>
      </c>
      <c r="AR10" s="54">
        <f t="shared" si="23"/>
        <v>0</v>
      </c>
      <c r="AS10" s="54">
        <f t="shared" si="24"/>
        <v>0</v>
      </c>
      <c r="AT10" s="54">
        <f t="shared" si="25"/>
        <v>0</v>
      </c>
      <c r="AU10" s="54" t="e">
        <f t="shared" si="26"/>
        <v>#DIV/0!</v>
      </c>
    </row>
    <row r="11" spans="2:47" x14ac:dyDescent="0.35">
      <c r="B11" s="294" t="s">
        <v>285</v>
      </c>
      <c r="C11" s="244">
        <f t="shared" si="0"/>
        <v>25</v>
      </c>
      <c r="D11" s="67">
        <v>1</v>
      </c>
      <c r="E11" s="296">
        <v>135</v>
      </c>
      <c r="F11" s="49">
        <f t="shared" si="1"/>
        <v>135</v>
      </c>
      <c r="G11" s="50">
        <f t="shared" si="2"/>
        <v>3375</v>
      </c>
      <c r="I11" s="239">
        <f t="shared" si="3"/>
        <v>0</v>
      </c>
      <c r="J11" s="239">
        <f t="shared" si="4"/>
        <v>0</v>
      </c>
      <c r="L11" s="132">
        <v>5</v>
      </c>
      <c r="M11" s="54">
        <f t="shared" si="5"/>
        <v>675</v>
      </c>
      <c r="N11" s="329">
        <v>2</v>
      </c>
      <c r="O11" s="54">
        <f t="shared" si="6"/>
        <v>270</v>
      </c>
      <c r="P11" s="329">
        <v>3</v>
      </c>
      <c r="Q11" s="54">
        <f t="shared" si="7"/>
        <v>405</v>
      </c>
      <c r="R11" s="347">
        <v>5</v>
      </c>
      <c r="S11" s="54">
        <f t="shared" si="8"/>
        <v>675</v>
      </c>
      <c r="U11" s="54">
        <f t="shared" si="9"/>
        <v>0</v>
      </c>
      <c r="W11" s="54">
        <f t="shared" si="10"/>
        <v>0</v>
      </c>
      <c r="Y11" s="54">
        <f t="shared" si="11"/>
        <v>0</v>
      </c>
      <c r="AA11" s="54">
        <f t="shared" si="12"/>
        <v>0</v>
      </c>
      <c r="AC11" s="54">
        <f t="shared" si="13"/>
        <v>0</v>
      </c>
      <c r="AD11">
        <v>5</v>
      </c>
      <c r="AE11" s="54">
        <f t="shared" si="14"/>
        <v>675</v>
      </c>
      <c r="AG11" s="54">
        <f t="shared" si="15"/>
        <v>0</v>
      </c>
      <c r="AI11" s="54">
        <f t="shared" si="16"/>
        <v>0</v>
      </c>
      <c r="AK11" s="54">
        <f t="shared" si="17"/>
        <v>0</v>
      </c>
      <c r="AL11">
        <v>5</v>
      </c>
      <c r="AM11" s="54">
        <f t="shared" si="18"/>
        <v>675</v>
      </c>
      <c r="AN11" s="54">
        <f t="shared" si="19"/>
        <v>3375</v>
      </c>
      <c r="AO11" s="54">
        <f t="shared" si="20"/>
        <v>270</v>
      </c>
      <c r="AP11" s="54">
        <f t="shared" si="21"/>
        <v>3645</v>
      </c>
      <c r="AQ11" s="54">
        <f t="shared" si="22"/>
        <v>51.03</v>
      </c>
      <c r="AR11" s="54">
        <f t="shared" si="23"/>
        <v>3696.03</v>
      </c>
      <c r="AS11" s="54">
        <f t="shared" si="24"/>
        <v>517.44420000000002</v>
      </c>
      <c r="AT11" s="54">
        <f t="shared" si="25"/>
        <v>4213.4742000000006</v>
      </c>
      <c r="AU11" s="54">
        <f t="shared" si="26"/>
        <v>168.53896800000001</v>
      </c>
    </row>
    <row r="12" spans="2:47" x14ac:dyDescent="0.35">
      <c r="B12" s="294" t="s">
        <v>286</v>
      </c>
      <c r="C12" s="244">
        <f t="shared" si="0"/>
        <v>41</v>
      </c>
      <c r="D12" s="67">
        <v>1</v>
      </c>
      <c r="E12" s="296">
        <v>110</v>
      </c>
      <c r="F12" s="49">
        <f t="shared" si="1"/>
        <v>110</v>
      </c>
      <c r="G12" s="50">
        <f t="shared" si="2"/>
        <v>4510</v>
      </c>
      <c r="I12" s="239">
        <f t="shared" si="3"/>
        <v>0</v>
      </c>
      <c r="J12" s="239">
        <f t="shared" si="4"/>
        <v>0</v>
      </c>
      <c r="L12" s="132">
        <v>5</v>
      </c>
      <c r="M12" s="54">
        <f t="shared" si="5"/>
        <v>550</v>
      </c>
      <c r="N12" s="329">
        <v>2</v>
      </c>
      <c r="O12" s="54">
        <f t="shared" si="6"/>
        <v>220</v>
      </c>
      <c r="P12" s="329">
        <v>3</v>
      </c>
      <c r="Q12" s="54">
        <f t="shared" si="7"/>
        <v>330</v>
      </c>
      <c r="R12" s="347">
        <v>5</v>
      </c>
      <c r="S12" s="54">
        <f t="shared" si="8"/>
        <v>550</v>
      </c>
      <c r="T12">
        <v>3</v>
      </c>
      <c r="U12" s="54">
        <f t="shared" si="9"/>
        <v>330</v>
      </c>
      <c r="V12">
        <v>2</v>
      </c>
      <c r="W12" s="54">
        <f t="shared" si="10"/>
        <v>220</v>
      </c>
      <c r="X12">
        <v>2</v>
      </c>
      <c r="Y12" s="54">
        <f t="shared" si="11"/>
        <v>220</v>
      </c>
      <c r="Z12">
        <v>2</v>
      </c>
      <c r="AA12" s="54">
        <f t="shared" si="12"/>
        <v>220</v>
      </c>
      <c r="AB12">
        <v>2</v>
      </c>
      <c r="AC12" s="54">
        <f t="shared" si="13"/>
        <v>220</v>
      </c>
      <c r="AD12">
        <v>10</v>
      </c>
      <c r="AE12" s="54">
        <f t="shared" si="14"/>
        <v>1100</v>
      </c>
      <c r="AG12" s="54">
        <f t="shared" si="15"/>
        <v>0</v>
      </c>
      <c r="AI12" s="54">
        <f t="shared" si="16"/>
        <v>0</v>
      </c>
      <c r="AK12" s="54">
        <f t="shared" si="17"/>
        <v>0</v>
      </c>
      <c r="AL12">
        <v>5</v>
      </c>
      <c r="AM12" s="54">
        <f t="shared" si="18"/>
        <v>550</v>
      </c>
      <c r="AN12" s="54">
        <f t="shared" si="19"/>
        <v>4510</v>
      </c>
      <c r="AO12" s="54">
        <f t="shared" si="20"/>
        <v>360.8</v>
      </c>
      <c r="AP12" s="54">
        <f t="shared" si="21"/>
        <v>4870.8</v>
      </c>
      <c r="AQ12" s="54">
        <f t="shared" si="22"/>
        <v>68.191200000000009</v>
      </c>
      <c r="AR12" s="54">
        <f t="shared" si="23"/>
        <v>4938.9912000000004</v>
      </c>
      <c r="AS12" s="54">
        <f t="shared" si="24"/>
        <v>691.45876800000008</v>
      </c>
      <c r="AT12" s="54">
        <f t="shared" si="25"/>
        <v>5630.4499680000008</v>
      </c>
      <c r="AU12" s="54">
        <f t="shared" si="26"/>
        <v>137.32804800000002</v>
      </c>
    </row>
    <row r="13" spans="2:47" x14ac:dyDescent="0.35">
      <c r="B13" s="294" t="s">
        <v>287</v>
      </c>
      <c r="C13" s="244">
        <f t="shared" si="0"/>
        <v>39</v>
      </c>
      <c r="D13" s="67">
        <v>1</v>
      </c>
      <c r="E13" s="296">
        <v>125</v>
      </c>
      <c r="F13" s="49">
        <f t="shared" si="1"/>
        <v>125</v>
      </c>
      <c r="G13" s="50">
        <f t="shared" si="2"/>
        <v>4875</v>
      </c>
      <c r="I13" s="239">
        <f t="shared" si="3"/>
        <v>0</v>
      </c>
      <c r="J13" s="239">
        <f t="shared" si="4"/>
        <v>0</v>
      </c>
      <c r="L13" s="132">
        <v>5</v>
      </c>
      <c r="M13" s="54">
        <f t="shared" si="5"/>
        <v>625</v>
      </c>
      <c r="N13" s="329">
        <v>2</v>
      </c>
      <c r="O13" s="54">
        <f t="shared" si="6"/>
        <v>250</v>
      </c>
      <c r="P13" s="329">
        <v>3</v>
      </c>
      <c r="Q13" s="54">
        <f t="shared" si="7"/>
        <v>375</v>
      </c>
      <c r="R13" s="347">
        <v>5</v>
      </c>
      <c r="S13" s="54">
        <f t="shared" si="8"/>
        <v>625</v>
      </c>
      <c r="T13">
        <v>3</v>
      </c>
      <c r="U13" s="54">
        <f t="shared" si="9"/>
        <v>375</v>
      </c>
      <c r="V13">
        <v>2</v>
      </c>
      <c r="W13" s="54">
        <f t="shared" si="10"/>
        <v>250</v>
      </c>
      <c r="X13">
        <v>2</v>
      </c>
      <c r="Y13" s="54">
        <f t="shared" si="11"/>
        <v>250</v>
      </c>
      <c r="Z13">
        <v>2</v>
      </c>
      <c r="AA13" s="54">
        <f t="shared" si="12"/>
        <v>250</v>
      </c>
      <c r="AB13">
        <v>5</v>
      </c>
      <c r="AC13" s="54">
        <f t="shared" si="13"/>
        <v>625</v>
      </c>
      <c r="AD13">
        <v>5</v>
      </c>
      <c r="AE13" s="54">
        <f t="shared" si="14"/>
        <v>625</v>
      </c>
      <c r="AG13" s="54">
        <f t="shared" si="15"/>
        <v>0</v>
      </c>
      <c r="AI13" s="54">
        <f t="shared" si="16"/>
        <v>0</v>
      </c>
      <c r="AK13" s="54">
        <f t="shared" si="17"/>
        <v>0</v>
      </c>
      <c r="AL13">
        <v>5</v>
      </c>
      <c r="AM13" s="54">
        <f t="shared" si="18"/>
        <v>625</v>
      </c>
      <c r="AN13" s="54">
        <f t="shared" si="19"/>
        <v>4875</v>
      </c>
      <c r="AO13" s="54">
        <f t="shared" si="20"/>
        <v>390</v>
      </c>
      <c r="AP13" s="54">
        <f t="shared" si="21"/>
        <v>5265</v>
      </c>
      <c r="AQ13" s="54">
        <f t="shared" si="22"/>
        <v>73.710000000000008</v>
      </c>
      <c r="AR13" s="54">
        <f t="shared" si="23"/>
        <v>5338.71</v>
      </c>
      <c r="AS13" s="54">
        <f t="shared" si="24"/>
        <v>747.41940000000011</v>
      </c>
      <c r="AT13" s="54">
        <f t="shared" si="25"/>
        <v>6086.1293999999998</v>
      </c>
      <c r="AU13" s="54">
        <f t="shared" si="26"/>
        <v>156.05459999999999</v>
      </c>
    </row>
    <row r="14" spans="2:47" x14ac:dyDescent="0.35">
      <c r="B14" s="295" t="s">
        <v>426</v>
      </c>
      <c r="C14" s="244">
        <f t="shared" si="0"/>
        <v>0</v>
      </c>
      <c r="D14" s="67">
        <v>1</v>
      </c>
      <c r="E14" s="296">
        <v>125</v>
      </c>
      <c r="F14" s="49">
        <f t="shared" si="1"/>
        <v>125</v>
      </c>
      <c r="G14" s="50">
        <f t="shared" si="2"/>
        <v>0</v>
      </c>
      <c r="I14" s="239">
        <f t="shared" si="3"/>
        <v>0</v>
      </c>
      <c r="J14" s="239">
        <f t="shared" si="4"/>
        <v>0</v>
      </c>
      <c r="L14" s="132"/>
      <c r="M14" s="54">
        <f t="shared" si="5"/>
        <v>0</v>
      </c>
      <c r="N14" s="329"/>
      <c r="O14" s="54">
        <f t="shared" si="6"/>
        <v>0</v>
      </c>
      <c r="P14" s="329"/>
      <c r="Q14" s="54">
        <f t="shared" si="7"/>
        <v>0</v>
      </c>
      <c r="R14" s="347"/>
      <c r="S14" s="54">
        <f t="shared" si="8"/>
        <v>0</v>
      </c>
      <c r="U14" s="54">
        <f t="shared" si="9"/>
        <v>0</v>
      </c>
      <c r="W14" s="54">
        <f t="shared" si="10"/>
        <v>0</v>
      </c>
      <c r="Y14" s="54">
        <f t="shared" si="11"/>
        <v>0</v>
      </c>
      <c r="AA14" s="54">
        <f t="shared" si="12"/>
        <v>0</v>
      </c>
      <c r="AC14" s="54">
        <f t="shared" si="13"/>
        <v>0</v>
      </c>
      <c r="AE14" s="54">
        <f t="shared" si="14"/>
        <v>0</v>
      </c>
      <c r="AG14" s="54">
        <f t="shared" si="15"/>
        <v>0</v>
      </c>
      <c r="AI14" s="54">
        <f t="shared" si="16"/>
        <v>0</v>
      </c>
      <c r="AK14" s="54">
        <f t="shared" si="17"/>
        <v>0</v>
      </c>
      <c r="AM14" s="54">
        <f t="shared" si="18"/>
        <v>0</v>
      </c>
      <c r="AN14" s="54">
        <f t="shared" si="19"/>
        <v>0</v>
      </c>
      <c r="AO14" s="54">
        <f t="shared" si="20"/>
        <v>0</v>
      </c>
      <c r="AP14" s="54">
        <f t="shared" si="21"/>
        <v>0</v>
      </c>
      <c r="AQ14" s="54">
        <f t="shared" si="22"/>
        <v>0</v>
      </c>
      <c r="AR14" s="54">
        <f t="shared" si="23"/>
        <v>0</v>
      </c>
      <c r="AS14" s="54">
        <f t="shared" si="24"/>
        <v>0</v>
      </c>
      <c r="AT14" s="54">
        <f t="shared" si="25"/>
        <v>0</v>
      </c>
      <c r="AU14" s="54" t="e">
        <f t="shared" si="26"/>
        <v>#DIV/0!</v>
      </c>
    </row>
    <row r="15" spans="2:47" x14ac:dyDescent="0.35">
      <c r="B15" s="294" t="s">
        <v>427</v>
      </c>
      <c r="C15" s="244">
        <f t="shared" si="0"/>
        <v>10</v>
      </c>
      <c r="D15" s="67">
        <v>1</v>
      </c>
      <c r="E15" s="296">
        <v>125</v>
      </c>
      <c r="F15" s="49">
        <f t="shared" si="1"/>
        <v>125</v>
      </c>
      <c r="G15" s="50">
        <f t="shared" si="2"/>
        <v>1250</v>
      </c>
      <c r="I15" s="239">
        <f t="shared" si="3"/>
        <v>0</v>
      </c>
      <c r="J15" s="239">
        <f t="shared" si="4"/>
        <v>0</v>
      </c>
      <c r="L15" s="132"/>
      <c r="M15" s="54">
        <f t="shared" si="5"/>
        <v>0</v>
      </c>
      <c r="N15" s="329"/>
      <c r="O15" s="54">
        <f t="shared" si="6"/>
        <v>0</v>
      </c>
      <c r="P15" s="329"/>
      <c r="Q15" s="54">
        <f t="shared" si="7"/>
        <v>0</v>
      </c>
      <c r="R15" s="347"/>
      <c r="S15" s="54">
        <f t="shared" si="8"/>
        <v>0</v>
      </c>
      <c r="U15" s="54">
        <f t="shared" si="9"/>
        <v>0</v>
      </c>
      <c r="W15" s="54">
        <f t="shared" si="10"/>
        <v>0</v>
      </c>
      <c r="Y15" s="54">
        <f t="shared" si="11"/>
        <v>0</v>
      </c>
      <c r="AA15" s="54">
        <f t="shared" si="12"/>
        <v>0</v>
      </c>
      <c r="AC15" s="54">
        <f t="shared" si="13"/>
        <v>0</v>
      </c>
      <c r="AD15">
        <v>5</v>
      </c>
      <c r="AE15" s="54">
        <f t="shared" si="14"/>
        <v>625</v>
      </c>
      <c r="AG15" s="54">
        <f t="shared" si="15"/>
        <v>0</v>
      </c>
      <c r="AI15" s="54">
        <f t="shared" si="16"/>
        <v>0</v>
      </c>
      <c r="AK15" s="54">
        <f t="shared" si="17"/>
        <v>0</v>
      </c>
      <c r="AL15">
        <v>5</v>
      </c>
      <c r="AM15" s="54">
        <f t="shared" si="18"/>
        <v>625</v>
      </c>
      <c r="AN15" s="54">
        <f t="shared" si="19"/>
        <v>1250</v>
      </c>
      <c r="AO15" s="54">
        <f t="shared" si="20"/>
        <v>100</v>
      </c>
      <c r="AP15" s="54">
        <f t="shared" si="21"/>
        <v>1350</v>
      </c>
      <c r="AQ15" s="54">
        <f t="shared" si="22"/>
        <v>18.900000000000002</v>
      </c>
      <c r="AR15" s="54">
        <f t="shared" si="23"/>
        <v>1368.9</v>
      </c>
      <c r="AS15" s="54">
        <f t="shared" si="24"/>
        <v>191.64600000000004</v>
      </c>
      <c r="AT15" s="54">
        <f t="shared" si="25"/>
        <v>1560.546</v>
      </c>
      <c r="AU15" s="54">
        <f t="shared" si="26"/>
        <v>156.05459999999999</v>
      </c>
    </row>
    <row r="16" spans="2:47" s="274" customFormat="1" x14ac:dyDescent="0.35">
      <c r="B16" s="294" t="s">
        <v>428</v>
      </c>
      <c r="C16" s="244">
        <f t="shared" si="0"/>
        <v>25</v>
      </c>
      <c r="D16" s="67">
        <v>1</v>
      </c>
      <c r="E16" s="296">
        <v>125</v>
      </c>
      <c r="F16" s="49">
        <f t="shared" si="1"/>
        <v>125</v>
      </c>
      <c r="G16" s="50">
        <f t="shared" si="2"/>
        <v>3125</v>
      </c>
      <c r="I16" s="239">
        <f t="shared" si="3"/>
        <v>0</v>
      </c>
      <c r="J16" s="239">
        <f t="shared" si="4"/>
        <v>0</v>
      </c>
      <c r="L16" s="132">
        <v>5</v>
      </c>
      <c r="M16" s="54">
        <f t="shared" si="5"/>
        <v>625</v>
      </c>
      <c r="N16" s="329">
        <v>2</v>
      </c>
      <c r="O16" s="54">
        <f t="shared" si="6"/>
        <v>250</v>
      </c>
      <c r="P16" s="329">
        <v>3</v>
      </c>
      <c r="Q16" s="54">
        <f t="shared" si="7"/>
        <v>375</v>
      </c>
      <c r="R16" s="347">
        <v>5</v>
      </c>
      <c r="S16" s="54">
        <f t="shared" si="8"/>
        <v>625</v>
      </c>
      <c r="U16" s="54">
        <f t="shared" si="9"/>
        <v>0</v>
      </c>
      <c r="W16" s="54">
        <f t="shared" si="10"/>
        <v>0</v>
      </c>
      <c r="Y16" s="54">
        <f t="shared" si="11"/>
        <v>0</v>
      </c>
      <c r="AA16" s="54">
        <f t="shared" si="12"/>
        <v>0</v>
      </c>
      <c r="AC16" s="54">
        <f t="shared" si="13"/>
        <v>0</v>
      </c>
      <c r="AD16" s="274">
        <v>5</v>
      </c>
      <c r="AE16" s="54">
        <f t="shared" si="14"/>
        <v>625</v>
      </c>
      <c r="AG16" s="54">
        <f t="shared" si="15"/>
        <v>0</v>
      </c>
      <c r="AI16" s="54">
        <f t="shared" si="16"/>
        <v>0</v>
      </c>
      <c r="AK16" s="54">
        <f t="shared" si="17"/>
        <v>0</v>
      </c>
      <c r="AL16" s="274">
        <v>5</v>
      </c>
      <c r="AM16" s="54">
        <f t="shared" si="18"/>
        <v>625</v>
      </c>
      <c r="AN16" s="54">
        <f t="shared" si="19"/>
        <v>3125</v>
      </c>
      <c r="AO16" s="54">
        <f t="shared" si="20"/>
        <v>250</v>
      </c>
      <c r="AP16" s="54">
        <f t="shared" si="21"/>
        <v>3375</v>
      </c>
      <c r="AQ16" s="54">
        <f t="shared" si="22"/>
        <v>47.25</v>
      </c>
      <c r="AR16" s="54">
        <f t="shared" si="23"/>
        <v>3422.25</v>
      </c>
      <c r="AS16" s="54">
        <f t="shared" si="24"/>
        <v>479.11500000000007</v>
      </c>
      <c r="AT16" s="54">
        <f t="shared" si="25"/>
        <v>3901.3650000000002</v>
      </c>
      <c r="AU16" s="54">
        <f t="shared" si="26"/>
        <v>156.05460000000002</v>
      </c>
    </row>
    <row r="17" spans="2:47" x14ac:dyDescent="0.35">
      <c r="B17" s="294" t="s">
        <v>288</v>
      </c>
      <c r="C17" s="244">
        <f t="shared" si="0"/>
        <v>10</v>
      </c>
      <c r="D17" s="67">
        <v>1</v>
      </c>
      <c r="E17" s="296">
        <v>125</v>
      </c>
      <c r="F17" s="49">
        <f t="shared" si="1"/>
        <v>125</v>
      </c>
      <c r="G17" s="50">
        <f t="shared" si="2"/>
        <v>1250</v>
      </c>
      <c r="I17" s="239">
        <f t="shared" si="3"/>
        <v>0</v>
      </c>
      <c r="J17" s="239">
        <f t="shared" si="4"/>
        <v>0</v>
      </c>
      <c r="L17" s="132"/>
      <c r="M17" s="54">
        <f t="shared" si="5"/>
        <v>0</v>
      </c>
      <c r="N17" s="329"/>
      <c r="O17" s="54">
        <f t="shared" si="6"/>
        <v>0</v>
      </c>
      <c r="P17" s="329"/>
      <c r="Q17" s="54">
        <f t="shared" si="7"/>
        <v>0</v>
      </c>
      <c r="R17" s="347"/>
      <c r="S17" s="54">
        <f t="shared" si="8"/>
        <v>0</v>
      </c>
      <c r="U17" s="54">
        <f t="shared" si="9"/>
        <v>0</v>
      </c>
      <c r="W17" s="54">
        <f t="shared" si="10"/>
        <v>0</v>
      </c>
      <c r="Y17" s="54">
        <f t="shared" si="11"/>
        <v>0</v>
      </c>
      <c r="AA17" s="54">
        <f t="shared" si="12"/>
        <v>0</v>
      </c>
      <c r="AC17" s="54">
        <f t="shared" si="13"/>
        <v>0</v>
      </c>
      <c r="AD17">
        <v>5</v>
      </c>
      <c r="AE17" s="54">
        <f t="shared" si="14"/>
        <v>625</v>
      </c>
      <c r="AG17" s="54">
        <f t="shared" si="15"/>
        <v>0</v>
      </c>
      <c r="AI17" s="54">
        <f t="shared" si="16"/>
        <v>0</v>
      </c>
      <c r="AK17" s="54">
        <f t="shared" si="17"/>
        <v>0</v>
      </c>
      <c r="AL17">
        <v>5</v>
      </c>
      <c r="AM17" s="54">
        <f t="shared" si="18"/>
        <v>625</v>
      </c>
      <c r="AN17" s="54">
        <f t="shared" si="19"/>
        <v>1250</v>
      </c>
      <c r="AO17" s="54">
        <f t="shared" si="20"/>
        <v>100</v>
      </c>
      <c r="AP17" s="54">
        <f t="shared" si="21"/>
        <v>1350</v>
      </c>
      <c r="AQ17" s="54">
        <f t="shared" si="22"/>
        <v>18.900000000000002</v>
      </c>
      <c r="AR17" s="54">
        <f t="shared" si="23"/>
        <v>1368.9</v>
      </c>
      <c r="AS17" s="54">
        <f t="shared" si="24"/>
        <v>191.64600000000004</v>
      </c>
      <c r="AT17" s="54">
        <f t="shared" si="25"/>
        <v>1560.546</v>
      </c>
      <c r="AU17" s="54">
        <f t="shared" si="26"/>
        <v>156.05459999999999</v>
      </c>
    </row>
    <row r="18" spans="2:47" x14ac:dyDescent="0.35">
      <c r="B18" s="294" t="s">
        <v>429</v>
      </c>
      <c r="C18" s="244">
        <f t="shared" si="0"/>
        <v>30</v>
      </c>
      <c r="D18" s="67">
        <v>1</v>
      </c>
      <c r="E18" s="296">
        <v>110</v>
      </c>
      <c r="F18" s="49">
        <f t="shared" si="1"/>
        <v>110</v>
      </c>
      <c r="G18" s="50">
        <f t="shared" si="2"/>
        <v>3300</v>
      </c>
      <c r="I18" s="239">
        <f t="shared" si="3"/>
        <v>0</v>
      </c>
      <c r="J18" s="239">
        <f t="shared" si="4"/>
        <v>0</v>
      </c>
      <c r="L18" s="132">
        <v>5</v>
      </c>
      <c r="M18" s="54">
        <f t="shared" si="5"/>
        <v>550</v>
      </c>
      <c r="N18" s="329">
        <v>2</v>
      </c>
      <c r="O18" s="54">
        <f t="shared" si="6"/>
        <v>220</v>
      </c>
      <c r="P18" s="329">
        <v>3</v>
      </c>
      <c r="Q18" s="54">
        <f t="shared" si="7"/>
        <v>330</v>
      </c>
      <c r="R18" s="347">
        <v>5</v>
      </c>
      <c r="S18" s="54">
        <f t="shared" si="8"/>
        <v>550</v>
      </c>
      <c r="U18" s="54">
        <f t="shared" si="9"/>
        <v>0</v>
      </c>
      <c r="W18" s="54">
        <f t="shared" si="10"/>
        <v>0</v>
      </c>
      <c r="Y18" s="54">
        <f t="shared" si="11"/>
        <v>0</v>
      </c>
      <c r="AA18" s="54">
        <f t="shared" si="12"/>
        <v>0</v>
      </c>
      <c r="AC18" s="54">
        <f t="shared" si="13"/>
        <v>0</v>
      </c>
      <c r="AE18" s="54">
        <f t="shared" si="14"/>
        <v>0</v>
      </c>
      <c r="AF18">
        <v>5</v>
      </c>
      <c r="AG18" s="54">
        <f t="shared" si="15"/>
        <v>550</v>
      </c>
      <c r="AH18">
        <v>10</v>
      </c>
      <c r="AI18" s="54">
        <f t="shared" si="16"/>
        <v>1100</v>
      </c>
      <c r="AK18" s="54">
        <f t="shared" si="17"/>
        <v>0</v>
      </c>
      <c r="AM18" s="54">
        <f t="shared" si="18"/>
        <v>0</v>
      </c>
      <c r="AN18" s="54">
        <f t="shared" si="19"/>
        <v>3300</v>
      </c>
      <c r="AO18" s="54">
        <f t="shared" si="20"/>
        <v>264</v>
      </c>
      <c r="AP18" s="54">
        <f t="shared" si="21"/>
        <v>3564</v>
      </c>
      <c r="AQ18" s="54">
        <f t="shared" si="22"/>
        <v>49.896000000000001</v>
      </c>
      <c r="AR18" s="54">
        <f t="shared" si="23"/>
        <v>3613.8960000000002</v>
      </c>
      <c r="AS18" s="54">
        <f t="shared" si="24"/>
        <v>505.94544000000008</v>
      </c>
      <c r="AT18" s="54">
        <f t="shared" si="25"/>
        <v>4119.8414400000001</v>
      </c>
      <c r="AU18" s="54">
        <f t="shared" si="26"/>
        <v>137.328048</v>
      </c>
    </row>
    <row r="19" spans="2:47" x14ac:dyDescent="0.35">
      <c r="B19" s="294" t="s">
        <v>289</v>
      </c>
      <c r="C19" s="244">
        <f t="shared" si="0"/>
        <v>35</v>
      </c>
      <c r="D19" s="67">
        <v>1</v>
      </c>
      <c r="E19" s="296">
        <v>95</v>
      </c>
      <c r="F19" s="49">
        <f t="shared" si="1"/>
        <v>95</v>
      </c>
      <c r="G19" s="50">
        <f t="shared" si="2"/>
        <v>3325</v>
      </c>
      <c r="I19" s="239">
        <f t="shared" si="3"/>
        <v>0</v>
      </c>
      <c r="J19" s="239">
        <f t="shared" si="4"/>
        <v>0</v>
      </c>
      <c r="L19" s="132">
        <v>5</v>
      </c>
      <c r="M19" s="54">
        <f t="shared" si="5"/>
        <v>475</v>
      </c>
      <c r="N19" s="329">
        <v>2</v>
      </c>
      <c r="O19" s="54">
        <f t="shared" si="6"/>
        <v>190</v>
      </c>
      <c r="P19" s="329">
        <v>3</v>
      </c>
      <c r="Q19" s="54">
        <f t="shared" si="7"/>
        <v>285</v>
      </c>
      <c r="R19" s="347">
        <v>5</v>
      </c>
      <c r="S19" s="54">
        <f t="shared" si="8"/>
        <v>475</v>
      </c>
      <c r="U19" s="54">
        <f t="shared" si="9"/>
        <v>0</v>
      </c>
      <c r="W19" s="54">
        <f t="shared" si="10"/>
        <v>0</v>
      </c>
      <c r="Y19" s="54">
        <f t="shared" si="11"/>
        <v>0</v>
      </c>
      <c r="AA19" s="54">
        <f t="shared" si="12"/>
        <v>0</v>
      </c>
      <c r="AC19" s="54">
        <f t="shared" si="13"/>
        <v>0</v>
      </c>
      <c r="AD19">
        <v>10</v>
      </c>
      <c r="AE19" s="54">
        <f t="shared" si="14"/>
        <v>950</v>
      </c>
      <c r="AG19" s="54">
        <f t="shared" si="15"/>
        <v>0</v>
      </c>
      <c r="AI19" s="54">
        <f t="shared" si="16"/>
        <v>0</v>
      </c>
      <c r="AK19" s="54">
        <f t="shared" si="17"/>
        <v>0</v>
      </c>
      <c r="AL19">
        <v>10</v>
      </c>
      <c r="AM19" s="54">
        <f t="shared" si="18"/>
        <v>950</v>
      </c>
      <c r="AN19" s="54">
        <f t="shared" si="19"/>
        <v>3325</v>
      </c>
      <c r="AO19" s="54">
        <f t="shared" si="20"/>
        <v>266</v>
      </c>
      <c r="AP19" s="54">
        <f t="shared" si="21"/>
        <v>3591</v>
      </c>
      <c r="AQ19" s="54">
        <f t="shared" si="22"/>
        <v>50.274000000000001</v>
      </c>
      <c r="AR19" s="54">
        <f t="shared" si="23"/>
        <v>3641.2739999999999</v>
      </c>
      <c r="AS19" s="54">
        <f t="shared" si="24"/>
        <v>509.77836000000002</v>
      </c>
      <c r="AT19" s="54">
        <f t="shared" si="25"/>
        <v>4151.0523599999997</v>
      </c>
      <c r="AU19" s="54">
        <f t="shared" si="26"/>
        <v>118.601496</v>
      </c>
    </row>
    <row r="20" spans="2:47" x14ac:dyDescent="0.35">
      <c r="B20" s="294" t="s">
        <v>298</v>
      </c>
      <c r="C20" s="244">
        <f t="shared" si="0"/>
        <v>31</v>
      </c>
      <c r="D20" s="67">
        <v>1</v>
      </c>
      <c r="E20" s="296">
        <v>85</v>
      </c>
      <c r="F20" s="49">
        <f t="shared" si="1"/>
        <v>85</v>
      </c>
      <c r="G20" s="50">
        <f t="shared" si="2"/>
        <v>2635</v>
      </c>
      <c r="I20" s="239">
        <f t="shared" si="3"/>
        <v>0</v>
      </c>
      <c r="J20" s="239">
        <f t="shared" si="4"/>
        <v>0</v>
      </c>
      <c r="L20" s="132"/>
      <c r="M20" s="54">
        <f t="shared" si="5"/>
        <v>0</v>
      </c>
      <c r="N20" s="329"/>
      <c r="O20" s="54">
        <f t="shared" si="6"/>
        <v>0</v>
      </c>
      <c r="P20" s="329"/>
      <c r="Q20" s="54">
        <f t="shared" si="7"/>
        <v>0</v>
      </c>
      <c r="R20" s="347"/>
      <c r="S20" s="54">
        <f t="shared" si="8"/>
        <v>0</v>
      </c>
      <c r="T20">
        <v>3</v>
      </c>
      <c r="U20" s="54">
        <f t="shared" si="9"/>
        <v>255</v>
      </c>
      <c r="V20">
        <v>2</v>
      </c>
      <c r="W20" s="54">
        <f t="shared" si="10"/>
        <v>170</v>
      </c>
      <c r="X20">
        <v>2</v>
      </c>
      <c r="Y20" s="54">
        <f t="shared" si="11"/>
        <v>170</v>
      </c>
      <c r="Z20">
        <v>2</v>
      </c>
      <c r="AA20" s="54">
        <f t="shared" si="12"/>
        <v>170</v>
      </c>
      <c r="AB20">
        <v>2</v>
      </c>
      <c r="AC20" s="54">
        <f t="shared" si="13"/>
        <v>170</v>
      </c>
      <c r="AD20">
        <v>10</v>
      </c>
      <c r="AE20" s="54">
        <f t="shared" si="14"/>
        <v>850</v>
      </c>
      <c r="AG20" s="54">
        <f t="shared" si="15"/>
        <v>0</v>
      </c>
      <c r="AI20" s="54">
        <f t="shared" si="16"/>
        <v>0</v>
      </c>
      <c r="AK20" s="54">
        <f t="shared" si="17"/>
        <v>0</v>
      </c>
      <c r="AL20">
        <v>10</v>
      </c>
      <c r="AM20" s="54">
        <f t="shared" si="18"/>
        <v>850</v>
      </c>
      <c r="AN20" s="54">
        <f t="shared" si="19"/>
        <v>2635</v>
      </c>
      <c r="AO20" s="54">
        <f t="shared" si="20"/>
        <v>210.8</v>
      </c>
      <c r="AP20" s="54">
        <f t="shared" si="21"/>
        <v>2845.8</v>
      </c>
      <c r="AQ20" s="54">
        <f t="shared" si="22"/>
        <v>39.841200000000001</v>
      </c>
      <c r="AR20" s="54">
        <f t="shared" si="23"/>
        <v>2885.6412</v>
      </c>
      <c r="AS20" s="54">
        <f t="shared" si="24"/>
        <v>403.98976800000003</v>
      </c>
      <c r="AT20" s="54">
        <f t="shared" si="25"/>
        <v>3289.6309679999999</v>
      </c>
      <c r="AU20" s="54">
        <f t="shared" si="26"/>
        <v>106.11712799999999</v>
      </c>
    </row>
    <row r="21" spans="2:47" x14ac:dyDescent="0.35">
      <c r="B21" s="294" t="s">
        <v>290</v>
      </c>
      <c r="C21" s="244">
        <f t="shared" si="0"/>
        <v>89</v>
      </c>
      <c r="D21" s="67">
        <v>1</v>
      </c>
      <c r="E21" s="296">
        <v>25</v>
      </c>
      <c r="F21" s="49">
        <f t="shared" si="1"/>
        <v>25</v>
      </c>
      <c r="G21" s="50">
        <f t="shared" si="2"/>
        <v>2225</v>
      </c>
      <c r="I21" s="239">
        <f t="shared" si="3"/>
        <v>0</v>
      </c>
      <c r="J21" s="239">
        <f t="shared" si="4"/>
        <v>0</v>
      </c>
      <c r="L21" s="243">
        <v>10</v>
      </c>
      <c r="M21" s="54">
        <f t="shared" si="5"/>
        <v>250</v>
      </c>
      <c r="N21" s="243">
        <v>5</v>
      </c>
      <c r="O21" s="54">
        <f t="shared" si="6"/>
        <v>125</v>
      </c>
      <c r="P21" s="243">
        <v>5</v>
      </c>
      <c r="Q21" s="54">
        <f t="shared" si="7"/>
        <v>125</v>
      </c>
      <c r="R21" s="243">
        <v>10</v>
      </c>
      <c r="S21" s="54">
        <f t="shared" si="8"/>
        <v>250</v>
      </c>
      <c r="T21">
        <v>5</v>
      </c>
      <c r="U21" s="54">
        <f t="shared" si="9"/>
        <v>125</v>
      </c>
      <c r="V21">
        <v>5</v>
      </c>
      <c r="W21" s="54">
        <f t="shared" si="10"/>
        <v>125</v>
      </c>
      <c r="X21">
        <v>5</v>
      </c>
      <c r="Y21" s="54">
        <f t="shared" si="11"/>
        <v>125</v>
      </c>
      <c r="Z21">
        <v>5</v>
      </c>
      <c r="AA21" s="54">
        <f t="shared" si="12"/>
        <v>125</v>
      </c>
      <c r="AB21">
        <v>5</v>
      </c>
      <c r="AC21" s="54">
        <f t="shared" si="13"/>
        <v>125</v>
      </c>
      <c r="AD21">
        <v>10</v>
      </c>
      <c r="AE21" s="54">
        <f t="shared" si="14"/>
        <v>250</v>
      </c>
      <c r="AF21">
        <v>2</v>
      </c>
      <c r="AG21" s="54">
        <f t="shared" si="15"/>
        <v>50</v>
      </c>
      <c r="AH21">
        <v>5</v>
      </c>
      <c r="AI21" s="54">
        <f t="shared" si="16"/>
        <v>125</v>
      </c>
      <c r="AJ21">
        <v>2</v>
      </c>
      <c r="AK21" s="54">
        <f t="shared" si="17"/>
        <v>50</v>
      </c>
      <c r="AL21">
        <v>15</v>
      </c>
      <c r="AM21" s="54">
        <f t="shared" si="18"/>
        <v>375</v>
      </c>
      <c r="AN21" s="54">
        <f t="shared" si="19"/>
        <v>2225</v>
      </c>
      <c r="AO21" s="54">
        <f t="shared" si="20"/>
        <v>178</v>
      </c>
      <c r="AP21" s="54">
        <f t="shared" si="21"/>
        <v>2403</v>
      </c>
      <c r="AQ21" s="54">
        <f t="shared" si="22"/>
        <v>33.642000000000003</v>
      </c>
      <c r="AR21" s="54">
        <f t="shared" si="23"/>
        <v>2436.6419999999998</v>
      </c>
      <c r="AS21" s="54">
        <f t="shared" si="24"/>
        <v>341.12988000000001</v>
      </c>
      <c r="AT21" s="54">
        <f t="shared" si="25"/>
        <v>2777.7718799999998</v>
      </c>
      <c r="AU21" s="54">
        <f t="shared" si="26"/>
        <v>31.210919999999998</v>
      </c>
    </row>
    <row r="22" spans="2:47" x14ac:dyDescent="0.35">
      <c r="B22" s="294" t="s">
        <v>291</v>
      </c>
      <c r="C22" s="244">
        <f t="shared" si="0"/>
        <v>89</v>
      </c>
      <c r="D22" s="67">
        <v>1</v>
      </c>
      <c r="E22" s="296">
        <v>15</v>
      </c>
      <c r="F22" s="49">
        <f t="shared" si="1"/>
        <v>15</v>
      </c>
      <c r="G22" s="50">
        <f t="shared" si="2"/>
        <v>1335</v>
      </c>
      <c r="I22" s="239">
        <f t="shared" si="3"/>
        <v>0</v>
      </c>
      <c r="J22" s="239">
        <f t="shared" si="4"/>
        <v>0</v>
      </c>
      <c r="L22" s="243">
        <v>10</v>
      </c>
      <c r="M22" s="54">
        <f t="shared" si="5"/>
        <v>150</v>
      </c>
      <c r="N22" s="243">
        <v>5</v>
      </c>
      <c r="O22" s="54">
        <f t="shared" si="6"/>
        <v>75</v>
      </c>
      <c r="P22" s="243">
        <v>5</v>
      </c>
      <c r="Q22" s="54">
        <f t="shared" si="7"/>
        <v>75</v>
      </c>
      <c r="R22" s="243">
        <v>10</v>
      </c>
      <c r="S22" s="54">
        <f t="shared" si="8"/>
        <v>150</v>
      </c>
      <c r="T22">
        <v>5</v>
      </c>
      <c r="U22" s="54">
        <f t="shared" si="9"/>
        <v>75</v>
      </c>
      <c r="V22">
        <v>5</v>
      </c>
      <c r="W22" s="54">
        <f t="shared" si="10"/>
        <v>75</v>
      </c>
      <c r="X22">
        <v>5</v>
      </c>
      <c r="Y22" s="54">
        <f t="shared" si="11"/>
        <v>75</v>
      </c>
      <c r="Z22">
        <v>5</v>
      </c>
      <c r="AA22" s="54">
        <f t="shared" si="12"/>
        <v>75</v>
      </c>
      <c r="AB22">
        <v>5</v>
      </c>
      <c r="AC22" s="54">
        <f t="shared" si="13"/>
        <v>75</v>
      </c>
      <c r="AD22">
        <v>10</v>
      </c>
      <c r="AE22" s="54">
        <f t="shared" si="14"/>
        <v>150</v>
      </c>
      <c r="AF22">
        <v>2</v>
      </c>
      <c r="AG22" s="54">
        <f t="shared" si="15"/>
        <v>30</v>
      </c>
      <c r="AH22">
        <v>5</v>
      </c>
      <c r="AI22" s="54">
        <f t="shared" si="16"/>
        <v>75</v>
      </c>
      <c r="AJ22">
        <v>2</v>
      </c>
      <c r="AK22" s="54">
        <f t="shared" si="17"/>
        <v>30</v>
      </c>
      <c r="AL22">
        <v>15</v>
      </c>
      <c r="AM22" s="54">
        <f t="shared" si="18"/>
        <v>225</v>
      </c>
      <c r="AN22" s="54">
        <f t="shared" si="19"/>
        <v>1335</v>
      </c>
      <c r="AO22" s="54">
        <f t="shared" si="20"/>
        <v>106.8</v>
      </c>
      <c r="AP22" s="54">
        <f t="shared" si="21"/>
        <v>1441.8</v>
      </c>
      <c r="AQ22" s="54">
        <f t="shared" si="22"/>
        <v>20.185199999999998</v>
      </c>
      <c r="AR22" s="54">
        <f t="shared" si="23"/>
        <v>1461.9851999999998</v>
      </c>
      <c r="AS22" s="54">
        <f t="shared" si="24"/>
        <v>204.67792800000001</v>
      </c>
      <c r="AT22" s="54">
        <f t="shared" si="25"/>
        <v>1666.6631279999999</v>
      </c>
      <c r="AU22" s="54">
        <f t="shared" si="26"/>
        <v>18.726551999999998</v>
      </c>
    </row>
    <row r="23" spans="2:47" x14ac:dyDescent="0.35">
      <c r="B23" s="294" t="s">
        <v>292</v>
      </c>
      <c r="C23" s="244">
        <f t="shared" si="0"/>
        <v>89</v>
      </c>
      <c r="D23" s="67">
        <v>1</v>
      </c>
      <c r="E23" s="296">
        <v>25</v>
      </c>
      <c r="F23" s="49">
        <f t="shared" si="1"/>
        <v>25</v>
      </c>
      <c r="G23" s="50">
        <f t="shared" si="2"/>
        <v>2225</v>
      </c>
      <c r="I23" s="239">
        <f t="shared" si="3"/>
        <v>0</v>
      </c>
      <c r="J23" s="239">
        <f t="shared" si="4"/>
        <v>0</v>
      </c>
      <c r="L23" s="243">
        <v>10</v>
      </c>
      <c r="M23" s="54">
        <f t="shared" si="5"/>
        <v>250</v>
      </c>
      <c r="N23" s="243">
        <v>5</v>
      </c>
      <c r="O23" s="54">
        <f t="shared" si="6"/>
        <v>125</v>
      </c>
      <c r="P23" s="243">
        <v>5</v>
      </c>
      <c r="Q23" s="54">
        <f t="shared" si="7"/>
        <v>125</v>
      </c>
      <c r="R23" s="243">
        <v>10</v>
      </c>
      <c r="S23" s="54">
        <f t="shared" si="8"/>
        <v>250</v>
      </c>
      <c r="T23">
        <v>5</v>
      </c>
      <c r="U23" s="54">
        <f t="shared" si="9"/>
        <v>125</v>
      </c>
      <c r="V23">
        <v>5</v>
      </c>
      <c r="W23" s="54">
        <f t="shared" si="10"/>
        <v>125</v>
      </c>
      <c r="X23">
        <v>5</v>
      </c>
      <c r="Y23" s="54">
        <f t="shared" si="11"/>
        <v>125</v>
      </c>
      <c r="Z23">
        <v>5</v>
      </c>
      <c r="AA23" s="54">
        <f t="shared" si="12"/>
        <v>125</v>
      </c>
      <c r="AB23">
        <v>5</v>
      </c>
      <c r="AC23" s="54">
        <f t="shared" si="13"/>
        <v>125</v>
      </c>
      <c r="AD23">
        <v>10</v>
      </c>
      <c r="AE23" s="54">
        <f t="shared" si="14"/>
        <v>250</v>
      </c>
      <c r="AF23">
        <v>2</v>
      </c>
      <c r="AG23" s="54">
        <f t="shared" si="15"/>
        <v>50</v>
      </c>
      <c r="AH23">
        <v>5</v>
      </c>
      <c r="AI23" s="54">
        <f t="shared" si="16"/>
        <v>125</v>
      </c>
      <c r="AJ23">
        <v>2</v>
      </c>
      <c r="AK23" s="54">
        <f t="shared" si="17"/>
        <v>50</v>
      </c>
      <c r="AL23">
        <v>15</v>
      </c>
      <c r="AM23" s="54">
        <f t="shared" si="18"/>
        <v>375</v>
      </c>
      <c r="AN23" s="54">
        <f t="shared" si="19"/>
        <v>2225</v>
      </c>
      <c r="AO23" s="54">
        <f t="shared" si="20"/>
        <v>178</v>
      </c>
      <c r="AP23" s="54">
        <f t="shared" si="21"/>
        <v>2403</v>
      </c>
      <c r="AQ23" s="54">
        <f t="shared" si="22"/>
        <v>33.642000000000003</v>
      </c>
      <c r="AR23" s="54">
        <f t="shared" si="23"/>
        <v>2436.6419999999998</v>
      </c>
      <c r="AS23" s="54">
        <f t="shared" si="24"/>
        <v>341.12988000000001</v>
      </c>
      <c r="AT23" s="54">
        <f t="shared" si="25"/>
        <v>2777.7718799999998</v>
      </c>
      <c r="AU23" s="54">
        <f t="shared" si="26"/>
        <v>31.210919999999998</v>
      </c>
    </row>
    <row r="24" spans="2:47" x14ac:dyDescent="0.35">
      <c r="B24" s="294" t="s">
        <v>293</v>
      </c>
      <c r="C24" s="244">
        <f t="shared" si="0"/>
        <v>45</v>
      </c>
      <c r="D24" s="67">
        <v>1</v>
      </c>
      <c r="E24" s="296">
        <v>30</v>
      </c>
      <c r="F24" s="49">
        <f t="shared" si="1"/>
        <v>30</v>
      </c>
      <c r="G24" s="50">
        <f t="shared" si="2"/>
        <v>1350</v>
      </c>
      <c r="I24" s="239">
        <f t="shared" si="3"/>
        <v>0</v>
      </c>
      <c r="J24" s="239">
        <f t="shared" si="4"/>
        <v>0</v>
      </c>
      <c r="L24" s="243">
        <v>5</v>
      </c>
      <c r="M24" s="54">
        <f t="shared" si="5"/>
        <v>150</v>
      </c>
      <c r="N24" s="243">
        <v>5</v>
      </c>
      <c r="O24" s="54">
        <f t="shared" si="6"/>
        <v>150</v>
      </c>
      <c r="P24" s="243">
        <v>5</v>
      </c>
      <c r="Q24" s="54">
        <f t="shared" si="7"/>
        <v>150</v>
      </c>
      <c r="R24" s="243">
        <v>5</v>
      </c>
      <c r="S24" s="54">
        <f t="shared" si="8"/>
        <v>150</v>
      </c>
      <c r="U24" s="54">
        <f t="shared" si="9"/>
        <v>0</v>
      </c>
      <c r="W24" s="54">
        <f t="shared" si="10"/>
        <v>0</v>
      </c>
      <c r="Y24" s="54">
        <f t="shared" si="11"/>
        <v>0</v>
      </c>
      <c r="AA24" s="54">
        <f t="shared" si="12"/>
        <v>0</v>
      </c>
      <c r="AC24" s="54">
        <f t="shared" si="13"/>
        <v>0</v>
      </c>
      <c r="AD24">
        <v>10</v>
      </c>
      <c r="AE24" s="54">
        <f t="shared" si="14"/>
        <v>300</v>
      </c>
      <c r="AG24" s="54">
        <f t="shared" si="15"/>
        <v>0</v>
      </c>
      <c r="AI24" s="54">
        <f t="shared" si="16"/>
        <v>0</v>
      </c>
      <c r="AK24" s="54">
        <f t="shared" si="17"/>
        <v>0</v>
      </c>
      <c r="AL24">
        <v>15</v>
      </c>
      <c r="AM24" s="54">
        <f t="shared" si="18"/>
        <v>450</v>
      </c>
      <c r="AN24" s="54">
        <f t="shared" si="19"/>
        <v>1350</v>
      </c>
      <c r="AO24" s="54">
        <f t="shared" si="20"/>
        <v>108</v>
      </c>
      <c r="AP24" s="54">
        <f t="shared" si="21"/>
        <v>1458</v>
      </c>
      <c r="AQ24" s="54">
        <f t="shared" si="22"/>
        <v>20.411999999999999</v>
      </c>
      <c r="AR24" s="54">
        <f t="shared" si="23"/>
        <v>1478.412</v>
      </c>
      <c r="AS24" s="54">
        <f t="shared" si="24"/>
        <v>206.97768000000002</v>
      </c>
      <c r="AT24" s="54">
        <f t="shared" si="25"/>
        <v>1685.38968</v>
      </c>
      <c r="AU24" s="54">
        <f t="shared" si="26"/>
        <v>37.453104000000003</v>
      </c>
    </row>
    <row r="25" spans="2:47" x14ac:dyDescent="0.35">
      <c r="B25" s="294" t="s">
        <v>294</v>
      </c>
      <c r="C25" s="244">
        <f t="shared" si="0"/>
        <v>104</v>
      </c>
      <c r="D25" s="67">
        <v>1</v>
      </c>
      <c r="E25" s="296">
        <v>30</v>
      </c>
      <c r="F25" s="49">
        <f t="shared" si="1"/>
        <v>30</v>
      </c>
      <c r="G25" s="50">
        <f t="shared" si="2"/>
        <v>3120</v>
      </c>
      <c r="I25" s="239">
        <f t="shared" si="3"/>
        <v>0</v>
      </c>
      <c r="J25" s="239">
        <f t="shared" si="4"/>
        <v>0</v>
      </c>
      <c r="L25" s="243">
        <v>15</v>
      </c>
      <c r="M25" s="54">
        <f t="shared" si="5"/>
        <v>450</v>
      </c>
      <c r="N25" s="243">
        <v>5</v>
      </c>
      <c r="O25" s="54">
        <f t="shared" si="6"/>
        <v>150</v>
      </c>
      <c r="P25" s="243">
        <v>5</v>
      </c>
      <c r="Q25" s="54">
        <f t="shared" si="7"/>
        <v>150</v>
      </c>
      <c r="R25" s="243">
        <v>20</v>
      </c>
      <c r="S25" s="54">
        <f t="shared" si="8"/>
        <v>600</v>
      </c>
      <c r="T25">
        <v>5</v>
      </c>
      <c r="U25" s="54">
        <f t="shared" si="9"/>
        <v>150</v>
      </c>
      <c r="V25">
        <v>5</v>
      </c>
      <c r="W25" s="54">
        <f t="shared" si="10"/>
        <v>150</v>
      </c>
      <c r="X25">
        <v>5</v>
      </c>
      <c r="Y25" s="54">
        <f t="shared" si="11"/>
        <v>150</v>
      </c>
      <c r="Z25">
        <v>5</v>
      </c>
      <c r="AA25" s="54">
        <f t="shared" si="12"/>
        <v>150</v>
      </c>
      <c r="AB25">
        <v>5</v>
      </c>
      <c r="AC25" s="54">
        <f t="shared" si="13"/>
        <v>150</v>
      </c>
      <c r="AD25">
        <v>10</v>
      </c>
      <c r="AE25" s="54">
        <f t="shared" si="14"/>
        <v>300</v>
      </c>
      <c r="AF25">
        <v>2</v>
      </c>
      <c r="AG25" s="54">
        <f t="shared" si="15"/>
        <v>60</v>
      </c>
      <c r="AH25">
        <v>5</v>
      </c>
      <c r="AI25" s="54">
        <f t="shared" si="16"/>
        <v>150</v>
      </c>
      <c r="AJ25">
        <v>2</v>
      </c>
      <c r="AK25" s="54">
        <f t="shared" si="17"/>
        <v>60</v>
      </c>
      <c r="AL25">
        <v>15</v>
      </c>
      <c r="AM25" s="54">
        <f t="shared" si="18"/>
        <v>450</v>
      </c>
      <c r="AN25" s="54">
        <f t="shared" si="19"/>
        <v>3120</v>
      </c>
      <c r="AO25" s="54">
        <f t="shared" si="20"/>
        <v>249.6</v>
      </c>
      <c r="AP25" s="54">
        <f t="shared" si="21"/>
        <v>3369.6</v>
      </c>
      <c r="AQ25" s="54">
        <f t="shared" si="22"/>
        <v>47.174399999999999</v>
      </c>
      <c r="AR25" s="54">
        <f t="shared" si="23"/>
        <v>3416.7743999999998</v>
      </c>
      <c r="AS25" s="54">
        <f t="shared" si="24"/>
        <v>478.34841600000004</v>
      </c>
      <c r="AT25" s="54">
        <f t="shared" si="25"/>
        <v>3895.1228160000001</v>
      </c>
      <c r="AU25" s="54">
        <f t="shared" si="26"/>
        <v>37.453104000000003</v>
      </c>
    </row>
    <row r="26" spans="2:47" x14ac:dyDescent="0.35">
      <c r="B26" s="294" t="s">
        <v>295</v>
      </c>
      <c r="C26" s="244">
        <f t="shared" si="0"/>
        <v>45</v>
      </c>
      <c r="D26" s="67">
        <v>1</v>
      </c>
      <c r="E26" s="296">
        <v>30</v>
      </c>
      <c r="F26" s="49">
        <f t="shared" si="1"/>
        <v>30</v>
      </c>
      <c r="G26" s="50">
        <f t="shared" si="2"/>
        <v>1350</v>
      </c>
      <c r="I26" s="239">
        <f t="shared" si="3"/>
        <v>0</v>
      </c>
      <c r="J26" s="239">
        <f t="shared" si="4"/>
        <v>0</v>
      </c>
      <c r="L26" s="243">
        <v>5</v>
      </c>
      <c r="M26" s="54">
        <f t="shared" si="5"/>
        <v>150</v>
      </c>
      <c r="N26" s="243">
        <v>5</v>
      </c>
      <c r="O26" s="54">
        <f t="shared" si="6"/>
        <v>150</v>
      </c>
      <c r="P26" s="243">
        <v>5</v>
      </c>
      <c r="Q26" s="54">
        <f t="shared" si="7"/>
        <v>150</v>
      </c>
      <c r="R26" s="243">
        <v>5</v>
      </c>
      <c r="S26" s="54">
        <f t="shared" si="8"/>
        <v>150</v>
      </c>
      <c r="U26" s="54">
        <f t="shared" si="9"/>
        <v>0</v>
      </c>
      <c r="W26" s="54">
        <f t="shared" si="10"/>
        <v>0</v>
      </c>
      <c r="Y26" s="54">
        <f t="shared" si="11"/>
        <v>0</v>
      </c>
      <c r="AA26" s="54">
        <f t="shared" si="12"/>
        <v>0</v>
      </c>
      <c r="AC26" s="54">
        <f t="shared" si="13"/>
        <v>0</v>
      </c>
      <c r="AD26">
        <v>10</v>
      </c>
      <c r="AE26" s="54">
        <f t="shared" si="14"/>
        <v>300</v>
      </c>
      <c r="AG26" s="54">
        <f t="shared" si="15"/>
        <v>0</v>
      </c>
      <c r="AI26" s="54">
        <f t="shared" si="16"/>
        <v>0</v>
      </c>
      <c r="AK26" s="54">
        <f t="shared" si="17"/>
        <v>0</v>
      </c>
      <c r="AL26">
        <v>15</v>
      </c>
      <c r="AM26" s="54">
        <f t="shared" si="18"/>
        <v>450</v>
      </c>
      <c r="AN26" s="54">
        <f t="shared" si="19"/>
        <v>1350</v>
      </c>
      <c r="AO26" s="54">
        <f t="shared" si="20"/>
        <v>108</v>
      </c>
      <c r="AP26" s="54">
        <f t="shared" si="21"/>
        <v>1458</v>
      </c>
      <c r="AQ26" s="54">
        <f t="shared" si="22"/>
        <v>20.411999999999999</v>
      </c>
      <c r="AR26" s="54">
        <f t="shared" si="23"/>
        <v>1478.412</v>
      </c>
      <c r="AS26" s="54">
        <f t="shared" si="24"/>
        <v>206.97768000000002</v>
      </c>
      <c r="AT26" s="54">
        <f t="shared" si="25"/>
        <v>1685.38968</v>
      </c>
      <c r="AU26" s="54">
        <f t="shared" si="26"/>
        <v>37.453104000000003</v>
      </c>
    </row>
    <row r="27" spans="2:47" x14ac:dyDescent="0.35">
      <c r="B27" s="294" t="s">
        <v>296</v>
      </c>
      <c r="C27" s="244">
        <f t="shared" si="0"/>
        <v>110</v>
      </c>
      <c r="D27" s="67">
        <v>1</v>
      </c>
      <c r="E27" s="296">
        <v>10</v>
      </c>
      <c r="F27" s="49">
        <f t="shared" si="1"/>
        <v>10</v>
      </c>
      <c r="G27" s="50">
        <f t="shared" si="2"/>
        <v>1100</v>
      </c>
      <c r="I27" s="239">
        <f t="shared" si="3"/>
        <v>0</v>
      </c>
      <c r="J27" s="239">
        <f t="shared" si="4"/>
        <v>0</v>
      </c>
      <c r="L27" s="243">
        <v>15</v>
      </c>
      <c r="M27" s="54">
        <f t="shared" si="5"/>
        <v>150</v>
      </c>
      <c r="N27" s="243">
        <v>10</v>
      </c>
      <c r="O27" s="54">
        <f t="shared" si="6"/>
        <v>100</v>
      </c>
      <c r="P27" s="243">
        <v>10</v>
      </c>
      <c r="Q27" s="54">
        <f t="shared" si="7"/>
        <v>100</v>
      </c>
      <c r="R27" s="243">
        <v>15</v>
      </c>
      <c r="S27" s="54">
        <f t="shared" si="8"/>
        <v>150</v>
      </c>
      <c r="T27">
        <v>5</v>
      </c>
      <c r="U27" s="54">
        <f t="shared" si="9"/>
        <v>50</v>
      </c>
      <c r="V27">
        <v>5</v>
      </c>
      <c r="W27" s="54">
        <f t="shared" si="10"/>
        <v>50</v>
      </c>
      <c r="X27">
        <v>5</v>
      </c>
      <c r="Y27" s="54">
        <f t="shared" si="11"/>
        <v>50</v>
      </c>
      <c r="Z27">
        <v>5</v>
      </c>
      <c r="AA27" s="54">
        <f t="shared" si="12"/>
        <v>50</v>
      </c>
      <c r="AB27">
        <v>5</v>
      </c>
      <c r="AC27" s="54">
        <f t="shared" si="13"/>
        <v>50</v>
      </c>
      <c r="AD27">
        <v>10</v>
      </c>
      <c r="AE27" s="54">
        <f t="shared" si="14"/>
        <v>100</v>
      </c>
      <c r="AF27">
        <v>2</v>
      </c>
      <c r="AG27" s="54">
        <f t="shared" si="15"/>
        <v>20</v>
      </c>
      <c r="AH27">
        <v>5</v>
      </c>
      <c r="AI27" s="54">
        <f t="shared" si="16"/>
        <v>50</v>
      </c>
      <c r="AJ27">
        <v>3</v>
      </c>
      <c r="AK27" s="54">
        <f t="shared" si="17"/>
        <v>30</v>
      </c>
      <c r="AL27">
        <v>15</v>
      </c>
      <c r="AM27" s="54">
        <f t="shared" si="18"/>
        <v>150</v>
      </c>
      <c r="AN27" s="54">
        <f t="shared" si="19"/>
        <v>1100</v>
      </c>
      <c r="AO27" s="54">
        <f t="shared" si="20"/>
        <v>88</v>
      </c>
      <c r="AP27" s="54">
        <f t="shared" si="21"/>
        <v>1188</v>
      </c>
      <c r="AQ27" s="54">
        <f t="shared" si="22"/>
        <v>16.632000000000001</v>
      </c>
      <c r="AR27" s="54">
        <f t="shared" si="23"/>
        <v>1204.6320000000001</v>
      </c>
      <c r="AS27" s="54">
        <f t="shared" si="24"/>
        <v>168.64848000000003</v>
      </c>
      <c r="AT27" s="54">
        <f t="shared" si="25"/>
        <v>1373.2804800000001</v>
      </c>
      <c r="AU27" s="54">
        <f t="shared" si="26"/>
        <v>12.484368000000002</v>
      </c>
    </row>
    <row r="28" spans="2:47" x14ac:dyDescent="0.35">
      <c r="B28" s="294" t="s">
        <v>297</v>
      </c>
      <c r="C28" s="244">
        <f t="shared" si="0"/>
        <v>110</v>
      </c>
      <c r="D28" s="67">
        <v>1</v>
      </c>
      <c r="E28" s="296">
        <v>10</v>
      </c>
      <c r="F28" s="49">
        <f t="shared" si="1"/>
        <v>10</v>
      </c>
      <c r="G28" s="50">
        <f t="shared" si="2"/>
        <v>1100</v>
      </c>
      <c r="I28" s="239">
        <f t="shared" si="3"/>
        <v>0</v>
      </c>
      <c r="J28" s="239">
        <f t="shared" si="4"/>
        <v>0</v>
      </c>
      <c r="L28" s="243">
        <v>15</v>
      </c>
      <c r="M28" s="54">
        <f t="shared" si="5"/>
        <v>150</v>
      </c>
      <c r="N28" s="243">
        <v>10</v>
      </c>
      <c r="O28" s="54">
        <f t="shared" si="6"/>
        <v>100</v>
      </c>
      <c r="P28" s="243">
        <v>10</v>
      </c>
      <c r="Q28" s="54">
        <f t="shared" si="7"/>
        <v>100</v>
      </c>
      <c r="R28" s="243">
        <v>15</v>
      </c>
      <c r="S28" s="54">
        <f t="shared" si="8"/>
        <v>150</v>
      </c>
      <c r="T28">
        <v>5</v>
      </c>
      <c r="U28" s="54">
        <f t="shared" si="9"/>
        <v>50</v>
      </c>
      <c r="V28">
        <v>5</v>
      </c>
      <c r="W28" s="54">
        <f t="shared" si="10"/>
        <v>50</v>
      </c>
      <c r="X28">
        <v>5</v>
      </c>
      <c r="Y28" s="54">
        <f t="shared" si="11"/>
        <v>50</v>
      </c>
      <c r="Z28">
        <v>5</v>
      </c>
      <c r="AA28" s="54">
        <f t="shared" si="12"/>
        <v>50</v>
      </c>
      <c r="AB28">
        <v>5</v>
      </c>
      <c r="AC28" s="54">
        <f t="shared" si="13"/>
        <v>50</v>
      </c>
      <c r="AD28">
        <v>10</v>
      </c>
      <c r="AE28" s="54">
        <f t="shared" si="14"/>
        <v>100</v>
      </c>
      <c r="AF28">
        <v>2</v>
      </c>
      <c r="AG28" s="54">
        <f t="shared" si="15"/>
        <v>20</v>
      </c>
      <c r="AH28">
        <v>5</v>
      </c>
      <c r="AI28" s="54">
        <f t="shared" si="16"/>
        <v>50</v>
      </c>
      <c r="AJ28">
        <v>3</v>
      </c>
      <c r="AK28" s="54">
        <f t="shared" si="17"/>
        <v>30</v>
      </c>
      <c r="AL28">
        <v>15</v>
      </c>
      <c r="AM28" s="54">
        <f t="shared" si="18"/>
        <v>150</v>
      </c>
      <c r="AN28" s="54">
        <f t="shared" si="19"/>
        <v>1100</v>
      </c>
      <c r="AO28" s="54">
        <f t="shared" si="20"/>
        <v>88</v>
      </c>
      <c r="AP28" s="54">
        <f t="shared" si="21"/>
        <v>1188</v>
      </c>
      <c r="AQ28" s="54">
        <f t="shared" si="22"/>
        <v>16.632000000000001</v>
      </c>
      <c r="AR28" s="54">
        <f t="shared" si="23"/>
        <v>1204.6320000000001</v>
      </c>
      <c r="AS28" s="54">
        <f t="shared" si="24"/>
        <v>168.64848000000003</v>
      </c>
      <c r="AT28" s="54">
        <f t="shared" si="25"/>
        <v>1373.2804800000001</v>
      </c>
      <c r="AU28" s="54">
        <f t="shared" si="26"/>
        <v>12.484368000000002</v>
      </c>
    </row>
    <row r="29" spans="2:47" x14ac:dyDescent="0.35">
      <c r="B29" s="294" t="s">
        <v>430</v>
      </c>
      <c r="C29" s="244">
        <f t="shared" si="0"/>
        <v>45</v>
      </c>
      <c r="D29" s="67">
        <v>1</v>
      </c>
      <c r="E29" s="296">
        <v>150</v>
      </c>
      <c r="F29" s="49">
        <f t="shared" si="1"/>
        <v>150</v>
      </c>
      <c r="G29" s="50">
        <f t="shared" si="2"/>
        <v>6750</v>
      </c>
      <c r="I29" s="239">
        <f t="shared" si="3"/>
        <v>0</v>
      </c>
      <c r="J29" s="239">
        <f t="shared" si="4"/>
        <v>0</v>
      </c>
      <c r="L29" s="243">
        <v>5</v>
      </c>
      <c r="M29" s="54">
        <f t="shared" si="5"/>
        <v>750</v>
      </c>
      <c r="N29" s="243">
        <v>5</v>
      </c>
      <c r="O29" s="54">
        <f t="shared" si="6"/>
        <v>750</v>
      </c>
      <c r="P29" s="243">
        <v>5</v>
      </c>
      <c r="Q29" s="54">
        <f t="shared" si="7"/>
        <v>750</v>
      </c>
      <c r="R29" s="243">
        <v>5</v>
      </c>
      <c r="S29" s="54">
        <f t="shared" si="8"/>
        <v>750</v>
      </c>
      <c r="U29" s="54">
        <f t="shared" si="9"/>
        <v>0</v>
      </c>
      <c r="W29" s="54">
        <f t="shared" si="10"/>
        <v>0</v>
      </c>
      <c r="Y29" s="54">
        <f t="shared" si="11"/>
        <v>0</v>
      </c>
      <c r="AA29" s="54">
        <f t="shared" si="12"/>
        <v>0</v>
      </c>
      <c r="AC29" s="54">
        <f t="shared" si="13"/>
        <v>0</v>
      </c>
      <c r="AD29">
        <v>10</v>
      </c>
      <c r="AE29" s="54">
        <f t="shared" si="14"/>
        <v>1500</v>
      </c>
      <c r="AG29" s="54">
        <f t="shared" si="15"/>
        <v>0</v>
      </c>
      <c r="AI29" s="54">
        <f t="shared" si="16"/>
        <v>0</v>
      </c>
      <c r="AK29" s="54">
        <f t="shared" si="17"/>
        <v>0</v>
      </c>
      <c r="AL29">
        <v>15</v>
      </c>
      <c r="AM29" s="54">
        <f t="shared" si="18"/>
        <v>2250</v>
      </c>
      <c r="AN29" s="54">
        <f t="shared" si="19"/>
        <v>6750</v>
      </c>
      <c r="AO29" s="54">
        <f t="shared" si="20"/>
        <v>540</v>
      </c>
      <c r="AP29" s="54">
        <f t="shared" si="21"/>
        <v>7290</v>
      </c>
      <c r="AQ29" s="54">
        <f t="shared" si="22"/>
        <v>102.06</v>
      </c>
      <c r="AR29" s="54">
        <f t="shared" si="23"/>
        <v>7392.06</v>
      </c>
      <c r="AS29" s="54">
        <f t="shared" si="24"/>
        <v>1034.8884</v>
      </c>
      <c r="AT29" s="54">
        <f t="shared" si="25"/>
        <v>8426.9484000000011</v>
      </c>
      <c r="AU29" s="54">
        <f t="shared" si="26"/>
        <v>187.26552000000004</v>
      </c>
    </row>
    <row r="30" spans="2:47" x14ac:dyDescent="0.35">
      <c r="B30" s="294" t="s">
        <v>431</v>
      </c>
      <c r="C30" s="244">
        <f t="shared" si="0"/>
        <v>65</v>
      </c>
      <c r="D30" s="67">
        <v>1</v>
      </c>
      <c r="E30" s="296">
        <v>45</v>
      </c>
      <c r="F30" s="49">
        <f t="shared" si="1"/>
        <v>45</v>
      </c>
      <c r="G30" s="50">
        <f t="shared" si="2"/>
        <v>2925</v>
      </c>
      <c r="I30" s="239">
        <f t="shared" si="3"/>
        <v>0</v>
      </c>
      <c r="J30" s="239">
        <f t="shared" si="4"/>
        <v>0</v>
      </c>
      <c r="L30" s="243">
        <v>10</v>
      </c>
      <c r="M30" s="54">
        <f t="shared" si="5"/>
        <v>450</v>
      </c>
      <c r="N30" s="243">
        <v>5</v>
      </c>
      <c r="O30" s="54">
        <f t="shared" si="6"/>
        <v>225</v>
      </c>
      <c r="P30" s="243">
        <v>5</v>
      </c>
      <c r="Q30" s="54">
        <f t="shared" si="7"/>
        <v>225</v>
      </c>
      <c r="R30" s="243">
        <v>10</v>
      </c>
      <c r="S30" s="54">
        <f t="shared" si="8"/>
        <v>450</v>
      </c>
      <c r="T30">
        <v>3</v>
      </c>
      <c r="U30" s="54">
        <f t="shared" si="9"/>
        <v>135</v>
      </c>
      <c r="V30">
        <v>2</v>
      </c>
      <c r="W30" s="54">
        <f t="shared" si="10"/>
        <v>90</v>
      </c>
      <c r="X30">
        <v>2</v>
      </c>
      <c r="Y30" s="54">
        <f t="shared" si="11"/>
        <v>90</v>
      </c>
      <c r="Z30">
        <v>2</v>
      </c>
      <c r="AA30" s="54">
        <f t="shared" si="12"/>
        <v>90</v>
      </c>
      <c r="AB30">
        <v>2</v>
      </c>
      <c r="AC30" s="54">
        <f t="shared" si="13"/>
        <v>90</v>
      </c>
      <c r="AD30">
        <v>10</v>
      </c>
      <c r="AE30" s="54">
        <f t="shared" si="14"/>
        <v>450</v>
      </c>
      <c r="AF30">
        <v>2</v>
      </c>
      <c r="AG30" s="54">
        <f t="shared" si="15"/>
        <v>90</v>
      </c>
      <c r="AH30">
        <v>5</v>
      </c>
      <c r="AI30" s="54">
        <f t="shared" si="16"/>
        <v>225</v>
      </c>
      <c r="AJ30">
        <v>2</v>
      </c>
      <c r="AK30" s="54">
        <f t="shared" si="17"/>
        <v>90</v>
      </c>
      <c r="AL30">
        <v>5</v>
      </c>
      <c r="AM30" s="54">
        <f t="shared" si="18"/>
        <v>225</v>
      </c>
      <c r="AN30" s="54">
        <f t="shared" si="19"/>
        <v>2925</v>
      </c>
      <c r="AO30" s="54">
        <f t="shared" si="20"/>
        <v>234</v>
      </c>
      <c r="AP30" s="54">
        <f t="shared" si="21"/>
        <v>3159</v>
      </c>
      <c r="AQ30" s="54">
        <f t="shared" si="22"/>
        <v>44.225999999999999</v>
      </c>
      <c r="AR30" s="54">
        <f t="shared" si="23"/>
        <v>3203.2260000000001</v>
      </c>
      <c r="AS30" s="54">
        <f t="shared" si="24"/>
        <v>448.45164000000005</v>
      </c>
      <c r="AT30" s="54">
        <f t="shared" si="25"/>
        <v>3651.6776400000003</v>
      </c>
      <c r="AU30" s="54">
        <f t="shared" si="26"/>
        <v>56.179656000000008</v>
      </c>
    </row>
    <row r="31" spans="2:47" x14ac:dyDescent="0.35">
      <c r="B31" s="294" t="s">
        <v>432</v>
      </c>
      <c r="C31" s="244">
        <f t="shared" si="0"/>
        <v>10</v>
      </c>
      <c r="D31" s="67">
        <v>1</v>
      </c>
      <c r="E31" s="296">
        <v>45</v>
      </c>
      <c r="F31" s="49">
        <f t="shared" si="1"/>
        <v>45</v>
      </c>
      <c r="G31" s="50">
        <f t="shared" si="2"/>
        <v>450</v>
      </c>
      <c r="I31" s="239">
        <f t="shared" si="3"/>
        <v>0</v>
      </c>
      <c r="J31" s="239">
        <f t="shared" si="4"/>
        <v>0</v>
      </c>
      <c r="L31" s="243"/>
      <c r="M31" s="54">
        <f t="shared" si="5"/>
        <v>0</v>
      </c>
      <c r="N31" s="243"/>
      <c r="O31" s="54">
        <f t="shared" si="6"/>
        <v>0</v>
      </c>
      <c r="P31" s="243"/>
      <c r="Q31" s="54">
        <f t="shared" si="7"/>
        <v>0</v>
      </c>
      <c r="R31" s="243"/>
      <c r="S31" s="54">
        <f t="shared" si="8"/>
        <v>0</v>
      </c>
      <c r="U31" s="54">
        <f t="shared" si="9"/>
        <v>0</v>
      </c>
      <c r="W31" s="54">
        <f t="shared" si="10"/>
        <v>0</v>
      </c>
      <c r="Y31" s="54">
        <f t="shared" si="11"/>
        <v>0</v>
      </c>
      <c r="AA31" s="54">
        <f t="shared" si="12"/>
        <v>0</v>
      </c>
      <c r="AC31" s="54">
        <f t="shared" si="13"/>
        <v>0</v>
      </c>
      <c r="AE31" s="54">
        <f t="shared" si="14"/>
        <v>0</v>
      </c>
      <c r="AG31" s="54">
        <f t="shared" si="15"/>
        <v>0</v>
      </c>
      <c r="AI31" s="54">
        <f t="shared" si="16"/>
        <v>0</v>
      </c>
      <c r="AK31" s="54">
        <f t="shared" si="17"/>
        <v>0</v>
      </c>
      <c r="AL31">
        <v>10</v>
      </c>
      <c r="AM31" s="54">
        <f t="shared" si="18"/>
        <v>450</v>
      </c>
      <c r="AN31" s="54">
        <f t="shared" si="19"/>
        <v>450</v>
      </c>
      <c r="AO31" s="54">
        <f t="shared" si="20"/>
        <v>36</v>
      </c>
      <c r="AP31" s="54">
        <f t="shared" si="21"/>
        <v>486</v>
      </c>
      <c r="AQ31" s="54">
        <f t="shared" si="22"/>
        <v>6.8040000000000003</v>
      </c>
      <c r="AR31" s="54">
        <f t="shared" si="23"/>
        <v>492.80399999999997</v>
      </c>
      <c r="AS31" s="54">
        <f t="shared" si="24"/>
        <v>68.992559999999997</v>
      </c>
      <c r="AT31" s="54">
        <f t="shared" si="25"/>
        <v>561.79656</v>
      </c>
      <c r="AU31" s="54">
        <f t="shared" si="26"/>
        <v>56.179656000000001</v>
      </c>
    </row>
    <row r="32" spans="2:47" x14ac:dyDescent="0.35">
      <c r="B32" s="294" t="s">
        <v>433</v>
      </c>
      <c r="C32" s="244">
        <f t="shared" si="0"/>
        <v>10</v>
      </c>
      <c r="D32" s="67">
        <v>1</v>
      </c>
      <c r="E32" s="296">
        <v>45</v>
      </c>
      <c r="F32" s="49">
        <f t="shared" si="1"/>
        <v>45</v>
      </c>
      <c r="G32" s="50">
        <f t="shared" si="2"/>
        <v>450</v>
      </c>
      <c r="I32" s="239">
        <f t="shared" si="3"/>
        <v>0</v>
      </c>
      <c r="J32" s="239">
        <f t="shared" si="4"/>
        <v>0</v>
      </c>
      <c r="L32" s="243"/>
      <c r="M32" s="54">
        <f t="shared" si="5"/>
        <v>0</v>
      </c>
      <c r="N32" s="243"/>
      <c r="O32" s="54">
        <f t="shared" si="6"/>
        <v>0</v>
      </c>
      <c r="P32" s="243"/>
      <c r="Q32" s="54">
        <f t="shared" si="7"/>
        <v>0</v>
      </c>
      <c r="R32" s="243"/>
      <c r="S32" s="54">
        <f t="shared" si="8"/>
        <v>0</v>
      </c>
      <c r="U32" s="54">
        <f t="shared" si="9"/>
        <v>0</v>
      </c>
      <c r="W32" s="54">
        <f t="shared" si="10"/>
        <v>0</v>
      </c>
      <c r="Y32" s="54">
        <f t="shared" si="11"/>
        <v>0</v>
      </c>
      <c r="AA32" s="54">
        <f t="shared" si="12"/>
        <v>0</v>
      </c>
      <c r="AC32" s="54">
        <f t="shared" si="13"/>
        <v>0</v>
      </c>
      <c r="AE32" s="54">
        <f t="shared" si="14"/>
        <v>0</v>
      </c>
      <c r="AG32" s="54">
        <f t="shared" si="15"/>
        <v>0</v>
      </c>
      <c r="AI32" s="54">
        <f t="shared" si="16"/>
        <v>0</v>
      </c>
      <c r="AK32" s="54">
        <f t="shared" si="17"/>
        <v>0</v>
      </c>
      <c r="AL32">
        <v>10</v>
      </c>
      <c r="AM32" s="54">
        <f t="shared" si="18"/>
        <v>450</v>
      </c>
      <c r="AN32" s="54">
        <f t="shared" si="19"/>
        <v>450</v>
      </c>
      <c r="AO32" s="54">
        <f t="shared" si="20"/>
        <v>36</v>
      </c>
      <c r="AP32" s="54">
        <f t="shared" si="21"/>
        <v>486</v>
      </c>
      <c r="AQ32" s="54">
        <f t="shared" si="22"/>
        <v>6.8040000000000003</v>
      </c>
      <c r="AR32" s="54">
        <f t="shared" si="23"/>
        <v>492.80399999999997</v>
      </c>
      <c r="AS32" s="54">
        <f t="shared" si="24"/>
        <v>68.992559999999997</v>
      </c>
      <c r="AT32" s="54">
        <f t="shared" si="25"/>
        <v>561.79656</v>
      </c>
      <c r="AU32" s="54">
        <f t="shared" si="26"/>
        <v>56.179656000000001</v>
      </c>
    </row>
    <row r="33" spans="2:48" s="274" customFormat="1" x14ac:dyDescent="0.35">
      <c r="B33" s="321" t="s">
        <v>234</v>
      </c>
      <c r="C33" s="275">
        <f>SUM(C6:C32)</f>
        <v>1328</v>
      </c>
      <c r="G33" s="359">
        <f>SUM(G6:G32)</f>
        <v>71385</v>
      </c>
      <c r="I33" s="275">
        <f>C33-(L33+N33+P33+R33+T33+V33+X33+Z33+AB33+AD33+AF33+AH33+AJ33+AL33)</f>
        <v>0</v>
      </c>
      <c r="J33" s="360">
        <f>G33-(M33+O33+Q33+S33+U33+W33+Y33+AA33+AC33+AE33+AG33+AI33+AK33+AM33)</f>
        <v>0</v>
      </c>
      <c r="L33" s="361">
        <f t="shared" ref="L33:AL33" si="27">SUM(L6:L32)</f>
        <v>180</v>
      </c>
      <c r="M33" s="359">
        <f>SUM(M6:M32)</f>
        <v>10000</v>
      </c>
      <c r="N33" s="361">
        <f t="shared" si="27"/>
        <v>97</v>
      </c>
      <c r="O33" s="359">
        <f>SUM(O6:O32)</f>
        <v>5150</v>
      </c>
      <c r="P33" s="361">
        <f t="shared" si="27"/>
        <v>103</v>
      </c>
      <c r="Q33" s="359">
        <f>SUM(Q6:Q32)</f>
        <v>5850</v>
      </c>
      <c r="R33" s="361">
        <f t="shared" si="27"/>
        <v>185</v>
      </c>
      <c r="S33" s="359">
        <f>SUM(S6:S32)</f>
        <v>10150</v>
      </c>
      <c r="T33" s="361">
        <f t="shared" si="27"/>
        <v>50</v>
      </c>
      <c r="U33" s="359">
        <f>SUM(U6:U32)</f>
        <v>2175</v>
      </c>
      <c r="V33" s="361">
        <f t="shared" si="27"/>
        <v>45</v>
      </c>
      <c r="W33" s="359">
        <f>SUM(W6:W32)</f>
        <v>1750</v>
      </c>
      <c r="X33" s="361">
        <f t="shared" si="27"/>
        <v>45</v>
      </c>
      <c r="Y33" s="359">
        <f>SUM(Y6:Y32)</f>
        <v>1750</v>
      </c>
      <c r="Z33" s="361">
        <f t="shared" si="27"/>
        <v>45</v>
      </c>
      <c r="AA33" s="359">
        <f>SUM(AA6:AA32)</f>
        <v>1750</v>
      </c>
      <c r="AB33" s="361">
        <f t="shared" si="27"/>
        <v>48</v>
      </c>
      <c r="AC33" s="359">
        <f>SUM(AC6:AC32)</f>
        <v>2125</v>
      </c>
      <c r="AD33" s="361">
        <f t="shared" si="27"/>
        <v>195</v>
      </c>
      <c r="AE33" s="359">
        <f>SUM(AE6:AE32)</f>
        <v>12725</v>
      </c>
      <c r="AF33" s="361">
        <f t="shared" si="27"/>
        <v>19</v>
      </c>
      <c r="AG33" s="359">
        <f>SUM(AG6:AG32)</f>
        <v>870</v>
      </c>
      <c r="AH33" s="361">
        <f t="shared" si="27"/>
        <v>50</v>
      </c>
      <c r="AI33" s="359">
        <f>SUM(AI6:AI32)</f>
        <v>2225</v>
      </c>
      <c r="AJ33" s="361">
        <f t="shared" si="27"/>
        <v>16</v>
      </c>
      <c r="AK33" s="359">
        <f>SUM(AK6:AK32)</f>
        <v>340</v>
      </c>
      <c r="AL33" s="361">
        <f t="shared" si="27"/>
        <v>250</v>
      </c>
      <c r="AM33" s="359">
        <f>SUM(AM6:AM32)</f>
        <v>14525</v>
      </c>
      <c r="AN33" s="359">
        <f t="shared" ref="AN33:AV33" si="28">SUM(AN6:AN32)</f>
        <v>71385</v>
      </c>
      <c r="AO33" s="359">
        <f t="shared" si="28"/>
        <v>5710.8000000000011</v>
      </c>
      <c r="AP33" s="359">
        <f t="shared" si="28"/>
        <v>77095.8</v>
      </c>
      <c r="AQ33" s="359">
        <f t="shared" si="28"/>
        <v>1079.3412000000003</v>
      </c>
      <c r="AR33" s="359">
        <f t="shared" si="28"/>
        <v>78175.141199999998</v>
      </c>
      <c r="AS33" s="359">
        <f t="shared" si="28"/>
        <v>10944.519768000002</v>
      </c>
      <c r="AT33" s="359">
        <f t="shared" si="28"/>
        <v>89119.660967999997</v>
      </c>
      <c r="AU33" s="359"/>
      <c r="AV33" s="359">
        <f t="shared" si="28"/>
        <v>0</v>
      </c>
    </row>
    <row r="34" spans="2:48" x14ac:dyDescent="0.35">
      <c r="B34" s="59" t="s">
        <v>475</v>
      </c>
      <c r="F34" s="352">
        <f>'HK Budget (2)'!C14</f>
        <v>0.08</v>
      </c>
      <c r="G34" s="84">
        <f>G33*$F$34</f>
        <v>5710.8</v>
      </c>
      <c r="I34" s="275">
        <f t="shared" ref="I34:I39" si="29">C34-(L34+N34+P34+R34+T34+V34+X34+Z34+AB34+AD34+AF34+AH34+AJ34+AL34)</f>
        <v>0</v>
      </c>
      <c r="J34" s="360">
        <f t="shared" ref="J34:J39" si="30">G34-(M34+O34+Q34+S34+U34+W34+Y34+AA34+AC34+AE34+AG34+AI34+AK34+AM34)</f>
        <v>0</v>
      </c>
      <c r="M34" s="84">
        <f>M33*$F$34</f>
        <v>800</v>
      </c>
      <c r="O34" s="84">
        <f>O33*$F$34</f>
        <v>412</v>
      </c>
      <c r="Q34" s="84">
        <f>Q33*$F$34</f>
        <v>468</v>
      </c>
      <c r="S34" s="84">
        <f>S33*$F$34</f>
        <v>812</v>
      </c>
      <c r="U34" s="84">
        <f>U33*$F$34</f>
        <v>174</v>
      </c>
      <c r="W34" s="84">
        <f>W33*$F$34</f>
        <v>140</v>
      </c>
      <c r="Y34" s="84">
        <f>Y33*$F$34</f>
        <v>140</v>
      </c>
      <c r="AA34" s="84">
        <f>AA33*$F$34</f>
        <v>140</v>
      </c>
      <c r="AC34" s="84">
        <f>AC33*$F$34</f>
        <v>170</v>
      </c>
      <c r="AE34" s="84">
        <f>AE33*$F$34</f>
        <v>1018</v>
      </c>
      <c r="AG34" s="84">
        <f>AG33*$F$34</f>
        <v>69.600000000000009</v>
      </c>
      <c r="AI34" s="84">
        <f>AI33*$F$34</f>
        <v>178</v>
      </c>
      <c r="AK34" s="84">
        <f>AK33*$F$34</f>
        <v>27.2</v>
      </c>
      <c r="AM34" s="84">
        <f>AM33*$F$34</f>
        <v>1162</v>
      </c>
      <c r="AN34" s="84"/>
    </row>
    <row r="35" spans="2:48" x14ac:dyDescent="0.35">
      <c r="B35" s="65" t="s">
        <v>240</v>
      </c>
      <c r="F35" s="352"/>
      <c r="G35" s="84">
        <f>G33+G34</f>
        <v>77095.8</v>
      </c>
      <c r="I35" s="275">
        <f t="shared" si="29"/>
        <v>0</v>
      </c>
      <c r="J35" s="360">
        <f t="shared" si="30"/>
        <v>0</v>
      </c>
      <c r="M35" s="84">
        <f>M33+M34</f>
        <v>10800</v>
      </c>
      <c r="O35" s="84">
        <f>O33+O34</f>
        <v>5562</v>
      </c>
      <c r="Q35" s="84">
        <f>Q33+Q34</f>
        <v>6318</v>
      </c>
      <c r="S35" s="84">
        <f>S33+S34</f>
        <v>10962</v>
      </c>
      <c r="U35" s="84">
        <f>U33+U34</f>
        <v>2349</v>
      </c>
      <c r="W35" s="84">
        <f>W33+W34</f>
        <v>1890</v>
      </c>
      <c r="Y35" s="84">
        <f>Y33+Y34</f>
        <v>1890</v>
      </c>
      <c r="AA35" s="84">
        <f>AA33+AA34</f>
        <v>1890</v>
      </c>
      <c r="AC35" s="84">
        <f>AC33+AC34</f>
        <v>2295</v>
      </c>
      <c r="AE35" s="84">
        <f>AE33+AE34</f>
        <v>13743</v>
      </c>
      <c r="AG35" s="84">
        <f>AG33+AG34</f>
        <v>939.6</v>
      </c>
      <c r="AI35" s="84">
        <f>AI33+AI34</f>
        <v>2403</v>
      </c>
      <c r="AK35" s="84">
        <f>AK33+AK34</f>
        <v>367.2</v>
      </c>
      <c r="AM35" s="84">
        <f>AM33+AM34</f>
        <v>15687</v>
      </c>
      <c r="AN35" s="84"/>
    </row>
    <row r="36" spans="2:48" x14ac:dyDescent="0.35">
      <c r="B36" s="494" t="s">
        <v>474</v>
      </c>
      <c r="F36" s="352">
        <f>'HK Budget (2)'!C16</f>
        <v>1.4E-2</v>
      </c>
      <c r="G36" s="84">
        <f>G35*$F$36</f>
        <v>1079.3412000000001</v>
      </c>
      <c r="I36" s="275">
        <f t="shared" si="29"/>
        <v>0</v>
      </c>
      <c r="J36" s="360">
        <f t="shared" si="30"/>
        <v>0</v>
      </c>
      <c r="M36" s="84">
        <f>M35*$F$36</f>
        <v>151.20000000000002</v>
      </c>
      <c r="O36" s="84">
        <f>O35*$F$36</f>
        <v>77.867999999999995</v>
      </c>
      <c r="Q36" s="84">
        <f>Q35*$F$36</f>
        <v>88.451999999999998</v>
      </c>
      <c r="S36" s="84">
        <f>S35*$F$36</f>
        <v>153.46799999999999</v>
      </c>
      <c r="U36" s="84">
        <f>U35*$F$36</f>
        <v>32.886000000000003</v>
      </c>
      <c r="W36" s="84">
        <f>W35*$F$36</f>
        <v>26.46</v>
      </c>
      <c r="Y36" s="84">
        <f>Y35*$F$36</f>
        <v>26.46</v>
      </c>
      <c r="AA36" s="84">
        <f>AA35*$F$36</f>
        <v>26.46</v>
      </c>
      <c r="AC36" s="84">
        <f>AC35*$F$36</f>
        <v>32.130000000000003</v>
      </c>
      <c r="AE36" s="84">
        <f>AE35*$F$36</f>
        <v>192.40200000000002</v>
      </c>
      <c r="AG36" s="84">
        <f>AG35*$F$36</f>
        <v>13.154400000000001</v>
      </c>
      <c r="AI36" s="84">
        <f>AI35*$F$36</f>
        <v>33.642000000000003</v>
      </c>
      <c r="AK36" s="84">
        <f>AK35*$F$36</f>
        <v>5.1407999999999996</v>
      </c>
      <c r="AM36" s="84">
        <f>AM35*$F$36</f>
        <v>219.61799999999999</v>
      </c>
      <c r="AN36" s="84"/>
    </row>
    <row r="37" spans="2:48" x14ac:dyDescent="0.35">
      <c r="B37" s="70" t="s">
        <v>449</v>
      </c>
      <c r="F37" s="352"/>
      <c r="G37" s="84">
        <f>G35+G36</f>
        <v>78175.141199999998</v>
      </c>
      <c r="I37" s="275">
        <f t="shared" si="29"/>
        <v>0</v>
      </c>
      <c r="J37" s="360">
        <f t="shared" si="30"/>
        <v>0</v>
      </c>
      <c r="M37" s="84">
        <f>M35+M36</f>
        <v>10951.2</v>
      </c>
      <c r="O37" s="84">
        <f>O35+O36</f>
        <v>5639.8680000000004</v>
      </c>
      <c r="Q37" s="84">
        <f>Q35+Q36</f>
        <v>6406.4520000000002</v>
      </c>
      <c r="S37" s="84">
        <f>S35+S36</f>
        <v>11115.468000000001</v>
      </c>
      <c r="U37" s="84">
        <f>U35+U36</f>
        <v>2381.886</v>
      </c>
      <c r="W37" s="84">
        <f>W35+W36</f>
        <v>1916.46</v>
      </c>
      <c r="Y37" s="84">
        <f>Y35+Y36</f>
        <v>1916.46</v>
      </c>
      <c r="AA37" s="84">
        <f>AA35+AA36</f>
        <v>1916.46</v>
      </c>
      <c r="AC37" s="84">
        <f>AC35+AC36</f>
        <v>2327.13</v>
      </c>
      <c r="AE37" s="84">
        <f>AE35+AE36</f>
        <v>13935.402</v>
      </c>
      <c r="AG37" s="84">
        <f>AG35+AG36</f>
        <v>952.75440000000003</v>
      </c>
      <c r="AI37" s="84">
        <f>AI35+AI36</f>
        <v>2436.6419999999998</v>
      </c>
      <c r="AK37" s="84">
        <f>AK35+AK36</f>
        <v>372.3408</v>
      </c>
      <c r="AM37" s="84">
        <f>AM35+AM36</f>
        <v>15906.618</v>
      </c>
      <c r="AN37" s="84"/>
    </row>
    <row r="38" spans="2:48" x14ac:dyDescent="0.35">
      <c r="B38" s="355" t="s">
        <v>463</v>
      </c>
      <c r="F38" s="352">
        <v>0.14000000000000001</v>
      </c>
      <c r="G38" s="84">
        <f>G37*$F$38</f>
        <v>10944.519768</v>
      </c>
      <c r="I38" s="275">
        <f t="shared" si="29"/>
        <v>0</v>
      </c>
      <c r="J38" s="360">
        <f t="shared" si="30"/>
        <v>0</v>
      </c>
      <c r="M38" s="84">
        <f>M37*$F$38</f>
        <v>1533.1680000000003</v>
      </c>
      <c r="O38" s="84">
        <f>O37*$F$38</f>
        <v>789.58152000000018</v>
      </c>
      <c r="Q38" s="84">
        <f>Q37*$F$38</f>
        <v>896.90328000000011</v>
      </c>
      <c r="S38" s="84">
        <f>S37*$F$38</f>
        <v>1556.1655200000002</v>
      </c>
      <c r="U38" s="84">
        <f>U37*$F$38</f>
        <v>333.46404000000001</v>
      </c>
      <c r="W38" s="84">
        <f>W37*$F$38</f>
        <v>268.30440000000004</v>
      </c>
      <c r="Y38" s="84">
        <f>Y37*$F$38</f>
        <v>268.30440000000004</v>
      </c>
      <c r="AA38" s="84">
        <f>AA37*$F$38</f>
        <v>268.30440000000004</v>
      </c>
      <c r="AC38" s="84">
        <f>AC37*$F$38</f>
        <v>325.79820000000007</v>
      </c>
      <c r="AE38" s="84">
        <f>AE37*$F$38</f>
        <v>1950.9562800000001</v>
      </c>
      <c r="AG38" s="84">
        <f>AG37*$F$38</f>
        <v>133.38561600000003</v>
      </c>
      <c r="AI38" s="84">
        <f>AI37*$F$38</f>
        <v>341.12988000000001</v>
      </c>
      <c r="AK38" s="84">
        <f>AK37*$F$38</f>
        <v>52.127712000000002</v>
      </c>
      <c r="AM38" s="84">
        <f>AM37*$F$38</f>
        <v>2226.9265200000004</v>
      </c>
      <c r="AN38" s="84"/>
    </row>
    <row r="39" spans="2:48" x14ac:dyDescent="0.35">
      <c r="B39" s="355" t="s">
        <v>464</v>
      </c>
      <c r="G39" s="54">
        <f>G37+G38</f>
        <v>89119.660967999997</v>
      </c>
      <c r="I39" s="275">
        <f t="shared" si="29"/>
        <v>0</v>
      </c>
      <c r="J39" s="360">
        <f t="shared" si="30"/>
        <v>0</v>
      </c>
      <c r="M39" s="54">
        <f>M37+M38</f>
        <v>12484.368</v>
      </c>
      <c r="O39" s="54">
        <f>O37+O38</f>
        <v>6429.4495200000001</v>
      </c>
      <c r="Q39" s="54">
        <f>Q37+Q38</f>
        <v>7303.3552800000007</v>
      </c>
      <c r="S39" s="54">
        <f>S37+S38</f>
        <v>12671.633520000001</v>
      </c>
      <c r="U39" s="54">
        <f>U37+U38</f>
        <v>2715.3500399999998</v>
      </c>
      <c r="W39" s="54">
        <f>W37+W38</f>
        <v>2184.7644</v>
      </c>
      <c r="Y39" s="54">
        <f>Y37+Y38</f>
        <v>2184.7644</v>
      </c>
      <c r="AA39" s="54">
        <f>AA37+AA38</f>
        <v>2184.7644</v>
      </c>
      <c r="AC39" s="54">
        <f>AC37+AC38</f>
        <v>2652.9282000000003</v>
      </c>
      <c r="AE39" s="54">
        <f>AE37+AE38</f>
        <v>15886.35828</v>
      </c>
      <c r="AG39" s="54">
        <f>AG37+AG38</f>
        <v>1086.1400160000001</v>
      </c>
      <c r="AI39" s="54">
        <f>AI37+AI38</f>
        <v>2777.7718799999998</v>
      </c>
      <c r="AK39" s="54">
        <f>AK37+AK38</f>
        <v>424.46851200000003</v>
      </c>
      <c r="AM39" s="54">
        <f>AM37+AM38</f>
        <v>18133.544519999999</v>
      </c>
      <c r="AN39" s="54"/>
    </row>
    <row r="43" spans="2:48" x14ac:dyDescent="0.35">
      <c r="G43" s="54">
        <f>G39+'Equipment &amp; Tools Cost'!G58</f>
        <v>648606.95967600006</v>
      </c>
    </row>
    <row r="44" spans="2:48" x14ac:dyDescent="0.35">
      <c r="AM44" s="54"/>
    </row>
    <row r="45" spans="2:48" x14ac:dyDescent="0.35">
      <c r="G45" s="54" t="e">
        <f>G43-#REF!</f>
        <v>#REF!</v>
      </c>
    </row>
  </sheetData>
  <mergeCells count="14">
    <mergeCell ref="V4:W4"/>
    <mergeCell ref="L4:M4"/>
    <mergeCell ref="N4:O4"/>
    <mergeCell ref="P4:Q4"/>
    <mergeCell ref="R4:S4"/>
    <mergeCell ref="T4:U4"/>
    <mergeCell ref="AJ4:AK4"/>
    <mergeCell ref="AL4:AM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70A2-3E27-4B2C-881A-4C30413A6639}">
  <sheetPr>
    <tabColor rgb="FFFFC000"/>
  </sheetPr>
  <dimension ref="A1:F39"/>
  <sheetViews>
    <sheetView workbookViewId="0">
      <selection activeCell="M8" sqref="M8"/>
    </sheetView>
  </sheetViews>
  <sheetFormatPr defaultRowHeight="14.5" x14ac:dyDescent="0.35"/>
  <cols>
    <col min="1" max="1" width="2.453125" bestFit="1" customWidth="1"/>
    <col min="2" max="2" width="30.36328125" customWidth="1"/>
    <col min="3" max="3" width="15.08984375" customWidth="1"/>
  </cols>
  <sheetData>
    <row r="1" spans="1:6" ht="15" thickBot="1" x14ac:dyDescent="0.4">
      <c r="A1" s="575" t="s">
        <v>7</v>
      </c>
      <c r="B1" s="575"/>
      <c r="C1" s="575"/>
      <c r="D1" s="575"/>
      <c r="E1" s="575"/>
      <c r="F1" s="575"/>
    </row>
    <row r="2" spans="1:6" x14ac:dyDescent="0.35">
      <c r="A2" s="576" t="s">
        <v>143</v>
      </c>
      <c r="B2" s="578" t="s">
        <v>144</v>
      </c>
      <c r="C2" s="578" t="s">
        <v>11</v>
      </c>
      <c r="D2" s="580" t="s">
        <v>158</v>
      </c>
      <c r="E2" s="580"/>
      <c r="F2" s="581"/>
    </row>
    <row r="3" spans="1:6" ht="15" thickBot="1" x14ac:dyDescent="0.4">
      <c r="A3" s="577"/>
      <c r="B3" s="579"/>
      <c r="C3" s="579"/>
      <c r="D3" s="23" t="s">
        <v>8</v>
      </c>
      <c r="E3" s="23" t="s">
        <v>9</v>
      </c>
      <c r="F3" s="24" t="s">
        <v>10</v>
      </c>
    </row>
    <row r="4" spans="1:6" x14ac:dyDescent="0.35">
      <c r="A4" s="26">
        <v>1</v>
      </c>
      <c r="B4" s="25" t="s">
        <v>145</v>
      </c>
      <c r="C4" s="18"/>
      <c r="D4" s="21"/>
      <c r="E4" s="21"/>
      <c r="F4" s="22"/>
    </row>
    <row r="5" spans="1:6" x14ac:dyDescent="0.35">
      <c r="A5" s="27">
        <v>2</v>
      </c>
      <c r="B5" s="25" t="s">
        <v>146</v>
      </c>
      <c r="C5" s="19"/>
      <c r="D5" s="1"/>
      <c r="E5" s="1"/>
      <c r="F5" s="2"/>
    </row>
    <row r="6" spans="1:6" x14ac:dyDescent="0.35">
      <c r="A6" s="27">
        <v>3</v>
      </c>
      <c r="B6" s="25" t="s">
        <v>147</v>
      </c>
      <c r="C6" s="18"/>
      <c r="D6" s="21"/>
      <c r="E6" s="21"/>
      <c r="F6" s="22"/>
    </row>
    <row r="7" spans="1:6" x14ac:dyDescent="0.35">
      <c r="A7" s="26">
        <v>4</v>
      </c>
      <c r="B7" s="25" t="s">
        <v>148</v>
      </c>
      <c r="C7" s="19"/>
      <c r="D7" s="1"/>
      <c r="E7" s="1"/>
      <c r="F7" s="2"/>
    </row>
    <row r="8" spans="1:6" x14ac:dyDescent="0.35">
      <c r="A8" s="27">
        <v>5</v>
      </c>
      <c r="B8" s="25" t="s">
        <v>149</v>
      </c>
      <c r="C8" s="18"/>
      <c r="D8" s="21"/>
      <c r="E8" s="21"/>
      <c r="F8" s="22"/>
    </row>
    <row r="9" spans="1:6" x14ac:dyDescent="0.35">
      <c r="A9" s="27">
        <v>6</v>
      </c>
      <c r="B9" s="25" t="s">
        <v>150</v>
      </c>
      <c r="C9" s="19"/>
      <c r="D9" s="1"/>
      <c r="E9" s="1"/>
      <c r="F9" s="2"/>
    </row>
    <row r="10" spans="1:6" x14ac:dyDescent="0.35">
      <c r="A10" s="26">
        <v>7</v>
      </c>
      <c r="B10" s="25" t="s">
        <v>151</v>
      </c>
      <c r="C10" s="18"/>
      <c r="D10" s="21"/>
      <c r="E10" s="21"/>
      <c r="F10" s="22"/>
    </row>
    <row r="11" spans="1:6" x14ac:dyDescent="0.35">
      <c r="A11" s="27">
        <v>8</v>
      </c>
      <c r="B11" s="25" t="s">
        <v>152</v>
      </c>
      <c r="C11" s="19"/>
      <c r="D11" s="1"/>
      <c r="E11" s="1"/>
      <c r="F11" s="2"/>
    </row>
    <row r="12" spans="1:6" x14ac:dyDescent="0.35">
      <c r="A12" s="27">
        <v>9</v>
      </c>
      <c r="B12" s="25" t="s">
        <v>153</v>
      </c>
      <c r="C12" s="18"/>
      <c r="D12" s="21"/>
      <c r="E12" s="21"/>
      <c r="F12" s="22"/>
    </row>
    <row r="13" spans="1:6" x14ac:dyDescent="0.35">
      <c r="A13" s="26">
        <v>10</v>
      </c>
      <c r="B13" s="25" t="s">
        <v>154</v>
      </c>
      <c r="C13" s="19"/>
      <c r="D13" s="1"/>
      <c r="E13" s="1"/>
      <c r="F13" s="2"/>
    </row>
    <row r="14" spans="1:6" x14ac:dyDescent="0.35">
      <c r="A14" s="27">
        <v>11</v>
      </c>
      <c r="B14" s="25" t="s">
        <v>155</v>
      </c>
      <c r="C14" s="18"/>
      <c r="D14" s="21"/>
      <c r="E14" s="21"/>
      <c r="F14" s="22"/>
    </row>
    <row r="15" spans="1:6" x14ac:dyDescent="0.35">
      <c r="A15" s="27">
        <v>12</v>
      </c>
      <c r="B15" s="25" t="s">
        <v>156</v>
      </c>
      <c r="C15" s="19"/>
      <c r="D15" s="1"/>
      <c r="E15" s="1"/>
      <c r="F15" s="2"/>
    </row>
    <row r="16" spans="1:6" ht="15" thickBot="1" x14ac:dyDescent="0.4">
      <c r="A16" s="31">
        <v>13</v>
      </c>
      <c r="B16" s="32" t="s">
        <v>157</v>
      </c>
      <c r="C16" s="33"/>
      <c r="D16" s="34"/>
      <c r="E16" s="34"/>
      <c r="F16" s="35"/>
    </row>
    <row r="19" spans="1:6" ht="15" thickBot="1" x14ac:dyDescent="0.4">
      <c r="A19" s="574" t="s">
        <v>177</v>
      </c>
      <c r="B19" s="574"/>
      <c r="C19" s="574"/>
      <c r="D19" s="574"/>
      <c r="E19" s="574"/>
      <c r="F19" s="574"/>
    </row>
    <row r="20" spans="1:6" x14ac:dyDescent="0.35">
      <c r="A20" s="576" t="s">
        <v>143</v>
      </c>
      <c r="B20" s="578" t="s">
        <v>144</v>
      </c>
      <c r="C20" s="578" t="s">
        <v>11</v>
      </c>
      <c r="D20" s="580" t="s">
        <v>158</v>
      </c>
      <c r="E20" s="580"/>
      <c r="F20" s="581"/>
    </row>
    <row r="21" spans="1:6" ht="15" thickBot="1" x14ac:dyDescent="0.4">
      <c r="A21" s="577"/>
      <c r="B21" s="579"/>
      <c r="C21" s="579"/>
      <c r="D21" s="23" t="s">
        <v>8</v>
      </c>
      <c r="E21" s="23" t="s">
        <v>9</v>
      </c>
      <c r="F21" s="24" t="s">
        <v>10</v>
      </c>
    </row>
    <row r="22" spans="1:6" x14ac:dyDescent="0.35">
      <c r="A22" s="26">
        <v>1</v>
      </c>
      <c r="B22" s="28" t="s">
        <v>162</v>
      </c>
      <c r="C22" s="18"/>
      <c r="D22" s="21"/>
      <c r="E22" s="21"/>
      <c r="F22" s="22"/>
    </row>
    <row r="23" spans="1:6" x14ac:dyDescent="0.35">
      <c r="A23" s="27">
        <v>2</v>
      </c>
      <c r="B23" s="28" t="s">
        <v>163</v>
      </c>
      <c r="C23" s="19"/>
      <c r="D23" s="1"/>
      <c r="E23" s="1"/>
      <c r="F23" s="2"/>
    </row>
    <row r="24" spans="1:6" x14ac:dyDescent="0.35">
      <c r="A24" s="27">
        <v>3</v>
      </c>
      <c r="B24" s="28" t="s">
        <v>164</v>
      </c>
      <c r="C24" s="18"/>
      <c r="D24" s="21"/>
      <c r="E24" s="21"/>
      <c r="F24" s="22"/>
    </row>
    <row r="25" spans="1:6" x14ac:dyDescent="0.35">
      <c r="A25" s="26">
        <v>4</v>
      </c>
      <c r="B25" s="28" t="s">
        <v>175</v>
      </c>
      <c r="C25" s="19"/>
      <c r="D25" s="1"/>
      <c r="E25" s="1"/>
      <c r="F25" s="2"/>
    </row>
    <row r="26" spans="1:6" x14ac:dyDescent="0.35">
      <c r="A26" s="27">
        <v>5</v>
      </c>
      <c r="B26" s="28" t="s">
        <v>176</v>
      </c>
      <c r="C26" s="18"/>
      <c r="D26" s="21"/>
      <c r="E26" s="21"/>
      <c r="F26" s="22"/>
    </row>
    <row r="27" spans="1:6" x14ac:dyDescent="0.35">
      <c r="A27" s="27">
        <v>6</v>
      </c>
      <c r="B27" s="28" t="s">
        <v>165</v>
      </c>
      <c r="C27" s="19"/>
      <c r="D27" s="1"/>
      <c r="E27" s="1"/>
      <c r="F27" s="2"/>
    </row>
    <row r="28" spans="1:6" x14ac:dyDescent="0.35">
      <c r="A28" s="26">
        <v>7</v>
      </c>
      <c r="B28" s="28" t="s">
        <v>166</v>
      </c>
      <c r="C28" s="18"/>
      <c r="D28" s="21"/>
      <c r="E28" s="21"/>
      <c r="F28" s="22"/>
    </row>
    <row r="29" spans="1:6" x14ac:dyDescent="0.35">
      <c r="A29" s="27">
        <v>8</v>
      </c>
      <c r="B29" s="28" t="s">
        <v>167</v>
      </c>
      <c r="C29" s="19"/>
      <c r="D29" s="1"/>
      <c r="E29" s="1"/>
      <c r="F29" s="2"/>
    </row>
    <row r="30" spans="1:6" x14ac:dyDescent="0.35">
      <c r="A30" s="27">
        <v>9</v>
      </c>
      <c r="B30" s="28" t="s">
        <v>168</v>
      </c>
      <c r="C30" s="19"/>
      <c r="D30" s="1"/>
      <c r="E30" s="1"/>
      <c r="F30" s="2"/>
    </row>
    <row r="31" spans="1:6" x14ac:dyDescent="0.35">
      <c r="A31" s="26">
        <v>10</v>
      </c>
      <c r="B31" s="28" t="s">
        <v>169</v>
      </c>
      <c r="C31" s="19"/>
      <c r="D31" s="1"/>
      <c r="E31" s="1"/>
      <c r="F31" s="2"/>
    </row>
    <row r="32" spans="1:6" x14ac:dyDescent="0.35">
      <c r="A32" s="27">
        <v>11</v>
      </c>
      <c r="B32" s="28" t="s">
        <v>170</v>
      </c>
      <c r="C32" s="19"/>
      <c r="D32" s="1"/>
      <c r="E32" s="1"/>
      <c r="F32" s="2"/>
    </row>
    <row r="33" spans="1:6" x14ac:dyDescent="0.35">
      <c r="A33" s="27">
        <v>12</v>
      </c>
      <c r="B33" s="28" t="s">
        <v>171</v>
      </c>
      <c r="C33" s="19"/>
      <c r="D33" s="1"/>
      <c r="E33" s="1"/>
      <c r="F33" s="2"/>
    </row>
    <row r="34" spans="1:6" x14ac:dyDescent="0.35">
      <c r="A34" s="26">
        <v>13</v>
      </c>
      <c r="B34" s="28" t="s">
        <v>172</v>
      </c>
      <c r="C34" s="19"/>
      <c r="D34" s="1"/>
      <c r="E34" s="1"/>
      <c r="F34" s="2"/>
    </row>
    <row r="35" spans="1:6" x14ac:dyDescent="0.35">
      <c r="A35" s="26">
        <v>14</v>
      </c>
      <c r="B35" s="28" t="s">
        <v>173</v>
      </c>
      <c r="C35" s="19"/>
      <c r="D35" s="1"/>
      <c r="E35" s="1"/>
      <c r="F35" s="2"/>
    </row>
    <row r="36" spans="1:6" x14ac:dyDescent="0.35">
      <c r="A36" s="27">
        <v>15</v>
      </c>
      <c r="B36" s="28" t="s">
        <v>174</v>
      </c>
      <c r="C36" s="19"/>
      <c r="D36" s="1"/>
      <c r="E36" s="1"/>
      <c r="F36" s="2"/>
    </row>
    <row r="37" spans="1:6" x14ac:dyDescent="0.35">
      <c r="A37" s="27">
        <v>16</v>
      </c>
      <c r="B37" s="28" t="s">
        <v>159</v>
      </c>
      <c r="C37" s="19"/>
      <c r="D37" s="1"/>
      <c r="E37" s="1"/>
      <c r="F37" s="2"/>
    </row>
    <row r="38" spans="1:6" x14ac:dyDescent="0.35">
      <c r="A38" s="26">
        <v>17</v>
      </c>
      <c r="B38" s="28" t="s">
        <v>160</v>
      </c>
      <c r="C38" s="19"/>
      <c r="D38" s="1"/>
      <c r="E38" s="1"/>
      <c r="F38" s="2"/>
    </row>
    <row r="39" spans="1:6" ht="15" thickBot="1" x14ac:dyDescent="0.4">
      <c r="A39" s="29">
        <v>18</v>
      </c>
      <c r="B39" s="30" t="s">
        <v>161</v>
      </c>
      <c r="C39" s="20"/>
      <c r="D39" s="3"/>
      <c r="E39" s="3"/>
      <c r="F39" s="4"/>
    </row>
  </sheetData>
  <mergeCells count="10">
    <mergeCell ref="A19:F19"/>
    <mergeCell ref="A1:F1"/>
    <mergeCell ref="A20:A21"/>
    <mergeCell ref="B20:B21"/>
    <mergeCell ref="C20:C21"/>
    <mergeCell ref="D20:F20"/>
    <mergeCell ref="A2:A3"/>
    <mergeCell ref="B2:B3"/>
    <mergeCell ref="C2:C3"/>
    <mergeCell ref="D2:F2"/>
  </mergeCells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41B5-515F-4B86-9415-37CE352E51B4}">
  <sheetPr>
    <tabColor rgb="FFFFC000"/>
  </sheetPr>
  <dimension ref="A1:G77"/>
  <sheetViews>
    <sheetView topLeftCell="A13" workbookViewId="0">
      <selection activeCell="F81" sqref="F81"/>
    </sheetView>
  </sheetViews>
  <sheetFormatPr defaultColWidth="8.90625" defaultRowHeight="14.5" x14ac:dyDescent="0.35"/>
  <cols>
    <col min="1" max="1" width="5.90625" style="74" customWidth="1"/>
    <col min="2" max="2" width="50.6328125" style="73" customWidth="1"/>
    <col min="3" max="3" width="7.08984375" style="74" bestFit="1" customWidth="1"/>
    <col min="4" max="4" width="22.36328125" style="74" customWidth="1"/>
    <col min="5" max="5" width="13.453125" style="74" customWidth="1"/>
    <col min="6" max="6" width="17.453125" style="74" bestFit="1" customWidth="1"/>
    <col min="7" max="7" width="19.54296875" style="74" customWidth="1"/>
    <col min="8" max="8" width="17.54296875" style="74" bestFit="1" customWidth="1"/>
    <col min="9" max="9" width="19.90625" style="74" customWidth="1"/>
    <col min="10" max="16384" width="8.90625" style="74"/>
  </cols>
  <sheetData>
    <row r="1" spans="1:7" x14ac:dyDescent="0.35">
      <c r="A1" s="484" t="s">
        <v>66</v>
      </c>
      <c r="B1" s="270" t="s">
        <v>67</v>
      </c>
      <c r="C1" s="484" t="s">
        <v>41</v>
      </c>
      <c r="D1" s="484" t="s">
        <v>68</v>
      </c>
    </row>
    <row r="2" spans="1:7" x14ac:dyDescent="0.35">
      <c r="A2" s="77">
        <v>1</v>
      </c>
      <c r="B2" s="453" t="s">
        <v>69</v>
      </c>
      <c r="C2" s="77" t="s">
        <v>70</v>
      </c>
      <c r="D2" s="383">
        <f>'Pricing Cost'!I4</f>
        <v>51</v>
      </c>
      <c r="E2" s="84">
        <v>54</v>
      </c>
      <c r="F2" s="488">
        <f>D2-E2</f>
        <v>-3</v>
      </c>
      <c r="G2" s="489">
        <f>F2/D2</f>
        <v>-5.8823529411764705E-2</v>
      </c>
    </row>
    <row r="3" spans="1:7" x14ac:dyDescent="0.35">
      <c r="A3" s="77">
        <v>2</v>
      </c>
      <c r="B3" s="453" t="s">
        <v>71</v>
      </c>
      <c r="C3" s="77" t="s">
        <v>70</v>
      </c>
      <c r="D3" s="383">
        <f>'Pricing Cost'!I5</f>
        <v>51</v>
      </c>
      <c r="E3" s="84">
        <v>54</v>
      </c>
      <c r="F3" s="488">
        <f t="shared" ref="F3:F66" si="0">D3-E3</f>
        <v>-3</v>
      </c>
      <c r="G3" s="489">
        <f t="shared" ref="G3:G66" si="1">F3/D3</f>
        <v>-5.8823529411764705E-2</v>
      </c>
    </row>
    <row r="4" spans="1:7" x14ac:dyDescent="0.35">
      <c r="A4" s="77">
        <v>3</v>
      </c>
      <c r="B4" s="453" t="s">
        <v>72</v>
      </c>
      <c r="C4" s="77" t="s">
        <v>70</v>
      </c>
      <c r="D4" s="383">
        <f>'Pricing Cost'!I6</f>
        <v>51</v>
      </c>
      <c r="E4" s="84">
        <v>54</v>
      </c>
      <c r="F4" s="488">
        <f t="shared" si="0"/>
        <v>-3</v>
      </c>
      <c r="G4" s="489">
        <f t="shared" si="1"/>
        <v>-5.8823529411764705E-2</v>
      </c>
    </row>
    <row r="5" spans="1:7" x14ac:dyDescent="0.35">
      <c r="A5" s="77">
        <v>4</v>
      </c>
      <c r="B5" s="453" t="s">
        <v>73</v>
      </c>
      <c r="C5" s="77" t="s">
        <v>70</v>
      </c>
      <c r="D5" s="383">
        <f>'Pricing Cost'!I7</f>
        <v>51</v>
      </c>
      <c r="E5" s="84">
        <v>54</v>
      </c>
      <c r="F5" s="488">
        <f t="shared" si="0"/>
        <v>-3</v>
      </c>
      <c r="G5" s="489">
        <f t="shared" si="1"/>
        <v>-5.8823529411764705E-2</v>
      </c>
    </row>
    <row r="6" spans="1:7" x14ac:dyDescent="0.35">
      <c r="A6" s="77">
        <v>5</v>
      </c>
      <c r="B6" s="453" t="s">
        <v>74</v>
      </c>
      <c r="C6" s="77" t="s">
        <v>75</v>
      </c>
      <c r="D6" s="383">
        <f>'Pricing Cost'!I8</f>
        <v>17478</v>
      </c>
      <c r="E6" s="84">
        <v>18354</v>
      </c>
      <c r="F6" s="488">
        <f t="shared" si="0"/>
        <v>-876</v>
      </c>
      <c r="G6" s="489">
        <f t="shared" si="1"/>
        <v>-5.0120151047030555E-2</v>
      </c>
    </row>
    <row r="7" spans="1:7" x14ac:dyDescent="0.35">
      <c r="A7" s="77">
        <v>6</v>
      </c>
      <c r="B7" s="453" t="s">
        <v>43</v>
      </c>
      <c r="C7" s="77" t="s">
        <v>75</v>
      </c>
      <c r="D7" s="383">
        <f>'Pricing Cost'!I9</f>
        <v>986</v>
      </c>
      <c r="E7" s="84">
        <v>1036</v>
      </c>
      <c r="F7" s="488">
        <f t="shared" si="0"/>
        <v>-50</v>
      </c>
      <c r="G7" s="489">
        <f t="shared" si="1"/>
        <v>-5.0709939148073022E-2</v>
      </c>
    </row>
    <row r="8" spans="1:7" x14ac:dyDescent="0.35">
      <c r="A8" s="77">
        <v>7</v>
      </c>
      <c r="B8" s="453" t="s">
        <v>76</v>
      </c>
      <c r="C8" s="77" t="s">
        <v>75</v>
      </c>
      <c r="D8" s="383">
        <f>'Pricing Cost'!I10</f>
        <v>14981</v>
      </c>
      <c r="E8" s="84">
        <v>15732</v>
      </c>
      <c r="F8" s="488">
        <f t="shared" si="0"/>
        <v>-751</v>
      </c>
      <c r="G8" s="489">
        <f t="shared" si="1"/>
        <v>-5.0130164875508976E-2</v>
      </c>
    </row>
    <row r="9" spans="1:7" x14ac:dyDescent="0.35">
      <c r="A9" s="77">
        <v>8</v>
      </c>
      <c r="B9" s="453" t="s">
        <v>44</v>
      </c>
      <c r="C9" s="77" t="s">
        <v>75</v>
      </c>
      <c r="D9" s="383">
        <f>'Pricing Cost'!I11</f>
        <v>737</v>
      </c>
      <c r="E9" s="84">
        <v>773</v>
      </c>
      <c r="F9" s="488">
        <f t="shared" si="0"/>
        <v>-36</v>
      </c>
      <c r="G9" s="489">
        <f t="shared" si="1"/>
        <v>-4.8846675712347354E-2</v>
      </c>
    </row>
    <row r="10" spans="1:7" x14ac:dyDescent="0.35">
      <c r="A10" s="77">
        <v>9</v>
      </c>
      <c r="B10" s="449" t="s">
        <v>77</v>
      </c>
      <c r="C10" s="77" t="s">
        <v>75</v>
      </c>
      <c r="D10" s="383">
        <f>'Pricing Cost'!I12</f>
        <v>4370</v>
      </c>
      <c r="E10" s="84">
        <v>4589</v>
      </c>
      <c r="F10" s="488">
        <f t="shared" si="0"/>
        <v>-219</v>
      </c>
      <c r="G10" s="489">
        <f t="shared" si="1"/>
        <v>-5.0114416475972541E-2</v>
      </c>
    </row>
    <row r="11" spans="1:7" x14ac:dyDescent="0.35">
      <c r="A11" s="77">
        <v>10</v>
      </c>
      <c r="B11" s="449" t="s">
        <v>78</v>
      </c>
      <c r="C11" s="77" t="s">
        <v>75</v>
      </c>
      <c r="D11" s="383">
        <f>'Pricing Cost'!I13</f>
        <v>1124</v>
      </c>
      <c r="E11" s="84">
        <v>1180</v>
      </c>
      <c r="F11" s="488">
        <f t="shared" si="0"/>
        <v>-56</v>
      </c>
      <c r="G11" s="489">
        <f t="shared" si="1"/>
        <v>-4.9822064056939501E-2</v>
      </c>
    </row>
    <row r="12" spans="1:7" x14ac:dyDescent="0.35">
      <c r="A12" s="77">
        <v>11</v>
      </c>
      <c r="B12" s="449" t="s">
        <v>79</v>
      </c>
      <c r="C12" s="77" t="s">
        <v>75</v>
      </c>
      <c r="D12" s="383">
        <f>'Pricing Cost'!I14</f>
        <v>236</v>
      </c>
      <c r="E12" s="84">
        <v>248</v>
      </c>
      <c r="F12" s="488">
        <f t="shared" si="0"/>
        <v>-12</v>
      </c>
      <c r="G12" s="489">
        <f t="shared" si="1"/>
        <v>-5.0847457627118647E-2</v>
      </c>
    </row>
    <row r="13" spans="1:7" x14ac:dyDescent="0.35">
      <c r="A13" s="77">
        <v>12</v>
      </c>
      <c r="B13" s="449" t="s">
        <v>80</v>
      </c>
      <c r="C13" s="77" t="s">
        <v>75</v>
      </c>
      <c r="D13" s="383">
        <f>'Pricing Cost'!I15</f>
        <v>142</v>
      </c>
      <c r="E13" s="84">
        <v>149</v>
      </c>
      <c r="F13" s="488">
        <f t="shared" si="0"/>
        <v>-7</v>
      </c>
      <c r="G13" s="489">
        <f t="shared" si="1"/>
        <v>-4.9295774647887321E-2</v>
      </c>
    </row>
    <row r="14" spans="1:7" x14ac:dyDescent="0.35">
      <c r="A14" s="77">
        <v>13</v>
      </c>
      <c r="B14" s="449" t="s">
        <v>81</v>
      </c>
      <c r="C14" s="77" t="s">
        <v>75</v>
      </c>
      <c r="D14" s="383">
        <f>'Pricing Cost'!I16</f>
        <v>687</v>
      </c>
      <c r="E14" s="84">
        <v>721</v>
      </c>
      <c r="F14" s="488">
        <f t="shared" si="0"/>
        <v>-34</v>
      </c>
      <c r="G14" s="489">
        <f t="shared" si="1"/>
        <v>-4.9490538573508006E-2</v>
      </c>
    </row>
    <row r="15" spans="1:7" x14ac:dyDescent="0.35">
      <c r="A15" s="77">
        <v>14</v>
      </c>
      <c r="B15" s="449" t="s">
        <v>82</v>
      </c>
      <c r="C15" s="77" t="s">
        <v>75</v>
      </c>
      <c r="D15" s="383">
        <f>'Pricing Cost'!I17</f>
        <v>562</v>
      </c>
      <c r="E15" s="84">
        <v>590</v>
      </c>
      <c r="F15" s="488">
        <f t="shared" si="0"/>
        <v>-28</v>
      </c>
      <c r="G15" s="489">
        <f t="shared" si="1"/>
        <v>-4.9822064056939501E-2</v>
      </c>
    </row>
    <row r="16" spans="1:7" x14ac:dyDescent="0.35">
      <c r="A16" s="77">
        <v>15</v>
      </c>
      <c r="B16" s="449" t="s">
        <v>83</v>
      </c>
      <c r="C16" s="77" t="s">
        <v>75</v>
      </c>
      <c r="D16" s="383">
        <f>'Pricing Cost'!I18</f>
        <v>90</v>
      </c>
      <c r="E16" s="84">
        <v>94</v>
      </c>
      <c r="F16" s="488">
        <f t="shared" si="0"/>
        <v>-4</v>
      </c>
      <c r="G16" s="489">
        <f t="shared" si="1"/>
        <v>-4.4444444444444446E-2</v>
      </c>
    </row>
    <row r="17" spans="1:7" x14ac:dyDescent="0.35">
      <c r="A17" s="77">
        <v>16</v>
      </c>
      <c r="B17" s="449" t="s">
        <v>84</v>
      </c>
      <c r="C17" s="77" t="s">
        <v>75</v>
      </c>
      <c r="D17" s="383">
        <f>'Pricing Cost'!I19</f>
        <v>13733</v>
      </c>
      <c r="E17" s="84">
        <v>14421</v>
      </c>
      <c r="F17" s="488">
        <f t="shared" si="0"/>
        <v>-688</v>
      </c>
      <c r="G17" s="489">
        <f t="shared" si="1"/>
        <v>-5.0098303356877594E-2</v>
      </c>
    </row>
    <row r="18" spans="1:7" x14ac:dyDescent="0.35">
      <c r="A18" s="77">
        <v>17</v>
      </c>
      <c r="B18" s="449" t="s">
        <v>85</v>
      </c>
      <c r="C18" s="77" t="s">
        <v>75</v>
      </c>
      <c r="D18" s="383">
        <f>'Pricing Cost'!I20</f>
        <v>125</v>
      </c>
      <c r="E18" s="84">
        <v>131</v>
      </c>
      <c r="F18" s="488">
        <f t="shared" si="0"/>
        <v>-6</v>
      </c>
      <c r="G18" s="489">
        <f t="shared" si="1"/>
        <v>-4.8000000000000001E-2</v>
      </c>
    </row>
    <row r="19" spans="1:7" x14ac:dyDescent="0.35">
      <c r="A19" s="77">
        <v>18</v>
      </c>
      <c r="B19" s="453" t="s">
        <v>45</v>
      </c>
      <c r="C19" s="77" t="s">
        <v>86</v>
      </c>
      <c r="D19" s="383">
        <f>'Pricing Cost'!I21</f>
        <v>243</v>
      </c>
      <c r="E19" s="84">
        <v>256</v>
      </c>
      <c r="F19" s="488">
        <f t="shared" si="0"/>
        <v>-13</v>
      </c>
      <c r="G19" s="489">
        <f t="shared" si="1"/>
        <v>-5.3497942386831275E-2</v>
      </c>
    </row>
    <row r="20" spans="1:7" x14ac:dyDescent="0.35">
      <c r="A20" s="77">
        <v>19</v>
      </c>
      <c r="B20" s="453" t="s">
        <v>46</v>
      </c>
      <c r="C20" s="77" t="s">
        <v>86</v>
      </c>
      <c r="D20" s="383">
        <f>'Pricing Cost'!I22</f>
        <v>999</v>
      </c>
      <c r="E20" s="84">
        <v>1049</v>
      </c>
      <c r="F20" s="488">
        <f t="shared" si="0"/>
        <v>-50</v>
      </c>
      <c r="G20" s="489">
        <f t="shared" si="1"/>
        <v>-5.0050050050050053E-2</v>
      </c>
    </row>
    <row r="21" spans="1:7" x14ac:dyDescent="0.35">
      <c r="A21" s="77">
        <v>20</v>
      </c>
      <c r="B21" s="453" t="s">
        <v>87</v>
      </c>
      <c r="C21" s="77" t="s">
        <v>86</v>
      </c>
      <c r="D21" s="383">
        <f>'Pricing Cost'!I23</f>
        <v>3496</v>
      </c>
      <c r="E21" s="84">
        <v>3671</v>
      </c>
      <c r="F21" s="488">
        <f t="shared" si="0"/>
        <v>-175</v>
      </c>
      <c r="G21" s="489">
        <f t="shared" si="1"/>
        <v>-5.0057208237986268E-2</v>
      </c>
    </row>
    <row r="22" spans="1:7" x14ac:dyDescent="0.35">
      <c r="A22" s="77">
        <v>21</v>
      </c>
      <c r="B22" s="453" t="s">
        <v>88</v>
      </c>
      <c r="C22" s="77" t="s">
        <v>86</v>
      </c>
      <c r="D22" s="383">
        <f>'Pricing Cost'!I24</f>
        <v>50</v>
      </c>
      <c r="E22" s="84">
        <v>52</v>
      </c>
      <c r="F22" s="488">
        <f t="shared" si="0"/>
        <v>-2</v>
      </c>
      <c r="G22" s="489">
        <f t="shared" si="1"/>
        <v>-0.04</v>
      </c>
    </row>
    <row r="23" spans="1:7" x14ac:dyDescent="0.35">
      <c r="A23" s="77">
        <v>22</v>
      </c>
      <c r="B23" s="453" t="s">
        <v>47</v>
      </c>
      <c r="C23" s="77" t="s">
        <v>89</v>
      </c>
      <c r="D23" s="383">
        <f>'Pricing Cost'!I25</f>
        <v>312</v>
      </c>
      <c r="E23" s="84">
        <v>328</v>
      </c>
      <c r="F23" s="488">
        <f t="shared" si="0"/>
        <v>-16</v>
      </c>
      <c r="G23" s="489">
        <f t="shared" si="1"/>
        <v>-5.128205128205128E-2</v>
      </c>
    </row>
    <row r="24" spans="1:7" x14ac:dyDescent="0.35">
      <c r="A24" s="77">
        <v>23</v>
      </c>
      <c r="B24" s="453" t="s">
        <v>48</v>
      </c>
      <c r="C24" s="77" t="s">
        <v>89</v>
      </c>
      <c r="D24" s="383">
        <f>'Pricing Cost'!I26</f>
        <v>468</v>
      </c>
      <c r="E24" s="84">
        <v>492</v>
      </c>
      <c r="F24" s="488">
        <f t="shared" si="0"/>
        <v>-24</v>
      </c>
      <c r="G24" s="489">
        <f t="shared" si="1"/>
        <v>-5.128205128205128E-2</v>
      </c>
    </row>
    <row r="25" spans="1:7" x14ac:dyDescent="0.35">
      <c r="A25" s="77">
        <v>24</v>
      </c>
      <c r="B25" s="453" t="s">
        <v>49</v>
      </c>
      <c r="C25" s="77" t="s">
        <v>89</v>
      </c>
      <c r="D25" s="383">
        <f>'Pricing Cost'!I27</f>
        <v>1217</v>
      </c>
      <c r="E25" s="84">
        <v>1278</v>
      </c>
      <c r="F25" s="488">
        <f t="shared" si="0"/>
        <v>-61</v>
      </c>
      <c r="G25" s="489">
        <f t="shared" si="1"/>
        <v>-5.012325390304026E-2</v>
      </c>
    </row>
    <row r="26" spans="1:7" x14ac:dyDescent="0.35">
      <c r="A26" s="77">
        <v>25</v>
      </c>
      <c r="B26" s="449" t="s">
        <v>90</v>
      </c>
      <c r="C26" s="77" t="s">
        <v>75</v>
      </c>
      <c r="D26" s="383">
        <f>'Pricing Cost'!I28</f>
        <v>2434</v>
      </c>
      <c r="E26" s="84">
        <v>2556</v>
      </c>
      <c r="F26" s="488">
        <f t="shared" si="0"/>
        <v>-122</v>
      </c>
      <c r="G26" s="489">
        <f t="shared" si="1"/>
        <v>-5.012325390304026E-2</v>
      </c>
    </row>
    <row r="27" spans="1:7" x14ac:dyDescent="0.35">
      <c r="A27" s="77">
        <v>26</v>
      </c>
      <c r="B27" s="449" t="s">
        <v>91</v>
      </c>
      <c r="C27" s="77" t="s">
        <v>75</v>
      </c>
      <c r="D27" s="383">
        <f>'Pricing Cost'!I29</f>
        <v>1985</v>
      </c>
      <c r="E27" s="84">
        <v>2084</v>
      </c>
      <c r="F27" s="488">
        <f t="shared" si="0"/>
        <v>-99</v>
      </c>
      <c r="G27" s="489">
        <f t="shared" si="1"/>
        <v>-4.9874055415617131E-2</v>
      </c>
    </row>
    <row r="28" spans="1:7" x14ac:dyDescent="0.35">
      <c r="A28" s="77">
        <v>27</v>
      </c>
      <c r="B28" s="449" t="s">
        <v>92</v>
      </c>
      <c r="C28" s="77" t="s">
        <v>75</v>
      </c>
      <c r="D28" s="383">
        <f>'Pricing Cost'!I30</f>
        <v>3983</v>
      </c>
      <c r="E28" s="84">
        <v>4182</v>
      </c>
      <c r="F28" s="488">
        <f t="shared" si="0"/>
        <v>-199</v>
      </c>
      <c r="G28" s="489">
        <f t="shared" si="1"/>
        <v>-4.9962339944765254E-2</v>
      </c>
    </row>
    <row r="29" spans="1:7" x14ac:dyDescent="0.35">
      <c r="A29" s="77">
        <v>28</v>
      </c>
      <c r="B29" s="449" t="s">
        <v>93</v>
      </c>
      <c r="C29" s="77" t="s">
        <v>75</v>
      </c>
      <c r="D29" s="383">
        <f>'Pricing Cost'!I31</f>
        <v>3281</v>
      </c>
      <c r="E29" s="84">
        <v>3445</v>
      </c>
      <c r="F29" s="488">
        <f t="shared" si="0"/>
        <v>-164</v>
      </c>
      <c r="G29" s="489">
        <f t="shared" si="1"/>
        <v>-4.9984760743675707E-2</v>
      </c>
    </row>
    <row r="30" spans="1:7" x14ac:dyDescent="0.35">
      <c r="A30" s="77">
        <v>29</v>
      </c>
      <c r="B30" s="449" t="s">
        <v>94</v>
      </c>
      <c r="C30" s="77" t="s">
        <v>75</v>
      </c>
      <c r="D30" s="383">
        <f>'Pricing Cost'!I32</f>
        <v>3308</v>
      </c>
      <c r="E30" s="84">
        <v>3474</v>
      </c>
      <c r="F30" s="488">
        <f t="shared" si="0"/>
        <v>-166</v>
      </c>
      <c r="G30" s="489">
        <f t="shared" si="1"/>
        <v>-5.0181378476420797E-2</v>
      </c>
    </row>
    <row r="31" spans="1:7" x14ac:dyDescent="0.35">
      <c r="A31" s="77">
        <v>30</v>
      </c>
      <c r="B31" s="449" t="s">
        <v>95</v>
      </c>
      <c r="C31" s="77" t="s">
        <v>75</v>
      </c>
      <c r="D31" s="383">
        <f>'Pricing Cost'!I33</f>
        <v>1985</v>
      </c>
      <c r="E31" s="84">
        <v>2084</v>
      </c>
      <c r="F31" s="488">
        <f t="shared" si="0"/>
        <v>-99</v>
      </c>
      <c r="G31" s="489">
        <f t="shared" si="1"/>
        <v>-4.9874055415617131E-2</v>
      </c>
    </row>
    <row r="32" spans="1:7" x14ac:dyDescent="0.35">
      <c r="A32" s="77">
        <v>31</v>
      </c>
      <c r="B32" s="449" t="s">
        <v>96</v>
      </c>
      <c r="C32" s="77" t="s">
        <v>75</v>
      </c>
      <c r="D32" s="383">
        <f>'Pricing Cost'!I34</f>
        <v>3895</v>
      </c>
      <c r="E32" s="84">
        <v>4090</v>
      </c>
      <c r="F32" s="488">
        <f t="shared" si="0"/>
        <v>-195</v>
      </c>
      <c r="G32" s="489">
        <f t="shared" si="1"/>
        <v>-5.0064184852374842E-2</v>
      </c>
    </row>
    <row r="33" spans="1:7" x14ac:dyDescent="0.35">
      <c r="A33" s="77">
        <v>32</v>
      </c>
      <c r="B33" s="449" t="s">
        <v>97</v>
      </c>
      <c r="C33" s="77" t="s">
        <v>75</v>
      </c>
      <c r="D33" s="383">
        <f>'Pricing Cost'!I35</f>
        <v>200</v>
      </c>
      <c r="E33" s="84">
        <v>210</v>
      </c>
      <c r="F33" s="488">
        <f t="shared" si="0"/>
        <v>-10</v>
      </c>
      <c r="G33" s="489">
        <f t="shared" si="1"/>
        <v>-0.05</v>
      </c>
    </row>
    <row r="34" spans="1:7" x14ac:dyDescent="0.35">
      <c r="A34" s="77">
        <v>33</v>
      </c>
      <c r="B34" s="449" t="s">
        <v>98</v>
      </c>
      <c r="C34" s="77" t="s">
        <v>75</v>
      </c>
      <c r="D34" s="383">
        <f>'Pricing Cost'!I36</f>
        <v>1873</v>
      </c>
      <c r="E34" s="84">
        <v>1967</v>
      </c>
      <c r="F34" s="488">
        <f t="shared" si="0"/>
        <v>-94</v>
      </c>
      <c r="G34" s="489">
        <f t="shared" si="1"/>
        <v>-5.0186865990389747E-2</v>
      </c>
    </row>
    <row r="35" spans="1:7" x14ac:dyDescent="0.35">
      <c r="A35" s="77">
        <v>34</v>
      </c>
      <c r="B35" s="449" t="s">
        <v>99</v>
      </c>
      <c r="C35" s="77" t="s">
        <v>75</v>
      </c>
      <c r="D35" s="383">
        <f>'Pricing Cost'!I37</f>
        <v>718</v>
      </c>
      <c r="E35" s="84">
        <v>754</v>
      </c>
      <c r="F35" s="488">
        <f t="shared" si="0"/>
        <v>-36</v>
      </c>
      <c r="G35" s="489">
        <f t="shared" si="1"/>
        <v>-5.0139275766016712E-2</v>
      </c>
    </row>
    <row r="36" spans="1:7" x14ac:dyDescent="0.35">
      <c r="A36" s="77">
        <v>35</v>
      </c>
      <c r="B36" s="449" t="s">
        <v>100</v>
      </c>
      <c r="C36" s="77" t="s">
        <v>75</v>
      </c>
      <c r="D36" s="383">
        <f>'Pricing Cost'!I38</f>
        <v>162</v>
      </c>
      <c r="E36" s="84">
        <v>170</v>
      </c>
      <c r="F36" s="488">
        <f t="shared" si="0"/>
        <v>-8</v>
      </c>
      <c r="G36" s="489">
        <f t="shared" si="1"/>
        <v>-4.9382716049382713E-2</v>
      </c>
    </row>
    <row r="37" spans="1:7" x14ac:dyDescent="0.35">
      <c r="A37" s="77">
        <v>36</v>
      </c>
      <c r="B37" s="449" t="s">
        <v>101</v>
      </c>
      <c r="C37" s="77" t="s">
        <v>75</v>
      </c>
      <c r="D37" s="383">
        <f>'Pricing Cost'!I39</f>
        <v>119</v>
      </c>
      <c r="E37" s="84">
        <v>125</v>
      </c>
      <c r="F37" s="488">
        <f t="shared" si="0"/>
        <v>-6</v>
      </c>
      <c r="G37" s="489">
        <f t="shared" si="1"/>
        <v>-5.0420168067226892E-2</v>
      </c>
    </row>
    <row r="38" spans="1:7" x14ac:dyDescent="0.35">
      <c r="A38" s="77">
        <v>37</v>
      </c>
      <c r="B38" s="449" t="s">
        <v>102</v>
      </c>
      <c r="C38" s="77" t="s">
        <v>103</v>
      </c>
      <c r="D38" s="383">
        <f>'Pricing Cost'!I40</f>
        <v>44</v>
      </c>
      <c r="E38" s="84">
        <v>46</v>
      </c>
      <c r="F38" s="488">
        <f t="shared" si="0"/>
        <v>-2</v>
      </c>
      <c r="G38" s="489">
        <f t="shared" si="1"/>
        <v>-4.5454545454545456E-2</v>
      </c>
    </row>
    <row r="39" spans="1:7" x14ac:dyDescent="0.35">
      <c r="A39" s="77">
        <v>38</v>
      </c>
      <c r="B39" s="449" t="s">
        <v>104</v>
      </c>
      <c r="C39" s="77" t="s">
        <v>75</v>
      </c>
      <c r="D39" s="383">
        <f>'Pricing Cost'!I41</f>
        <v>874</v>
      </c>
      <c r="E39" s="84">
        <v>918</v>
      </c>
      <c r="F39" s="488">
        <f t="shared" si="0"/>
        <v>-44</v>
      </c>
      <c r="G39" s="489">
        <f t="shared" si="1"/>
        <v>-5.0343249427917618E-2</v>
      </c>
    </row>
    <row r="40" spans="1:7" x14ac:dyDescent="0.35">
      <c r="A40" s="77">
        <v>39</v>
      </c>
      <c r="B40" s="449" t="s">
        <v>105</v>
      </c>
      <c r="C40" s="77" t="s">
        <v>75</v>
      </c>
      <c r="D40" s="383">
        <f>'Pricing Cost'!I42</f>
        <v>44</v>
      </c>
      <c r="E40" s="84">
        <v>46</v>
      </c>
      <c r="F40" s="488">
        <f t="shared" si="0"/>
        <v>-2</v>
      </c>
      <c r="G40" s="489">
        <f t="shared" si="1"/>
        <v>-4.5454545454545456E-2</v>
      </c>
    </row>
    <row r="41" spans="1:7" x14ac:dyDescent="0.35">
      <c r="A41" s="77">
        <v>40</v>
      </c>
      <c r="B41" s="449" t="s">
        <v>106</v>
      </c>
      <c r="C41" s="77" t="s">
        <v>75</v>
      </c>
      <c r="D41" s="383">
        <f>'Pricing Cost'!I43</f>
        <v>52</v>
      </c>
      <c r="E41" s="84">
        <v>55</v>
      </c>
      <c r="F41" s="488">
        <f t="shared" si="0"/>
        <v>-3</v>
      </c>
      <c r="G41" s="489">
        <f t="shared" si="1"/>
        <v>-5.7692307692307696E-2</v>
      </c>
    </row>
    <row r="42" spans="1:7" x14ac:dyDescent="0.35">
      <c r="A42" s="77">
        <v>41</v>
      </c>
      <c r="B42" s="449" t="s">
        <v>107</v>
      </c>
      <c r="C42" s="77" t="s">
        <v>75</v>
      </c>
      <c r="D42" s="383">
        <f>'Pricing Cost'!I44</f>
        <v>35</v>
      </c>
      <c r="E42" s="84">
        <v>37</v>
      </c>
      <c r="F42" s="488">
        <f t="shared" si="0"/>
        <v>-2</v>
      </c>
      <c r="G42" s="489">
        <f t="shared" si="1"/>
        <v>-5.7142857142857141E-2</v>
      </c>
    </row>
    <row r="43" spans="1:7" x14ac:dyDescent="0.35">
      <c r="A43" s="77">
        <v>42</v>
      </c>
      <c r="B43" s="449" t="s">
        <v>108</v>
      </c>
      <c r="C43" s="77" t="s">
        <v>75</v>
      </c>
      <c r="D43" s="383">
        <f>'Pricing Cost'!I45</f>
        <v>94</v>
      </c>
      <c r="E43" s="84">
        <v>98</v>
      </c>
      <c r="F43" s="488">
        <f t="shared" si="0"/>
        <v>-4</v>
      </c>
      <c r="G43" s="489">
        <f t="shared" si="1"/>
        <v>-4.2553191489361701E-2</v>
      </c>
    </row>
    <row r="44" spans="1:7" x14ac:dyDescent="0.35">
      <c r="A44" s="77">
        <v>43</v>
      </c>
      <c r="B44" s="449" t="s">
        <v>109</v>
      </c>
      <c r="C44" s="77" t="s">
        <v>75</v>
      </c>
      <c r="D44" s="383">
        <f>'Pricing Cost'!I46</f>
        <v>47</v>
      </c>
      <c r="E44" s="84">
        <v>50</v>
      </c>
      <c r="F44" s="488">
        <f t="shared" si="0"/>
        <v>-3</v>
      </c>
      <c r="G44" s="489">
        <f t="shared" si="1"/>
        <v>-6.3829787234042548E-2</v>
      </c>
    </row>
    <row r="45" spans="1:7" x14ac:dyDescent="0.35">
      <c r="A45" s="77">
        <v>44</v>
      </c>
      <c r="B45" s="449" t="s">
        <v>110</v>
      </c>
      <c r="C45" s="77" t="s">
        <v>75</v>
      </c>
      <c r="D45" s="383">
        <f>'Pricing Cost'!I47</f>
        <v>462</v>
      </c>
      <c r="E45" s="84">
        <v>485</v>
      </c>
      <c r="F45" s="488">
        <f t="shared" si="0"/>
        <v>-23</v>
      </c>
      <c r="G45" s="489">
        <f t="shared" si="1"/>
        <v>-4.9783549783549784E-2</v>
      </c>
    </row>
    <row r="46" spans="1:7" x14ac:dyDescent="0.35">
      <c r="A46" s="77">
        <v>45</v>
      </c>
      <c r="B46" s="449" t="s">
        <v>111</v>
      </c>
      <c r="C46" s="77" t="s">
        <v>75</v>
      </c>
      <c r="D46" s="383">
        <f>'Pricing Cost'!I48</f>
        <v>47</v>
      </c>
      <c r="E46" s="84">
        <v>50</v>
      </c>
      <c r="F46" s="488">
        <f t="shared" si="0"/>
        <v>-3</v>
      </c>
      <c r="G46" s="489">
        <f t="shared" si="1"/>
        <v>-6.3829787234042548E-2</v>
      </c>
    </row>
    <row r="47" spans="1:7" x14ac:dyDescent="0.35">
      <c r="A47" s="77">
        <v>46</v>
      </c>
      <c r="B47" s="449" t="s">
        <v>112</v>
      </c>
      <c r="C47" s="77" t="s">
        <v>75</v>
      </c>
      <c r="D47" s="383">
        <f>'Pricing Cost'!I49</f>
        <v>49</v>
      </c>
      <c r="E47" s="84">
        <v>51</v>
      </c>
      <c r="F47" s="488">
        <f t="shared" si="0"/>
        <v>-2</v>
      </c>
      <c r="G47" s="489">
        <f t="shared" si="1"/>
        <v>-4.0816326530612242E-2</v>
      </c>
    </row>
    <row r="48" spans="1:7" x14ac:dyDescent="0.35">
      <c r="A48" s="77">
        <v>47</v>
      </c>
      <c r="B48" s="449" t="s">
        <v>113</v>
      </c>
      <c r="C48" s="77" t="s">
        <v>75</v>
      </c>
      <c r="D48" s="383">
        <f>'Pricing Cost'!I50</f>
        <v>34</v>
      </c>
      <c r="E48" s="84">
        <v>35</v>
      </c>
      <c r="F48" s="488">
        <f t="shared" si="0"/>
        <v>-1</v>
      </c>
      <c r="G48" s="489">
        <f t="shared" si="1"/>
        <v>-2.9411764705882353E-2</v>
      </c>
    </row>
    <row r="49" spans="1:7" x14ac:dyDescent="0.35">
      <c r="A49" s="77">
        <v>48</v>
      </c>
      <c r="B49" s="449" t="s">
        <v>114</v>
      </c>
      <c r="C49" s="77" t="s">
        <v>75</v>
      </c>
      <c r="D49" s="383">
        <f>'Pricing Cost'!I51</f>
        <v>21</v>
      </c>
      <c r="E49" s="84">
        <v>22</v>
      </c>
      <c r="F49" s="488">
        <f t="shared" si="0"/>
        <v>-1</v>
      </c>
      <c r="G49" s="489">
        <f t="shared" si="1"/>
        <v>-4.7619047619047616E-2</v>
      </c>
    </row>
    <row r="50" spans="1:7" x14ac:dyDescent="0.35">
      <c r="A50" s="77">
        <v>49</v>
      </c>
      <c r="B50" s="449" t="s">
        <v>115</v>
      </c>
      <c r="C50" s="77" t="s">
        <v>75</v>
      </c>
      <c r="D50" s="383">
        <f>'Pricing Cost'!I52</f>
        <v>21</v>
      </c>
      <c r="E50" s="84">
        <v>22</v>
      </c>
      <c r="F50" s="488">
        <f t="shared" si="0"/>
        <v>-1</v>
      </c>
      <c r="G50" s="489">
        <f t="shared" si="1"/>
        <v>-4.7619047619047616E-2</v>
      </c>
    </row>
    <row r="51" spans="1:7" x14ac:dyDescent="0.35">
      <c r="A51" s="77">
        <v>50</v>
      </c>
      <c r="B51" s="449" t="s">
        <v>116</v>
      </c>
      <c r="C51" s="77" t="s">
        <v>75</v>
      </c>
      <c r="D51" s="383">
        <f>'Pricing Cost'!I53</f>
        <v>487</v>
      </c>
      <c r="E51" s="84">
        <v>511</v>
      </c>
      <c r="F51" s="488">
        <f t="shared" si="0"/>
        <v>-24</v>
      </c>
      <c r="G51" s="489">
        <f t="shared" si="1"/>
        <v>-4.9281314168377825E-2</v>
      </c>
    </row>
    <row r="52" spans="1:7" x14ac:dyDescent="0.35">
      <c r="A52" s="77">
        <v>51</v>
      </c>
      <c r="B52" s="449" t="s">
        <v>117</v>
      </c>
      <c r="C52" s="77" t="s">
        <v>75</v>
      </c>
      <c r="D52" s="383">
        <f>'Pricing Cost'!I54</f>
        <v>487</v>
      </c>
      <c r="E52" s="84">
        <v>511</v>
      </c>
      <c r="F52" s="488">
        <f t="shared" si="0"/>
        <v>-24</v>
      </c>
      <c r="G52" s="489">
        <f t="shared" si="1"/>
        <v>-4.9281314168377825E-2</v>
      </c>
    </row>
    <row r="53" spans="1:7" x14ac:dyDescent="0.35">
      <c r="A53" s="77">
        <v>52</v>
      </c>
      <c r="B53" s="449" t="s">
        <v>118</v>
      </c>
      <c r="C53" s="77" t="s">
        <v>75</v>
      </c>
      <c r="D53" s="383">
        <f>'Pricing Cost'!I55</f>
        <v>487</v>
      </c>
      <c r="E53" s="84">
        <v>511</v>
      </c>
      <c r="F53" s="488">
        <f t="shared" si="0"/>
        <v>-24</v>
      </c>
      <c r="G53" s="489">
        <f t="shared" si="1"/>
        <v>-4.9281314168377825E-2</v>
      </c>
    </row>
    <row r="54" spans="1:7" x14ac:dyDescent="0.35">
      <c r="A54" s="77">
        <v>53</v>
      </c>
      <c r="B54" s="449" t="s">
        <v>119</v>
      </c>
      <c r="C54" s="77" t="s">
        <v>75</v>
      </c>
      <c r="D54" s="383">
        <f>'Pricing Cost'!I56</f>
        <v>110</v>
      </c>
      <c r="E54" s="84">
        <v>115</v>
      </c>
      <c r="F54" s="488">
        <f t="shared" si="0"/>
        <v>-5</v>
      </c>
      <c r="G54" s="489">
        <f t="shared" si="1"/>
        <v>-4.5454545454545456E-2</v>
      </c>
    </row>
    <row r="55" spans="1:7" x14ac:dyDescent="0.35">
      <c r="A55" s="77">
        <v>54</v>
      </c>
      <c r="B55" s="449" t="s">
        <v>120</v>
      </c>
      <c r="C55" s="77" t="s">
        <v>75</v>
      </c>
      <c r="D55" s="383">
        <f>'Pricing Cost'!I57</f>
        <v>35</v>
      </c>
      <c r="E55" s="84">
        <v>37</v>
      </c>
      <c r="F55" s="488">
        <f t="shared" si="0"/>
        <v>-2</v>
      </c>
      <c r="G55" s="489">
        <f t="shared" si="1"/>
        <v>-5.7142857142857141E-2</v>
      </c>
    </row>
    <row r="56" spans="1:7" x14ac:dyDescent="0.35">
      <c r="A56" s="77">
        <v>55</v>
      </c>
      <c r="B56" s="449" t="s">
        <v>121</v>
      </c>
      <c r="C56" s="77" t="s">
        <v>75</v>
      </c>
      <c r="D56" s="383">
        <f>'Pricing Cost'!I58</f>
        <v>92</v>
      </c>
      <c r="E56" s="84">
        <v>97</v>
      </c>
      <c r="F56" s="488">
        <f t="shared" si="0"/>
        <v>-5</v>
      </c>
      <c r="G56" s="489">
        <f t="shared" si="1"/>
        <v>-5.434782608695652E-2</v>
      </c>
    </row>
    <row r="57" spans="1:7" x14ac:dyDescent="0.35">
      <c r="A57" s="77">
        <v>56</v>
      </c>
      <c r="B57" s="449" t="s">
        <v>122</v>
      </c>
      <c r="C57" s="77" t="s">
        <v>75</v>
      </c>
      <c r="D57" s="383">
        <f>'Pricing Cost'!I59</f>
        <v>624</v>
      </c>
      <c r="E57" s="84">
        <v>656</v>
      </c>
      <c r="F57" s="488">
        <f t="shared" si="0"/>
        <v>-32</v>
      </c>
      <c r="G57" s="489">
        <f t="shared" si="1"/>
        <v>-5.128205128205128E-2</v>
      </c>
    </row>
    <row r="58" spans="1:7" x14ac:dyDescent="0.35">
      <c r="A58" s="77">
        <v>57</v>
      </c>
      <c r="B58" s="449" t="s">
        <v>123</v>
      </c>
      <c r="C58" s="77" t="s">
        <v>75</v>
      </c>
      <c r="D58" s="383">
        <f>'Pricing Cost'!I60</f>
        <v>235</v>
      </c>
      <c r="E58" s="84">
        <v>246</v>
      </c>
      <c r="F58" s="488">
        <f t="shared" si="0"/>
        <v>-11</v>
      </c>
      <c r="G58" s="489">
        <f t="shared" si="1"/>
        <v>-4.6808510638297871E-2</v>
      </c>
    </row>
    <row r="59" spans="1:7" x14ac:dyDescent="0.35">
      <c r="A59" s="77">
        <v>58</v>
      </c>
      <c r="B59" s="449" t="s">
        <v>124</v>
      </c>
      <c r="C59" s="77" t="s">
        <v>75</v>
      </c>
      <c r="D59" s="383">
        <f>'Pricing Cost'!I61</f>
        <v>375</v>
      </c>
      <c r="E59" s="84">
        <v>393</v>
      </c>
      <c r="F59" s="488">
        <f t="shared" si="0"/>
        <v>-18</v>
      </c>
      <c r="G59" s="489">
        <f t="shared" si="1"/>
        <v>-4.8000000000000001E-2</v>
      </c>
    </row>
    <row r="60" spans="1:7" x14ac:dyDescent="0.35">
      <c r="A60" s="77">
        <v>59</v>
      </c>
      <c r="B60" s="449" t="s">
        <v>125</v>
      </c>
      <c r="C60" s="77" t="s">
        <v>75</v>
      </c>
      <c r="D60" s="383">
        <f>'Pricing Cost'!I62</f>
        <v>75</v>
      </c>
      <c r="E60" s="84">
        <v>79</v>
      </c>
      <c r="F60" s="488">
        <f t="shared" si="0"/>
        <v>-4</v>
      </c>
      <c r="G60" s="489">
        <f t="shared" si="1"/>
        <v>-5.3333333333333337E-2</v>
      </c>
    </row>
    <row r="61" spans="1:7" x14ac:dyDescent="0.35">
      <c r="A61" s="77">
        <v>60</v>
      </c>
      <c r="B61" s="449" t="s">
        <v>126</v>
      </c>
      <c r="C61" s="77" t="s">
        <v>75</v>
      </c>
      <c r="D61" s="383">
        <f>'Pricing Cost'!I63</f>
        <v>593</v>
      </c>
      <c r="E61" s="84">
        <v>623</v>
      </c>
      <c r="F61" s="488">
        <f t="shared" si="0"/>
        <v>-30</v>
      </c>
      <c r="G61" s="489">
        <f t="shared" si="1"/>
        <v>-5.0590219224283306E-2</v>
      </c>
    </row>
    <row r="62" spans="1:7" x14ac:dyDescent="0.35">
      <c r="A62" s="77">
        <v>61</v>
      </c>
      <c r="B62" s="449" t="s">
        <v>127</v>
      </c>
      <c r="C62" s="77" t="s">
        <v>75</v>
      </c>
      <c r="D62" s="383">
        <f>'Pricing Cost'!I64</f>
        <v>69</v>
      </c>
      <c r="E62" s="84">
        <v>72</v>
      </c>
      <c r="F62" s="488">
        <f t="shared" si="0"/>
        <v>-3</v>
      </c>
      <c r="G62" s="489">
        <f t="shared" si="1"/>
        <v>-4.3478260869565216E-2</v>
      </c>
    </row>
    <row r="63" spans="1:7" x14ac:dyDescent="0.35">
      <c r="A63" s="77">
        <v>62</v>
      </c>
      <c r="B63" s="449" t="s">
        <v>128</v>
      </c>
      <c r="C63" s="77" t="s">
        <v>75</v>
      </c>
      <c r="D63" s="383">
        <f>'Pricing Cost'!I65</f>
        <v>144</v>
      </c>
      <c r="E63" s="84">
        <v>151</v>
      </c>
      <c r="F63" s="488">
        <f t="shared" si="0"/>
        <v>-7</v>
      </c>
      <c r="G63" s="489">
        <f t="shared" si="1"/>
        <v>-4.8611111111111112E-2</v>
      </c>
    </row>
    <row r="64" spans="1:7" x14ac:dyDescent="0.35">
      <c r="A64" s="77">
        <v>63</v>
      </c>
      <c r="B64" s="449" t="s">
        <v>129</v>
      </c>
      <c r="C64" s="77" t="s">
        <v>75</v>
      </c>
      <c r="D64" s="383">
        <f>'Pricing Cost'!I66</f>
        <v>220</v>
      </c>
      <c r="E64" s="84">
        <v>231</v>
      </c>
      <c r="F64" s="488">
        <f t="shared" si="0"/>
        <v>-11</v>
      </c>
      <c r="G64" s="489">
        <f t="shared" si="1"/>
        <v>-0.05</v>
      </c>
    </row>
    <row r="65" spans="1:7" x14ac:dyDescent="0.35">
      <c r="A65" s="77">
        <v>64</v>
      </c>
      <c r="B65" s="449" t="s">
        <v>130</v>
      </c>
      <c r="C65" s="77" t="s">
        <v>75</v>
      </c>
      <c r="D65" s="383">
        <f>'Pricing Cost'!I67</f>
        <v>25</v>
      </c>
      <c r="E65" s="84">
        <v>26</v>
      </c>
      <c r="F65" s="488">
        <f t="shared" si="0"/>
        <v>-1</v>
      </c>
      <c r="G65" s="489">
        <f t="shared" si="1"/>
        <v>-0.04</v>
      </c>
    </row>
    <row r="66" spans="1:7" x14ac:dyDescent="0.35">
      <c r="A66" s="77">
        <v>65</v>
      </c>
      <c r="B66" s="449" t="s">
        <v>131</v>
      </c>
      <c r="C66" s="77" t="s">
        <v>75</v>
      </c>
      <c r="D66" s="383">
        <f>'Pricing Cost'!I68</f>
        <v>52</v>
      </c>
      <c r="E66" s="84">
        <v>55</v>
      </c>
      <c r="F66" s="488">
        <f t="shared" si="0"/>
        <v>-3</v>
      </c>
      <c r="G66" s="489">
        <f t="shared" si="1"/>
        <v>-5.7692307692307696E-2</v>
      </c>
    </row>
    <row r="67" spans="1:7" x14ac:dyDescent="0.35">
      <c r="A67" s="77">
        <v>66</v>
      </c>
      <c r="B67" s="449" t="s">
        <v>132</v>
      </c>
      <c r="C67" s="77" t="s">
        <v>75</v>
      </c>
      <c r="D67" s="383">
        <f>'Pricing Cost'!I69</f>
        <v>132</v>
      </c>
      <c r="E67" s="84">
        <v>139</v>
      </c>
      <c r="F67" s="488">
        <f t="shared" ref="F67:F77" si="2">D67-E67</f>
        <v>-7</v>
      </c>
      <c r="G67" s="489">
        <f t="shared" ref="G67:G77" si="3">F67/D67</f>
        <v>-5.3030303030303032E-2</v>
      </c>
    </row>
    <row r="68" spans="1:7" x14ac:dyDescent="0.35">
      <c r="A68" s="77">
        <v>67</v>
      </c>
      <c r="B68" s="449" t="s">
        <v>133</v>
      </c>
      <c r="C68" s="77" t="s">
        <v>75</v>
      </c>
      <c r="D68" s="383">
        <f>'Pricing Cost'!I70</f>
        <v>112</v>
      </c>
      <c r="E68" s="84">
        <v>118</v>
      </c>
      <c r="F68" s="488">
        <f t="shared" si="2"/>
        <v>-6</v>
      </c>
      <c r="G68" s="489">
        <f t="shared" si="3"/>
        <v>-5.3571428571428568E-2</v>
      </c>
    </row>
    <row r="69" spans="1:7" x14ac:dyDescent="0.35">
      <c r="A69" s="77">
        <v>68</v>
      </c>
      <c r="B69" s="449" t="s">
        <v>134</v>
      </c>
      <c r="C69" s="77" t="s">
        <v>75</v>
      </c>
      <c r="D69" s="383">
        <f>'Pricing Cost'!I71</f>
        <v>218</v>
      </c>
      <c r="E69" s="84">
        <v>229</v>
      </c>
      <c r="F69" s="488">
        <f t="shared" si="2"/>
        <v>-11</v>
      </c>
      <c r="G69" s="489">
        <f t="shared" si="3"/>
        <v>-5.0458715596330278E-2</v>
      </c>
    </row>
    <row r="70" spans="1:7" x14ac:dyDescent="0.35">
      <c r="A70" s="77">
        <v>69</v>
      </c>
      <c r="B70" s="449" t="s">
        <v>135</v>
      </c>
      <c r="C70" s="77" t="s">
        <v>75</v>
      </c>
      <c r="D70" s="383">
        <f>'Pricing Cost'!I72</f>
        <v>6</v>
      </c>
      <c r="E70" s="84">
        <v>7</v>
      </c>
      <c r="F70" s="488">
        <f t="shared" si="2"/>
        <v>-1</v>
      </c>
      <c r="G70" s="489">
        <f t="shared" si="3"/>
        <v>-0.16666666666666666</v>
      </c>
    </row>
    <row r="71" spans="1:7" x14ac:dyDescent="0.35">
      <c r="A71" s="77">
        <v>70</v>
      </c>
      <c r="B71" s="449" t="s">
        <v>136</v>
      </c>
      <c r="C71" s="77" t="s">
        <v>75</v>
      </c>
      <c r="D71" s="383">
        <f>'Pricing Cost'!I73</f>
        <v>70</v>
      </c>
      <c r="E71" s="84">
        <v>73</v>
      </c>
      <c r="F71" s="488">
        <f t="shared" si="2"/>
        <v>-3</v>
      </c>
      <c r="G71" s="489">
        <f t="shared" si="3"/>
        <v>-4.2857142857142858E-2</v>
      </c>
    </row>
    <row r="72" spans="1:7" x14ac:dyDescent="0.35">
      <c r="A72" s="77">
        <v>71</v>
      </c>
      <c r="B72" s="449" t="s">
        <v>137</v>
      </c>
      <c r="C72" s="77" t="s">
        <v>75</v>
      </c>
      <c r="D72" s="383">
        <f>'Pricing Cost'!I74</f>
        <v>31</v>
      </c>
      <c r="E72" s="84">
        <v>33</v>
      </c>
      <c r="F72" s="488">
        <f t="shared" si="2"/>
        <v>-2</v>
      </c>
      <c r="G72" s="489">
        <f t="shared" si="3"/>
        <v>-6.4516129032258063E-2</v>
      </c>
    </row>
    <row r="73" spans="1:7" x14ac:dyDescent="0.35">
      <c r="A73" s="77">
        <v>72</v>
      </c>
      <c r="B73" s="449" t="s">
        <v>138</v>
      </c>
      <c r="C73" s="77" t="s">
        <v>75</v>
      </c>
      <c r="D73" s="383">
        <f>'Pricing Cost'!I75</f>
        <v>243</v>
      </c>
      <c r="E73" s="84">
        <v>256</v>
      </c>
      <c r="F73" s="488">
        <f t="shared" si="2"/>
        <v>-13</v>
      </c>
      <c r="G73" s="489">
        <f t="shared" si="3"/>
        <v>-5.3497942386831275E-2</v>
      </c>
    </row>
    <row r="74" spans="1:7" x14ac:dyDescent="0.35">
      <c r="A74" s="77">
        <v>73</v>
      </c>
      <c r="B74" s="449" t="s">
        <v>139</v>
      </c>
      <c r="C74" s="77" t="s">
        <v>75</v>
      </c>
      <c r="D74" s="383">
        <f>'Pricing Cost'!I76</f>
        <v>35</v>
      </c>
      <c r="E74" s="84">
        <v>37</v>
      </c>
      <c r="F74" s="488">
        <f t="shared" si="2"/>
        <v>-2</v>
      </c>
      <c r="G74" s="489">
        <f t="shared" si="3"/>
        <v>-5.7142857142857141E-2</v>
      </c>
    </row>
    <row r="75" spans="1:7" x14ac:dyDescent="0.35">
      <c r="A75" s="77">
        <v>74</v>
      </c>
      <c r="B75" s="449" t="s">
        <v>140</v>
      </c>
      <c r="C75" s="77" t="s">
        <v>75</v>
      </c>
      <c r="D75" s="383">
        <f>'Pricing Cost'!I77</f>
        <v>84</v>
      </c>
      <c r="E75" s="84">
        <v>88</v>
      </c>
      <c r="F75" s="488">
        <f t="shared" si="2"/>
        <v>-4</v>
      </c>
      <c r="G75" s="489">
        <f t="shared" si="3"/>
        <v>-4.7619047619047616E-2</v>
      </c>
    </row>
    <row r="76" spans="1:7" x14ac:dyDescent="0.35">
      <c r="A76" s="77">
        <v>75</v>
      </c>
      <c r="B76" s="449" t="s">
        <v>141</v>
      </c>
      <c r="C76" s="77" t="s">
        <v>75</v>
      </c>
      <c r="D76" s="383">
        <f>'Pricing Cost'!I78</f>
        <v>35</v>
      </c>
      <c r="E76" s="84">
        <v>37</v>
      </c>
      <c r="F76" s="488">
        <f t="shared" si="2"/>
        <v>-2</v>
      </c>
      <c r="G76" s="489">
        <f t="shared" si="3"/>
        <v>-5.7142857142857141E-2</v>
      </c>
    </row>
    <row r="77" spans="1:7" x14ac:dyDescent="0.35">
      <c r="A77" s="77">
        <v>76</v>
      </c>
      <c r="B77" s="449" t="s">
        <v>142</v>
      </c>
      <c r="C77" s="77" t="s">
        <v>75</v>
      </c>
      <c r="D77" s="383">
        <f>'Pricing Cost'!I79</f>
        <v>3121</v>
      </c>
      <c r="E77" s="84">
        <v>3278</v>
      </c>
      <c r="F77" s="488">
        <f t="shared" si="2"/>
        <v>-157</v>
      </c>
      <c r="G77" s="489">
        <f t="shared" si="3"/>
        <v>-5.0304389618711955E-2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B0E6-9AA8-42ED-A946-6EA587B9DE31}">
  <sheetPr>
    <tabColor rgb="FFFFC000"/>
  </sheetPr>
  <dimension ref="A2:H53"/>
  <sheetViews>
    <sheetView zoomScale="70" zoomScaleNormal="70" workbookViewId="0">
      <selection activeCell="D6" sqref="D6"/>
    </sheetView>
  </sheetViews>
  <sheetFormatPr defaultColWidth="8.90625" defaultRowHeight="14.5" x14ac:dyDescent="0.35"/>
  <cols>
    <col min="1" max="1" width="3" style="446" bestFit="1" customWidth="1"/>
    <col min="2" max="2" width="70.81640625" style="446" bestFit="1" customWidth="1"/>
    <col min="3" max="3" width="15.81640625" style="446" bestFit="1" customWidth="1"/>
    <col min="4" max="4" width="25" style="446" customWidth="1"/>
    <col min="5" max="5" width="8.90625" style="446"/>
    <col min="6" max="6" width="18.81640625" style="446" customWidth="1"/>
    <col min="7" max="7" width="18.6328125" style="446" customWidth="1"/>
    <col min="8" max="8" width="21" style="446" bestFit="1" customWidth="1"/>
    <col min="9" max="9" width="20" style="446" bestFit="1" customWidth="1"/>
    <col min="10" max="10" width="61.90625" style="446" bestFit="1" customWidth="1"/>
    <col min="11" max="11" width="61.36328125" style="446" bestFit="1" customWidth="1"/>
    <col min="12" max="12" width="35.1796875" style="446" bestFit="1" customWidth="1"/>
    <col min="13" max="13" width="15.81640625" style="446" bestFit="1" customWidth="1"/>
    <col min="14" max="14" width="27.90625" style="446" bestFit="1" customWidth="1"/>
    <col min="15" max="15" width="17.453125" style="446" bestFit="1" customWidth="1"/>
    <col min="16" max="16" width="40.08984375" style="446" bestFit="1" customWidth="1"/>
    <col min="17" max="17" width="49.54296875" style="446" bestFit="1" customWidth="1"/>
    <col min="18" max="18" width="21.81640625" style="446" bestFit="1" customWidth="1"/>
    <col min="19" max="19" width="22" style="446" bestFit="1" customWidth="1"/>
    <col min="20" max="20" width="31.6328125" style="446" bestFit="1" customWidth="1"/>
    <col min="21" max="21" width="15" style="446" bestFit="1" customWidth="1"/>
    <col min="22" max="22" width="14.90625" style="446" bestFit="1" customWidth="1"/>
    <col min="23" max="23" width="25.54296875" style="446" bestFit="1" customWidth="1"/>
    <col min="24" max="24" width="17.6328125" style="446" bestFit="1" customWidth="1"/>
    <col min="25" max="25" width="16.1796875" style="446" bestFit="1" customWidth="1"/>
    <col min="26" max="26" width="11.81640625" style="446" bestFit="1" customWidth="1"/>
    <col min="27" max="27" width="26.90625" style="446" bestFit="1" customWidth="1"/>
    <col min="28" max="16384" width="8.90625" style="446"/>
  </cols>
  <sheetData>
    <row r="2" spans="1:8" ht="15" thickBot="1" x14ac:dyDescent="0.4"/>
    <row r="3" spans="1:8" x14ac:dyDescent="0.35">
      <c r="A3" s="585" t="s">
        <v>55</v>
      </c>
      <c r="B3" s="586"/>
      <c r="C3" s="586"/>
      <c r="D3" s="587"/>
    </row>
    <row r="4" spans="1:8" ht="15" customHeight="1" x14ac:dyDescent="0.35">
      <c r="A4" s="8" t="s">
        <v>12</v>
      </c>
      <c r="B4" s="6" t="s">
        <v>13</v>
      </c>
      <c r="C4" s="7" t="s">
        <v>14</v>
      </c>
      <c r="D4" s="9" t="s">
        <v>15</v>
      </c>
    </row>
    <row r="5" spans="1:8" ht="21" customHeight="1" x14ac:dyDescent="0.35">
      <c r="A5" s="463">
        <v>1</v>
      </c>
      <c r="B5" s="467" t="s">
        <v>16</v>
      </c>
      <c r="C5" s="468"/>
      <c r="D5" s="468">
        <f>'Pricing Cost'!I82</f>
        <v>98496</v>
      </c>
      <c r="F5" s="490">
        <v>104880</v>
      </c>
      <c r="G5" s="491">
        <f>D5-F5</f>
        <v>-6384</v>
      </c>
      <c r="H5" s="492">
        <f>G5/D5</f>
        <v>-6.4814814814814811E-2</v>
      </c>
    </row>
    <row r="6" spans="1:8" ht="21" customHeight="1" x14ac:dyDescent="0.35">
      <c r="A6" s="463">
        <v>2</v>
      </c>
      <c r="B6" s="467" t="s">
        <v>17</v>
      </c>
      <c r="C6" s="468"/>
      <c r="D6" s="468" t="e">
        <f>'Pricing Cost'!I83</f>
        <v>#REF!</v>
      </c>
      <c r="F6" s="490">
        <v>79544.014583333323</v>
      </c>
      <c r="G6" s="491" t="e">
        <f t="shared" ref="G6:G53" si="0">D6-F6</f>
        <v>#REF!</v>
      </c>
      <c r="H6" s="492" t="e">
        <f t="shared" ref="H6:H53" si="1">G6/D6</f>
        <v>#REF!</v>
      </c>
    </row>
    <row r="7" spans="1:8" ht="21" customHeight="1" x14ac:dyDescent="0.35">
      <c r="A7" s="463">
        <v>3</v>
      </c>
      <c r="B7" s="469" t="s">
        <v>18</v>
      </c>
      <c r="C7" s="470"/>
      <c r="D7" s="468">
        <f>'Pricing Cost'!I84</f>
        <v>92340</v>
      </c>
      <c r="F7" s="490">
        <v>98325</v>
      </c>
      <c r="G7" s="491">
        <f t="shared" si="0"/>
        <v>-5985</v>
      </c>
      <c r="H7" s="492">
        <f t="shared" si="1"/>
        <v>-6.4814814814814811E-2</v>
      </c>
    </row>
    <row r="8" spans="1:8" ht="21" customHeight="1" x14ac:dyDescent="0.35">
      <c r="A8" s="463">
        <v>4</v>
      </c>
      <c r="B8" s="469" t="s">
        <v>19</v>
      </c>
      <c r="C8" s="470"/>
      <c r="D8" s="468" t="e">
        <f>'Pricing Cost'!I85</f>
        <v>#REF!</v>
      </c>
      <c r="F8" s="490">
        <v>87345.375</v>
      </c>
      <c r="G8" s="491" t="e">
        <f t="shared" si="0"/>
        <v>#REF!</v>
      </c>
      <c r="H8" s="492" t="e">
        <f t="shared" si="1"/>
        <v>#REF!</v>
      </c>
    </row>
    <row r="9" spans="1:8" ht="21" customHeight="1" x14ac:dyDescent="0.35">
      <c r="A9" s="463">
        <v>5</v>
      </c>
      <c r="B9" s="469" t="s">
        <v>20</v>
      </c>
      <c r="C9" s="470"/>
      <c r="D9" s="468">
        <f>'Pricing Cost'!I86</f>
        <v>41614.559999999998</v>
      </c>
      <c r="F9" s="490">
        <v>43700</v>
      </c>
      <c r="G9" s="491">
        <f t="shared" si="0"/>
        <v>-2085.4400000000023</v>
      </c>
      <c r="H9" s="492">
        <f t="shared" si="1"/>
        <v>-5.0113229600409148E-2</v>
      </c>
    </row>
    <row r="10" spans="1:8" ht="21" customHeight="1" x14ac:dyDescent="0.35">
      <c r="A10" s="463">
        <v>6</v>
      </c>
      <c r="B10" s="469" t="s">
        <v>21</v>
      </c>
      <c r="C10" s="470"/>
      <c r="D10" s="468">
        <f>'Pricing Cost'!I87</f>
        <v>31210.920000000002</v>
      </c>
      <c r="F10" s="490">
        <v>32775</v>
      </c>
      <c r="G10" s="491">
        <f t="shared" si="0"/>
        <v>-1564.0799999999981</v>
      </c>
      <c r="H10" s="492">
        <f t="shared" si="1"/>
        <v>-5.0113229600409023E-2</v>
      </c>
    </row>
    <row r="11" spans="1:8" ht="21" customHeight="1" x14ac:dyDescent="0.35">
      <c r="A11" s="463">
        <v>7</v>
      </c>
      <c r="B11" s="469" t="s">
        <v>61</v>
      </c>
      <c r="C11" s="470"/>
      <c r="D11" s="468" t="e">
        <f>'Pricing Cost'!I88</f>
        <v>#REF!</v>
      </c>
      <c r="F11" s="490">
        <v>10638.218749999996</v>
      </c>
      <c r="G11" s="491" t="e">
        <f t="shared" si="0"/>
        <v>#REF!</v>
      </c>
      <c r="H11" s="492" t="e">
        <f t="shared" si="1"/>
        <v>#REF!</v>
      </c>
    </row>
    <row r="12" spans="1:8" ht="21" customHeight="1" x14ac:dyDescent="0.35">
      <c r="A12" s="463">
        <v>8</v>
      </c>
      <c r="B12" s="469" t="s">
        <v>22</v>
      </c>
      <c r="C12" s="470"/>
      <c r="D12" s="468">
        <f>'Pricing Cost'!I89</f>
        <v>62421.840000000004</v>
      </c>
      <c r="F12" s="490">
        <v>65550</v>
      </c>
      <c r="G12" s="491">
        <f t="shared" si="0"/>
        <v>-3128.1599999999962</v>
      </c>
      <c r="H12" s="492">
        <f t="shared" si="1"/>
        <v>-5.0113229600409023E-2</v>
      </c>
    </row>
    <row r="13" spans="1:8" ht="21" customHeight="1" x14ac:dyDescent="0.35">
      <c r="A13" s="463">
        <v>9</v>
      </c>
      <c r="B13" s="469" t="s">
        <v>23</v>
      </c>
      <c r="C13" s="470"/>
      <c r="D13" s="468" t="e">
        <f>'Pricing Cost'!I90</f>
        <v>#REF!</v>
      </c>
      <c r="F13" s="490">
        <v>56438.549999999988</v>
      </c>
      <c r="G13" s="491" t="e">
        <f t="shared" si="0"/>
        <v>#REF!</v>
      </c>
      <c r="H13" s="492" t="e">
        <f t="shared" si="1"/>
        <v>#REF!</v>
      </c>
    </row>
    <row r="14" spans="1:8" ht="21" customHeight="1" x14ac:dyDescent="0.35">
      <c r="A14" s="463">
        <v>10</v>
      </c>
      <c r="B14" s="467" t="s">
        <v>58</v>
      </c>
      <c r="C14" s="468"/>
      <c r="D14" s="468" t="e">
        <f>'Pricing Cost'!I91</f>
        <v>#REF!</v>
      </c>
      <c r="F14" s="490">
        <v>1679.71875</v>
      </c>
      <c r="G14" s="491" t="e">
        <f t="shared" si="0"/>
        <v>#REF!</v>
      </c>
      <c r="H14" s="492" t="e">
        <f t="shared" si="1"/>
        <v>#REF!</v>
      </c>
    </row>
    <row r="15" spans="1:8" ht="21" customHeight="1" x14ac:dyDescent="0.35">
      <c r="A15" s="463">
        <v>11</v>
      </c>
      <c r="B15" s="469" t="s">
        <v>26</v>
      </c>
      <c r="C15" s="468"/>
      <c r="D15" s="468" t="s">
        <v>470</v>
      </c>
      <c r="F15" s="490" t="s">
        <v>470</v>
      </c>
      <c r="G15" s="491" t="e">
        <f t="shared" si="0"/>
        <v>#VALUE!</v>
      </c>
      <c r="H15" s="492" t="e">
        <f t="shared" si="1"/>
        <v>#VALUE!</v>
      </c>
    </row>
    <row r="16" spans="1:8" ht="21" customHeight="1" x14ac:dyDescent="0.35">
      <c r="A16" s="463">
        <v>12</v>
      </c>
      <c r="B16" s="469" t="s">
        <v>59</v>
      </c>
      <c r="C16" s="468"/>
      <c r="D16" s="468" t="s">
        <v>470</v>
      </c>
      <c r="F16" s="490" t="s">
        <v>470</v>
      </c>
      <c r="G16" s="491" t="e">
        <f t="shared" si="0"/>
        <v>#VALUE!</v>
      </c>
      <c r="H16" s="492" t="e">
        <f t="shared" si="1"/>
        <v>#VALUE!</v>
      </c>
    </row>
    <row r="17" spans="1:8" ht="21" customHeight="1" x14ac:dyDescent="0.35">
      <c r="A17" s="463">
        <v>13</v>
      </c>
      <c r="B17" s="469" t="s">
        <v>27</v>
      </c>
      <c r="C17" s="470"/>
      <c r="D17" s="468">
        <f>'Pricing Cost'!I94</f>
        <v>218</v>
      </c>
      <c r="F17" s="490">
        <v>229</v>
      </c>
      <c r="G17" s="491">
        <f t="shared" si="0"/>
        <v>-11</v>
      </c>
      <c r="H17" s="492">
        <f t="shared" si="1"/>
        <v>-5.0458715596330278E-2</v>
      </c>
    </row>
    <row r="18" spans="1:8" ht="21" customHeight="1" x14ac:dyDescent="0.35">
      <c r="A18" s="463">
        <v>14</v>
      </c>
      <c r="B18" s="469" t="s">
        <v>28</v>
      </c>
      <c r="C18" s="470"/>
      <c r="D18" s="468">
        <f>'Pricing Cost'!I95</f>
        <v>206</v>
      </c>
      <c r="F18" s="490">
        <v>216</v>
      </c>
      <c r="G18" s="491">
        <f t="shared" si="0"/>
        <v>-10</v>
      </c>
      <c r="H18" s="492">
        <f t="shared" si="1"/>
        <v>-4.8543689320388349E-2</v>
      </c>
    </row>
    <row r="19" spans="1:8" ht="21" customHeight="1" x14ac:dyDescent="0.35">
      <c r="A19" s="463">
        <v>15</v>
      </c>
      <c r="B19" s="469" t="s">
        <v>29</v>
      </c>
      <c r="C19" s="470"/>
      <c r="D19" s="468">
        <f>'Pricing Cost'!I96</f>
        <v>125</v>
      </c>
      <c r="F19" s="490">
        <v>131</v>
      </c>
      <c r="G19" s="491">
        <f t="shared" si="0"/>
        <v>-6</v>
      </c>
      <c r="H19" s="492">
        <f t="shared" si="1"/>
        <v>-4.8000000000000001E-2</v>
      </c>
    </row>
    <row r="20" spans="1:8" ht="21" customHeight="1" x14ac:dyDescent="0.35">
      <c r="A20" s="463">
        <v>16</v>
      </c>
      <c r="B20" s="469" t="s">
        <v>57</v>
      </c>
      <c r="C20" s="470"/>
      <c r="D20" s="468" t="e">
        <f>'Pricing Cost'!I97</f>
        <v>#REF!</v>
      </c>
      <c r="F20" s="490">
        <v>313</v>
      </c>
      <c r="G20" s="491" t="e">
        <f t="shared" si="0"/>
        <v>#REF!</v>
      </c>
      <c r="H20" s="492" t="e">
        <f t="shared" si="1"/>
        <v>#REF!</v>
      </c>
    </row>
    <row r="21" spans="1:8" ht="21" customHeight="1" x14ac:dyDescent="0.35">
      <c r="A21" s="463">
        <v>17</v>
      </c>
      <c r="B21" s="469" t="s">
        <v>56</v>
      </c>
      <c r="C21" s="470"/>
      <c r="D21" s="468" t="e">
        <f>'Pricing Cost'!I98</f>
        <v>#REF!</v>
      </c>
      <c r="F21" s="490">
        <v>1260</v>
      </c>
      <c r="G21" s="491" t="e">
        <f t="shared" si="0"/>
        <v>#REF!</v>
      </c>
      <c r="H21" s="492" t="e">
        <f t="shared" si="1"/>
        <v>#REF!</v>
      </c>
    </row>
    <row r="22" spans="1:8" ht="21" customHeight="1" x14ac:dyDescent="0.35">
      <c r="A22" s="463">
        <v>18</v>
      </c>
      <c r="B22" s="469" t="s">
        <v>52</v>
      </c>
      <c r="C22" s="470"/>
      <c r="D22" s="468" t="e">
        <f>'Pricing Cost'!I99</f>
        <v>#REF!</v>
      </c>
      <c r="F22" s="490">
        <v>101</v>
      </c>
      <c r="G22" s="491" t="e">
        <f t="shared" si="0"/>
        <v>#REF!</v>
      </c>
      <c r="H22" s="492" t="e">
        <f t="shared" si="1"/>
        <v>#REF!</v>
      </c>
    </row>
    <row r="23" spans="1:8" ht="21" customHeight="1" x14ac:dyDescent="0.35">
      <c r="A23" s="463">
        <v>19</v>
      </c>
      <c r="B23" s="469" t="s">
        <v>53</v>
      </c>
      <c r="C23" s="470"/>
      <c r="D23" s="468" t="e">
        <f>'Pricing Cost'!I100</f>
        <v>#REF!</v>
      </c>
      <c r="F23" s="490">
        <v>112</v>
      </c>
      <c r="G23" s="491" t="e">
        <f t="shared" si="0"/>
        <v>#REF!</v>
      </c>
      <c r="H23" s="492" t="e">
        <f t="shared" si="1"/>
        <v>#REF!</v>
      </c>
    </row>
    <row r="24" spans="1:8" ht="21" customHeight="1" x14ac:dyDescent="0.35">
      <c r="A24" s="463">
        <v>20</v>
      </c>
      <c r="B24" s="469" t="s">
        <v>60</v>
      </c>
      <c r="C24" s="470"/>
      <c r="D24" s="468" t="e">
        <f>'Pricing Cost'!I101</f>
        <v>#REF!</v>
      </c>
      <c r="F24" s="490">
        <v>980</v>
      </c>
      <c r="G24" s="491" t="e">
        <f t="shared" si="0"/>
        <v>#REF!</v>
      </c>
      <c r="H24" s="492" t="e">
        <f t="shared" si="1"/>
        <v>#REF!</v>
      </c>
    </row>
    <row r="25" spans="1:8" ht="21" customHeight="1" x14ac:dyDescent="0.35">
      <c r="A25" s="463">
        <v>21</v>
      </c>
      <c r="B25" s="469" t="s">
        <v>51</v>
      </c>
      <c r="C25" s="470"/>
      <c r="D25" s="468">
        <f>'Pricing Cost'!I102</f>
        <v>4167</v>
      </c>
      <c r="F25" s="490">
        <v>4167</v>
      </c>
      <c r="G25" s="491">
        <f t="shared" si="0"/>
        <v>0</v>
      </c>
      <c r="H25" s="492">
        <f t="shared" si="1"/>
        <v>0</v>
      </c>
    </row>
    <row r="26" spans="1:8" ht="21" customHeight="1" x14ac:dyDescent="0.35">
      <c r="A26" s="463">
        <v>22</v>
      </c>
      <c r="B26" s="469" t="s">
        <v>54</v>
      </c>
      <c r="C26" s="470"/>
      <c r="D26" s="468" t="e">
        <f>'Pricing Cost'!I103</f>
        <v>#REF!</v>
      </c>
      <c r="F26" s="490">
        <v>68</v>
      </c>
      <c r="G26" s="491" t="e">
        <f t="shared" si="0"/>
        <v>#REF!</v>
      </c>
      <c r="H26" s="492" t="e">
        <f t="shared" si="1"/>
        <v>#REF!</v>
      </c>
    </row>
    <row r="27" spans="1:8" ht="21" customHeight="1" thickBot="1" x14ac:dyDescent="0.4"/>
    <row r="28" spans="1:8" ht="21" customHeight="1" x14ac:dyDescent="0.35">
      <c r="A28" s="10" t="s">
        <v>12</v>
      </c>
      <c r="B28" s="11" t="s">
        <v>42</v>
      </c>
      <c r="C28" s="12" t="s">
        <v>14</v>
      </c>
      <c r="D28" s="5" t="s">
        <v>15</v>
      </c>
    </row>
    <row r="29" spans="1:8" ht="21" customHeight="1" x14ac:dyDescent="0.35">
      <c r="A29" s="463">
        <v>1</v>
      </c>
      <c r="B29" s="471" t="s">
        <v>62</v>
      </c>
      <c r="C29" s="468"/>
      <c r="D29" s="472" t="e">
        <f>'Pricing Cost'!I105</f>
        <v>#REF!</v>
      </c>
      <c r="F29" s="490">
        <v>74002</v>
      </c>
      <c r="G29" s="491" t="e">
        <f t="shared" si="0"/>
        <v>#REF!</v>
      </c>
      <c r="H29" s="492" t="e">
        <f t="shared" si="1"/>
        <v>#REF!</v>
      </c>
    </row>
    <row r="30" spans="1:8" ht="21" customHeight="1" x14ac:dyDescent="0.35">
      <c r="A30" s="463">
        <v>2</v>
      </c>
      <c r="B30" s="471" t="s">
        <v>63</v>
      </c>
      <c r="C30" s="471"/>
      <c r="D30" s="472" t="e">
        <f>'Pricing Cost'!I106</f>
        <v>#REF!</v>
      </c>
      <c r="F30" s="490">
        <v>46652</v>
      </c>
      <c r="G30" s="491" t="e">
        <f t="shared" si="0"/>
        <v>#REF!</v>
      </c>
      <c r="H30" s="492" t="e">
        <f t="shared" si="1"/>
        <v>#REF!</v>
      </c>
    </row>
    <row r="31" spans="1:8" ht="21" customHeight="1" x14ac:dyDescent="0.35">
      <c r="A31" s="463">
        <v>3</v>
      </c>
      <c r="B31" s="471" t="s">
        <v>65</v>
      </c>
      <c r="C31" s="471"/>
      <c r="D31" s="472">
        <f>'Pricing Cost'!I107</f>
        <v>27300</v>
      </c>
      <c r="F31" s="490">
        <v>27300</v>
      </c>
      <c r="G31" s="491">
        <f t="shared" si="0"/>
        <v>0</v>
      </c>
      <c r="H31" s="492">
        <f t="shared" si="1"/>
        <v>0</v>
      </c>
    </row>
    <row r="32" spans="1:8" ht="21" customHeight="1" x14ac:dyDescent="0.35">
      <c r="A32" s="463">
        <v>4</v>
      </c>
      <c r="B32" s="471" t="s">
        <v>25</v>
      </c>
      <c r="C32" s="470"/>
      <c r="D32" s="472" t="e">
        <f>'Pricing Cost'!I108</f>
        <v>#REF!</v>
      </c>
      <c r="F32" s="490">
        <v>24170.062931782555</v>
      </c>
      <c r="G32" s="491" t="e">
        <f t="shared" si="0"/>
        <v>#REF!</v>
      </c>
      <c r="H32" s="492" t="e">
        <f t="shared" si="1"/>
        <v>#REF!</v>
      </c>
    </row>
    <row r="33" spans="1:8" ht="21" customHeight="1" x14ac:dyDescent="0.35">
      <c r="A33" s="463">
        <v>5</v>
      </c>
      <c r="B33" s="471" t="s">
        <v>50</v>
      </c>
      <c r="C33" s="471"/>
      <c r="D33" s="472" t="e">
        <f>'Pricing Cost'!I109</f>
        <v>#REF!</v>
      </c>
      <c r="F33" s="490">
        <v>13533</v>
      </c>
      <c r="G33" s="491" t="e">
        <f t="shared" si="0"/>
        <v>#REF!</v>
      </c>
      <c r="H33" s="492" t="e">
        <f t="shared" si="1"/>
        <v>#REF!</v>
      </c>
    </row>
    <row r="34" spans="1:8" ht="21" customHeight="1" x14ac:dyDescent="0.35">
      <c r="A34" s="463">
        <v>6</v>
      </c>
      <c r="B34" s="471" t="s">
        <v>24</v>
      </c>
      <c r="C34" s="470"/>
      <c r="D34" s="472">
        <f>'Pricing Cost'!I110</f>
        <v>16400</v>
      </c>
      <c r="F34" s="490">
        <v>16400</v>
      </c>
      <c r="G34" s="491">
        <f t="shared" si="0"/>
        <v>0</v>
      </c>
      <c r="H34" s="492">
        <f t="shared" si="1"/>
        <v>0</v>
      </c>
    </row>
    <row r="35" spans="1:8" ht="21" customHeight="1" thickBot="1" x14ac:dyDescent="0.4">
      <c r="A35" s="463">
        <v>7</v>
      </c>
      <c r="B35" s="473" t="s">
        <v>64</v>
      </c>
      <c r="C35" s="474"/>
      <c r="D35" s="476">
        <f>'Pricing Cost'!I111</f>
        <v>14100</v>
      </c>
      <c r="F35" s="490">
        <v>14100</v>
      </c>
      <c r="G35" s="491">
        <f t="shared" si="0"/>
        <v>0</v>
      </c>
      <c r="H35" s="492">
        <f t="shared" si="1"/>
        <v>0</v>
      </c>
    </row>
    <row r="36" spans="1:8" ht="21" customHeight="1" x14ac:dyDescent="0.35"/>
    <row r="37" spans="1:8" ht="21" customHeight="1" x14ac:dyDescent="0.35"/>
    <row r="38" spans="1:8" ht="21" customHeight="1" x14ac:dyDescent="0.35"/>
    <row r="39" spans="1:8" ht="21" customHeight="1" thickBot="1" x14ac:dyDescent="0.4">
      <c r="A39" s="464" t="s">
        <v>12</v>
      </c>
      <c r="B39" s="13" t="s">
        <v>30</v>
      </c>
      <c r="C39" s="14" t="s">
        <v>14</v>
      </c>
      <c r="D39" s="13" t="s">
        <v>31</v>
      </c>
    </row>
    <row r="40" spans="1:8" ht="21" customHeight="1" thickBot="1" x14ac:dyDescent="0.4">
      <c r="A40" s="465">
        <v>1</v>
      </c>
      <c r="B40" s="475" t="s">
        <v>32</v>
      </c>
      <c r="C40" s="582" t="s">
        <v>33</v>
      </c>
      <c r="D40" s="483">
        <f>'Paid Services'!J4</f>
        <v>669</v>
      </c>
      <c r="F40" s="490">
        <v>669</v>
      </c>
      <c r="G40" s="491">
        <f t="shared" si="0"/>
        <v>0</v>
      </c>
      <c r="H40" s="492">
        <f t="shared" si="1"/>
        <v>0</v>
      </c>
    </row>
    <row r="41" spans="1:8" ht="21" customHeight="1" thickBot="1" x14ac:dyDescent="0.4">
      <c r="A41" s="463">
        <v>2</v>
      </c>
      <c r="B41" s="469" t="s">
        <v>34</v>
      </c>
      <c r="C41" s="583"/>
      <c r="D41" s="483">
        <f>'Paid Services'!J5</f>
        <v>787</v>
      </c>
      <c r="F41" s="490">
        <v>787</v>
      </c>
      <c r="G41" s="491">
        <f t="shared" si="0"/>
        <v>0</v>
      </c>
      <c r="H41" s="492">
        <f t="shared" si="1"/>
        <v>0</v>
      </c>
    </row>
    <row r="42" spans="1:8" ht="21" customHeight="1" thickBot="1" x14ac:dyDescent="0.4">
      <c r="A42" s="463">
        <v>3</v>
      </c>
      <c r="B42" s="469" t="s">
        <v>35</v>
      </c>
      <c r="C42" s="583"/>
      <c r="D42" s="483">
        <f>'Paid Services'!J6</f>
        <v>1049</v>
      </c>
      <c r="F42" s="490">
        <v>1049</v>
      </c>
      <c r="G42" s="491">
        <f t="shared" si="0"/>
        <v>0</v>
      </c>
      <c r="H42" s="492">
        <f t="shared" si="1"/>
        <v>0</v>
      </c>
    </row>
    <row r="43" spans="1:8" ht="21" customHeight="1" thickBot="1" x14ac:dyDescent="0.4">
      <c r="A43" s="463">
        <v>4</v>
      </c>
      <c r="B43" s="469" t="s">
        <v>36</v>
      </c>
      <c r="C43" s="583"/>
      <c r="D43" s="483">
        <f>'Paid Services'!J7</f>
        <v>1639</v>
      </c>
      <c r="F43" s="490">
        <v>1639</v>
      </c>
      <c r="G43" s="491">
        <f t="shared" si="0"/>
        <v>0</v>
      </c>
      <c r="H43" s="492">
        <f t="shared" si="1"/>
        <v>0</v>
      </c>
    </row>
    <row r="44" spans="1:8" ht="21" customHeight="1" thickBot="1" x14ac:dyDescent="0.4">
      <c r="A44" s="463">
        <v>5</v>
      </c>
      <c r="B44" s="469" t="s">
        <v>37</v>
      </c>
      <c r="C44" s="583"/>
      <c r="D44" s="483">
        <f>'Paid Services'!J8</f>
        <v>2295</v>
      </c>
      <c r="F44" s="490">
        <v>2295</v>
      </c>
      <c r="G44" s="491">
        <f t="shared" si="0"/>
        <v>0</v>
      </c>
      <c r="H44" s="492">
        <f t="shared" si="1"/>
        <v>0</v>
      </c>
    </row>
    <row r="45" spans="1:8" ht="21" customHeight="1" thickBot="1" x14ac:dyDescent="0.4">
      <c r="A45" s="463">
        <v>6</v>
      </c>
      <c r="B45" s="469" t="s">
        <v>38</v>
      </c>
      <c r="C45" s="583"/>
      <c r="D45" s="483">
        <f>'Paid Services'!J9</f>
        <v>2622</v>
      </c>
      <c r="F45" s="490">
        <v>2622</v>
      </c>
      <c r="G45" s="491">
        <f t="shared" si="0"/>
        <v>0</v>
      </c>
      <c r="H45" s="492">
        <f t="shared" si="1"/>
        <v>0</v>
      </c>
    </row>
    <row r="46" spans="1:8" ht="21" customHeight="1" thickBot="1" x14ac:dyDescent="0.4">
      <c r="A46" s="466">
        <v>7</v>
      </c>
      <c r="B46" s="474" t="s">
        <v>39</v>
      </c>
      <c r="C46" s="584"/>
      <c r="D46" s="483">
        <f>'Paid Services'!J10</f>
        <v>3933</v>
      </c>
      <c r="F46" s="490">
        <v>3933</v>
      </c>
      <c r="G46" s="491">
        <f t="shared" si="0"/>
        <v>0</v>
      </c>
      <c r="H46" s="492">
        <f t="shared" si="1"/>
        <v>0</v>
      </c>
    </row>
    <row r="47" spans="1:8" ht="21" customHeight="1" thickBot="1" x14ac:dyDescent="0.4">
      <c r="A47" s="465">
        <v>8</v>
      </c>
      <c r="B47" s="475" t="s">
        <v>32</v>
      </c>
      <c r="C47" s="582" t="s">
        <v>40</v>
      </c>
      <c r="D47" s="483">
        <f>'Paid Services'!J11</f>
        <v>1115</v>
      </c>
      <c r="F47" s="490">
        <v>1115</v>
      </c>
      <c r="G47" s="491">
        <f t="shared" si="0"/>
        <v>0</v>
      </c>
      <c r="H47" s="492">
        <f t="shared" si="1"/>
        <v>0</v>
      </c>
    </row>
    <row r="48" spans="1:8" ht="21" customHeight="1" thickBot="1" x14ac:dyDescent="0.4">
      <c r="A48" s="463">
        <v>9</v>
      </c>
      <c r="B48" s="469" t="s">
        <v>34</v>
      </c>
      <c r="C48" s="583"/>
      <c r="D48" s="483">
        <f>'Paid Services'!J12</f>
        <v>1311</v>
      </c>
      <c r="F48" s="490">
        <v>1311</v>
      </c>
      <c r="G48" s="491">
        <f t="shared" si="0"/>
        <v>0</v>
      </c>
      <c r="H48" s="492">
        <f t="shared" si="1"/>
        <v>0</v>
      </c>
    </row>
    <row r="49" spans="1:8" ht="21" customHeight="1" thickBot="1" x14ac:dyDescent="0.4">
      <c r="A49" s="463">
        <v>10</v>
      </c>
      <c r="B49" s="469" t="s">
        <v>35</v>
      </c>
      <c r="C49" s="583"/>
      <c r="D49" s="483">
        <f>'Paid Services'!J13</f>
        <v>1679</v>
      </c>
      <c r="F49" s="490">
        <v>1679</v>
      </c>
      <c r="G49" s="491">
        <f t="shared" si="0"/>
        <v>0</v>
      </c>
      <c r="H49" s="492">
        <f t="shared" si="1"/>
        <v>0</v>
      </c>
    </row>
    <row r="50" spans="1:8" ht="21" customHeight="1" thickBot="1" x14ac:dyDescent="0.4">
      <c r="A50" s="463">
        <v>11</v>
      </c>
      <c r="B50" s="469" t="s">
        <v>36</v>
      </c>
      <c r="C50" s="583"/>
      <c r="D50" s="483">
        <f>'Paid Services'!J14</f>
        <v>2622</v>
      </c>
      <c r="F50" s="490">
        <v>2622</v>
      </c>
      <c r="G50" s="491">
        <f t="shared" si="0"/>
        <v>0</v>
      </c>
      <c r="H50" s="492">
        <f t="shared" si="1"/>
        <v>0</v>
      </c>
    </row>
    <row r="51" spans="1:8" ht="21" customHeight="1" thickBot="1" x14ac:dyDescent="0.4">
      <c r="A51" s="463">
        <v>12</v>
      </c>
      <c r="B51" s="469" t="s">
        <v>37</v>
      </c>
      <c r="C51" s="583"/>
      <c r="D51" s="483">
        <f>'Paid Services'!J15</f>
        <v>3671</v>
      </c>
      <c r="F51" s="490">
        <v>3671</v>
      </c>
      <c r="G51" s="491">
        <f t="shared" si="0"/>
        <v>0</v>
      </c>
      <c r="H51" s="492">
        <f t="shared" si="1"/>
        <v>0</v>
      </c>
    </row>
    <row r="52" spans="1:8" ht="21" customHeight="1" thickBot="1" x14ac:dyDescent="0.4">
      <c r="A52" s="463">
        <v>13</v>
      </c>
      <c r="B52" s="469" t="s">
        <v>38</v>
      </c>
      <c r="C52" s="583"/>
      <c r="D52" s="483">
        <f>'Paid Services'!J16</f>
        <v>3933</v>
      </c>
      <c r="F52" s="490">
        <v>3933</v>
      </c>
      <c r="G52" s="491">
        <f t="shared" si="0"/>
        <v>0</v>
      </c>
      <c r="H52" s="492">
        <f t="shared" si="1"/>
        <v>0</v>
      </c>
    </row>
    <row r="53" spans="1:8" ht="21" customHeight="1" thickBot="1" x14ac:dyDescent="0.4">
      <c r="A53" s="466">
        <v>14</v>
      </c>
      <c r="B53" s="474" t="s">
        <v>39</v>
      </c>
      <c r="C53" s="584"/>
      <c r="D53" s="483">
        <f>'Paid Services'!J17</f>
        <v>5900</v>
      </c>
      <c r="F53" s="490">
        <v>5900</v>
      </c>
      <c r="G53" s="491">
        <f t="shared" si="0"/>
        <v>0</v>
      </c>
      <c r="H53" s="492">
        <f t="shared" si="1"/>
        <v>0</v>
      </c>
    </row>
  </sheetData>
  <mergeCells count="3">
    <mergeCell ref="C47:C53"/>
    <mergeCell ref="A3:D3"/>
    <mergeCell ref="C40:C4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3:N21"/>
  <sheetViews>
    <sheetView workbookViewId="0">
      <selection activeCell="I5" sqref="I5"/>
    </sheetView>
  </sheetViews>
  <sheetFormatPr defaultColWidth="8.81640625" defaultRowHeight="14.5" x14ac:dyDescent="0.35"/>
  <cols>
    <col min="1" max="1" width="33.453125" style="73" bestFit="1" customWidth="1"/>
    <col min="2" max="2" width="22.81640625" style="74" bestFit="1" customWidth="1"/>
    <col min="3" max="4" width="18" style="74" customWidth="1"/>
    <col min="5" max="5" width="12.36328125" style="74" bestFit="1" customWidth="1"/>
    <col min="6" max="7" width="18" style="74" customWidth="1"/>
    <col min="8" max="8" width="20.54296875" style="74" bestFit="1" customWidth="1"/>
    <col min="9" max="9" width="27.6328125" style="74" bestFit="1" customWidth="1"/>
    <col min="10" max="10" width="16.90625" style="74" customWidth="1"/>
    <col min="11" max="11" width="8.81640625" style="74"/>
    <col min="12" max="12" width="14.08984375" style="74" bestFit="1" customWidth="1"/>
    <col min="13" max="13" width="11.6328125" style="74" bestFit="1" customWidth="1"/>
    <col min="14" max="16384" width="8.81640625" style="74"/>
  </cols>
  <sheetData>
    <row r="3" spans="1:14" x14ac:dyDescent="0.35">
      <c r="A3" s="225" t="s">
        <v>158</v>
      </c>
    </row>
    <row r="4" spans="1:14" ht="23.4" customHeight="1" x14ac:dyDescent="0.35">
      <c r="A4" s="394" t="s">
        <v>0</v>
      </c>
      <c r="B4" s="398" t="s">
        <v>1</v>
      </c>
      <c r="C4" s="398" t="s">
        <v>2</v>
      </c>
      <c r="D4" s="398" t="s">
        <v>3</v>
      </c>
      <c r="E4" s="398" t="s">
        <v>4</v>
      </c>
      <c r="F4" s="398" t="s">
        <v>5</v>
      </c>
      <c r="G4" s="398" t="s">
        <v>6</v>
      </c>
      <c r="H4" s="398" t="s">
        <v>455</v>
      </c>
      <c r="I4" s="398" t="s">
        <v>469</v>
      </c>
      <c r="J4" s="398" t="s">
        <v>240</v>
      </c>
    </row>
    <row r="5" spans="1:14" x14ac:dyDescent="0.35">
      <c r="A5" s="222" t="str">
        <f>'BOQ A'!D3</f>
        <v>Sierras</v>
      </c>
      <c r="B5" s="383">
        <f>'Mobilization &amp; Over Head Cost'!M20</f>
        <v>7246.5111341350594</v>
      </c>
      <c r="C5" s="383">
        <f>'Manpower Cost'!L22</f>
        <v>261280.90341268087</v>
      </c>
      <c r="D5" s="383">
        <f>'Equipment &amp; Tools Cost'!M58</f>
        <v>94735.883966320107</v>
      </c>
      <c r="E5" s="383">
        <f>'Consumables Cost '!M39</f>
        <v>12484.368</v>
      </c>
      <c r="F5" s="99">
        <v>0</v>
      </c>
      <c r="G5" s="383">
        <f>'Transportation Cost'!M20</f>
        <v>77631.172504717848</v>
      </c>
      <c r="H5" s="383">
        <f>'Facades Cleaning Cost'!M20</f>
        <v>78963.627599999993</v>
      </c>
      <c r="I5" s="383">
        <f>'Others Cost '!M18</f>
        <v>7889.3467992599453</v>
      </c>
      <c r="J5" s="99">
        <f>SUM(B5:I5)</f>
        <v>540231.81341711374</v>
      </c>
      <c r="L5" s="84">
        <v>920624.36279543443</v>
      </c>
      <c r="M5" s="488">
        <f>J5-L5</f>
        <v>-380392.54937832069</v>
      </c>
      <c r="N5" s="489">
        <f>M5/J5</f>
        <v>-0.70412837587670729</v>
      </c>
    </row>
    <row r="6" spans="1:14" x14ac:dyDescent="0.35">
      <c r="A6" s="222" t="str">
        <f>'BOQ A'!D4</f>
        <v>Alto</v>
      </c>
      <c r="B6" s="383">
        <f>'Mobilization &amp; Over Head Cost'!O20</f>
        <v>3653.0902423681778</v>
      </c>
      <c r="C6" s="383">
        <f>'Manpower Cost'!N22</f>
        <v>131567.18360859575</v>
      </c>
      <c r="D6" s="383">
        <f>'Equipment &amp; Tools Cost'!O58</f>
        <v>50102.058675530046</v>
      </c>
      <c r="E6" s="383">
        <f>'Consumables Cost '!O39</f>
        <v>6429.4495200000001</v>
      </c>
      <c r="F6" s="99">
        <v>0</v>
      </c>
      <c r="G6" s="383">
        <f>'Transportation Cost'!O20</f>
        <v>39135.202241628125</v>
      </c>
      <c r="H6" s="383">
        <f>'Facades Cleaning Cost'!O20</f>
        <v>18258.388200000001</v>
      </c>
      <c r="I6" s="383">
        <f>'Others Cost '!O18</f>
        <v>3977.1546993524521</v>
      </c>
      <c r="J6" s="99">
        <f t="shared" ref="J6:J17" si="0">SUM(B6:I6)</f>
        <v>253122.52718747454</v>
      </c>
      <c r="L6" s="84">
        <v>371983.72928845306</v>
      </c>
      <c r="M6" s="488">
        <f t="shared" ref="M6:M18" si="1">J6-L6</f>
        <v>-118861.20210097852</v>
      </c>
      <c r="N6" s="489">
        <f t="shared" ref="N6:N18" si="2">M6/J6</f>
        <v>-0.46957970679924621</v>
      </c>
    </row>
    <row r="7" spans="1:14" x14ac:dyDescent="0.35">
      <c r="A7" s="222" t="str">
        <f>'BOQ A'!D5</f>
        <v>Aurora</v>
      </c>
      <c r="B7" s="383">
        <f>'Mobilization &amp; Over Head Cost'!Q20</f>
        <v>3845.3581498612398</v>
      </c>
      <c r="C7" s="383">
        <f>'Manpower Cost'!P22</f>
        <v>137539.45586757446</v>
      </c>
      <c r="D7" s="383">
        <f>'Equipment &amp; Tools Cost'!Q58</f>
        <v>51872.477180136884</v>
      </c>
      <c r="E7" s="383">
        <f>'Consumables Cost '!Q39</f>
        <v>7303.3552800000007</v>
      </c>
      <c r="F7" s="99">
        <v>0</v>
      </c>
      <c r="G7" s="383">
        <f>'Transportation Cost'!Q20</f>
        <v>41194.949728029605</v>
      </c>
      <c r="H7" s="383">
        <f>'Facades Cleaning Cost'!Q20</f>
        <v>14200.9686</v>
      </c>
      <c r="I7" s="383">
        <f>'Others Cost '!Q18</f>
        <v>4186.478630897318</v>
      </c>
      <c r="J7" s="99">
        <f t="shared" si="0"/>
        <v>260143.04343649952</v>
      </c>
      <c r="L7" s="84">
        <v>368133.46662655147</v>
      </c>
      <c r="M7" s="488">
        <f t="shared" si="1"/>
        <v>-107990.42319005195</v>
      </c>
      <c r="N7" s="489">
        <f t="shared" si="2"/>
        <v>-0.41511939648085278</v>
      </c>
    </row>
    <row r="8" spans="1:14" x14ac:dyDescent="0.35">
      <c r="A8" s="222" t="str">
        <f>'BOQ A'!D6</f>
        <v xml:space="preserve">Fourteen </v>
      </c>
      <c r="B8" s="383">
        <f>'Mobilization &amp; Over Head Cost'!S20</f>
        <v>7067.5030823311736</v>
      </c>
      <c r="C8" s="383">
        <f>'Manpower Cost'!R22</f>
        <v>255720.51199914893</v>
      </c>
      <c r="D8" s="383">
        <f>'Equipment &amp; Tools Cost'!S58</f>
        <v>92013.357564099919</v>
      </c>
      <c r="E8" s="383">
        <f>'Consumables Cost '!S39</f>
        <v>12671.633520000001</v>
      </c>
      <c r="F8" s="99">
        <v>0</v>
      </c>
      <c r="G8" s="383">
        <f>'Transportation Cost'!S20</f>
        <v>75713.476569102684</v>
      </c>
      <c r="H8" s="383">
        <f>'Facades Cleaning Cost'!S20</f>
        <v>56803.874400000001</v>
      </c>
      <c r="I8" s="383">
        <f>'Others Cost '!S18</f>
        <v>7694.4590009250696</v>
      </c>
      <c r="J8" s="99">
        <f t="shared" si="0"/>
        <v>507684.81613560766</v>
      </c>
      <c r="L8" s="84">
        <v>806193.74653435289</v>
      </c>
      <c r="M8" s="488">
        <f t="shared" si="1"/>
        <v>-298508.93039874523</v>
      </c>
      <c r="N8" s="489">
        <f t="shared" si="2"/>
        <v>-0.58798081193551099</v>
      </c>
    </row>
    <row r="9" spans="1:14" x14ac:dyDescent="0.35">
      <c r="A9" s="222" t="str">
        <f>'BOQ A'!D7</f>
        <v>Reyna</v>
      </c>
      <c r="B9" s="383">
        <f>'Mobilization &amp; Over Head Cost'!U20</f>
        <v>1558.0330434782609</v>
      </c>
      <c r="C9" s="383">
        <f>'Manpower Cost'!T22</f>
        <v>61966.507356000002</v>
      </c>
      <c r="D9" s="383">
        <f>'Equipment &amp; Tools Cost'!U58</f>
        <v>20631.895738434785</v>
      </c>
      <c r="E9" s="383">
        <f>'Consumables Cost '!U39</f>
        <v>2715.3500399999998</v>
      </c>
      <c r="F9" s="99">
        <v>0</v>
      </c>
      <c r="G9" s="383">
        <f>'Transportation Cost'!U20</f>
        <v>16691.057217391306</v>
      </c>
      <c r="H9" s="383"/>
      <c r="I9" s="383">
        <f>'Others Cost '!U18</f>
        <v>1696.245652173913</v>
      </c>
      <c r="J9" s="99">
        <f t="shared" si="0"/>
        <v>105259.08904747826</v>
      </c>
      <c r="L9" s="84">
        <v>132229.955234375</v>
      </c>
      <c r="M9" s="488">
        <f t="shared" si="1"/>
        <v>-26970.866186896732</v>
      </c>
      <c r="N9" s="489">
        <f t="shared" si="2"/>
        <v>-0.25623313322359487</v>
      </c>
    </row>
    <row r="10" spans="1:14" x14ac:dyDescent="0.35">
      <c r="A10" s="222" t="str">
        <f>'BOQ A'!D8</f>
        <v>Eleva</v>
      </c>
      <c r="B10" s="383">
        <f>'Mobilization &amp; Over Head Cost'!W20</f>
        <v>1246.4264347826088</v>
      </c>
      <c r="C10" s="383">
        <f>'Manpower Cost'!V22</f>
        <v>46471.375481142859</v>
      </c>
      <c r="D10" s="383">
        <f>'Equipment &amp; Tools Cost'!W58</f>
        <v>16268.036168347828</v>
      </c>
      <c r="E10" s="383">
        <f>'Consumables Cost '!W39</f>
        <v>2184.7644</v>
      </c>
      <c r="F10" s="99">
        <v>0</v>
      </c>
      <c r="G10" s="383">
        <f>'Transportation Cost'!W20</f>
        <v>13352.845773913046</v>
      </c>
      <c r="H10" s="383"/>
      <c r="I10" s="383">
        <f>'Others Cost '!W18</f>
        <v>1356.9965217391307</v>
      </c>
      <c r="J10" s="99">
        <f t="shared" si="0"/>
        <v>80880.44477992547</v>
      </c>
      <c r="L10" s="84">
        <v>102178.8478236607</v>
      </c>
      <c r="M10" s="488">
        <f t="shared" si="1"/>
        <v>-21298.403043735234</v>
      </c>
      <c r="N10" s="489">
        <f t="shared" si="2"/>
        <v>-0.26333192283608087</v>
      </c>
    </row>
    <row r="11" spans="1:14" x14ac:dyDescent="0.35">
      <c r="A11" s="222" t="str">
        <f>'BOQ A'!D9</f>
        <v>Isadore</v>
      </c>
      <c r="B11" s="383">
        <f>'Mobilization &amp; Over Head Cost'!Y20</f>
        <v>934.81982608695648</v>
      </c>
      <c r="C11" s="383">
        <f>'Manpower Cost'!X22</f>
        <v>34853.531610857142</v>
      </c>
      <c r="D11" s="383">
        <f>'Equipment &amp; Tools Cost'!Y58</f>
        <v>12952.86351026087</v>
      </c>
      <c r="E11" s="383">
        <f>'Consumables Cost '!Y39</f>
        <v>2184.7644</v>
      </c>
      <c r="F11" s="99">
        <v>0</v>
      </c>
      <c r="G11" s="383">
        <f>'Transportation Cost'!Y20</f>
        <v>10014.634330434783</v>
      </c>
      <c r="H11" s="383"/>
      <c r="I11" s="383">
        <f>'Others Cost '!Y18</f>
        <v>1017.747391304348</v>
      </c>
      <c r="J11" s="99">
        <f t="shared" si="0"/>
        <v>61958.361068944097</v>
      </c>
      <c r="L11" s="84">
        <v>78508.911957589284</v>
      </c>
      <c r="M11" s="488">
        <f t="shared" si="1"/>
        <v>-16550.550888645186</v>
      </c>
      <c r="N11" s="489">
        <f t="shared" si="2"/>
        <v>-0.26712376833577922</v>
      </c>
    </row>
    <row r="12" spans="1:14" x14ac:dyDescent="0.35">
      <c r="A12" s="222" t="str">
        <f>'BOQ A'!D10</f>
        <v>Alba's Aliyah</v>
      </c>
      <c r="B12" s="383">
        <f>'Mobilization &amp; Over Head Cost'!AA20</f>
        <v>1246.4264347826088</v>
      </c>
      <c r="C12" s="383">
        <f>'Manpower Cost'!Z22</f>
        <v>45502.053480000002</v>
      </c>
      <c r="D12" s="383">
        <f>'Equipment &amp; Tools Cost'!AA58</f>
        <v>15799.872368347827</v>
      </c>
      <c r="E12" s="383">
        <f>'Consumables Cost '!AA39</f>
        <v>2184.7644</v>
      </c>
      <c r="F12" s="99">
        <v>0</v>
      </c>
      <c r="G12" s="383">
        <f>'Transportation Cost'!AA20</f>
        <v>13352.845773913046</v>
      </c>
      <c r="H12" s="383"/>
      <c r="I12" s="383">
        <f>'Others Cost '!AA18</f>
        <v>1356.9965217391307</v>
      </c>
      <c r="J12" s="99">
        <f t="shared" si="0"/>
        <v>79442.958978782626</v>
      </c>
      <c r="L12" s="84">
        <v>100410.823859375</v>
      </c>
      <c r="M12" s="488">
        <f t="shared" si="1"/>
        <v>-20967.864880592373</v>
      </c>
      <c r="N12" s="489">
        <f t="shared" si="2"/>
        <v>-0.26393610145100971</v>
      </c>
    </row>
    <row r="13" spans="1:14" x14ac:dyDescent="0.35">
      <c r="A13" s="222" t="str">
        <f>'BOQ A'!D11</f>
        <v>Alba's Spendia</v>
      </c>
      <c r="B13" s="383">
        <f>'Mobilization &amp; Over Head Cost'!AC20</f>
        <v>1246.4264347826088</v>
      </c>
      <c r="C13" s="383">
        <f>'Manpower Cost'!AB22</f>
        <v>45502.053480000002</v>
      </c>
      <c r="D13" s="383">
        <f>'Equipment &amp; Tools Cost'!AC58</f>
        <v>14863.544768347827</v>
      </c>
      <c r="E13" s="383">
        <f>'Consumables Cost '!AC39</f>
        <v>2652.9282000000003</v>
      </c>
      <c r="F13" s="99">
        <v>0</v>
      </c>
      <c r="G13" s="383">
        <f>'Transportation Cost'!AC20</f>
        <v>13352.845773913046</v>
      </c>
      <c r="H13" s="383"/>
      <c r="I13" s="383">
        <f>'Others Cost '!AC18</f>
        <v>1356.9965217391307</v>
      </c>
      <c r="J13" s="99">
        <f t="shared" si="0"/>
        <v>78974.795178782617</v>
      </c>
      <c r="L13" s="84">
        <v>99151.034796874999</v>
      </c>
      <c r="M13" s="488">
        <f t="shared" si="1"/>
        <v>-20176.239618092382</v>
      </c>
      <c r="N13" s="489">
        <f t="shared" si="2"/>
        <v>-0.25547694770739887</v>
      </c>
    </row>
    <row r="14" spans="1:14" x14ac:dyDescent="0.35">
      <c r="A14" s="222" t="str">
        <f>'BOQ A'!D12</f>
        <v>Commercial Area "UTC-Golf club house</v>
      </c>
      <c r="B14" s="383">
        <f>'Mobilization &amp; Over Head Cost'!AE20</f>
        <v>3116.0660869565218</v>
      </c>
      <c r="C14" s="383">
        <f>'Manpower Cost'!AD22</f>
        <v>123933.014712</v>
      </c>
      <c r="D14" s="383">
        <f>'Equipment &amp; Tools Cost'!AE58</f>
        <v>44140.051148869563</v>
      </c>
      <c r="E14" s="383">
        <f>'Consumables Cost '!AE39</f>
        <v>15886.35828</v>
      </c>
      <c r="F14" s="99">
        <v>0</v>
      </c>
      <c r="G14" s="383">
        <f>'Transportation Cost'!AE20</f>
        <v>33382.114434782612</v>
      </c>
      <c r="H14" s="383"/>
      <c r="I14" s="383">
        <f>'Others Cost '!AE18</f>
        <v>3392.4913043478259</v>
      </c>
      <c r="J14" s="99">
        <f t="shared" si="0"/>
        <v>223850.09596695649</v>
      </c>
      <c r="L14" s="84">
        <v>276777.3813802083</v>
      </c>
      <c r="M14" s="488">
        <f t="shared" si="1"/>
        <v>-52927.285413251811</v>
      </c>
      <c r="N14" s="489">
        <f t="shared" si="2"/>
        <v>-0.23644075373130349</v>
      </c>
    </row>
    <row r="15" spans="1:14" x14ac:dyDescent="0.35">
      <c r="A15" s="222" t="str">
        <f>'BOQ A'!D13</f>
        <v>Public Roads</v>
      </c>
      <c r="B15" s="383">
        <f>'Mobilization &amp; Over Head Cost'!AG20</f>
        <v>311.6066086956522</v>
      </c>
      <c r="C15" s="383">
        <f>'Manpower Cost'!AF22</f>
        <v>11375.513370000001</v>
      </c>
      <c r="D15" s="383">
        <f>'Equipment &amp; Tools Cost'!AG58</f>
        <v>5321.6880260869557</v>
      </c>
      <c r="E15" s="383">
        <f>'Consumables Cost '!AG39</f>
        <v>1086.1400160000001</v>
      </c>
      <c r="F15" s="99">
        <v>0</v>
      </c>
      <c r="G15" s="383">
        <f>'Transportation Cost'!AG20</f>
        <v>3338.2114434782616</v>
      </c>
      <c r="H15" s="383"/>
      <c r="I15" s="383">
        <f>'Others Cost '!AG18</f>
        <v>339.24913043478267</v>
      </c>
      <c r="J15" s="99">
        <f t="shared" si="0"/>
        <v>21772.408594695651</v>
      </c>
      <c r="L15" s="84">
        <v>27043.411015624999</v>
      </c>
      <c r="M15" s="488">
        <f t="shared" si="1"/>
        <v>-5271.0024209293479</v>
      </c>
      <c r="N15" s="489">
        <f t="shared" si="2"/>
        <v>-0.2420955126762368</v>
      </c>
    </row>
    <row r="16" spans="1:14" x14ac:dyDescent="0.35">
      <c r="A16" s="222" t="str">
        <f>'BOQ A'!D14</f>
        <v>Crossing gates</v>
      </c>
      <c r="B16" s="383">
        <f>'Mobilization &amp; Over Head Cost'!AI20</f>
        <v>1869.639652173913</v>
      </c>
      <c r="C16" s="383">
        <f>'Manpower Cost'!AH22</f>
        <v>68253.080220000003</v>
      </c>
      <c r="D16" s="383">
        <f>'Equipment &amp; Tools Cost'!AI58</f>
        <v>19585.168932521738</v>
      </c>
      <c r="E16" s="383">
        <f>'Consumables Cost '!AI39</f>
        <v>2777.7718799999998</v>
      </c>
      <c r="F16" s="99">
        <v>0</v>
      </c>
      <c r="G16" s="383">
        <f>'Transportation Cost'!AI20</f>
        <v>20029.268660869566</v>
      </c>
      <c r="H16" s="383"/>
      <c r="I16" s="383">
        <f>'Others Cost '!AI18</f>
        <v>2035.4947826086959</v>
      </c>
      <c r="J16" s="99">
        <f t="shared" si="0"/>
        <v>114550.42412817392</v>
      </c>
      <c r="L16" s="84">
        <v>142784.12718749998</v>
      </c>
      <c r="M16" s="488">
        <f t="shared" si="1"/>
        <v>-28233.703059326057</v>
      </c>
      <c r="N16" s="489">
        <f t="shared" si="2"/>
        <v>-0.24647401591228082</v>
      </c>
    </row>
    <row r="17" spans="1:14" x14ac:dyDescent="0.35">
      <c r="A17" s="222" t="str">
        <f>'BOQ A'!D15</f>
        <v>Mobilization areas " water station "</v>
      </c>
      <c r="B17" s="383">
        <f>'Mobilization &amp; Over Head Cost'!AK20</f>
        <v>311.6066086956522</v>
      </c>
      <c r="C17" s="383">
        <f>'Manpower Cost'!AJ22</f>
        <v>11375.513370000001</v>
      </c>
      <c r="D17" s="383">
        <f>'Equipment &amp; Tools Cost'!AK58</f>
        <v>3801.0226460869562</v>
      </c>
      <c r="E17" s="383">
        <f>'Consumables Cost '!AK39</f>
        <v>424.46851200000003</v>
      </c>
      <c r="F17" s="99">
        <v>0</v>
      </c>
      <c r="G17" s="383">
        <f>'Transportation Cost'!AK20</f>
        <v>3338.2114434782616</v>
      </c>
      <c r="H17" s="383"/>
      <c r="I17" s="383">
        <f>'Others Cost '!AK18</f>
        <v>339.24913043478267</v>
      </c>
      <c r="J17" s="99">
        <f t="shared" si="0"/>
        <v>19590.071710695654</v>
      </c>
      <c r="L17" s="84">
        <v>24358.38059375</v>
      </c>
      <c r="M17" s="488">
        <f t="shared" si="1"/>
        <v>-4768.3088830543456</v>
      </c>
      <c r="N17" s="489">
        <f t="shared" si="2"/>
        <v>-0.24340436081461492</v>
      </c>
    </row>
    <row r="18" spans="1:14" x14ac:dyDescent="0.35">
      <c r="A18" s="222" t="str">
        <f>'BOQ A'!D16</f>
        <v>Managament"sales center"</v>
      </c>
      <c r="B18" s="383">
        <f>'Mobilization &amp; Over Head Cost'!AM20</f>
        <v>9348.1982608695653</v>
      </c>
      <c r="C18" s="383">
        <f>'Manpower Cost'!AL22</f>
        <v>327252.73838400003</v>
      </c>
      <c r="D18" s="383">
        <f>'Equipment &amp; Tools Cost'!AM58</f>
        <v>117399.37801460869</v>
      </c>
      <c r="E18" s="383">
        <f>'Consumables Cost '!AM39</f>
        <v>18133.544519999999</v>
      </c>
      <c r="F18" s="99">
        <v>0</v>
      </c>
      <c r="G18" s="383">
        <f>'Transportation Cost'!AM20</f>
        <v>100146.34330434783</v>
      </c>
      <c r="H18" s="383"/>
      <c r="I18" s="383">
        <f>'Others Cost '!AM18</f>
        <v>10177.473913043479</v>
      </c>
      <c r="J18" s="99">
        <f>SUM(B18:I18)</f>
        <v>582457.67639686959</v>
      </c>
      <c r="L18" s="84">
        <v>811438.66764062503</v>
      </c>
      <c r="M18" s="488">
        <f t="shared" si="1"/>
        <v>-228980.99124375544</v>
      </c>
      <c r="N18" s="489">
        <f t="shared" si="2"/>
        <v>-0.39312897833238358</v>
      </c>
    </row>
    <row r="19" spans="1:14" s="395" customFormat="1" ht="15.5" x14ac:dyDescent="0.35">
      <c r="A19" s="396" t="s">
        <v>240</v>
      </c>
      <c r="B19" s="397">
        <f>SUM(B5:B18)</f>
        <v>43001.712</v>
      </c>
      <c r="C19" s="397">
        <f t="shared" ref="C19:I19" si="3">SUM(C5:C18)</f>
        <v>1562593.4363520003</v>
      </c>
      <c r="D19" s="397">
        <f t="shared" si="3"/>
        <v>559487.29870799999</v>
      </c>
      <c r="E19" s="397">
        <f t="shared" si="3"/>
        <v>89119.660968000011</v>
      </c>
      <c r="F19" s="397">
        <f t="shared" si="3"/>
        <v>0</v>
      </c>
      <c r="G19" s="397">
        <f t="shared" si="3"/>
        <v>460673.1791999999</v>
      </c>
      <c r="H19" s="397">
        <f t="shared" si="3"/>
        <v>168226.85879999999</v>
      </c>
      <c r="I19" s="397">
        <f t="shared" si="3"/>
        <v>46816.380000000005</v>
      </c>
      <c r="J19" s="397">
        <f>SUM(J5:J18)</f>
        <v>2929918.5260279998</v>
      </c>
      <c r="L19" s="493">
        <f>SUM(L5:L18)</f>
        <v>4261816.8467343748</v>
      </c>
      <c r="M19" s="488">
        <f t="shared" ref="M19" si="4">J19-L19</f>
        <v>-1331898.3207063749</v>
      </c>
      <c r="N19" s="489">
        <f t="shared" ref="N19" si="5">M19/J19</f>
        <v>-0.45458544627586911</v>
      </c>
    </row>
    <row r="20" spans="1:14" ht="22.25" customHeight="1" x14ac:dyDescent="0.35">
      <c r="J20" s="223">
        <f>SUM(B19:I19)</f>
        <v>2929918.5260280003</v>
      </c>
    </row>
    <row r="21" spans="1:14" ht="21" x14ac:dyDescent="0.35">
      <c r="J21" s="224">
        <f>J19-J20</f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7A4-73CA-4F3A-B053-5D5FCC207265}">
  <dimension ref="B1:AU30"/>
  <sheetViews>
    <sheetView topLeftCell="A6" zoomScaleNormal="100" workbookViewId="0">
      <selection activeCell="G21" sqref="G21"/>
    </sheetView>
  </sheetViews>
  <sheetFormatPr defaultColWidth="8.90625" defaultRowHeight="14.5" x14ac:dyDescent="0.35"/>
  <cols>
    <col min="1" max="1" width="8.90625" style="64"/>
    <col min="2" max="2" width="69.36328125" style="64" bestFit="1" customWidth="1"/>
    <col min="3" max="4" width="9.90625" style="64" customWidth="1"/>
    <col min="5" max="6" width="18.6328125" style="64" customWidth="1"/>
    <col min="7" max="7" width="24.08984375" style="64" customWidth="1"/>
    <col min="8" max="8" width="8.90625" style="64"/>
    <col min="9" max="9" width="18.1796875" style="64" bestFit="1" customWidth="1"/>
    <col min="10" max="10" width="10.1796875" style="64" bestFit="1" customWidth="1"/>
    <col min="11" max="12" width="8.90625" style="64"/>
    <col min="13" max="13" width="14.81640625" style="64" customWidth="1"/>
    <col min="14" max="14" width="8.90625" style="64"/>
    <col min="15" max="15" width="14.81640625" style="64" customWidth="1"/>
    <col min="16" max="16" width="8.90625" style="64"/>
    <col min="17" max="17" width="14.81640625" style="64" customWidth="1"/>
    <col min="18" max="18" width="8.90625" style="64"/>
    <col min="19" max="19" width="14.81640625" style="64" customWidth="1"/>
    <col min="20" max="20" width="8.90625" style="64"/>
    <col min="21" max="21" width="14.81640625" style="64" customWidth="1"/>
    <col min="22" max="22" width="8.90625" style="64"/>
    <col min="23" max="23" width="14.81640625" style="64" customWidth="1"/>
    <col min="24" max="24" width="8.90625" style="64"/>
    <col min="25" max="25" width="14.81640625" style="64" customWidth="1"/>
    <col min="26" max="26" width="8.90625" style="64"/>
    <col min="27" max="27" width="14.81640625" style="64" customWidth="1"/>
    <col min="28" max="28" width="8.90625" style="64"/>
    <col min="29" max="29" width="14.81640625" style="64" customWidth="1"/>
    <col min="30" max="30" width="8.90625" style="64"/>
    <col min="31" max="31" width="14.81640625" style="64" customWidth="1"/>
    <col min="32" max="32" width="8.90625" style="64"/>
    <col min="33" max="33" width="14.81640625" style="64" customWidth="1"/>
    <col min="34" max="34" width="8.90625" style="64"/>
    <col min="35" max="35" width="14.81640625" style="64" customWidth="1"/>
    <col min="36" max="36" width="8.90625" style="64"/>
    <col min="37" max="37" width="14.81640625" style="64" customWidth="1"/>
    <col min="38" max="38" width="8.90625" style="64"/>
    <col min="39" max="39" width="14.81640625" style="64" customWidth="1"/>
    <col min="40" max="41" width="11.08984375" style="64" bestFit="1" customWidth="1"/>
    <col min="42" max="42" width="11.453125" style="64" bestFit="1" customWidth="1"/>
    <col min="43" max="43" width="10.08984375" style="64" bestFit="1" customWidth="1"/>
    <col min="44" max="44" width="11.453125" style="64" bestFit="1" customWidth="1"/>
    <col min="45" max="45" width="10.453125" style="64" bestFit="1" customWidth="1"/>
    <col min="46" max="46" width="11.453125" style="64" bestFit="1" customWidth="1"/>
    <col min="47" max="47" width="11.08984375" style="64" bestFit="1" customWidth="1"/>
    <col min="48" max="16384" width="8.90625" style="64"/>
  </cols>
  <sheetData>
    <row r="1" spans="2:47" x14ac:dyDescent="0.35">
      <c r="I1" s="64" t="s">
        <v>468</v>
      </c>
    </row>
    <row r="2" spans="2:47" x14ac:dyDescent="0.35">
      <c r="I2" s="57">
        <v>38250</v>
      </c>
    </row>
    <row r="3" spans="2:47" x14ac:dyDescent="0.35">
      <c r="B3" s="314"/>
      <c r="C3" s="74"/>
      <c r="D3" s="74"/>
      <c r="E3" s="37"/>
      <c r="F3" s="37"/>
      <c r="G3" s="37"/>
      <c r="I3" s="57">
        <v>25000</v>
      </c>
      <c r="L3" s="64">
        <v>27.213947990543737</v>
      </c>
      <c r="M3" s="64">
        <v>0</v>
      </c>
      <c r="N3" s="64">
        <v>13.708037825059103</v>
      </c>
      <c r="O3" s="64">
        <v>0</v>
      </c>
      <c r="P3" s="64">
        <v>14.359338061465721</v>
      </c>
      <c r="Q3" s="64">
        <v>0</v>
      </c>
      <c r="R3" s="64">
        <v>26.607565011820334</v>
      </c>
      <c r="S3" s="64">
        <v>0</v>
      </c>
      <c r="T3" s="64">
        <v>6.2777777777777786</v>
      </c>
      <c r="U3" s="64">
        <v>0</v>
      </c>
      <c r="V3" s="64">
        <v>4.7936507936507935</v>
      </c>
      <c r="W3" s="64">
        <v>0</v>
      </c>
      <c r="X3" s="64">
        <v>3.5952380952380949</v>
      </c>
      <c r="Y3" s="64">
        <v>0</v>
      </c>
      <c r="Z3" s="64">
        <v>4.7222222222222223</v>
      </c>
      <c r="AA3" s="64">
        <v>0</v>
      </c>
      <c r="AB3" s="64">
        <v>4.7222222222222223</v>
      </c>
      <c r="AC3" s="64">
        <v>0</v>
      </c>
      <c r="AD3" s="64">
        <v>12.555555555555557</v>
      </c>
      <c r="AE3" s="64">
        <v>0</v>
      </c>
      <c r="AF3" s="64">
        <v>1.1805555555555556</v>
      </c>
      <c r="AG3" s="64">
        <v>0</v>
      </c>
      <c r="AH3" s="64">
        <v>7.083333333333333</v>
      </c>
      <c r="AI3" s="64">
        <v>0</v>
      </c>
      <c r="AJ3" s="64">
        <v>1.1805555555555556</v>
      </c>
      <c r="AK3" s="64">
        <v>0</v>
      </c>
      <c r="AL3" s="64">
        <v>34</v>
      </c>
      <c r="AM3" s="64">
        <v>0</v>
      </c>
    </row>
    <row r="4" spans="2:47" ht="69" customHeight="1" x14ac:dyDescent="0.35">
      <c r="B4" s="297" t="s">
        <v>226</v>
      </c>
      <c r="C4" s="298" t="s">
        <v>409</v>
      </c>
      <c r="D4" s="298" t="s">
        <v>441</v>
      </c>
      <c r="E4" s="40" t="s">
        <v>68</v>
      </c>
      <c r="F4" s="41" t="s">
        <v>421</v>
      </c>
      <c r="G4" s="42" t="s">
        <v>230</v>
      </c>
      <c r="I4" s="304">
        <f>M14+O14+Q14+S14</f>
        <v>134750</v>
      </c>
      <c r="L4" s="592" t="s">
        <v>145</v>
      </c>
      <c r="M4" s="593"/>
      <c r="N4" s="588" t="s">
        <v>146</v>
      </c>
      <c r="O4" s="589"/>
      <c r="P4" s="588" t="s">
        <v>147</v>
      </c>
      <c r="Q4" s="589"/>
      <c r="R4" s="588" t="s">
        <v>148</v>
      </c>
      <c r="S4" s="589"/>
      <c r="T4" s="588" t="s">
        <v>149</v>
      </c>
      <c r="U4" s="589"/>
      <c r="V4" s="588" t="s">
        <v>150</v>
      </c>
      <c r="W4" s="589"/>
      <c r="X4" s="588" t="s">
        <v>151</v>
      </c>
      <c r="Y4" s="589"/>
      <c r="Z4" s="588" t="s">
        <v>152</v>
      </c>
      <c r="AA4" s="589"/>
      <c r="AB4" s="588" t="s">
        <v>153</v>
      </c>
      <c r="AC4" s="589"/>
      <c r="AD4" s="588" t="s">
        <v>154</v>
      </c>
      <c r="AE4" s="589"/>
      <c r="AF4" s="588" t="s">
        <v>155</v>
      </c>
      <c r="AG4" s="589"/>
      <c r="AH4" s="588" t="s">
        <v>156</v>
      </c>
      <c r="AI4" s="589"/>
      <c r="AJ4" s="588" t="s">
        <v>157</v>
      </c>
      <c r="AK4" s="589"/>
      <c r="AL4" s="590" t="s">
        <v>339</v>
      </c>
      <c r="AM4" s="591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2:47" ht="29" x14ac:dyDescent="0.35">
      <c r="B5" s="299"/>
      <c r="C5" s="300"/>
      <c r="D5" s="300"/>
      <c r="E5" s="45"/>
      <c r="F5" s="46"/>
      <c r="G5" s="47"/>
      <c r="L5" s="346" t="s">
        <v>456</v>
      </c>
      <c r="M5" s="64" t="s">
        <v>15</v>
      </c>
      <c r="N5" s="346" t="s">
        <v>456</v>
      </c>
      <c r="O5" s="64" t="s">
        <v>15</v>
      </c>
      <c r="P5" s="346" t="s">
        <v>456</v>
      </c>
      <c r="Q5" s="64" t="s">
        <v>15</v>
      </c>
      <c r="R5" s="346" t="s">
        <v>456</v>
      </c>
      <c r="S5" s="64" t="s">
        <v>15</v>
      </c>
      <c r="T5" s="346" t="s">
        <v>456</v>
      </c>
      <c r="V5" s="346" t="s">
        <v>456</v>
      </c>
      <c r="W5" s="64" t="s">
        <v>15</v>
      </c>
      <c r="X5" s="346" t="s">
        <v>456</v>
      </c>
      <c r="Y5" s="64" t="s">
        <v>15</v>
      </c>
      <c r="Z5" s="346" t="s">
        <v>456</v>
      </c>
      <c r="AA5" s="64" t="s">
        <v>15</v>
      </c>
      <c r="AB5" s="346" t="s">
        <v>456</v>
      </c>
      <c r="AC5" s="64" t="s">
        <v>15</v>
      </c>
      <c r="AD5" s="346" t="s">
        <v>456</v>
      </c>
      <c r="AE5" s="64" t="s">
        <v>15</v>
      </c>
      <c r="AF5" s="346" t="s">
        <v>456</v>
      </c>
      <c r="AG5" s="64" t="s">
        <v>15</v>
      </c>
      <c r="AH5" s="346" t="s">
        <v>456</v>
      </c>
      <c r="AI5" s="64" t="s">
        <v>15</v>
      </c>
      <c r="AJ5" s="346" t="s">
        <v>456</v>
      </c>
      <c r="AK5" s="64" t="s">
        <v>15</v>
      </c>
      <c r="AL5" s="346" t="s">
        <v>456</v>
      </c>
      <c r="AM5" s="64" t="s">
        <v>15</v>
      </c>
    </row>
    <row r="6" spans="2:47" x14ac:dyDescent="0.35">
      <c r="B6" s="222" t="s">
        <v>484</v>
      </c>
      <c r="C6" s="301">
        <f>L6</f>
        <v>4.5</v>
      </c>
      <c r="D6" s="302">
        <v>1</v>
      </c>
      <c r="E6" s="99">
        <v>8500</v>
      </c>
      <c r="F6" s="49"/>
      <c r="G6" s="332">
        <f>C6*D6*E6</f>
        <v>38250</v>
      </c>
      <c r="I6" s="303">
        <f t="shared" ref="I6:I13" si="0">C6-(L6+N6+P6+R6+T6+V6+X6+Z6+AB6+AD6+AF6+AH6+AJ6+AL6)</f>
        <v>0</v>
      </c>
      <c r="J6" s="303">
        <f>G6-(M6+O6+Q6+S6+U6+W6+Y6+AA6+AC6+AE6+AG6+AI6+AK6+AM6)</f>
        <v>0</v>
      </c>
      <c r="L6" s="304">
        <f>18*3/12</f>
        <v>4.5</v>
      </c>
      <c r="M6" s="209">
        <f>((L6*E6)*D6)</f>
        <v>38250</v>
      </c>
      <c r="N6" s="304"/>
      <c r="O6" s="209"/>
      <c r="P6" s="304"/>
      <c r="Q6" s="209"/>
      <c r="R6" s="304"/>
      <c r="S6" s="209"/>
      <c r="T6" s="304"/>
      <c r="U6" s="209"/>
      <c r="V6" s="304"/>
      <c r="W6" s="209"/>
      <c r="X6" s="304"/>
      <c r="Y6" s="209"/>
      <c r="Z6" s="304"/>
      <c r="AA6" s="209"/>
      <c r="AB6" s="304"/>
      <c r="AC6" s="209"/>
      <c r="AD6" s="304"/>
      <c r="AE6" s="209"/>
      <c r="AF6" s="304"/>
      <c r="AG6" s="209"/>
      <c r="AH6" s="304"/>
      <c r="AI6" s="209"/>
      <c r="AJ6" s="304"/>
      <c r="AK6" s="209"/>
      <c r="AL6" s="304"/>
      <c r="AM6" s="209"/>
      <c r="AN6" s="209">
        <f>M6+O6+Q6+S6+U6+W6+Y6+AA6+AC6+AE6+AG6+AI6+AK6+AM6</f>
        <v>38250</v>
      </c>
      <c r="AO6" s="209">
        <f>AN6*$F$15</f>
        <v>3060</v>
      </c>
      <c r="AP6" s="209">
        <f>AN6+AO6</f>
        <v>41310</v>
      </c>
      <c r="AQ6" s="209">
        <f>AP6*$F$17</f>
        <v>578.34</v>
      </c>
      <c r="AR6" s="209">
        <f>AP6+AQ6</f>
        <v>41888.339999999997</v>
      </c>
      <c r="AS6" s="209">
        <f>AR6*$F$19</f>
        <v>5864.3676000000005</v>
      </c>
      <c r="AT6" s="209">
        <f>AR6+AS6</f>
        <v>47752.707599999994</v>
      </c>
      <c r="AU6" s="57">
        <f>AT6/C6</f>
        <v>10611.712799999999</v>
      </c>
    </row>
    <row r="7" spans="2:47" x14ac:dyDescent="0.35">
      <c r="B7" s="222" t="s">
        <v>478</v>
      </c>
      <c r="C7" s="301">
        <f>L7</f>
        <v>2</v>
      </c>
      <c r="D7" s="302">
        <v>1</v>
      </c>
      <c r="E7" s="99">
        <f>25000*0.5</f>
        <v>12500</v>
      </c>
      <c r="F7" s="49"/>
      <c r="G7" s="332">
        <f t="shared" ref="G7:G13" si="1">C7*D7*E7</f>
        <v>25000</v>
      </c>
      <c r="I7" s="303">
        <f t="shared" si="0"/>
        <v>0</v>
      </c>
      <c r="J7" s="303">
        <f>G7-(M7+O7+Q7+S7+U7+W7+Y7+AA7+AC7+AE7+AG7+AI7+AK7+AM7)</f>
        <v>0</v>
      </c>
      <c r="L7" s="304">
        <f>8*3/12</f>
        <v>2</v>
      </c>
      <c r="M7" s="209">
        <f>((L7*E7)*D7)</f>
        <v>25000</v>
      </c>
      <c r="N7" s="304"/>
      <c r="O7" s="209"/>
      <c r="P7" s="304"/>
      <c r="Q7" s="209"/>
      <c r="R7" s="304"/>
      <c r="S7" s="209"/>
      <c r="T7" s="304"/>
      <c r="U7" s="209"/>
      <c r="V7" s="304"/>
      <c r="W7" s="209"/>
      <c r="X7" s="304"/>
      <c r="Y7" s="209"/>
      <c r="Z7" s="304"/>
      <c r="AA7" s="209"/>
      <c r="AB7" s="304"/>
      <c r="AC7" s="209"/>
      <c r="AD7" s="304"/>
      <c r="AE7" s="209"/>
      <c r="AF7" s="304"/>
      <c r="AG7" s="209"/>
      <c r="AH7" s="304"/>
      <c r="AI7" s="209"/>
      <c r="AJ7" s="304"/>
      <c r="AK7" s="209"/>
      <c r="AL7" s="304"/>
      <c r="AM7" s="209"/>
      <c r="AN7" s="209">
        <f t="shared" ref="AN7:AN13" si="2">M7+O7+Q7+S7+U7+W7+Y7+AA7+AC7+AE7+AG7+AI7+AK7+AM7</f>
        <v>25000</v>
      </c>
      <c r="AO7" s="209">
        <f t="shared" ref="AO7:AO13" si="3">AN7*$F$15</f>
        <v>2000</v>
      </c>
      <c r="AP7" s="209">
        <f t="shared" ref="AP7:AP13" si="4">AN7+AO7</f>
        <v>27000</v>
      </c>
      <c r="AQ7" s="209">
        <f t="shared" ref="AQ7:AQ13" si="5">AP7*$F$17</f>
        <v>378</v>
      </c>
      <c r="AR7" s="209">
        <f t="shared" ref="AR7:AR13" si="6">AP7+AQ7</f>
        <v>27378</v>
      </c>
      <c r="AS7" s="209">
        <f t="shared" ref="AS7:AS13" si="7">AR7*$F$19</f>
        <v>3832.9200000000005</v>
      </c>
      <c r="AT7" s="209">
        <f t="shared" ref="AT7:AT13" si="8">AR7+AS7</f>
        <v>31210.920000000002</v>
      </c>
      <c r="AU7" s="57">
        <f t="shared" ref="AU7:AU13" si="9">AT7/C7</f>
        <v>15605.460000000001</v>
      </c>
    </row>
    <row r="8" spans="2:47" x14ac:dyDescent="0.35">
      <c r="B8" s="222" t="s">
        <v>479</v>
      </c>
      <c r="C8" s="301">
        <f>N8</f>
        <v>2.25</v>
      </c>
      <c r="D8" s="302">
        <v>1</v>
      </c>
      <c r="E8" s="99">
        <f>13000*0.5</f>
        <v>6500</v>
      </c>
      <c r="F8" s="49"/>
      <c r="G8" s="332">
        <f t="shared" si="1"/>
        <v>14625</v>
      </c>
      <c r="I8" s="303">
        <f t="shared" si="0"/>
        <v>0</v>
      </c>
      <c r="J8" s="303">
        <f t="shared" ref="J8:J13" si="10">G8-(M8+O8+Q8+S8+U8+W8+Y8+AA8+AC8+AE8+AG8+AI8+AK8+AM8)</f>
        <v>0</v>
      </c>
      <c r="L8" s="304"/>
      <c r="M8" s="209"/>
      <c r="N8" s="304">
        <f>9*3/12</f>
        <v>2.25</v>
      </c>
      <c r="O8" s="209">
        <f>((N8*E8)*D8)</f>
        <v>14625</v>
      </c>
      <c r="P8" s="304"/>
      <c r="Q8" s="209"/>
      <c r="R8" s="304"/>
      <c r="S8" s="209"/>
      <c r="T8" s="304"/>
      <c r="U8" s="209"/>
      <c r="V8" s="304"/>
      <c r="W8" s="209"/>
      <c r="X8" s="304"/>
      <c r="Y8" s="209"/>
      <c r="Z8" s="304"/>
      <c r="AA8" s="209"/>
      <c r="AB8" s="304"/>
      <c r="AC8" s="209"/>
      <c r="AD8" s="304"/>
      <c r="AE8" s="209"/>
      <c r="AF8" s="304"/>
      <c r="AG8" s="209"/>
      <c r="AH8" s="304"/>
      <c r="AI8" s="209"/>
      <c r="AJ8" s="304"/>
      <c r="AK8" s="209"/>
      <c r="AL8" s="304"/>
      <c r="AM8" s="209"/>
      <c r="AN8" s="209">
        <f t="shared" si="2"/>
        <v>14625</v>
      </c>
      <c r="AO8" s="209">
        <f t="shared" si="3"/>
        <v>1170</v>
      </c>
      <c r="AP8" s="209">
        <f t="shared" si="4"/>
        <v>15795</v>
      </c>
      <c r="AQ8" s="209">
        <f t="shared" si="5"/>
        <v>221.13</v>
      </c>
      <c r="AR8" s="209">
        <f t="shared" si="6"/>
        <v>16016.13</v>
      </c>
      <c r="AS8" s="209">
        <f t="shared" si="7"/>
        <v>2242.2582000000002</v>
      </c>
      <c r="AT8" s="209">
        <f t="shared" si="8"/>
        <v>18258.388200000001</v>
      </c>
      <c r="AU8" s="57">
        <f t="shared" si="9"/>
        <v>8114.8392000000003</v>
      </c>
    </row>
    <row r="9" spans="2:47" s="307" customFormat="1" x14ac:dyDescent="0.35">
      <c r="B9" s="222" t="s">
        <v>480</v>
      </c>
      <c r="C9" s="305">
        <f>P9</f>
        <v>1.75</v>
      </c>
      <c r="D9" s="302">
        <v>1</v>
      </c>
      <c r="E9" s="279">
        <f>13000*0.5</f>
        <v>6500</v>
      </c>
      <c r="F9" s="49"/>
      <c r="G9" s="332">
        <f t="shared" si="1"/>
        <v>11375</v>
      </c>
      <c r="I9" s="308">
        <f t="shared" si="0"/>
        <v>0</v>
      </c>
      <c r="J9" s="308">
        <f t="shared" si="10"/>
        <v>0</v>
      </c>
      <c r="L9" s="309"/>
      <c r="M9" s="209"/>
      <c r="N9" s="309"/>
      <c r="O9" s="310"/>
      <c r="P9" s="309">
        <f>7*3/12</f>
        <v>1.75</v>
      </c>
      <c r="Q9" s="310">
        <f>((P9*E9)*D9)</f>
        <v>11375</v>
      </c>
      <c r="R9" s="309"/>
      <c r="S9" s="310"/>
      <c r="T9" s="309"/>
      <c r="U9" s="310"/>
      <c r="V9" s="309"/>
      <c r="W9" s="310"/>
      <c r="X9" s="309"/>
      <c r="Y9" s="310"/>
      <c r="Z9" s="309"/>
      <c r="AA9" s="310"/>
      <c r="AB9" s="309"/>
      <c r="AC9" s="310"/>
      <c r="AD9" s="309"/>
      <c r="AE9" s="310"/>
      <c r="AF9" s="309"/>
      <c r="AG9" s="310"/>
      <c r="AH9" s="309"/>
      <c r="AI9" s="310"/>
      <c r="AJ9" s="309"/>
      <c r="AK9" s="310"/>
      <c r="AL9" s="309"/>
      <c r="AM9" s="310"/>
      <c r="AN9" s="209">
        <f t="shared" si="2"/>
        <v>11375</v>
      </c>
      <c r="AO9" s="209">
        <f t="shared" si="3"/>
        <v>910</v>
      </c>
      <c r="AP9" s="209">
        <f t="shared" si="4"/>
        <v>12285</v>
      </c>
      <c r="AQ9" s="209">
        <f t="shared" si="5"/>
        <v>171.99</v>
      </c>
      <c r="AR9" s="209">
        <f t="shared" si="6"/>
        <v>12456.99</v>
      </c>
      <c r="AS9" s="209">
        <f t="shared" si="7"/>
        <v>1743.9786000000001</v>
      </c>
      <c r="AT9" s="209">
        <f t="shared" si="8"/>
        <v>14200.9686</v>
      </c>
      <c r="AU9" s="57">
        <f t="shared" si="9"/>
        <v>8114.8392000000003</v>
      </c>
    </row>
    <row r="10" spans="2:47" s="307" customFormat="1" x14ac:dyDescent="0.35">
      <c r="B10" s="222" t="s">
        <v>483</v>
      </c>
      <c r="C10" s="305">
        <f>R10</f>
        <v>3.5</v>
      </c>
      <c r="D10" s="302">
        <v>1</v>
      </c>
      <c r="E10" s="279">
        <v>13000</v>
      </c>
      <c r="F10" s="49"/>
      <c r="G10" s="332">
        <f t="shared" si="1"/>
        <v>45500</v>
      </c>
      <c r="I10" s="308">
        <f t="shared" si="0"/>
        <v>0</v>
      </c>
      <c r="J10" s="308">
        <f t="shared" si="10"/>
        <v>0</v>
      </c>
      <c r="L10" s="309"/>
      <c r="M10" s="209"/>
      <c r="N10" s="309"/>
      <c r="O10" s="310"/>
      <c r="P10" s="309"/>
      <c r="Q10" s="310"/>
      <c r="R10" s="309">
        <f>14*3/12</f>
        <v>3.5</v>
      </c>
      <c r="S10" s="310">
        <f>((R10*E10)*D10)</f>
        <v>45500</v>
      </c>
      <c r="T10" s="309"/>
      <c r="U10" s="310"/>
      <c r="V10" s="309"/>
      <c r="W10" s="310"/>
      <c r="X10" s="309"/>
      <c r="Y10" s="310"/>
      <c r="Z10" s="309"/>
      <c r="AA10" s="310"/>
      <c r="AB10" s="309"/>
      <c r="AC10" s="310"/>
      <c r="AD10" s="309"/>
      <c r="AE10" s="310"/>
      <c r="AF10" s="309"/>
      <c r="AG10" s="310"/>
      <c r="AH10" s="309"/>
      <c r="AI10" s="310"/>
      <c r="AJ10" s="309"/>
      <c r="AK10" s="310"/>
      <c r="AL10" s="309"/>
      <c r="AM10" s="310"/>
      <c r="AN10" s="209">
        <f t="shared" si="2"/>
        <v>45500</v>
      </c>
      <c r="AO10" s="209">
        <f t="shared" si="3"/>
        <v>3640</v>
      </c>
      <c r="AP10" s="209">
        <f t="shared" si="4"/>
        <v>49140</v>
      </c>
      <c r="AQ10" s="209">
        <f t="shared" si="5"/>
        <v>687.96</v>
      </c>
      <c r="AR10" s="209">
        <f t="shared" si="6"/>
        <v>49827.96</v>
      </c>
      <c r="AS10" s="209">
        <f t="shared" si="7"/>
        <v>6975.9144000000006</v>
      </c>
      <c r="AT10" s="209">
        <f t="shared" si="8"/>
        <v>56803.874400000001</v>
      </c>
      <c r="AU10" s="57">
        <f t="shared" si="9"/>
        <v>16229.678400000001</v>
      </c>
    </row>
    <row r="11" spans="2:47" s="307" customFormat="1" x14ac:dyDescent="0.35">
      <c r="B11" s="222" t="s">
        <v>481</v>
      </c>
      <c r="C11" s="305">
        <f>AD6</f>
        <v>0</v>
      </c>
      <c r="D11" s="306">
        <v>1</v>
      </c>
      <c r="E11" s="279"/>
      <c r="F11" s="49"/>
      <c r="G11" s="332">
        <f t="shared" si="1"/>
        <v>0</v>
      </c>
      <c r="I11" s="308">
        <f t="shared" si="0"/>
        <v>0</v>
      </c>
      <c r="J11" s="308">
        <f t="shared" si="10"/>
        <v>0</v>
      </c>
      <c r="L11" s="309"/>
      <c r="M11" s="209"/>
      <c r="N11" s="309"/>
      <c r="O11" s="310"/>
      <c r="P11" s="309"/>
      <c r="Q11" s="310"/>
      <c r="R11" s="309"/>
      <c r="S11" s="310"/>
      <c r="T11" s="309"/>
      <c r="U11" s="310"/>
      <c r="V11" s="309"/>
      <c r="W11" s="310"/>
      <c r="X11" s="309"/>
      <c r="Y11" s="310"/>
      <c r="Z11" s="309"/>
      <c r="AA11" s="310"/>
      <c r="AB11" s="309"/>
      <c r="AC11" s="310"/>
      <c r="AD11" s="309"/>
      <c r="AE11" s="310"/>
      <c r="AF11" s="309"/>
      <c r="AG11" s="310"/>
      <c r="AH11" s="309"/>
      <c r="AI11" s="310"/>
      <c r="AJ11" s="309"/>
      <c r="AK11" s="310"/>
      <c r="AL11" s="309"/>
      <c r="AM11" s="310"/>
      <c r="AN11" s="209">
        <f t="shared" si="2"/>
        <v>0</v>
      </c>
      <c r="AO11" s="209">
        <f t="shared" si="3"/>
        <v>0</v>
      </c>
      <c r="AP11" s="209">
        <f t="shared" si="4"/>
        <v>0</v>
      </c>
      <c r="AQ11" s="209">
        <f t="shared" si="5"/>
        <v>0</v>
      </c>
      <c r="AR11" s="209">
        <f t="shared" si="6"/>
        <v>0</v>
      </c>
      <c r="AS11" s="209">
        <f t="shared" si="7"/>
        <v>0</v>
      </c>
      <c r="AT11" s="209">
        <f t="shared" si="8"/>
        <v>0</v>
      </c>
      <c r="AU11" s="354" t="e">
        <f t="shared" si="9"/>
        <v>#DIV/0!</v>
      </c>
    </row>
    <row r="12" spans="2:47" s="307" customFormat="1" x14ac:dyDescent="0.35">
      <c r="B12" s="222" t="s">
        <v>482</v>
      </c>
      <c r="C12" s="305">
        <f>AL6</f>
        <v>0</v>
      </c>
      <c r="D12" s="306">
        <v>1</v>
      </c>
      <c r="E12" s="279"/>
      <c r="F12" s="49"/>
      <c r="G12" s="332">
        <f t="shared" si="1"/>
        <v>0</v>
      </c>
      <c r="I12" s="308">
        <f t="shared" si="0"/>
        <v>0</v>
      </c>
      <c r="J12" s="308">
        <f t="shared" si="10"/>
        <v>0</v>
      </c>
      <c r="L12" s="309"/>
      <c r="M12" s="209"/>
      <c r="N12" s="309"/>
      <c r="O12" s="310"/>
      <c r="P12" s="309"/>
      <c r="Q12" s="310"/>
      <c r="R12" s="309"/>
      <c r="S12" s="310"/>
      <c r="T12" s="309"/>
      <c r="U12" s="310"/>
      <c r="V12" s="309"/>
      <c r="W12" s="310"/>
      <c r="X12" s="309"/>
      <c r="Y12" s="310"/>
      <c r="Z12" s="309"/>
      <c r="AA12" s="310"/>
      <c r="AB12" s="309"/>
      <c r="AC12" s="310"/>
      <c r="AD12" s="309"/>
      <c r="AE12" s="310"/>
      <c r="AF12" s="309"/>
      <c r="AG12" s="310"/>
      <c r="AH12" s="309"/>
      <c r="AI12" s="310"/>
      <c r="AJ12" s="309"/>
      <c r="AK12" s="310"/>
      <c r="AL12" s="309"/>
      <c r="AM12" s="310"/>
      <c r="AN12" s="209">
        <f t="shared" si="2"/>
        <v>0</v>
      </c>
      <c r="AO12" s="209">
        <f t="shared" si="3"/>
        <v>0</v>
      </c>
      <c r="AP12" s="209">
        <f t="shared" si="4"/>
        <v>0</v>
      </c>
      <c r="AQ12" s="209">
        <f t="shared" si="5"/>
        <v>0</v>
      </c>
      <c r="AR12" s="209">
        <f t="shared" si="6"/>
        <v>0</v>
      </c>
      <c r="AS12" s="209">
        <f t="shared" si="7"/>
        <v>0</v>
      </c>
      <c r="AT12" s="209">
        <f t="shared" si="8"/>
        <v>0</v>
      </c>
      <c r="AU12" s="354" t="e">
        <f t="shared" si="9"/>
        <v>#DIV/0!</v>
      </c>
    </row>
    <row r="13" spans="2:47" x14ac:dyDescent="0.35">
      <c r="B13" s="102"/>
      <c r="C13" s="301"/>
      <c r="D13" s="302"/>
      <c r="E13" s="103"/>
      <c r="F13" s="49"/>
      <c r="G13" s="332">
        <f t="shared" si="1"/>
        <v>0</v>
      </c>
      <c r="I13" s="303">
        <f t="shared" si="0"/>
        <v>0</v>
      </c>
      <c r="J13" s="303">
        <f t="shared" si="10"/>
        <v>0</v>
      </c>
      <c r="L13" s="304"/>
      <c r="M13" s="209"/>
      <c r="N13" s="304"/>
      <c r="O13" s="209"/>
      <c r="P13" s="304"/>
      <c r="Q13" s="209"/>
      <c r="R13" s="304"/>
      <c r="S13" s="209"/>
      <c r="T13" s="304"/>
      <c r="U13" s="209"/>
      <c r="V13" s="304"/>
      <c r="W13" s="209"/>
      <c r="X13" s="304"/>
      <c r="Y13" s="209"/>
      <c r="Z13" s="304"/>
      <c r="AA13" s="209"/>
      <c r="AB13" s="304"/>
      <c r="AC13" s="209"/>
      <c r="AD13" s="304"/>
      <c r="AE13" s="209"/>
      <c r="AF13" s="304"/>
      <c r="AG13" s="209"/>
      <c r="AH13" s="304"/>
      <c r="AI13" s="209"/>
      <c r="AJ13" s="304"/>
      <c r="AK13" s="209"/>
      <c r="AL13" s="304"/>
      <c r="AM13" s="209"/>
      <c r="AN13" s="209">
        <f t="shared" si="2"/>
        <v>0</v>
      </c>
      <c r="AO13" s="209">
        <f t="shared" si="3"/>
        <v>0</v>
      </c>
      <c r="AP13" s="209">
        <f t="shared" si="4"/>
        <v>0</v>
      </c>
      <c r="AQ13" s="209">
        <f t="shared" si="5"/>
        <v>0</v>
      </c>
      <c r="AR13" s="209">
        <f t="shared" si="6"/>
        <v>0</v>
      </c>
      <c r="AS13" s="209">
        <f t="shared" si="7"/>
        <v>0</v>
      </c>
      <c r="AT13" s="209">
        <f t="shared" si="8"/>
        <v>0</v>
      </c>
      <c r="AU13" s="354" t="e">
        <f t="shared" si="9"/>
        <v>#DIV/0!</v>
      </c>
    </row>
    <row r="14" spans="2:47" x14ac:dyDescent="0.35">
      <c r="B14" s="315" t="s">
        <v>241</v>
      </c>
      <c r="C14" s="316">
        <f>SUM(C6:C13)</f>
        <v>14</v>
      </c>
      <c r="D14" s="316"/>
      <c r="E14" s="265"/>
      <c r="F14" s="265"/>
      <c r="G14" s="334">
        <f>SUM(G6:G13)</f>
        <v>134750</v>
      </c>
      <c r="I14" s="303">
        <f>C14-(L14+N14+P14+R14+T14+V14+X14+Z14+AB14+AD14+AF14+AH14+AJ14+AL14)</f>
        <v>0</v>
      </c>
      <c r="J14" s="303">
        <f>G14-(M14+O14+Q14+S14+U14+W14+Y14+AA14+AC14+AE14+AG14+AI14+AK14+AM14)</f>
        <v>0</v>
      </c>
      <c r="L14" s="317">
        <f t="shared" ref="L14:AU14" si="11">SUM(L6:L13)</f>
        <v>6.5</v>
      </c>
      <c r="M14" s="317">
        <f t="shared" si="11"/>
        <v>63250</v>
      </c>
      <c r="N14" s="317">
        <f t="shared" si="11"/>
        <v>2.25</v>
      </c>
      <c r="O14" s="317">
        <f t="shared" si="11"/>
        <v>14625</v>
      </c>
      <c r="P14" s="317">
        <f t="shared" si="11"/>
        <v>1.75</v>
      </c>
      <c r="Q14" s="317">
        <f t="shared" si="11"/>
        <v>11375</v>
      </c>
      <c r="R14" s="317">
        <f t="shared" si="11"/>
        <v>3.5</v>
      </c>
      <c r="S14" s="317">
        <f t="shared" si="11"/>
        <v>45500</v>
      </c>
      <c r="T14" s="317">
        <f t="shared" si="11"/>
        <v>0</v>
      </c>
      <c r="U14" s="317">
        <f t="shared" si="11"/>
        <v>0</v>
      </c>
      <c r="V14" s="317">
        <f t="shared" si="11"/>
        <v>0</v>
      </c>
      <c r="W14" s="317">
        <f t="shared" si="11"/>
        <v>0</v>
      </c>
      <c r="X14" s="317">
        <f t="shared" si="11"/>
        <v>0</v>
      </c>
      <c r="Y14" s="317">
        <f t="shared" si="11"/>
        <v>0</v>
      </c>
      <c r="Z14" s="317">
        <f t="shared" si="11"/>
        <v>0</v>
      </c>
      <c r="AA14" s="317">
        <f t="shared" si="11"/>
        <v>0</v>
      </c>
      <c r="AB14" s="317">
        <f t="shared" si="11"/>
        <v>0</v>
      </c>
      <c r="AC14" s="317">
        <f t="shared" si="11"/>
        <v>0</v>
      </c>
      <c r="AD14" s="317">
        <f t="shared" si="11"/>
        <v>0</v>
      </c>
      <c r="AE14" s="317">
        <f t="shared" si="11"/>
        <v>0</v>
      </c>
      <c r="AF14" s="317">
        <f t="shared" si="11"/>
        <v>0</v>
      </c>
      <c r="AG14" s="317">
        <f t="shared" si="11"/>
        <v>0</v>
      </c>
      <c r="AH14" s="317">
        <f t="shared" si="11"/>
        <v>0</v>
      </c>
      <c r="AI14" s="317">
        <f t="shared" si="11"/>
        <v>0</v>
      </c>
      <c r="AJ14" s="317">
        <f t="shared" si="11"/>
        <v>0</v>
      </c>
      <c r="AK14" s="317">
        <f t="shared" si="11"/>
        <v>0</v>
      </c>
      <c r="AL14" s="317">
        <f t="shared" si="11"/>
        <v>0</v>
      </c>
      <c r="AM14" s="317">
        <f>SUM(AM6:AM13)</f>
        <v>0</v>
      </c>
      <c r="AN14" s="317">
        <f t="shared" si="11"/>
        <v>134750</v>
      </c>
      <c r="AO14" s="317">
        <f t="shared" si="11"/>
        <v>10780</v>
      </c>
      <c r="AP14" s="317">
        <f t="shared" si="11"/>
        <v>145530</v>
      </c>
      <c r="AQ14" s="317">
        <f t="shared" si="11"/>
        <v>2037.42</v>
      </c>
      <c r="AR14" s="317">
        <f t="shared" si="11"/>
        <v>147567.42000000001</v>
      </c>
      <c r="AS14" s="317">
        <f t="shared" si="11"/>
        <v>20659.438800000004</v>
      </c>
      <c r="AT14" s="317">
        <f t="shared" si="11"/>
        <v>168226.85879999999</v>
      </c>
      <c r="AU14" s="317" t="e">
        <f t="shared" si="11"/>
        <v>#DIV/0!</v>
      </c>
    </row>
    <row r="15" spans="2:47" x14ac:dyDescent="0.35">
      <c r="B15" s="59" t="s">
        <v>475</v>
      </c>
      <c r="F15" s="353">
        <f>'HK Budget (2)'!C14</f>
        <v>0.08</v>
      </c>
      <c r="G15" s="57">
        <f>G14*$F$15</f>
        <v>10780</v>
      </c>
      <c r="I15" s="303">
        <f t="shared" ref="I15:I20" si="12">C15-(L15+N15+P15+R15+T15+V15+X15+Z15+AB15+AD15+AF15+AH15+AJ15+AL15)</f>
        <v>0</v>
      </c>
      <c r="J15" s="303">
        <f t="shared" ref="J15:J20" si="13">G15-(M15+O15+Q15+S15+U15+W15+Y15+AA15+AC15+AE15+AG15+AI15+AK15+AM15)</f>
        <v>0</v>
      </c>
      <c r="M15" s="354">
        <f>M14*$F$15</f>
        <v>5060</v>
      </c>
      <c r="O15" s="354">
        <f>O14*$F$15</f>
        <v>1170</v>
      </c>
      <c r="Q15" s="354">
        <f>Q14*$F$15</f>
        <v>910</v>
      </c>
      <c r="S15" s="354">
        <f>S14*$F$15</f>
        <v>3640</v>
      </c>
      <c r="U15" s="354">
        <f>U14*$F$15</f>
        <v>0</v>
      </c>
      <c r="W15" s="354">
        <f>W14*$F$15</f>
        <v>0</v>
      </c>
      <c r="Y15" s="354">
        <f>Y14*$F$15</f>
        <v>0</v>
      </c>
      <c r="AA15" s="354">
        <f>AA14*$F$15</f>
        <v>0</v>
      </c>
      <c r="AC15" s="354">
        <f>AC14*$F$15</f>
        <v>0</v>
      </c>
      <c r="AE15" s="354">
        <f>AE14*$F$15</f>
        <v>0</v>
      </c>
      <c r="AG15" s="354">
        <f>AG14*$F$15</f>
        <v>0</v>
      </c>
      <c r="AI15" s="354">
        <f>AI14*$F$15</f>
        <v>0</v>
      </c>
      <c r="AK15" s="354">
        <f>AK14*$F$15</f>
        <v>0</v>
      </c>
      <c r="AM15" s="354">
        <f>AM14*$F$15</f>
        <v>0</v>
      </c>
    </row>
    <row r="16" spans="2:47" x14ac:dyDescent="0.35">
      <c r="B16" s="65" t="s">
        <v>240</v>
      </c>
      <c r="F16" s="353"/>
      <c r="G16" s="57">
        <f>G14+G15</f>
        <v>145530</v>
      </c>
      <c r="I16" s="303">
        <f t="shared" si="12"/>
        <v>0</v>
      </c>
      <c r="J16" s="303">
        <f t="shared" si="13"/>
        <v>0</v>
      </c>
      <c r="M16" s="209">
        <f>M14+M15</f>
        <v>68310</v>
      </c>
      <c r="O16" s="209">
        <f>O14+O15</f>
        <v>15795</v>
      </c>
      <c r="Q16" s="209">
        <f>Q14+Q15</f>
        <v>12285</v>
      </c>
      <c r="S16" s="209">
        <f>S14+S15</f>
        <v>49140</v>
      </c>
      <c r="U16" s="209">
        <f>U14+U15</f>
        <v>0</v>
      </c>
      <c r="W16" s="209">
        <f>W14+W15</f>
        <v>0</v>
      </c>
      <c r="Y16" s="209">
        <f>Y14+Y15</f>
        <v>0</v>
      </c>
      <c r="AA16" s="209">
        <f>AA14+AA15</f>
        <v>0</v>
      </c>
      <c r="AC16" s="209">
        <f>AC14+AC15</f>
        <v>0</v>
      </c>
      <c r="AE16" s="209">
        <f>AE14+AE15</f>
        <v>0</v>
      </c>
      <c r="AG16" s="209">
        <f>AG14+AG15</f>
        <v>0</v>
      </c>
      <c r="AI16" s="209">
        <f>AI14+AI15</f>
        <v>0</v>
      </c>
      <c r="AK16" s="209">
        <f>AK14+AK15</f>
        <v>0</v>
      </c>
      <c r="AM16" s="209">
        <f>AM14+AM15</f>
        <v>0</v>
      </c>
    </row>
    <row r="17" spans="2:39" x14ac:dyDescent="0.35">
      <c r="B17" s="494" t="s">
        <v>474</v>
      </c>
      <c r="F17" s="353">
        <f>'HK Budget (2)'!C16</f>
        <v>1.4E-2</v>
      </c>
      <c r="G17" s="57">
        <f>G16*$F$17</f>
        <v>2037.42</v>
      </c>
      <c r="I17" s="303">
        <f t="shared" si="12"/>
        <v>0</v>
      </c>
      <c r="J17" s="303">
        <f t="shared" si="13"/>
        <v>0</v>
      </c>
      <c r="M17" s="354">
        <f>M16*$F$17</f>
        <v>956.34</v>
      </c>
      <c r="O17" s="354">
        <f>O16*$F$17</f>
        <v>221.13</v>
      </c>
      <c r="Q17" s="354">
        <f>Q16*$F$17</f>
        <v>171.99</v>
      </c>
      <c r="S17" s="354">
        <f>S16*$F$17</f>
        <v>687.96</v>
      </c>
      <c r="U17" s="354">
        <f>U16*$F$17</f>
        <v>0</v>
      </c>
      <c r="W17" s="354">
        <f>W16*$F$17</f>
        <v>0</v>
      </c>
      <c r="Y17" s="354">
        <f>Y16*$F$17</f>
        <v>0</v>
      </c>
      <c r="AA17" s="354">
        <f>AA16*$F$17</f>
        <v>0</v>
      </c>
      <c r="AC17" s="354">
        <f>AC16*$F$17</f>
        <v>0</v>
      </c>
      <c r="AE17" s="354">
        <f>AE16*$F$17</f>
        <v>0</v>
      </c>
      <c r="AG17" s="354">
        <f>AG16*$F$17</f>
        <v>0</v>
      </c>
      <c r="AI17" s="354">
        <f>AI16*$F$17</f>
        <v>0</v>
      </c>
      <c r="AK17" s="354">
        <f>AK16*$F$17</f>
        <v>0</v>
      </c>
      <c r="AM17" s="354">
        <f>AM16*$F$17</f>
        <v>0</v>
      </c>
    </row>
    <row r="18" spans="2:39" x14ac:dyDescent="0.35">
      <c r="B18" s="70" t="s">
        <v>449</v>
      </c>
      <c r="G18" s="57">
        <f>G16+G17</f>
        <v>147567.42000000001</v>
      </c>
      <c r="I18" s="303">
        <f t="shared" si="12"/>
        <v>0</v>
      </c>
      <c r="J18" s="303">
        <f t="shared" si="13"/>
        <v>0</v>
      </c>
      <c r="M18" s="209">
        <f>M16+M17</f>
        <v>69266.34</v>
      </c>
      <c r="O18" s="209">
        <f>O16+O17</f>
        <v>16016.13</v>
      </c>
      <c r="Q18" s="209">
        <f>Q16+Q17</f>
        <v>12456.99</v>
      </c>
      <c r="S18" s="209">
        <f>S16+S17</f>
        <v>49827.96</v>
      </c>
      <c r="U18" s="209">
        <f>U16+U17</f>
        <v>0</v>
      </c>
      <c r="W18" s="209">
        <f>W16+W17</f>
        <v>0</v>
      </c>
      <c r="Y18" s="209">
        <f>Y16+Y17</f>
        <v>0</v>
      </c>
      <c r="AA18" s="209">
        <f>AA16+AA17</f>
        <v>0</v>
      </c>
      <c r="AC18" s="209">
        <f>AC16+AC17</f>
        <v>0</v>
      </c>
      <c r="AE18" s="209">
        <f>AE16+AE17</f>
        <v>0</v>
      </c>
      <c r="AG18" s="209">
        <f>AG16+AG17</f>
        <v>0</v>
      </c>
      <c r="AI18" s="209">
        <f>AI16+AI17</f>
        <v>0</v>
      </c>
      <c r="AK18" s="209">
        <f>AK16+AK17</f>
        <v>0</v>
      </c>
      <c r="AM18" s="209">
        <f>AM16+AM17</f>
        <v>0</v>
      </c>
    </row>
    <row r="19" spans="2:39" x14ac:dyDescent="0.35">
      <c r="B19" s="355" t="s">
        <v>463</v>
      </c>
      <c r="E19" s="209"/>
      <c r="F19" s="353">
        <v>0.14000000000000001</v>
      </c>
      <c r="G19" s="57">
        <f>G18*$F$19</f>
        <v>20659.438800000004</v>
      </c>
      <c r="I19" s="303">
        <f t="shared" si="12"/>
        <v>0</v>
      </c>
      <c r="J19" s="303">
        <f t="shared" si="13"/>
        <v>0</v>
      </c>
      <c r="M19" s="354">
        <f>M18*$F$19</f>
        <v>9697.2875999999997</v>
      </c>
      <c r="O19" s="354">
        <f>O18*$F$19</f>
        <v>2242.2582000000002</v>
      </c>
      <c r="Q19" s="354">
        <f>Q18*$F$19</f>
        <v>1743.9786000000001</v>
      </c>
      <c r="S19" s="354">
        <f>S18*$F$19</f>
        <v>6975.9144000000006</v>
      </c>
      <c r="U19" s="354">
        <f>U18*$F$19</f>
        <v>0</v>
      </c>
      <c r="W19" s="354">
        <f>W18*$F$19</f>
        <v>0</v>
      </c>
      <c r="Y19" s="354">
        <f>Y18*$F$19</f>
        <v>0</v>
      </c>
      <c r="AA19" s="354">
        <f>AA18*$F$19</f>
        <v>0</v>
      </c>
      <c r="AC19" s="354">
        <f>AC18*$F$19</f>
        <v>0</v>
      </c>
      <c r="AE19" s="354">
        <f>AE18*$F$19</f>
        <v>0</v>
      </c>
      <c r="AG19" s="354">
        <f>AG18*$F$19</f>
        <v>0</v>
      </c>
      <c r="AI19" s="354">
        <f>AI18*$F$19</f>
        <v>0</v>
      </c>
      <c r="AK19" s="354">
        <f>AK18*$F$19</f>
        <v>0</v>
      </c>
      <c r="AM19" s="354">
        <f>AM18*$F$19</f>
        <v>0</v>
      </c>
    </row>
    <row r="20" spans="2:39" x14ac:dyDescent="0.35">
      <c r="B20" s="355" t="s">
        <v>464</v>
      </c>
      <c r="G20" s="57">
        <f>G18+G19</f>
        <v>168226.85880000002</v>
      </c>
      <c r="I20" s="303">
        <f t="shared" si="12"/>
        <v>0</v>
      </c>
      <c r="J20" s="303">
        <f t="shared" si="13"/>
        <v>0</v>
      </c>
      <c r="M20" s="209">
        <f>M18+M19</f>
        <v>78963.627599999993</v>
      </c>
      <c r="O20" s="209">
        <f>O18+O19</f>
        <v>18258.388200000001</v>
      </c>
      <c r="Q20" s="209">
        <f>Q18+Q19</f>
        <v>14200.9686</v>
      </c>
      <c r="S20" s="209">
        <f>S18+S19</f>
        <v>56803.874400000001</v>
      </c>
      <c r="U20" s="209">
        <f>U18+U19</f>
        <v>0</v>
      </c>
      <c r="W20" s="209">
        <f>W18+W19</f>
        <v>0</v>
      </c>
      <c r="Y20" s="209">
        <f>Y18+Y19</f>
        <v>0</v>
      </c>
      <c r="AA20" s="209">
        <f>AA18+AA19</f>
        <v>0</v>
      </c>
      <c r="AC20" s="209">
        <f>AC18+AC19</f>
        <v>0</v>
      </c>
      <c r="AE20" s="209">
        <f>AE18+AE19</f>
        <v>0</v>
      </c>
      <c r="AG20" s="209">
        <f>AG18+AG19</f>
        <v>0</v>
      </c>
      <c r="AI20" s="209">
        <f>AI18+AI19</f>
        <v>0</v>
      </c>
      <c r="AK20" s="209">
        <f>AK18+AK19</f>
        <v>0</v>
      </c>
      <c r="AM20" s="209">
        <f>AM18+AM19</f>
        <v>0</v>
      </c>
    </row>
    <row r="21" spans="2:39" x14ac:dyDescent="0.35">
      <c r="D21" s="209"/>
      <c r="E21" s="209"/>
    </row>
    <row r="22" spans="2:39" x14ac:dyDescent="0.35">
      <c r="B22" s="495" t="s">
        <v>485</v>
      </c>
      <c r="C22" s="496"/>
      <c r="D22" s="497"/>
      <c r="E22" s="497"/>
      <c r="F22" s="496"/>
      <c r="G22" s="496">
        <f>G20/C14</f>
        <v>12016.204200000002</v>
      </c>
    </row>
    <row r="23" spans="2:39" x14ac:dyDescent="0.35">
      <c r="C23" s="209"/>
      <c r="G23" s="57"/>
    </row>
    <row r="24" spans="2:39" x14ac:dyDescent="0.35">
      <c r="C24" s="209"/>
    </row>
    <row r="25" spans="2:39" x14ac:dyDescent="0.35">
      <c r="C25" s="209"/>
      <c r="G25" s="209"/>
    </row>
    <row r="26" spans="2:39" x14ac:dyDescent="0.35">
      <c r="C26" s="209"/>
      <c r="D26" s="209"/>
      <c r="E26" s="209"/>
      <c r="F26" s="209"/>
      <c r="G26" s="209"/>
    </row>
    <row r="27" spans="2:39" x14ac:dyDescent="0.35">
      <c r="C27" s="209">
        <f t="shared" ref="C27:C29" si="14">C11*3/12</f>
        <v>0</v>
      </c>
      <c r="E27" s="209"/>
    </row>
    <row r="28" spans="2:39" x14ac:dyDescent="0.35">
      <c r="C28" s="209">
        <f t="shared" si="14"/>
        <v>0</v>
      </c>
      <c r="E28" s="209"/>
      <c r="F28" s="209"/>
      <c r="G28" s="209"/>
    </row>
    <row r="29" spans="2:39" x14ac:dyDescent="0.35">
      <c r="C29" s="209">
        <f t="shared" si="14"/>
        <v>0</v>
      </c>
      <c r="E29" s="209"/>
      <c r="F29" s="209"/>
      <c r="G29" s="209"/>
    </row>
    <row r="30" spans="2:39" x14ac:dyDescent="0.35">
      <c r="F30" s="209"/>
      <c r="G30" s="209"/>
    </row>
  </sheetData>
  <mergeCells count="14">
    <mergeCell ref="V4:W4"/>
    <mergeCell ref="L4:M4"/>
    <mergeCell ref="N4:O4"/>
    <mergeCell ref="P4:Q4"/>
    <mergeCell ref="R4:S4"/>
    <mergeCell ref="T4:U4"/>
    <mergeCell ref="AJ4:AK4"/>
    <mergeCell ref="AL4:AM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BAE9-BCAC-4DB8-834D-402D90EEA842}">
  <sheetPr>
    <tabColor rgb="FFFFC000"/>
  </sheetPr>
  <dimension ref="A2:I111"/>
  <sheetViews>
    <sheetView topLeftCell="A7" workbookViewId="0">
      <selection activeCell="G84" sqref="G84:G86"/>
    </sheetView>
  </sheetViews>
  <sheetFormatPr defaultColWidth="8.90625" defaultRowHeight="14.5" x14ac:dyDescent="0.35"/>
  <cols>
    <col min="1" max="1" width="5.90625" style="64" customWidth="1"/>
    <col min="2" max="2" width="57.08984375" style="447" customWidth="1"/>
    <col min="3" max="3" width="7.08984375" style="64" bestFit="1" customWidth="1"/>
    <col min="4" max="4" width="17.1796875" style="64" bestFit="1" customWidth="1"/>
    <col min="5" max="10" width="16.81640625" style="64" customWidth="1"/>
    <col min="11" max="16384" width="8.90625" style="64"/>
  </cols>
  <sheetData>
    <row r="2" spans="1:9" x14ac:dyDescent="0.35">
      <c r="E2" s="353">
        <f>'HK Budget (2)'!C14</f>
        <v>0.08</v>
      </c>
      <c r="G2" s="445">
        <f>'HK Budget (2)'!C16</f>
        <v>1.4E-2</v>
      </c>
      <c r="H2" s="353">
        <v>0.14000000000000001</v>
      </c>
      <c r="I2" s="456" t="s">
        <v>180</v>
      </c>
    </row>
    <row r="3" spans="1:9" x14ac:dyDescent="0.35">
      <c r="A3" s="15" t="s">
        <v>66</v>
      </c>
      <c r="B3" s="450" t="s">
        <v>67</v>
      </c>
      <c r="C3" s="15" t="s">
        <v>41</v>
      </c>
      <c r="D3" s="15" t="s">
        <v>68</v>
      </c>
      <c r="E3" s="455" t="s">
        <v>447</v>
      </c>
      <c r="F3" s="455" t="s">
        <v>240</v>
      </c>
      <c r="G3" s="494" t="s">
        <v>474</v>
      </c>
      <c r="H3" s="456" t="s">
        <v>463</v>
      </c>
      <c r="I3" s="456" t="s">
        <v>464</v>
      </c>
    </row>
    <row r="4" spans="1:9" x14ac:dyDescent="0.35">
      <c r="A4" s="77">
        <v>1</v>
      </c>
      <c r="B4" s="448" t="s">
        <v>69</v>
      </c>
      <c r="C4" s="77" t="s">
        <v>70</v>
      </c>
      <c r="D4" s="452">
        <f>'[2]Items Pricelist'!D2</f>
        <v>41</v>
      </c>
      <c r="E4" s="209">
        <f>D4*$E$2</f>
        <v>3.2800000000000002</v>
      </c>
      <c r="F4" s="209">
        <f>D4+E4</f>
        <v>44.28</v>
      </c>
      <c r="G4" s="209">
        <f>F4*$G$2</f>
        <v>0.61992000000000003</v>
      </c>
      <c r="H4" s="209">
        <f>(F4+G4)*$H$2</f>
        <v>6.285988800000001</v>
      </c>
      <c r="I4" s="209">
        <f>ROUND(H4+G4+F4,0)</f>
        <v>51</v>
      </c>
    </row>
    <row r="5" spans="1:9" x14ac:dyDescent="0.35">
      <c r="A5" s="77">
        <v>2</v>
      </c>
      <c r="B5" s="448" t="s">
        <v>71</v>
      </c>
      <c r="C5" s="77" t="s">
        <v>70</v>
      </c>
      <c r="D5" s="452">
        <f>'[2]Items Pricelist'!D3</f>
        <v>41</v>
      </c>
      <c r="E5" s="209">
        <f t="shared" ref="E5:E68" si="0">D5*$E$2</f>
        <v>3.2800000000000002</v>
      </c>
      <c r="F5" s="209">
        <f t="shared" ref="F5:F68" si="1">D5+E5</f>
        <v>44.28</v>
      </c>
      <c r="G5" s="209">
        <f t="shared" ref="G5:G68" si="2">F5*$G$2</f>
        <v>0.61992000000000003</v>
      </c>
      <c r="H5" s="209">
        <f>(F5+G5)*$H$2</f>
        <v>6.285988800000001</v>
      </c>
      <c r="I5" s="209">
        <f t="shared" ref="I5:I68" si="3">ROUND(H5+G5+F5,0)</f>
        <v>51</v>
      </c>
    </row>
    <row r="6" spans="1:9" x14ac:dyDescent="0.35">
      <c r="A6" s="77">
        <v>3</v>
      </c>
      <c r="B6" s="448" t="s">
        <v>72</v>
      </c>
      <c r="C6" s="77" t="s">
        <v>70</v>
      </c>
      <c r="D6" s="452">
        <f>'[2]Items Pricelist'!D4</f>
        <v>41</v>
      </c>
      <c r="E6" s="209">
        <f t="shared" si="0"/>
        <v>3.2800000000000002</v>
      </c>
      <c r="F6" s="209">
        <f t="shared" si="1"/>
        <v>44.28</v>
      </c>
      <c r="G6" s="209">
        <f t="shared" si="2"/>
        <v>0.61992000000000003</v>
      </c>
      <c r="H6" s="209">
        <f t="shared" ref="H6:H69" si="4">(F6+G6)*$H$2</f>
        <v>6.285988800000001</v>
      </c>
      <c r="I6" s="209">
        <f t="shared" si="3"/>
        <v>51</v>
      </c>
    </row>
    <row r="7" spans="1:9" x14ac:dyDescent="0.35">
      <c r="A7" s="77">
        <v>4</v>
      </c>
      <c r="B7" s="448" t="s">
        <v>73</v>
      </c>
      <c r="C7" s="77" t="s">
        <v>70</v>
      </c>
      <c r="D7" s="452">
        <f>'[2]Items Pricelist'!D5</f>
        <v>41</v>
      </c>
      <c r="E7" s="209">
        <f t="shared" si="0"/>
        <v>3.2800000000000002</v>
      </c>
      <c r="F7" s="209">
        <f t="shared" si="1"/>
        <v>44.28</v>
      </c>
      <c r="G7" s="209">
        <f t="shared" si="2"/>
        <v>0.61992000000000003</v>
      </c>
      <c r="H7" s="209">
        <f t="shared" si="4"/>
        <v>6.285988800000001</v>
      </c>
      <c r="I7" s="209">
        <f t="shared" si="3"/>
        <v>51</v>
      </c>
    </row>
    <row r="8" spans="1:9" x14ac:dyDescent="0.35">
      <c r="A8" s="77">
        <v>5</v>
      </c>
      <c r="B8" s="448" t="s">
        <v>74</v>
      </c>
      <c r="C8" s="77" t="s">
        <v>75</v>
      </c>
      <c r="D8" s="452">
        <f>'[2]Items Pricelist'!D6</f>
        <v>14000</v>
      </c>
      <c r="E8" s="209">
        <f t="shared" si="0"/>
        <v>1120</v>
      </c>
      <c r="F8" s="209">
        <f t="shared" si="1"/>
        <v>15120</v>
      </c>
      <c r="G8" s="209">
        <f t="shared" si="2"/>
        <v>211.68</v>
      </c>
      <c r="H8" s="209">
        <f t="shared" si="4"/>
        <v>2146.4352000000003</v>
      </c>
      <c r="I8" s="209">
        <f t="shared" si="3"/>
        <v>17478</v>
      </c>
    </row>
    <row r="9" spans="1:9" x14ac:dyDescent="0.35">
      <c r="A9" s="77">
        <v>6</v>
      </c>
      <c r="B9" s="448" t="s">
        <v>43</v>
      </c>
      <c r="C9" s="77" t="s">
        <v>75</v>
      </c>
      <c r="D9" s="452">
        <f>'[2]Items Pricelist'!D7</f>
        <v>790</v>
      </c>
      <c r="E9" s="209">
        <f t="shared" si="0"/>
        <v>63.2</v>
      </c>
      <c r="F9" s="209">
        <f t="shared" si="1"/>
        <v>853.2</v>
      </c>
      <c r="G9" s="209">
        <f t="shared" si="2"/>
        <v>11.944800000000001</v>
      </c>
      <c r="H9" s="209">
        <f t="shared" si="4"/>
        <v>121.12027200000001</v>
      </c>
      <c r="I9" s="209">
        <f t="shared" si="3"/>
        <v>986</v>
      </c>
    </row>
    <row r="10" spans="1:9" x14ac:dyDescent="0.35">
      <c r="A10" s="77">
        <v>7</v>
      </c>
      <c r="B10" s="448" t="s">
        <v>76</v>
      </c>
      <c r="C10" s="77" t="s">
        <v>75</v>
      </c>
      <c r="D10" s="452">
        <f>'[2]Items Pricelist'!D8</f>
        <v>12000</v>
      </c>
      <c r="E10" s="209">
        <f t="shared" si="0"/>
        <v>960</v>
      </c>
      <c r="F10" s="209">
        <f t="shared" si="1"/>
        <v>12960</v>
      </c>
      <c r="G10" s="209">
        <f t="shared" si="2"/>
        <v>181.44</v>
      </c>
      <c r="H10" s="209">
        <f t="shared" si="4"/>
        <v>1839.8016000000002</v>
      </c>
      <c r="I10" s="209">
        <f t="shared" si="3"/>
        <v>14981</v>
      </c>
    </row>
    <row r="11" spans="1:9" x14ac:dyDescent="0.35">
      <c r="A11" s="77">
        <v>8</v>
      </c>
      <c r="B11" s="448" t="s">
        <v>44</v>
      </c>
      <c r="C11" s="77" t="s">
        <v>75</v>
      </c>
      <c r="D11" s="452">
        <f>'[2]Items Pricelist'!D9</f>
        <v>590</v>
      </c>
      <c r="E11" s="209">
        <f t="shared" si="0"/>
        <v>47.2</v>
      </c>
      <c r="F11" s="209">
        <f t="shared" si="1"/>
        <v>637.20000000000005</v>
      </c>
      <c r="G11" s="209">
        <f t="shared" si="2"/>
        <v>8.9208000000000016</v>
      </c>
      <c r="H11" s="209">
        <f t="shared" si="4"/>
        <v>90.456912000000017</v>
      </c>
      <c r="I11" s="209">
        <f t="shared" si="3"/>
        <v>737</v>
      </c>
    </row>
    <row r="12" spans="1:9" x14ac:dyDescent="0.35">
      <c r="A12" s="77">
        <v>9</v>
      </c>
      <c r="B12" s="451" t="s">
        <v>77</v>
      </c>
      <c r="C12" s="77" t="s">
        <v>75</v>
      </c>
      <c r="D12" s="452">
        <f>'[2]Items Pricelist'!D10</f>
        <v>3500</v>
      </c>
      <c r="E12" s="209">
        <f t="shared" si="0"/>
        <v>280</v>
      </c>
      <c r="F12" s="209">
        <f t="shared" si="1"/>
        <v>3780</v>
      </c>
      <c r="G12" s="209">
        <f t="shared" si="2"/>
        <v>52.92</v>
      </c>
      <c r="H12" s="209">
        <f t="shared" si="4"/>
        <v>536.60880000000009</v>
      </c>
      <c r="I12" s="209">
        <f t="shared" si="3"/>
        <v>4370</v>
      </c>
    </row>
    <row r="13" spans="1:9" x14ac:dyDescent="0.35">
      <c r="A13" s="77">
        <v>10</v>
      </c>
      <c r="B13" s="451" t="s">
        <v>78</v>
      </c>
      <c r="C13" s="77" t="s">
        <v>75</v>
      </c>
      <c r="D13" s="452">
        <f>'[2]Items Pricelist'!D11</f>
        <v>900</v>
      </c>
      <c r="E13" s="209">
        <f t="shared" si="0"/>
        <v>72</v>
      </c>
      <c r="F13" s="209">
        <f t="shared" si="1"/>
        <v>972</v>
      </c>
      <c r="G13" s="209">
        <f t="shared" si="2"/>
        <v>13.608000000000001</v>
      </c>
      <c r="H13" s="209">
        <f t="shared" si="4"/>
        <v>137.98511999999999</v>
      </c>
      <c r="I13" s="209">
        <f t="shared" si="3"/>
        <v>1124</v>
      </c>
    </row>
    <row r="14" spans="1:9" x14ac:dyDescent="0.35">
      <c r="A14" s="77">
        <v>11</v>
      </c>
      <c r="B14" s="451" t="s">
        <v>79</v>
      </c>
      <c r="C14" s="77" t="s">
        <v>75</v>
      </c>
      <c r="D14" s="452">
        <f>'[2]Items Pricelist'!D12</f>
        <v>189</v>
      </c>
      <c r="E14" s="209">
        <f t="shared" si="0"/>
        <v>15.120000000000001</v>
      </c>
      <c r="F14" s="209">
        <f t="shared" si="1"/>
        <v>204.12</v>
      </c>
      <c r="G14" s="209">
        <f t="shared" si="2"/>
        <v>2.8576800000000002</v>
      </c>
      <c r="H14" s="209">
        <f t="shared" si="4"/>
        <v>28.976875200000002</v>
      </c>
      <c r="I14" s="209">
        <f t="shared" si="3"/>
        <v>236</v>
      </c>
    </row>
    <row r="15" spans="1:9" x14ac:dyDescent="0.35">
      <c r="A15" s="77">
        <v>12</v>
      </c>
      <c r="B15" s="451" t="s">
        <v>80</v>
      </c>
      <c r="C15" s="77" t="s">
        <v>75</v>
      </c>
      <c r="D15" s="452">
        <f>'[2]Items Pricelist'!D13</f>
        <v>114</v>
      </c>
      <c r="E15" s="209">
        <f t="shared" si="0"/>
        <v>9.120000000000001</v>
      </c>
      <c r="F15" s="209">
        <f t="shared" si="1"/>
        <v>123.12</v>
      </c>
      <c r="G15" s="209">
        <f t="shared" si="2"/>
        <v>1.7236800000000001</v>
      </c>
      <c r="H15" s="209">
        <f t="shared" si="4"/>
        <v>17.478115200000001</v>
      </c>
      <c r="I15" s="209">
        <f t="shared" si="3"/>
        <v>142</v>
      </c>
    </row>
    <row r="16" spans="1:9" x14ac:dyDescent="0.35">
      <c r="A16" s="77">
        <v>13</v>
      </c>
      <c r="B16" s="451" t="s">
        <v>81</v>
      </c>
      <c r="C16" s="77" t="s">
        <v>75</v>
      </c>
      <c r="D16" s="452">
        <f>'[2]Items Pricelist'!D14</f>
        <v>550</v>
      </c>
      <c r="E16" s="209">
        <f t="shared" si="0"/>
        <v>44</v>
      </c>
      <c r="F16" s="209">
        <f t="shared" si="1"/>
        <v>594</v>
      </c>
      <c r="G16" s="209">
        <f t="shared" si="2"/>
        <v>8.3160000000000007</v>
      </c>
      <c r="H16" s="209">
        <f t="shared" si="4"/>
        <v>84.324240000000017</v>
      </c>
      <c r="I16" s="209">
        <f t="shared" si="3"/>
        <v>687</v>
      </c>
    </row>
    <row r="17" spans="1:9" x14ac:dyDescent="0.35">
      <c r="A17" s="77">
        <v>14</v>
      </c>
      <c r="B17" s="451" t="s">
        <v>82</v>
      </c>
      <c r="C17" s="77" t="s">
        <v>75</v>
      </c>
      <c r="D17" s="452">
        <f>'[2]Items Pricelist'!D15</f>
        <v>450</v>
      </c>
      <c r="E17" s="209">
        <f t="shared" si="0"/>
        <v>36</v>
      </c>
      <c r="F17" s="209">
        <f t="shared" si="1"/>
        <v>486</v>
      </c>
      <c r="G17" s="209">
        <f t="shared" si="2"/>
        <v>6.8040000000000003</v>
      </c>
      <c r="H17" s="209">
        <f t="shared" si="4"/>
        <v>68.992559999999997</v>
      </c>
      <c r="I17" s="209">
        <f t="shared" si="3"/>
        <v>562</v>
      </c>
    </row>
    <row r="18" spans="1:9" x14ac:dyDescent="0.35">
      <c r="A18" s="77">
        <v>15</v>
      </c>
      <c r="B18" s="451" t="s">
        <v>83</v>
      </c>
      <c r="C18" s="77" t="s">
        <v>75</v>
      </c>
      <c r="D18" s="452">
        <f>'[2]Items Pricelist'!D16</f>
        <v>72</v>
      </c>
      <c r="E18" s="209">
        <f t="shared" si="0"/>
        <v>5.76</v>
      </c>
      <c r="F18" s="209">
        <f t="shared" si="1"/>
        <v>77.760000000000005</v>
      </c>
      <c r="G18" s="209">
        <f t="shared" si="2"/>
        <v>1.0886400000000001</v>
      </c>
      <c r="H18" s="209">
        <f t="shared" si="4"/>
        <v>11.038809600000002</v>
      </c>
      <c r="I18" s="209">
        <f t="shared" si="3"/>
        <v>90</v>
      </c>
    </row>
    <row r="19" spans="1:9" x14ac:dyDescent="0.35">
      <c r="A19" s="77">
        <v>16</v>
      </c>
      <c r="B19" s="451" t="s">
        <v>84</v>
      </c>
      <c r="C19" s="77" t="s">
        <v>75</v>
      </c>
      <c r="D19" s="452">
        <f>'[2]Items Pricelist'!D17</f>
        <v>11000</v>
      </c>
      <c r="E19" s="209">
        <f t="shared" si="0"/>
        <v>880</v>
      </c>
      <c r="F19" s="209">
        <f t="shared" si="1"/>
        <v>11880</v>
      </c>
      <c r="G19" s="209">
        <f t="shared" si="2"/>
        <v>166.32</v>
      </c>
      <c r="H19" s="209">
        <f t="shared" si="4"/>
        <v>1686.4848000000002</v>
      </c>
      <c r="I19" s="209">
        <f t="shared" si="3"/>
        <v>13733</v>
      </c>
    </row>
    <row r="20" spans="1:9" x14ac:dyDescent="0.35">
      <c r="A20" s="77">
        <v>17</v>
      </c>
      <c r="B20" s="451" t="s">
        <v>85</v>
      </c>
      <c r="C20" s="77" t="s">
        <v>75</v>
      </c>
      <c r="D20" s="452">
        <f>'[2]Items Pricelist'!D18</f>
        <v>100</v>
      </c>
      <c r="E20" s="209">
        <f t="shared" si="0"/>
        <v>8</v>
      </c>
      <c r="F20" s="209">
        <f t="shared" si="1"/>
        <v>108</v>
      </c>
      <c r="G20" s="209">
        <f t="shared" si="2"/>
        <v>1.512</v>
      </c>
      <c r="H20" s="209">
        <f t="shared" si="4"/>
        <v>15.331680000000002</v>
      </c>
      <c r="I20" s="209">
        <f t="shared" si="3"/>
        <v>125</v>
      </c>
    </row>
    <row r="21" spans="1:9" x14ac:dyDescent="0.35">
      <c r="A21" s="77">
        <v>18</v>
      </c>
      <c r="B21" s="448" t="s">
        <v>45</v>
      </c>
      <c r="C21" s="77" t="s">
        <v>86</v>
      </c>
      <c r="D21" s="452">
        <f>'[2]Items Pricelist'!D19</f>
        <v>195</v>
      </c>
      <c r="E21" s="209">
        <f t="shared" si="0"/>
        <v>15.6</v>
      </c>
      <c r="F21" s="209">
        <f t="shared" si="1"/>
        <v>210.6</v>
      </c>
      <c r="G21" s="209">
        <f t="shared" si="2"/>
        <v>2.9483999999999999</v>
      </c>
      <c r="H21" s="209">
        <f t="shared" si="4"/>
        <v>29.896776000000003</v>
      </c>
      <c r="I21" s="209">
        <f t="shared" si="3"/>
        <v>243</v>
      </c>
    </row>
    <row r="22" spans="1:9" x14ac:dyDescent="0.35">
      <c r="A22" s="77">
        <v>19</v>
      </c>
      <c r="B22" s="448" t="s">
        <v>46</v>
      </c>
      <c r="C22" s="77" t="s">
        <v>86</v>
      </c>
      <c r="D22" s="452">
        <f>'[2]Items Pricelist'!D20</f>
        <v>800</v>
      </c>
      <c r="E22" s="209">
        <f t="shared" si="0"/>
        <v>64</v>
      </c>
      <c r="F22" s="209">
        <f t="shared" si="1"/>
        <v>864</v>
      </c>
      <c r="G22" s="209">
        <f t="shared" si="2"/>
        <v>12.096</v>
      </c>
      <c r="H22" s="209">
        <f t="shared" si="4"/>
        <v>122.65344000000002</v>
      </c>
      <c r="I22" s="209">
        <f t="shared" si="3"/>
        <v>999</v>
      </c>
    </row>
    <row r="23" spans="1:9" x14ac:dyDescent="0.35">
      <c r="A23" s="77">
        <v>20</v>
      </c>
      <c r="B23" s="448" t="s">
        <v>87</v>
      </c>
      <c r="C23" s="77" t="s">
        <v>86</v>
      </c>
      <c r="D23" s="452">
        <f>'[2]Items Pricelist'!D21</f>
        <v>2800</v>
      </c>
      <c r="E23" s="209">
        <f t="shared" si="0"/>
        <v>224</v>
      </c>
      <c r="F23" s="209">
        <f t="shared" si="1"/>
        <v>3024</v>
      </c>
      <c r="G23" s="209">
        <f t="shared" si="2"/>
        <v>42.335999999999999</v>
      </c>
      <c r="H23" s="209">
        <f t="shared" si="4"/>
        <v>429.28703999999999</v>
      </c>
      <c r="I23" s="209">
        <f t="shared" si="3"/>
        <v>3496</v>
      </c>
    </row>
    <row r="24" spans="1:9" x14ac:dyDescent="0.35">
      <c r="A24" s="77">
        <v>21</v>
      </c>
      <c r="B24" s="448" t="s">
        <v>88</v>
      </c>
      <c r="C24" s="77" t="s">
        <v>86</v>
      </c>
      <c r="D24" s="452">
        <f>'[2]Items Pricelist'!D22</f>
        <v>40</v>
      </c>
      <c r="E24" s="209">
        <f t="shared" si="0"/>
        <v>3.2</v>
      </c>
      <c r="F24" s="209">
        <f t="shared" si="1"/>
        <v>43.2</v>
      </c>
      <c r="G24" s="209">
        <f t="shared" si="2"/>
        <v>0.6048</v>
      </c>
      <c r="H24" s="209">
        <f t="shared" si="4"/>
        <v>6.1326720000000003</v>
      </c>
      <c r="I24" s="209">
        <f t="shared" si="3"/>
        <v>50</v>
      </c>
    </row>
    <row r="25" spans="1:9" x14ac:dyDescent="0.35">
      <c r="A25" s="77">
        <v>22</v>
      </c>
      <c r="B25" s="448" t="s">
        <v>47</v>
      </c>
      <c r="C25" s="77" t="s">
        <v>89</v>
      </c>
      <c r="D25" s="452">
        <f>'[2]Items Pricelist'!D23</f>
        <v>250</v>
      </c>
      <c r="E25" s="209">
        <f t="shared" si="0"/>
        <v>20</v>
      </c>
      <c r="F25" s="209">
        <f t="shared" si="1"/>
        <v>270</v>
      </c>
      <c r="G25" s="209">
        <f t="shared" si="2"/>
        <v>3.7800000000000002</v>
      </c>
      <c r="H25" s="209">
        <f t="shared" si="4"/>
        <v>38.3292</v>
      </c>
      <c r="I25" s="209">
        <f t="shared" si="3"/>
        <v>312</v>
      </c>
    </row>
    <row r="26" spans="1:9" x14ac:dyDescent="0.35">
      <c r="A26" s="77">
        <v>23</v>
      </c>
      <c r="B26" s="448" t="s">
        <v>48</v>
      </c>
      <c r="C26" s="77" t="s">
        <v>89</v>
      </c>
      <c r="D26" s="452">
        <f>'[2]Items Pricelist'!D24</f>
        <v>375</v>
      </c>
      <c r="E26" s="209">
        <f t="shared" si="0"/>
        <v>30</v>
      </c>
      <c r="F26" s="209">
        <f t="shared" si="1"/>
        <v>405</v>
      </c>
      <c r="G26" s="209">
        <f t="shared" si="2"/>
        <v>5.67</v>
      </c>
      <c r="H26" s="209">
        <f t="shared" si="4"/>
        <v>57.493800000000007</v>
      </c>
      <c r="I26" s="209">
        <f t="shared" si="3"/>
        <v>468</v>
      </c>
    </row>
    <row r="27" spans="1:9" x14ac:dyDescent="0.35">
      <c r="A27" s="77">
        <v>24</v>
      </c>
      <c r="B27" s="448" t="s">
        <v>49</v>
      </c>
      <c r="C27" s="77" t="s">
        <v>89</v>
      </c>
      <c r="D27" s="452">
        <f>'[2]Items Pricelist'!D25</f>
        <v>975</v>
      </c>
      <c r="E27" s="209">
        <f t="shared" si="0"/>
        <v>78</v>
      </c>
      <c r="F27" s="209">
        <f t="shared" si="1"/>
        <v>1053</v>
      </c>
      <c r="G27" s="209">
        <f t="shared" si="2"/>
        <v>14.742000000000001</v>
      </c>
      <c r="H27" s="209">
        <f t="shared" si="4"/>
        <v>149.48388</v>
      </c>
      <c r="I27" s="209">
        <f t="shared" si="3"/>
        <v>1217</v>
      </c>
    </row>
    <row r="28" spans="1:9" x14ac:dyDescent="0.35">
      <c r="A28" s="77">
        <v>25</v>
      </c>
      <c r="B28" s="451" t="s">
        <v>90</v>
      </c>
      <c r="C28" s="77" t="s">
        <v>75</v>
      </c>
      <c r="D28" s="452">
        <f>'[2]Items Pricelist'!D26</f>
        <v>1950</v>
      </c>
      <c r="E28" s="209">
        <f t="shared" si="0"/>
        <v>156</v>
      </c>
      <c r="F28" s="209">
        <f t="shared" si="1"/>
        <v>2106</v>
      </c>
      <c r="G28" s="209">
        <f t="shared" si="2"/>
        <v>29.484000000000002</v>
      </c>
      <c r="H28" s="209">
        <f t="shared" si="4"/>
        <v>298.96776</v>
      </c>
      <c r="I28" s="209">
        <f t="shared" si="3"/>
        <v>2434</v>
      </c>
    </row>
    <row r="29" spans="1:9" x14ac:dyDescent="0.35">
      <c r="A29" s="77">
        <v>26</v>
      </c>
      <c r="B29" s="451" t="s">
        <v>91</v>
      </c>
      <c r="C29" s="77" t="s">
        <v>75</v>
      </c>
      <c r="D29" s="452">
        <f>'[2]Items Pricelist'!D27</f>
        <v>1590</v>
      </c>
      <c r="E29" s="209">
        <f t="shared" si="0"/>
        <v>127.2</v>
      </c>
      <c r="F29" s="209">
        <f t="shared" si="1"/>
        <v>1717.2</v>
      </c>
      <c r="G29" s="209">
        <f t="shared" si="2"/>
        <v>24.040800000000001</v>
      </c>
      <c r="H29" s="209">
        <f t="shared" si="4"/>
        <v>243.77371200000002</v>
      </c>
      <c r="I29" s="209">
        <f t="shared" si="3"/>
        <v>1985</v>
      </c>
    </row>
    <row r="30" spans="1:9" x14ac:dyDescent="0.35">
      <c r="A30" s="77">
        <v>27</v>
      </c>
      <c r="B30" s="451" t="s">
        <v>92</v>
      </c>
      <c r="C30" s="77" t="s">
        <v>75</v>
      </c>
      <c r="D30" s="452">
        <f>'[2]Items Pricelist'!D28</f>
        <v>3190</v>
      </c>
      <c r="E30" s="209">
        <f t="shared" si="0"/>
        <v>255.20000000000002</v>
      </c>
      <c r="F30" s="209">
        <f t="shared" si="1"/>
        <v>3445.2</v>
      </c>
      <c r="G30" s="209">
        <f t="shared" si="2"/>
        <v>48.232799999999997</v>
      </c>
      <c r="H30" s="209">
        <f t="shared" si="4"/>
        <v>489.08059199999997</v>
      </c>
      <c r="I30" s="209">
        <f t="shared" si="3"/>
        <v>3983</v>
      </c>
    </row>
    <row r="31" spans="1:9" x14ac:dyDescent="0.35">
      <c r="A31" s="77">
        <v>28</v>
      </c>
      <c r="B31" s="451" t="s">
        <v>93</v>
      </c>
      <c r="C31" s="77" t="s">
        <v>75</v>
      </c>
      <c r="D31" s="452">
        <f>'[2]Items Pricelist'!D29</f>
        <v>2628</v>
      </c>
      <c r="E31" s="209">
        <f t="shared" si="0"/>
        <v>210.24</v>
      </c>
      <c r="F31" s="209">
        <f t="shared" si="1"/>
        <v>2838.24</v>
      </c>
      <c r="G31" s="209">
        <f t="shared" si="2"/>
        <v>39.73536</v>
      </c>
      <c r="H31" s="209">
        <f t="shared" si="4"/>
        <v>402.91655040000001</v>
      </c>
      <c r="I31" s="209">
        <f t="shared" si="3"/>
        <v>3281</v>
      </c>
    </row>
    <row r="32" spans="1:9" x14ac:dyDescent="0.35">
      <c r="A32" s="77">
        <v>29</v>
      </c>
      <c r="B32" s="451" t="s">
        <v>94</v>
      </c>
      <c r="C32" s="77" t="s">
        <v>75</v>
      </c>
      <c r="D32" s="452">
        <f>'[2]Items Pricelist'!D30</f>
        <v>2650</v>
      </c>
      <c r="E32" s="209">
        <f t="shared" si="0"/>
        <v>212</v>
      </c>
      <c r="F32" s="209">
        <f t="shared" si="1"/>
        <v>2862</v>
      </c>
      <c r="G32" s="209">
        <f t="shared" si="2"/>
        <v>40.067999999999998</v>
      </c>
      <c r="H32" s="209">
        <f t="shared" si="4"/>
        <v>406.2895200000001</v>
      </c>
      <c r="I32" s="209">
        <f t="shared" si="3"/>
        <v>3308</v>
      </c>
    </row>
    <row r="33" spans="1:9" x14ac:dyDescent="0.35">
      <c r="A33" s="77">
        <v>30</v>
      </c>
      <c r="B33" s="451" t="s">
        <v>95</v>
      </c>
      <c r="C33" s="77" t="s">
        <v>75</v>
      </c>
      <c r="D33" s="452">
        <f>'[2]Items Pricelist'!D31</f>
        <v>1590</v>
      </c>
      <c r="E33" s="209">
        <f t="shared" si="0"/>
        <v>127.2</v>
      </c>
      <c r="F33" s="209">
        <f t="shared" si="1"/>
        <v>1717.2</v>
      </c>
      <c r="G33" s="209">
        <f t="shared" si="2"/>
        <v>24.040800000000001</v>
      </c>
      <c r="H33" s="209">
        <f t="shared" si="4"/>
        <v>243.77371200000002</v>
      </c>
      <c r="I33" s="209">
        <f t="shared" si="3"/>
        <v>1985</v>
      </c>
    </row>
    <row r="34" spans="1:9" x14ac:dyDescent="0.35">
      <c r="A34" s="77">
        <v>31</v>
      </c>
      <c r="B34" s="451" t="s">
        <v>96</v>
      </c>
      <c r="C34" s="77" t="s">
        <v>75</v>
      </c>
      <c r="D34" s="452">
        <f>'[2]Items Pricelist'!D32</f>
        <v>3120</v>
      </c>
      <c r="E34" s="209">
        <f t="shared" si="0"/>
        <v>249.6</v>
      </c>
      <c r="F34" s="209">
        <f t="shared" si="1"/>
        <v>3369.6</v>
      </c>
      <c r="G34" s="209">
        <f t="shared" si="2"/>
        <v>47.174399999999999</v>
      </c>
      <c r="H34" s="209">
        <f t="shared" si="4"/>
        <v>478.34841600000004</v>
      </c>
      <c r="I34" s="209">
        <f t="shared" si="3"/>
        <v>3895</v>
      </c>
    </row>
    <row r="35" spans="1:9" x14ac:dyDescent="0.35">
      <c r="A35" s="77">
        <v>32</v>
      </c>
      <c r="B35" s="451" t="s">
        <v>97</v>
      </c>
      <c r="C35" s="77" t="s">
        <v>75</v>
      </c>
      <c r="D35" s="452">
        <f>'[2]Items Pricelist'!D33</f>
        <v>160</v>
      </c>
      <c r="E35" s="209">
        <f t="shared" si="0"/>
        <v>12.8</v>
      </c>
      <c r="F35" s="209">
        <f t="shared" si="1"/>
        <v>172.8</v>
      </c>
      <c r="G35" s="209">
        <f t="shared" si="2"/>
        <v>2.4192</v>
      </c>
      <c r="H35" s="209">
        <f t="shared" si="4"/>
        <v>24.530688000000001</v>
      </c>
      <c r="I35" s="209">
        <f t="shared" si="3"/>
        <v>200</v>
      </c>
    </row>
    <row r="36" spans="1:9" x14ac:dyDescent="0.35">
      <c r="A36" s="77">
        <v>33</v>
      </c>
      <c r="B36" s="451" t="s">
        <v>98</v>
      </c>
      <c r="C36" s="77" t="s">
        <v>75</v>
      </c>
      <c r="D36" s="452">
        <f>'[2]Items Pricelist'!D34</f>
        <v>1500</v>
      </c>
      <c r="E36" s="209">
        <f t="shared" si="0"/>
        <v>120</v>
      </c>
      <c r="F36" s="209">
        <f t="shared" si="1"/>
        <v>1620</v>
      </c>
      <c r="G36" s="209">
        <f t="shared" si="2"/>
        <v>22.68</v>
      </c>
      <c r="H36" s="209">
        <f t="shared" si="4"/>
        <v>229.97520000000003</v>
      </c>
      <c r="I36" s="209">
        <f t="shared" si="3"/>
        <v>1873</v>
      </c>
    </row>
    <row r="37" spans="1:9" x14ac:dyDescent="0.35">
      <c r="A37" s="77">
        <v>34</v>
      </c>
      <c r="B37" s="451" t="s">
        <v>99</v>
      </c>
      <c r="C37" s="77" t="s">
        <v>75</v>
      </c>
      <c r="D37" s="452">
        <f>'[2]Items Pricelist'!D35</f>
        <v>575</v>
      </c>
      <c r="E37" s="209">
        <f t="shared" si="0"/>
        <v>46</v>
      </c>
      <c r="F37" s="209">
        <f t="shared" si="1"/>
        <v>621</v>
      </c>
      <c r="G37" s="209">
        <f t="shared" si="2"/>
        <v>8.6940000000000008</v>
      </c>
      <c r="H37" s="209">
        <f t="shared" si="4"/>
        <v>88.157160000000005</v>
      </c>
      <c r="I37" s="209">
        <f t="shared" si="3"/>
        <v>718</v>
      </c>
    </row>
    <row r="38" spans="1:9" x14ac:dyDescent="0.35">
      <c r="A38" s="77">
        <v>35</v>
      </c>
      <c r="B38" s="451" t="s">
        <v>100</v>
      </c>
      <c r="C38" s="77" t="s">
        <v>75</v>
      </c>
      <c r="D38" s="452">
        <f>'[2]Items Pricelist'!D36</f>
        <v>130</v>
      </c>
      <c r="E38" s="209">
        <f t="shared" si="0"/>
        <v>10.4</v>
      </c>
      <c r="F38" s="209">
        <f t="shared" si="1"/>
        <v>140.4</v>
      </c>
      <c r="G38" s="209">
        <f t="shared" si="2"/>
        <v>1.9656</v>
      </c>
      <c r="H38" s="209">
        <f t="shared" si="4"/>
        <v>19.931184000000002</v>
      </c>
      <c r="I38" s="209">
        <f t="shared" si="3"/>
        <v>162</v>
      </c>
    </row>
    <row r="39" spans="1:9" x14ac:dyDescent="0.35">
      <c r="A39" s="77">
        <v>36</v>
      </c>
      <c r="B39" s="451" t="s">
        <v>101</v>
      </c>
      <c r="C39" s="77" t="s">
        <v>75</v>
      </c>
      <c r="D39" s="452">
        <f>'[2]Items Pricelist'!D37</f>
        <v>95</v>
      </c>
      <c r="E39" s="209">
        <f t="shared" si="0"/>
        <v>7.6000000000000005</v>
      </c>
      <c r="F39" s="209">
        <f t="shared" si="1"/>
        <v>102.6</v>
      </c>
      <c r="G39" s="209">
        <f t="shared" si="2"/>
        <v>1.4363999999999999</v>
      </c>
      <c r="H39" s="209">
        <f t="shared" si="4"/>
        <v>14.565096000000002</v>
      </c>
      <c r="I39" s="209">
        <f t="shared" si="3"/>
        <v>119</v>
      </c>
    </row>
    <row r="40" spans="1:9" x14ac:dyDescent="0.35">
      <c r="A40" s="77">
        <v>37</v>
      </c>
      <c r="B40" s="451" t="s">
        <v>102</v>
      </c>
      <c r="C40" s="77" t="s">
        <v>103</v>
      </c>
      <c r="D40" s="452">
        <f>'[2]Items Pricelist'!D38</f>
        <v>35</v>
      </c>
      <c r="E40" s="209">
        <f t="shared" si="0"/>
        <v>2.8000000000000003</v>
      </c>
      <c r="F40" s="209">
        <f t="shared" si="1"/>
        <v>37.799999999999997</v>
      </c>
      <c r="G40" s="209">
        <f t="shared" si="2"/>
        <v>0.5292</v>
      </c>
      <c r="H40" s="209">
        <f t="shared" si="4"/>
        <v>5.3660880000000004</v>
      </c>
      <c r="I40" s="209">
        <f t="shared" si="3"/>
        <v>44</v>
      </c>
    </row>
    <row r="41" spans="1:9" x14ac:dyDescent="0.35">
      <c r="A41" s="77">
        <v>38</v>
      </c>
      <c r="B41" s="451" t="s">
        <v>104</v>
      </c>
      <c r="C41" s="77" t="s">
        <v>75</v>
      </c>
      <c r="D41" s="452">
        <f>'[2]Items Pricelist'!D39</f>
        <v>700</v>
      </c>
      <c r="E41" s="209">
        <f t="shared" si="0"/>
        <v>56</v>
      </c>
      <c r="F41" s="209">
        <f t="shared" si="1"/>
        <v>756</v>
      </c>
      <c r="G41" s="209">
        <f t="shared" si="2"/>
        <v>10.584</v>
      </c>
      <c r="H41" s="209">
        <f t="shared" si="4"/>
        <v>107.32176</v>
      </c>
      <c r="I41" s="209">
        <f t="shared" si="3"/>
        <v>874</v>
      </c>
    </row>
    <row r="42" spans="1:9" x14ac:dyDescent="0.35">
      <c r="A42" s="77">
        <v>39</v>
      </c>
      <c r="B42" s="451" t="s">
        <v>105</v>
      </c>
      <c r="C42" s="77" t="s">
        <v>75</v>
      </c>
      <c r="D42" s="452">
        <f>'[2]Items Pricelist'!D40</f>
        <v>35</v>
      </c>
      <c r="E42" s="209">
        <f t="shared" si="0"/>
        <v>2.8000000000000003</v>
      </c>
      <c r="F42" s="209">
        <f t="shared" si="1"/>
        <v>37.799999999999997</v>
      </c>
      <c r="G42" s="209">
        <f t="shared" si="2"/>
        <v>0.5292</v>
      </c>
      <c r="H42" s="209">
        <f t="shared" si="4"/>
        <v>5.3660880000000004</v>
      </c>
      <c r="I42" s="209">
        <f t="shared" si="3"/>
        <v>44</v>
      </c>
    </row>
    <row r="43" spans="1:9" x14ac:dyDescent="0.35">
      <c r="A43" s="77">
        <v>40</v>
      </c>
      <c r="B43" s="451" t="s">
        <v>106</v>
      </c>
      <c r="C43" s="77" t="s">
        <v>75</v>
      </c>
      <c r="D43" s="452">
        <f>'[2]Items Pricelist'!D41</f>
        <v>42</v>
      </c>
      <c r="E43" s="209">
        <f t="shared" si="0"/>
        <v>3.36</v>
      </c>
      <c r="F43" s="209">
        <f t="shared" si="1"/>
        <v>45.36</v>
      </c>
      <c r="G43" s="209">
        <f t="shared" si="2"/>
        <v>0.63504000000000005</v>
      </c>
      <c r="H43" s="209">
        <f t="shared" si="4"/>
        <v>6.4393056000000009</v>
      </c>
      <c r="I43" s="209">
        <f t="shared" si="3"/>
        <v>52</v>
      </c>
    </row>
    <row r="44" spans="1:9" x14ac:dyDescent="0.35">
      <c r="A44" s="77">
        <v>41</v>
      </c>
      <c r="B44" s="451" t="s">
        <v>107</v>
      </c>
      <c r="C44" s="77" t="s">
        <v>75</v>
      </c>
      <c r="D44" s="452">
        <f>'[2]Items Pricelist'!D42</f>
        <v>28</v>
      </c>
      <c r="E44" s="209">
        <f t="shared" si="0"/>
        <v>2.2400000000000002</v>
      </c>
      <c r="F44" s="209">
        <f t="shared" si="1"/>
        <v>30.240000000000002</v>
      </c>
      <c r="G44" s="209">
        <f t="shared" si="2"/>
        <v>0.42336000000000001</v>
      </c>
      <c r="H44" s="209">
        <f t="shared" si="4"/>
        <v>4.2928704000000009</v>
      </c>
      <c r="I44" s="209">
        <f t="shared" si="3"/>
        <v>35</v>
      </c>
    </row>
    <row r="45" spans="1:9" x14ac:dyDescent="0.35">
      <c r="A45" s="77">
        <v>42</v>
      </c>
      <c r="B45" s="451" t="s">
        <v>108</v>
      </c>
      <c r="C45" s="77" t="s">
        <v>75</v>
      </c>
      <c r="D45" s="452">
        <f>'[2]Items Pricelist'!D43</f>
        <v>75</v>
      </c>
      <c r="E45" s="209">
        <f t="shared" si="0"/>
        <v>6</v>
      </c>
      <c r="F45" s="209">
        <f t="shared" si="1"/>
        <v>81</v>
      </c>
      <c r="G45" s="209">
        <f t="shared" si="2"/>
        <v>1.1340000000000001</v>
      </c>
      <c r="H45" s="209">
        <f t="shared" si="4"/>
        <v>11.498760000000001</v>
      </c>
      <c r="I45" s="209">
        <f t="shared" si="3"/>
        <v>94</v>
      </c>
    </row>
    <row r="46" spans="1:9" x14ac:dyDescent="0.35">
      <c r="A46" s="77">
        <v>43</v>
      </c>
      <c r="B46" s="451" t="s">
        <v>109</v>
      </c>
      <c r="C46" s="77" t="s">
        <v>75</v>
      </c>
      <c r="D46" s="452">
        <f>'[2]Items Pricelist'!D44</f>
        <v>38</v>
      </c>
      <c r="E46" s="209">
        <f t="shared" si="0"/>
        <v>3.04</v>
      </c>
      <c r="F46" s="209">
        <f t="shared" si="1"/>
        <v>41.04</v>
      </c>
      <c r="G46" s="209">
        <f t="shared" si="2"/>
        <v>0.57455999999999996</v>
      </c>
      <c r="H46" s="209">
        <f t="shared" si="4"/>
        <v>5.8260383999999998</v>
      </c>
      <c r="I46" s="209">
        <f t="shared" si="3"/>
        <v>47</v>
      </c>
    </row>
    <row r="47" spans="1:9" x14ac:dyDescent="0.35">
      <c r="A47" s="77">
        <v>44</v>
      </c>
      <c r="B47" s="451" t="s">
        <v>110</v>
      </c>
      <c r="C47" s="77" t="s">
        <v>75</v>
      </c>
      <c r="D47" s="452">
        <f>'[2]Items Pricelist'!D45</f>
        <v>370</v>
      </c>
      <c r="E47" s="209">
        <f t="shared" si="0"/>
        <v>29.6</v>
      </c>
      <c r="F47" s="209">
        <f t="shared" si="1"/>
        <v>399.6</v>
      </c>
      <c r="G47" s="209">
        <f t="shared" si="2"/>
        <v>5.5944000000000003</v>
      </c>
      <c r="H47" s="209">
        <f t="shared" si="4"/>
        <v>56.727216000000013</v>
      </c>
      <c r="I47" s="209">
        <f t="shared" si="3"/>
        <v>462</v>
      </c>
    </row>
    <row r="48" spans="1:9" x14ac:dyDescent="0.35">
      <c r="A48" s="77">
        <v>45</v>
      </c>
      <c r="B48" s="451" t="s">
        <v>111</v>
      </c>
      <c r="C48" s="77" t="s">
        <v>75</v>
      </c>
      <c r="D48" s="452">
        <f>'[2]Items Pricelist'!D46</f>
        <v>38</v>
      </c>
      <c r="E48" s="209">
        <f t="shared" si="0"/>
        <v>3.04</v>
      </c>
      <c r="F48" s="209">
        <f t="shared" si="1"/>
        <v>41.04</v>
      </c>
      <c r="G48" s="209">
        <f t="shared" si="2"/>
        <v>0.57455999999999996</v>
      </c>
      <c r="H48" s="209">
        <f t="shared" si="4"/>
        <v>5.8260383999999998</v>
      </c>
      <c r="I48" s="209">
        <f t="shared" si="3"/>
        <v>47</v>
      </c>
    </row>
    <row r="49" spans="1:9" x14ac:dyDescent="0.35">
      <c r="A49" s="77">
        <v>46</v>
      </c>
      <c r="B49" s="451" t="s">
        <v>112</v>
      </c>
      <c r="C49" s="77" t="s">
        <v>75</v>
      </c>
      <c r="D49" s="452">
        <f>'[2]Items Pricelist'!D47</f>
        <v>39</v>
      </c>
      <c r="E49" s="209">
        <f t="shared" si="0"/>
        <v>3.12</v>
      </c>
      <c r="F49" s="209">
        <f t="shared" si="1"/>
        <v>42.12</v>
      </c>
      <c r="G49" s="209">
        <f t="shared" si="2"/>
        <v>0.58967999999999998</v>
      </c>
      <c r="H49" s="209">
        <f t="shared" si="4"/>
        <v>5.9793552000000005</v>
      </c>
      <c r="I49" s="209">
        <f t="shared" si="3"/>
        <v>49</v>
      </c>
    </row>
    <row r="50" spans="1:9" x14ac:dyDescent="0.35">
      <c r="A50" s="77">
        <v>47</v>
      </c>
      <c r="B50" s="451" t="s">
        <v>113</v>
      </c>
      <c r="C50" s="77" t="s">
        <v>75</v>
      </c>
      <c r="D50" s="452">
        <f>'[2]Items Pricelist'!D48</f>
        <v>27</v>
      </c>
      <c r="E50" s="209">
        <f t="shared" si="0"/>
        <v>2.16</v>
      </c>
      <c r="F50" s="209">
        <f t="shared" si="1"/>
        <v>29.16</v>
      </c>
      <c r="G50" s="209">
        <f t="shared" si="2"/>
        <v>0.40823999999999999</v>
      </c>
      <c r="H50" s="209">
        <f t="shared" si="4"/>
        <v>4.1395536000000002</v>
      </c>
      <c r="I50" s="209">
        <f t="shared" si="3"/>
        <v>34</v>
      </c>
    </row>
    <row r="51" spans="1:9" x14ac:dyDescent="0.35">
      <c r="A51" s="77">
        <v>48</v>
      </c>
      <c r="B51" s="451" t="s">
        <v>114</v>
      </c>
      <c r="C51" s="77" t="s">
        <v>75</v>
      </c>
      <c r="D51" s="452">
        <f>'[2]Items Pricelist'!D49</f>
        <v>17</v>
      </c>
      <c r="E51" s="209">
        <f t="shared" si="0"/>
        <v>1.36</v>
      </c>
      <c r="F51" s="209">
        <f t="shared" si="1"/>
        <v>18.36</v>
      </c>
      <c r="G51" s="209">
        <f t="shared" si="2"/>
        <v>0.25703999999999999</v>
      </c>
      <c r="H51" s="209">
        <f t="shared" si="4"/>
        <v>2.6063856000000003</v>
      </c>
      <c r="I51" s="209">
        <f t="shared" si="3"/>
        <v>21</v>
      </c>
    </row>
    <row r="52" spans="1:9" x14ac:dyDescent="0.35">
      <c r="A52" s="77">
        <v>49</v>
      </c>
      <c r="B52" s="451" t="s">
        <v>115</v>
      </c>
      <c r="C52" s="77" t="s">
        <v>75</v>
      </c>
      <c r="D52" s="452">
        <f>'[2]Items Pricelist'!D50</f>
        <v>17</v>
      </c>
      <c r="E52" s="209">
        <f t="shared" si="0"/>
        <v>1.36</v>
      </c>
      <c r="F52" s="209">
        <f t="shared" si="1"/>
        <v>18.36</v>
      </c>
      <c r="G52" s="209">
        <f t="shared" si="2"/>
        <v>0.25703999999999999</v>
      </c>
      <c r="H52" s="209">
        <f t="shared" si="4"/>
        <v>2.6063856000000003</v>
      </c>
      <c r="I52" s="209">
        <f t="shared" si="3"/>
        <v>21</v>
      </c>
    </row>
    <row r="53" spans="1:9" x14ac:dyDescent="0.35">
      <c r="A53" s="77">
        <v>50</v>
      </c>
      <c r="B53" s="451" t="s">
        <v>116</v>
      </c>
      <c r="C53" s="77" t="s">
        <v>75</v>
      </c>
      <c r="D53" s="452">
        <f>'[2]Items Pricelist'!D51</f>
        <v>390</v>
      </c>
      <c r="E53" s="209">
        <f t="shared" si="0"/>
        <v>31.2</v>
      </c>
      <c r="F53" s="209">
        <f t="shared" si="1"/>
        <v>421.2</v>
      </c>
      <c r="G53" s="209">
        <f t="shared" si="2"/>
        <v>5.8967999999999998</v>
      </c>
      <c r="H53" s="209">
        <f t="shared" si="4"/>
        <v>59.793552000000005</v>
      </c>
      <c r="I53" s="209">
        <f t="shared" si="3"/>
        <v>487</v>
      </c>
    </row>
    <row r="54" spans="1:9" x14ac:dyDescent="0.35">
      <c r="A54" s="77">
        <v>51</v>
      </c>
      <c r="B54" s="451" t="s">
        <v>117</v>
      </c>
      <c r="C54" s="77" t="s">
        <v>75</v>
      </c>
      <c r="D54" s="452">
        <f>'[2]Items Pricelist'!D52</f>
        <v>390</v>
      </c>
      <c r="E54" s="209">
        <f t="shared" si="0"/>
        <v>31.2</v>
      </c>
      <c r="F54" s="209">
        <f t="shared" si="1"/>
        <v>421.2</v>
      </c>
      <c r="G54" s="209">
        <f t="shared" si="2"/>
        <v>5.8967999999999998</v>
      </c>
      <c r="H54" s="209">
        <f t="shared" si="4"/>
        <v>59.793552000000005</v>
      </c>
      <c r="I54" s="209">
        <f t="shared" si="3"/>
        <v>487</v>
      </c>
    </row>
    <row r="55" spans="1:9" x14ac:dyDescent="0.35">
      <c r="A55" s="77">
        <v>52</v>
      </c>
      <c r="B55" s="451" t="s">
        <v>118</v>
      </c>
      <c r="C55" s="77" t="s">
        <v>75</v>
      </c>
      <c r="D55" s="452">
        <f>'[2]Items Pricelist'!D53</f>
        <v>390</v>
      </c>
      <c r="E55" s="209">
        <f t="shared" si="0"/>
        <v>31.2</v>
      </c>
      <c r="F55" s="209">
        <f t="shared" si="1"/>
        <v>421.2</v>
      </c>
      <c r="G55" s="209">
        <f t="shared" si="2"/>
        <v>5.8967999999999998</v>
      </c>
      <c r="H55" s="209">
        <f t="shared" si="4"/>
        <v>59.793552000000005</v>
      </c>
      <c r="I55" s="209">
        <f t="shared" si="3"/>
        <v>487</v>
      </c>
    </row>
    <row r="56" spans="1:9" x14ac:dyDescent="0.35">
      <c r="A56" s="77">
        <v>53</v>
      </c>
      <c r="B56" s="451" t="s">
        <v>119</v>
      </c>
      <c r="C56" s="77" t="s">
        <v>75</v>
      </c>
      <c r="D56" s="452">
        <f>'[2]Items Pricelist'!D54</f>
        <v>88</v>
      </c>
      <c r="E56" s="209">
        <f t="shared" si="0"/>
        <v>7.04</v>
      </c>
      <c r="F56" s="209">
        <f t="shared" si="1"/>
        <v>95.04</v>
      </c>
      <c r="G56" s="209">
        <f t="shared" si="2"/>
        <v>1.3305600000000002</v>
      </c>
      <c r="H56" s="209">
        <f t="shared" si="4"/>
        <v>13.491878400000003</v>
      </c>
      <c r="I56" s="209">
        <f t="shared" si="3"/>
        <v>110</v>
      </c>
    </row>
    <row r="57" spans="1:9" x14ac:dyDescent="0.35">
      <c r="A57" s="77">
        <v>54</v>
      </c>
      <c r="B57" s="451" t="s">
        <v>120</v>
      </c>
      <c r="C57" s="77" t="s">
        <v>75</v>
      </c>
      <c r="D57" s="452">
        <f>'[2]Items Pricelist'!D55</f>
        <v>28</v>
      </c>
      <c r="E57" s="209">
        <f t="shared" si="0"/>
        <v>2.2400000000000002</v>
      </c>
      <c r="F57" s="209">
        <f t="shared" si="1"/>
        <v>30.240000000000002</v>
      </c>
      <c r="G57" s="209">
        <f t="shared" si="2"/>
        <v>0.42336000000000001</v>
      </c>
      <c r="H57" s="209">
        <f t="shared" si="4"/>
        <v>4.2928704000000009</v>
      </c>
      <c r="I57" s="209">
        <f t="shared" si="3"/>
        <v>35</v>
      </c>
    </row>
    <row r="58" spans="1:9" x14ac:dyDescent="0.35">
      <c r="A58" s="77">
        <v>55</v>
      </c>
      <c r="B58" s="451" t="s">
        <v>121</v>
      </c>
      <c r="C58" s="77" t="s">
        <v>75</v>
      </c>
      <c r="D58" s="452">
        <f>'[2]Items Pricelist'!D56</f>
        <v>74</v>
      </c>
      <c r="E58" s="209">
        <f t="shared" si="0"/>
        <v>5.92</v>
      </c>
      <c r="F58" s="209">
        <f t="shared" si="1"/>
        <v>79.92</v>
      </c>
      <c r="G58" s="209">
        <f t="shared" si="2"/>
        <v>1.1188800000000001</v>
      </c>
      <c r="H58" s="209">
        <f t="shared" si="4"/>
        <v>11.345443200000002</v>
      </c>
      <c r="I58" s="209">
        <f t="shared" si="3"/>
        <v>92</v>
      </c>
    </row>
    <row r="59" spans="1:9" x14ac:dyDescent="0.35">
      <c r="A59" s="77">
        <v>56</v>
      </c>
      <c r="B59" s="451" t="s">
        <v>122</v>
      </c>
      <c r="C59" s="77" t="s">
        <v>75</v>
      </c>
      <c r="D59" s="452">
        <f>'[2]Items Pricelist'!D57</f>
        <v>500</v>
      </c>
      <c r="E59" s="209">
        <f t="shared" si="0"/>
        <v>40</v>
      </c>
      <c r="F59" s="209">
        <f t="shared" si="1"/>
        <v>540</v>
      </c>
      <c r="G59" s="209">
        <f t="shared" si="2"/>
        <v>7.5600000000000005</v>
      </c>
      <c r="H59" s="209">
        <f t="shared" si="4"/>
        <v>76.6584</v>
      </c>
      <c r="I59" s="209">
        <f t="shared" si="3"/>
        <v>624</v>
      </c>
    </row>
    <row r="60" spans="1:9" x14ac:dyDescent="0.35">
      <c r="A60" s="77">
        <v>57</v>
      </c>
      <c r="B60" s="451" t="s">
        <v>123</v>
      </c>
      <c r="C60" s="77" t="s">
        <v>75</v>
      </c>
      <c r="D60" s="452">
        <f>'[2]Items Pricelist'!D58</f>
        <v>188</v>
      </c>
      <c r="E60" s="209">
        <f t="shared" si="0"/>
        <v>15.040000000000001</v>
      </c>
      <c r="F60" s="209">
        <f t="shared" si="1"/>
        <v>203.04</v>
      </c>
      <c r="G60" s="209">
        <f t="shared" si="2"/>
        <v>2.8425599999999998</v>
      </c>
      <c r="H60" s="209">
        <f t="shared" si="4"/>
        <v>28.8235584</v>
      </c>
      <c r="I60" s="209">
        <f t="shared" si="3"/>
        <v>235</v>
      </c>
    </row>
    <row r="61" spans="1:9" x14ac:dyDescent="0.35">
      <c r="A61" s="77">
        <v>58</v>
      </c>
      <c r="B61" s="451" t="s">
        <v>124</v>
      </c>
      <c r="C61" s="77" t="s">
        <v>75</v>
      </c>
      <c r="D61" s="452">
        <f>'[2]Items Pricelist'!D59</f>
        <v>300</v>
      </c>
      <c r="E61" s="209">
        <f t="shared" si="0"/>
        <v>24</v>
      </c>
      <c r="F61" s="209">
        <f t="shared" si="1"/>
        <v>324</v>
      </c>
      <c r="G61" s="209">
        <f t="shared" si="2"/>
        <v>4.5360000000000005</v>
      </c>
      <c r="H61" s="209">
        <f t="shared" si="4"/>
        <v>45.995040000000003</v>
      </c>
      <c r="I61" s="209">
        <f t="shared" si="3"/>
        <v>375</v>
      </c>
    </row>
    <row r="62" spans="1:9" x14ac:dyDescent="0.35">
      <c r="A62" s="77">
        <v>59</v>
      </c>
      <c r="B62" s="451" t="s">
        <v>125</v>
      </c>
      <c r="C62" s="77" t="s">
        <v>75</v>
      </c>
      <c r="D62" s="452">
        <f>'[2]Items Pricelist'!D60</f>
        <v>60</v>
      </c>
      <c r="E62" s="209">
        <f t="shared" si="0"/>
        <v>4.8</v>
      </c>
      <c r="F62" s="209">
        <f t="shared" si="1"/>
        <v>64.8</v>
      </c>
      <c r="G62" s="209">
        <f t="shared" si="2"/>
        <v>0.90720000000000001</v>
      </c>
      <c r="H62" s="209">
        <f t="shared" si="4"/>
        <v>9.199008000000001</v>
      </c>
      <c r="I62" s="209">
        <f t="shared" si="3"/>
        <v>75</v>
      </c>
    </row>
    <row r="63" spans="1:9" x14ac:dyDescent="0.35">
      <c r="A63" s="77">
        <v>60</v>
      </c>
      <c r="B63" s="451" t="s">
        <v>126</v>
      </c>
      <c r="C63" s="77" t="s">
        <v>75</v>
      </c>
      <c r="D63" s="452">
        <f>'[2]Items Pricelist'!D61</f>
        <v>475</v>
      </c>
      <c r="E63" s="209">
        <f t="shared" si="0"/>
        <v>38</v>
      </c>
      <c r="F63" s="209">
        <f t="shared" si="1"/>
        <v>513</v>
      </c>
      <c r="G63" s="209">
        <f t="shared" si="2"/>
        <v>7.1820000000000004</v>
      </c>
      <c r="H63" s="209">
        <f t="shared" si="4"/>
        <v>72.825480000000013</v>
      </c>
      <c r="I63" s="209">
        <f t="shared" si="3"/>
        <v>593</v>
      </c>
    </row>
    <row r="64" spans="1:9" x14ac:dyDescent="0.35">
      <c r="A64" s="77">
        <v>61</v>
      </c>
      <c r="B64" s="451" t="s">
        <v>127</v>
      </c>
      <c r="C64" s="77" t="s">
        <v>75</v>
      </c>
      <c r="D64" s="452">
        <f>'[2]Items Pricelist'!D62</f>
        <v>55</v>
      </c>
      <c r="E64" s="209">
        <f t="shared" si="0"/>
        <v>4.4000000000000004</v>
      </c>
      <c r="F64" s="209">
        <f t="shared" si="1"/>
        <v>59.4</v>
      </c>
      <c r="G64" s="209">
        <f t="shared" si="2"/>
        <v>0.83160000000000001</v>
      </c>
      <c r="H64" s="209">
        <f t="shared" si="4"/>
        <v>8.432424000000001</v>
      </c>
      <c r="I64" s="209">
        <f t="shared" si="3"/>
        <v>69</v>
      </c>
    </row>
    <row r="65" spans="1:9" x14ac:dyDescent="0.35">
      <c r="A65" s="77">
        <v>62</v>
      </c>
      <c r="B65" s="451" t="s">
        <v>128</v>
      </c>
      <c r="C65" s="77" t="s">
        <v>75</v>
      </c>
      <c r="D65" s="452">
        <f>'[2]Items Pricelist'!D63</f>
        <v>115</v>
      </c>
      <c r="E65" s="209">
        <f t="shared" si="0"/>
        <v>9.2000000000000011</v>
      </c>
      <c r="F65" s="209">
        <f t="shared" si="1"/>
        <v>124.2</v>
      </c>
      <c r="G65" s="209">
        <f t="shared" si="2"/>
        <v>1.7388000000000001</v>
      </c>
      <c r="H65" s="209">
        <f t="shared" si="4"/>
        <v>17.631432</v>
      </c>
      <c r="I65" s="209">
        <f t="shared" si="3"/>
        <v>144</v>
      </c>
    </row>
    <row r="66" spans="1:9" x14ac:dyDescent="0.35">
      <c r="A66" s="77">
        <v>63</v>
      </c>
      <c r="B66" s="451" t="s">
        <v>129</v>
      </c>
      <c r="C66" s="77" t="s">
        <v>75</v>
      </c>
      <c r="D66" s="452">
        <f>'[2]Items Pricelist'!D64</f>
        <v>176</v>
      </c>
      <c r="E66" s="209">
        <f t="shared" si="0"/>
        <v>14.08</v>
      </c>
      <c r="F66" s="209">
        <f t="shared" si="1"/>
        <v>190.08</v>
      </c>
      <c r="G66" s="209">
        <f t="shared" si="2"/>
        <v>2.6611200000000004</v>
      </c>
      <c r="H66" s="209">
        <f t="shared" si="4"/>
        <v>26.983756800000005</v>
      </c>
      <c r="I66" s="209">
        <f t="shared" si="3"/>
        <v>220</v>
      </c>
    </row>
    <row r="67" spans="1:9" x14ac:dyDescent="0.35">
      <c r="A67" s="77">
        <v>64</v>
      </c>
      <c r="B67" s="451" t="s">
        <v>130</v>
      </c>
      <c r="C67" s="77" t="s">
        <v>75</v>
      </c>
      <c r="D67" s="452">
        <f>'[2]Items Pricelist'!D65</f>
        <v>20</v>
      </c>
      <c r="E67" s="209">
        <f t="shared" si="0"/>
        <v>1.6</v>
      </c>
      <c r="F67" s="209">
        <f t="shared" si="1"/>
        <v>21.6</v>
      </c>
      <c r="G67" s="209">
        <f t="shared" si="2"/>
        <v>0.3024</v>
      </c>
      <c r="H67" s="209">
        <f t="shared" si="4"/>
        <v>3.0663360000000002</v>
      </c>
      <c r="I67" s="209">
        <f t="shared" si="3"/>
        <v>25</v>
      </c>
    </row>
    <row r="68" spans="1:9" x14ac:dyDescent="0.35">
      <c r="A68" s="77">
        <v>65</v>
      </c>
      <c r="B68" s="451" t="s">
        <v>131</v>
      </c>
      <c r="C68" s="77" t="s">
        <v>75</v>
      </c>
      <c r="D68" s="452">
        <f>'[2]Items Pricelist'!D66</f>
        <v>42</v>
      </c>
      <c r="E68" s="209">
        <f t="shared" si="0"/>
        <v>3.36</v>
      </c>
      <c r="F68" s="209">
        <f t="shared" si="1"/>
        <v>45.36</v>
      </c>
      <c r="G68" s="209">
        <f t="shared" si="2"/>
        <v>0.63504000000000005</v>
      </c>
      <c r="H68" s="209">
        <f t="shared" si="4"/>
        <v>6.4393056000000009</v>
      </c>
      <c r="I68" s="209">
        <f t="shared" si="3"/>
        <v>52</v>
      </c>
    </row>
    <row r="69" spans="1:9" x14ac:dyDescent="0.35">
      <c r="A69" s="77">
        <v>66</v>
      </c>
      <c r="B69" s="451" t="s">
        <v>132</v>
      </c>
      <c r="C69" s="77" t="s">
        <v>75</v>
      </c>
      <c r="D69" s="452">
        <f>'[2]Items Pricelist'!D67</f>
        <v>106</v>
      </c>
      <c r="E69" s="209">
        <f t="shared" ref="E69:E111" si="5">D69*$E$2</f>
        <v>8.48</v>
      </c>
      <c r="F69" s="209">
        <f t="shared" ref="F69:F111" si="6">D69+E69</f>
        <v>114.48</v>
      </c>
      <c r="G69" s="209">
        <f t="shared" ref="G69:G111" si="7">F69*$G$2</f>
        <v>1.6027200000000001</v>
      </c>
      <c r="H69" s="209">
        <f t="shared" si="4"/>
        <v>16.251580800000003</v>
      </c>
      <c r="I69" s="209">
        <f t="shared" ref="I69:I81" si="8">ROUND(H69+G69+F69,0)</f>
        <v>132</v>
      </c>
    </row>
    <row r="70" spans="1:9" x14ac:dyDescent="0.35">
      <c r="A70" s="77">
        <v>67</v>
      </c>
      <c r="B70" s="451" t="s">
        <v>133</v>
      </c>
      <c r="C70" s="77" t="s">
        <v>75</v>
      </c>
      <c r="D70" s="452">
        <f>'[2]Items Pricelist'!D68</f>
        <v>90</v>
      </c>
      <c r="E70" s="209">
        <f t="shared" si="5"/>
        <v>7.2</v>
      </c>
      <c r="F70" s="209">
        <f t="shared" si="6"/>
        <v>97.2</v>
      </c>
      <c r="G70" s="209">
        <f t="shared" si="7"/>
        <v>1.3608</v>
      </c>
      <c r="H70" s="209">
        <f t="shared" ref="H70:H111" si="9">(F70+G70)*$H$2</f>
        <v>13.798512000000001</v>
      </c>
      <c r="I70" s="209">
        <f t="shared" si="8"/>
        <v>112</v>
      </c>
    </row>
    <row r="71" spans="1:9" x14ac:dyDescent="0.35">
      <c r="A71" s="77">
        <v>68</v>
      </c>
      <c r="B71" s="451" t="s">
        <v>134</v>
      </c>
      <c r="C71" s="77" t="s">
        <v>75</v>
      </c>
      <c r="D71" s="452">
        <f>'[2]Items Pricelist'!D69</f>
        <v>175</v>
      </c>
      <c r="E71" s="209">
        <f t="shared" si="5"/>
        <v>14</v>
      </c>
      <c r="F71" s="209">
        <f t="shared" si="6"/>
        <v>189</v>
      </c>
      <c r="G71" s="209">
        <f t="shared" si="7"/>
        <v>2.6459999999999999</v>
      </c>
      <c r="H71" s="209">
        <f t="shared" si="9"/>
        <v>26.830439999999999</v>
      </c>
      <c r="I71" s="209">
        <f t="shared" si="8"/>
        <v>218</v>
      </c>
    </row>
    <row r="72" spans="1:9" x14ac:dyDescent="0.35">
      <c r="A72" s="77">
        <v>69</v>
      </c>
      <c r="B72" s="451" t="s">
        <v>135</v>
      </c>
      <c r="C72" s="77" t="s">
        <v>75</v>
      </c>
      <c r="D72" s="452">
        <f>'[2]Items Pricelist'!D70</f>
        <v>5</v>
      </c>
      <c r="E72" s="209">
        <f t="shared" si="5"/>
        <v>0.4</v>
      </c>
      <c r="F72" s="209">
        <f t="shared" si="6"/>
        <v>5.4</v>
      </c>
      <c r="G72" s="209">
        <f t="shared" si="7"/>
        <v>7.5600000000000001E-2</v>
      </c>
      <c r="H72" s="209">
        <f t="shared" si="9"/>
        <v>0.76658400000000004</v>
      </c>
      <c r="I72" s="209">
        <f t="shared" si="8"/>
        <v>6</v>
      </c>
    </row>
    <row r="73" spans="1:9" x14ac:dyDescent="0.35">
      <c r="A73" s="77">
        <v>70</v>
      </c>
      <c r="B73" s="451" t="s">
        <v>136</v>
      </c>
      <c r="C73" s="77" t="s">
        <v>75</v>
      </c>
      <c r="D73" s="452">
        <f>'[2]Items Pricelist'!D71</f>
        <v>56</v>
      </c>
      <c r="E73" s="209">
        <f t="shared" si="5"/>
        <v>4.4800000000000004</v>
      </c>
      <c r="F73" s="209">
        <f t="shared" si="6"/>
        <v>60.480000000000004</v>
      </c>
      <c r="G73" s="209">
        <f t="shared" si="7"/>
        <v>0.84672000000000003</v>
      </c>
      <c r="H73" s="209">
        <f t="shared" si="9"/>
        <v>8.5857408000000017</v>
      </c>
      <c r="I73" s="209">
        <f t="shared" si="8"/>
        <v>70</v>
      </c>
    </row>
    <row r="74" spans="1:9" x14ac:dyDescent="0.35">
      <c r="A74" s="77">
        <v>71</v>
      </c>
      <c r="B74" s="451" t="s">
        <v>137</v>
      </c>
      <c r="C74" s="77" t="s">
        <v>75</v>
      </c>
      <c r="D74" s="452">
        <f>'[2]Items Pricelist'!D72</f>
        <v>25</v>
      </c>
      <c r="E74" s="209">
        <f t="shared" si="5"/>
        <v>2</v>
      </c>
      <c r="F74" s="209">
        <f t="shared" si="6"/>
        <v>27</v>
      </c>
      <c r="G74" s="209">
        <f t="shared" si="7"/>
        <v>0.378</v>
      </c>
      <c r="H74" s="209">
        <f t="shared" si="9"/>
        <v>3.8329200000000005</v>
      </c>
      <c r="I74" s="209">
        <f t="shared" si="8"/>
        <v>31</v>
      </c>
    </row>
    <row r="75" spans="1:9" x14ac:dyDescent="0.35">
      <c r="A75" s="77">
        <v>72</v>
      </c>
      <c r="B75" s="451" t="s">
        <v>138</v>
      </c>
      <c r="C75" s="77" t="s">
        <v>75</v>
      </c>
      <c r="D75" s="452">
        <f>'[2]Items Pricelist'!D73</f>
        <v>195</v>
      </c>
      <c r="E75" s="209">
        <f t="shared" si="5"/>
        <v>15.6</v>
      </c>
      <c r="F75" s="209">
        <f t="shared" si="6"/>
        <v>210.6</v>
      </c>
      <c r="G75" s="209">
        <f t="shared" si="7"/>
        <v>2.9483999999999999</v>
      </c>
      <c r="H75" s="209">
        <f t="shared" si="9"/>
        <v>29.896776000000003</v>
      </c>
      <c r="I75" s="209">
        <f t="shared" si="8"/>
        <v>243</v>
      </c>
    </row>
    <row r="76" spans="1:9" x14ac:dyDescent="0.35">
      <c r="A76" s="77">
        <v>73</v>
      </c>
      <c r="B76" s="451" t="s">
        <v>139</v>
      </c>
      <c r="C76" s="77" t="s">
        <v>75</v>
      </c>
      <c r="D76" s="452">
        <v>28</v>
      </c>
      <c r="E76" s="209">
        <f t="shared" si="5"/>
        <v>2.2400000000000002</v>
      </c>
      <c r="F76" s="209">
        <f t="shared" si="6"/>
        <v>30.240000000000002</v>
      </c>
      <c r="G76" s="209">
        <f t="shared" si="7"/>
        <v>0.42336000000000001</v>
      </c>
      <c r="H76" s="209">
        <f t="shared" si="9"/>
        <v>4.2928704000000009</v>
      </c>
      <c r="I76" s="209">
        <f t="shared" si="8"/>
        <v>35</v>
      </c>
    </row>
    <row r="77" spans="1:9" x14ac:dyDescent="0.35">
      <c r="A77" s="77">
        <v>74</v>
      </c>
      <c r="B77" s="451" t="s">
        <v>140</v>
      </c>
      <c r="C77" s="77" t="s">
        <v>75</v>
      </c>
      <c r="D77" s="452">
        <f>'[2]Items Pricelist'!D75</f>
        <v>67</v>
      </c>
      <c r="E77" s="209">
        <f t="shared" si="5"/>
        <v>5.36</v>
      </c>
      <c r="F77" s="209">
        <f t="shared" si="6"/>
        <v>72.36</v>
      </c>
      <c r="G77" s="209">
        <f t="shared" si="7"/>
        <v>1.0130399999999999</v>
      </c>
      <c r="H77" s="209">
        <f t="shared" si="9"/>
        <v>10.272225600000002</v>
      </c>
      <c r="I77" s="209">
        <f t="shared" si="8"/>
        <v>84</v>
      </c>
    </row>
    <row r="78" spans="1:9" x14ac:dyDescent="0.35">
      <c r="A78" s="77">
        <v>75</v>
      </c>
      <c r="B78" s="451" t="s">
        <v>141</v>
      </c>
      <c r="C78" s="77" t="s">
        <v>75</v>
      </c>
      <c r="D78" s="452">
        <f>'[2]Items Pricelist'!D76</f>
        <v>28</v>
      </c>
      <c r="E78" s="209">
        <f t="shared" si="5"/>
        <v>2.2400000000000002</v>
      </c>
      <c r="F78" s="209">
        <f t="shared" si="6"/>
        <v>30.240000000000002</v>
      </c>
      <c r="G78" s="209">
        <f t="shared" si="7"/>
        <v>0.42336000000000001</v>
      </c>
      <c r="H78" s="209">
        <f t="shared" si="9"/>
        <v>4.2928704000000009</v>
      </c>
      <c r="I78" s="209">
        <f t="shared" si="8"/>
        <v>35</v>
      </c>
    </row>
    <row r="79" spans="1:9" x14ac:dyDescent="0.35">
      <c r="A79" s="77">
        <v>76</v>
      </c>
      <c r="B79" s="451" t="s">
        <v>142</v>
      </c>
      <c r="C79" s="77" t="s">
        <v>75</v>
      </c>
      <c r="D79" s="452">
        <v>2500</v>
      </c>
      <c r="E79" s="209">
        <f t="shared" si="5"/>
        <v>200</v>
      </c>
      <c r="F79" s="209">
        <f t="shared" si="6"/>
        <v>2700</v>
      </c>
      <c r="G79" s="209">
        <f t="shared" si="7"/>
        <v>37.800000000000004</v>
      </c>
      <c r="H79" s="209">
        <f t="shared" si="9"/>
        <v>383.29200000000009</v>
      </c>
      <c r="I79" s="209">
        <f t="shared" si="8"/>
        <v>3121</v>
      </c>
    </row>
    <row r="80" spans="1:9" x14ac:dyDescent="0.35">
      <c r="E80" s="209">
        <f t="shared" si="5"/>
        <v>0</v>
      </c>
      <c r="F80" s="209">
        <f t="shared" si="6"/>
        <v>0</v>
      </c>
      <c r="G80" s="209">
        <f t="shared" si="7"/>
        <v>0</v>
      </c>
      <c r="H80" s="209">
        <f t="shared" si="9"/>
        <v>0</v>
      </c>
      <c r="I80" s="209">
        <f t="shared" si="8"/>
        <v>0</v>
      </c>
    </row>
    <row r="81" spans="2:9" x14ac:dyDescent="0.35">
      <c r="B81" s="454" t="s">
        <v>13</v>
      </c>
      <c r="E81" s="209">
        <f t="shared" si="5"/>
        <v>0</v>
      </c>
      <c r="F81" s="209">
        <f t="shared" si="6"/>
        <v>0</v>
      </c>
      <c r="G81" s="209">
        <f t="shared" si="7"/>
        <v>0</v>
      </c>
      <c r="H81" s="209">
        <f t="shared" si="9"/>
        <v>0</v>
      </c>
      <c r="I81" s="209">
        <f t="shared" si="8"/>
        <v>0</v>
      </c>
    </row>
    <row r="82" spans="2:9" ht="15" thickBot="1" x14ac:dyDescent="0.4">
      <c r="B82" s="457" t="s">
        <v>16</v>
      </c>
      <c r="D82" s="461">
        <v>80000</v>
      </c>
      <c r="E82" s="209">
        <f t="shared" si="5"/>
        <v>6400</v>
      </c>
      <c r="F82" s="209">
        <f t="shared" si="6"/>
        <v>86400</v>
      </c>
      <c r="G82" s="209"/>
      <c r="H82" s="209">
        <f t="shared" si="9"/>
        <v>12096.000000000002</v>
      </c>
      <c r="I82" s="209">
        <f>ROUND(H82+G82+F82,0)</f>
        <v>98496</v>
      </c>
    </row>
    <row r="83" spans="2:9" ht="15" thickBot="1" x14ac:dyDescent="0.4">
      <c r="B83" s="457" t="s">
        <v>17</v>
      </c>
      <c r="D83" s="461">
        <v>50000</v>
      </c>
      <c r="E83" s="209">
        <f t="shared" si="5"/>
        <v>4000</v>
      </c>
      <c r="F83" s="209">
        <f t="shared" si="6"/>
        <v>54000</v>
      </c>
      <c r="G83" s="209">
        <f t="shared" si="7"/>
        <v>756</v>
      </c>
      <c r="H83" s="209">
        <f t="shared" si="9"/>
        <v>7665.8400000000011</v>
      </c>
      <c r="I83" s="438" t="e">
        <f>#REF!</f>
        <v>#REF!</v>
      </c>
    </row>
    <row r="84" spans="2:9" ht="15" thickBot="1" x14ac:dyDescent="0.4">
      <c r="B84" s="458" t="s">
        <v>18</v>
      </c>
      <c r="D84" s="461">
        <v>75000</v>
      </c>
      <c r="E84" s="209">
        <f t="shared" si="5"/>
        <v>6000</v>
      </c>
      <c r="F84" s="209">
        <f t="shared" si="6"/>
        <v>81000</v>
      </c>
      <c r="G84" s="209"/>
      <c r="H84" s="209">
        <f t="shared" si="9"/>
        <v>11340.000000000002</v>
      </c>
      <c r="I84" s="487">
        <f>F84+H84</f>
        <v>92340</v>
      </c>
    </row>
    <row r="85" spans="2:9" ht="15" thickBot="1" x14ac:dyDescent="0.4">
      <c r="B85" s="458" t="s">
        <v>19</v>
      </c>
      <c r="D85" s="461">
        <v>50000</v>
      </c>
      <c r="E85" s="209">
        <f t="shared" si="5"/>
        <v>4000</v>
      </c>
      <c r="F85" s="209">
        <f t="shared" si="6"/>
        <v>54000</v>
      </c>
      <c r="G85" s="209"/>
      <c r="H85" s="209">
        <f t="shared" si="9"/>
        <v>7560.0000000000009</v>
      </c>
      <c r="I85" s="438" t="e">
        <f>#REF!</f>
        <v>#REF!</v>
      </c>
    </row>
    <row r="86" spans="2:9" ht="15" thickBot="1" x14ac:dyDescent="0.4">
      <c r="B86" s="458" t="s">
        <v>20</v>
      </c>
      <c r="D86" s="462">
        <v>1200000</v>
      </c>
      <c r="E86" s="209">
        <f t="shared" si="5"/>
        <v>96000</v>
      </c>
      <c r="F86" s="209">
        <f t="shared" si="6"/>
        <v>1296000</v>
      </c>
      <c r="G86" s="209">
        <f t="shared" si="7"/>
        <v>18144</v>
      </c>
      <c r="H86" s="209">
        <f t="shared" si="9"/>
        <v>183980.16</v>
      </c>
      <c r="I86" s="209">
        <f>(F86+G86+H86)/36</f>
        <v>41614.559999999998</v>
      </c>
    </row>
    <row r="87" spans="2:9" ht="15" thickBot="1" x14ac:dyDescent="0.4">
      <c r="B87" s="458" t="s">
        <v>21</v>
      </c>
      <c r="D87" s="461">
        <v>900000</v>
      </c>
      <c r="E87" s="209">
        <f t="shared" si="5"/>
        <v>72000</v>
      </c>
      <c r="F87" s="209">
        <f t="shared" si="6"/>
        <v>972000</v>
      </c>
      <c r="G87" s="209">
        <f t="shared" si="7"/>
        <v>13608</v>
      </c>
      <c r="H87" s="209">
        <f t="shared" si="9"/>
        <v>137985.12000000002</v>
      </c>
      <c r="I87" s="209">
        <f>(F87+G87+H87)/36</f>
        <v>31210.920000000002</v>
      </c>
    </row>
    <row r="88" spans="2:9" ht="15" thickBot="1" x14ac:dyDescent="0.4">
      <c r="B88" s="458" t="s">
        <v>61</v>
      </c>
      <c r="D88" s="461">
        <v>380000</v>
      </c>
      <c r="E88" s="209">
        <f t="shared" si="5"/>
        <v>30400</v>
      </c>
      <c r="F88" s="209">
        <f t="shared" si="6"/>
        <v>410400</v>
      </c>
      <c r="G88" s="209">
        <f t="shared" si="7"/>
        <v>5745.6</v>
      </c>
      <c r="H88" s="209">
        <f t="shared" si="9"/>
        <v>58260.384000000005</v>
      </c>
      <c r="I88" s="438" t="e">
        <f>#REF!</f>
        <v>#REF!</v>
      </c>
    </row>
    <row r="89" spans="2:9" ht="15" thickBot="1" x14ac:dyDescent="0.4">
      <c r="B89" s="458" t="s">
        <v>22</v>
      </c>
      <c r="D89" s="461">
        <v>50000</v>
      </c>
      <c r="E89" s="209">
        <f t="shared" si="5"/>
        <v>4000</v>
      </c>
      <c r="F89" s="209">
        <f t="shared" si="6"/>
        <v>54000</v>
      </c>
      <c r="G89" s="209">
        <f t="shared" si="7"/>
        <v>756</v>
      </c>
      <c r="H89" s="209">
        <f t="shared" si="9"/>
        <v>7665.8400000000011</v>
      </c>
      <c r="I89" s="209">
        <f>F89+G89+H89</f>
        <v>62421.840000000004</v>
      </c>
    </row>
    <row r="90" spans="2:9" ht="15" thickBot="1" x14ac:dyDescent="0.4">
      <c r="B90" s="458" t="s">
        <v>23</v>
      </c>
      <c r="D90" s="461"/>
      <c r="E90" s="209">
        <f t="shared" si="5"/>
        <v>0</v>
      </c>
      <c r="F90" s="209">
        <f t="shared" si="6"/>
        <v>0</v>
      </c>
      <c r="G90" s="209">
        <f t="shared" si="7"/>
        <v>0</v>
      </c>
      <c r="H90" s="209">
        <f t="shared" si="9"/>
        <v>0</v>
      </c>
      <c r="I90" s="438" t="e">
        <f>#REF!</f>
        <v>#REF!</v>
      </c>
    </row>
    <row r="91" spans="2:9" ht="15" thickBot="1" x14ac:dyDescent="0.4">
      <c r="B91" s="457" t="s">
        <v>58</v>
      </c>
      <c r="D91" s="461">
        <v>60000</v>
      </c>
      <c r="E91" s="209">
        <f t="shared" si="5"/>
        <v>4800</v>
      </c>
      <c r="F91" s="209">
        <f t="shared" si="6"/>
        <v>64800</v>
      </c>
      <c r="G91" s="209">
        <f t="shared" si="7"/>
        <v>907.2</v>
      </c>
      <c r="H91" s="209">
        <f t="shared" si="9"/>
        <v>9199.0079999999998</v>
      </c>
      <c r="I91" s="438" t="e">
        <f>#REF!</f>
        <v>#REF!</v>
      </c>
    </row>
    <row r="92" spans="2:9" x14ac:dyDescent="0.35">
      <c r="B92" s="458" t="s">
        <v>26</v>
      </c>
      <c r="E92" s="209">
        <f t="shared" si="5"/>
        <v>0</v>
      </c>
      <c r="F92" s="209">
        <f t="shared" si="6"/>
        <v>0</v>
      </c>
      <c r="G92" s="209">
        <f t="shared" si="7"/>
        <v>0</v>
      </c>
      <c r="H92" s="209">
        <f t="shared" si="9"/>
        <v>0</v>
      </c>
    </row>
    <row r="93" spans="2:9" x14ac:dyDescent="0.35">
      <c r="B93" s="458" t="s">
        <v>59</v>
      </c>
      <c r="E93" s="209">
        <f t="shared" si="5"/>
        <v>0</v>
      </c>
      <c r="F93" s="209">
        <f t="shared" si="6"/>
        <v>0</v>
      </c>
      <c r="G93" s="209">
        <f t="shared" si="7"/>
        <v>0</v>
      </c>
      <c r="H93" s="209">
        <f t="shared" si="9"/>
        <v>0</v>
      </c>
    </row>
    <row r="94" spans="2:9" ht="15" thickBot="1" x14ac:dyDescent="0.4">
      <c r="B94" s="458" t="s">
        <v>27</v>
      </c>
      <c r="D94" s="461">
        <v>175</v>
      </c>
      <c r="E94" s="209">
        <f t="shared" si="5"/>
        <v>14</v>
      </c>
      <c r="F94" s="209">
        <f t="shared" si="6"/>
        <v>189</v>
      </c>
      <c r="G94" s="209">
        <f t="shared" si="7"/>
        <v>2.6459999999999999</v>
      </c>
      <c r="H94" s="209">
        <f t="shared" si="9"/>
        <v>26.830439999999999</v>
      </c>
      <c r="I94" s="209">
        <f>ROUND(H94+G94+F94,0)</f>
        <v>218</v>
      </c>
    </row>
    <row r="95" spans="2:9" ht="15" thickBot="1" x14ac:dyDescent="0.4">
      <c r="B95" s="458" t="s">
        <v>28</v>
      </c>
      <c r="D95" s="461">
        <v>165</v>
      </c>
      <c r="E95" s="209">
        <f t="shared" si="5"/>
        <v>13.200000000000001</v>
      </c>
      <c r="F95" s="209">
        <f t="shared" si="6"/>
        <v>178.2</v>
      </c>
      <c r="G95" s="209">
        <f t="shared" si="7"/>
        <v>2.4947999999999997</v>
      </c>
      <c r="H95" s="209">
        <f t="shared" si="9"/>
        <v>25.297272</v>
      </c>
      <c r="I95" s="209">
        <f>ROUND(H95+G95+F95,0)</f>
        <v>206</v>
      </c>
    </row>
    <row r="96" spans="2:9" ht="15" thickBot="1" x14ac:dyDescent="0.4">
      <c r="B96" s="458" t="s">
        <v>29</v>
      </c>
      <c r="D96" s="461">
        <v>100</v>
      </c>
      <c r="E96" s="209">
        <f t="shared" si="5"/>
        <v>8</v>
      </c>
      <c r="F96" s="209">
        <f t="shared" si="6"/>
        <v>108</v>
      </c>
      <c r="G96" s="209">
        <f t="shared" si="7"/>
        <v>1.512</v>
      </c>
      <c r="H96" s="209">
        <f t="shared" si="9"/>
        <v>15.331680000000002</v>
      </c>
      <c r="I96" s="209">
        <f>ROUND(H96+G96+F96,0)</f>
        <v>125</v>
      </c>
    </row>
    <row r="97" spans="2:9" ht="15" thickBot="1" x14ac:dyDescent="0.4">
      <c r="B97" s="458" t="s">
        <v>57</v>
      </c>
      <c r="D97" s="461"/>
      <c r="E97" s="209">
        <f t="shared" si="5"/>
        <v>0</v>
      </c>
      <c r="F97" s="209">
        <f t="shared" si="6"/>
        <v>0</v>
      </c>
      <c r="G97" s="209">
        <f t="shared" si="7"/>
        <v>0</v>
      </c>
      <c r="H97" s="209">
        <f t="shared" si="9"/>
        <v>0</v>
      </c>
      <c r="I97" s="57" t="e">
        <f>ROUNDUP(#REF!,0)</f>
        <v>#REF!</v>
      </c>
    </row>
    <row r="98" spans="2:9" ht="15" thickBot="1" x14ac:dyDescent="0.4">
      <c r="B98" s="458" t="s">
        <v>56</v>
      </c>
      <c r="D98" s="461"/>
      <c r="E98" s="209">
        <f t="shared" si="5"/>
        <v>0</v>
      </c>
      <c r="F98" s="209">
        <f t="shared" si="6"/>
        <v>0</v>
      </c>
      <c r="G98" s="209">
        <f t="shared" si="7"/>
        <v>0</v>
      </c>
      <c r="H98" s="209">
        <f t="shared" si="9"/>
        <v>0</v>
      </c>
      <c r="I98" s="57" t="e">
        <f>ROUNDUP(#REF!,0)</f>
        <v>#REF!</v>
      </c>
    </row>
    <row r="99" spans="2:9" ht="15" thickBot="1" x14ac:dyDescent="0.4">
      <c r="B99" s="458" t="s">
        <v>52</v>
      </c>
      <c r="D99" s="461"/>
      <c r="E99" s="209">
        <f t="shared" si="5"/>
        <v>0</v>
      </c>
      <c r="F99" s="209">
        <f t="shared" si="6"/>
        <v>0</v>
      </c>
      <c r="G99" s="209">
        <f t="shared" si="7"/>
        <v>0</v>
      </c>
      <c r="H99" s="209">
        <f t="shared" si="9"/>
        <v>0</v>
      </c>
      <c r="I99" s="57" t="e">
        <f>ROUNDUP(#REF!,0)</f>
        <v>#REF!</v>
      </c>
    </row>
    <row r="100" spans="2:9" ht="15" thickBot="1" x14ac:dyDescent="0.4">
      <c r="B100" s="458" t="s">
        <v>53</v>
      </c>
      <c r="D100" s="461"/>
      <c r="E100" s="209">
        <f t="shared" si="5"/>
        <v>0</v>
      </c>
      <c r="F100" s="209">
        <f t="shared" si="6"/>
        <v>0</v>
      </c>
      <c r="G100" s="209">
        <f t="shared" si="7"/>
        <v>0</v>
      </c>
      <c r="H100" s="209">
        <f t="shared" si="9"/>
        <v>0</v>
      </c>
      <c r="I100" s="57" t="e">
        <f>ROUNDUP(#REF!,0)</f>
        <v>#REF!</v>
      </c>
    </row>
    <row r="101" spans="2:9" ht="15" thickBot="1" x14ac:dyDescent="0.4">
      <c r="B101" s="458" t="s">
        <v>60</v>
      </c>
      <c r="D101" s="461"/>
      <c r="E101" s="209">
        <f t="shared" si="5"/>
        <v>0</v>
      </c>
      <c r="F101" s="209">
        <f t="shared" si="6"/>
        <v>0</v>
      </c>
      <c r="G101" s="209">
        <f t="shared" si="7"/>
        <v>0</v>
      </c>
      <c r="H101" s="209">
        <f t="shared" si="9"/>
        <v>0</v>
      </c>
      <c r="I101" s="57" t="e">
        <f>ROUNDUP(#REF!,0)</f>
        <v>#REF!</v>
      </c>
    </row>
    <row r="102" spans="2:9" ht="15" thickBot="1" x14ac:dyDescent="0.4">
      <c r="B102" s="458" t="s">
        <v>51</v>
      </c>
      <c r="D102" s="461"/>
      <c r="E102" s="209">
        <f t="shared" si="5"/>
        <v>0</v>
      </c>
      <c r="F102" s="209">
        <f t="shared" si="6"/>
        <v>0</v>
      </c>
      <c r="G102" s="209">
        <f t="shared" si="7"/>
        <v>0</v>
      </c>
      <c r="H102" s="209">
        <f t="shared" si="9"/>
        <v>0</v>
      </c>
      <c r="I102" s="57">
        <f>ROUND('[3]Equipment &amp; Tools Cost'!$F$7,0)</f>
        <v>4167</v>
      </c>
    </row>
    <row r="103" spans="2:9" ht="15" thickBot="1" x14ac:dyDescent="0.4">
      <c r="B103" s="458" t="s">
        <v>54</v>
      </c>
      <c r="D103" s="461"/>
      <c r="E103" s="209">
        <f t="shared" si="5"/>
        <v>0</v>
      </c>
      <c r="F103" s="209">
        <f t="shared" si="6"/>
        <v>0</v>
      </c>
      <c r="G103" s="209">
        <f t="shared" si="7"/>
        <v>0</v>
      </c>
      <c r="H103" s="209">
        <f t="shared" si="9"/>
        <v>0</v>
      </c>
      <c r="I103" s="57" t="e">
        <f>ROUNDUP(#REF!,0)</f>
        <v>#REF!</v>
      </c>
    </row>
    <row r="104" spans="2:9" x14ac:dyDescent="0.35">
      <c r="E104" s="209">
        <f t="shared" si="5"/>
        <v>0</v>
      </c>
      <c r="F104" s="209">
        <f t="shared" si="6"/>
        <v>0</v>
      </c>
      <c r="G104" s="209">
        <f t="shared" si="7"/>
        <v>0</v>
      </c>
      <c r="H104" s="209">
        <f t="shared" si="9"/>
        <v>0</v>
      </c>
    </row>
    <row r="105" spans="2:9" x14ac:dyDescent="0.35">
      <c r="B105" s="459" t="s">
        <v>62</v>
      </c>
      <c r="E105" s="209">
        <f t="shared" si="5"/>
        <v>0</v>
      </c>
      <c r="F105" s="209">
        <f t="shared" si="6"/>
        <v>0</v>
      </c>
      <c r="G105" s="209">
        <f t="shared" si="7"/>
        <v>0</v>
      </c>
      <c r="H105" s="209">
        <f t="shared" si="9"/>
        <v>0</v>
      </c>
      <c r="I105" s="209" t="e">
        <f>ROUNDUP(#REF!,0)</f>
        <v>#REF!</v>
      </c>
    </row>
    <row r="106" spans="2:9" x14ac:dyDescent="0.35">
      <c r="B106" s="459" t="s">
        <v>63</v>
      </c>
      <c r="E106" s="209">
        <f t="shared" si="5"/>
        <v>0</v>
      </c>
      <c r="F106" s="209">
        <f t="shared" si="6"/>
        <v>0</v>
      </c>
      <c r="G106" s="209">
        <f t="shared" si="7"/>
        <v>0</v>
      </c>
      <c r="H106" s="209">
        <f t="shared" si="9"/>
        <v>0</v>
      </c>
      <c r="I106" s="209" t="e">
        <f>ROUNDUP(#REF!,0)</f>
        <v>#REF!</v>
      </c>
    </row>
    <row r="107" spans="2:9" x14ac:dyDescent="0.35">
      <c r="B107" s="459" t="s">
        <v>65</v>
      </c>
      <c r="E107" s="209">
        <f t="shared" si="5"/>
        <v>0</v>
      </c>
      <c r="F107" s="209">
        <f t="shared" si="6"/>
        <v>0</v>
      </c>
      <c r="G107" s="209">
        <f t="shared" si="7"/>
        <v>0</v>
      </c>
      <c r="H107" s="209">
        <f t="shared" si="9"/>
        <v>0</v>
      </c>
      <c r="I107" s="209">
        <v>27300</v>
      </c>
    </row>
    <row r="108" spans="2:9" x14ac:dyDescent="0.35">
      <c r="B108" s="459" t="s">
        <v>25</v>
      </c>
      <c r="E108" s="209">
        <f t="shared" si="5"/>
        <v>0</v>
      </c>
      <c r="F108" s="209">
        <f t="shared" si="6"/>
        <v>0</v>
      </c>
      <c r="G108" s="209">
        <f t="shared" si="7"/>
        <v>0</v>
      </c>
      <c r="H108" s="209">
        <f t="shared" si="9"/>
        <v>0</v>
      </c>
      <c r="I108" s="209" t="e">
        <f>#REF!</f>
        <v>#REF!</v>
      </c>
    </row>
    <row r="109" spans="2:9" x14ac:dyDescent="0.35">
      <c r="B109" s="459" t="s">
        <v>50</v>
      </c>
      <c r="E109" s="209">
        <f t="shared" si="5"/>
        <v>0</v>
      </c>
      <c r="F109" s="209">
        <f t="shared" si="6"/>
        <v>0</v>
      </c>
      <c r="G109" s="209">
        <f t="shared" si="7"/>
        <v>0</v>
      </c>
      <c r="H109" s="209">
        <f t="shared" si="9"/>
        <v>0</v>
      </c>
      <c r="I109" s="209" t="e">
        <f>ROUNDUP(#REF!,0)</f>
        <v>#REF!</v>
      </c>
    </row>
    <row r="110" spans="2:9" x14ac:dyDescent="0.35">
      <c r="B110" s="459" t="s">
        <v>24</v>
      </c>
      <c r="E110" s="209">
        <f t="shared" si="5"/>
        <v>0</v>
      </c>
      <c r="F110" s="209">
        <f t="shared" si="6"/>
        <v>0</v>
      </c>
      <c r="G110" s="209">
        <f t="shared" si="7"/>
        <v>0</v>
      </c>
      <c r="H110" s="209">
        <f t="shared" si="9"/>
        <v>0</v>
      </c>
      <c r="I110" s="209">
        <v>16400</v>
      </c>
    </row>
    <row r="111" spans="2:9" ht="15" thickBot="1" x14ac:dyDescent="0.4">
      <c r="B111" s="460" t="s">
        <v>64</v>
      </c>
      <c r="E111" s="209">
        <f t="shared" si="5"/>
        <v>0</v>
      </c>
      <c r="F111" s="209">
        <f t="shared" si="6"/>
        <v>0</v>
      </c>
      <c r="G111" s="209">
        <f t="shared" si="7"/>
        <v>0</v>
      </c>
      <c r="H111" s="209">
        <f t="shared" si="9"/>
        <v>0</v>
      </c>
      <c r="I111" s="209">
        <v>14100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83B7-F72E-4D98-B51C-10E95055489E}">
  <sheetPr>
    <tabColor rgb="FFFFC000"/>
  </sheetPr>
  <dimension ref="A2:J17"/>
  <sheetViews>
    <sheetView topLeftCell="C1" zoomScaleNormal="100" workbookViewId="0">
      <selection activeCell="I1" sqref="I1:I1048576"/>
    </sheetView>
  </sheetViews>
  <sheetFormatPr defaultColWidth="8.90625" defaultRowHeight="14.5" x14ac:dyDescent="0.35"/>
  <cols>
    <col min="1" max="1" width="3" style="446" bestFit="1" customWidth="1"/>
    <col min="2" max="2" width="70.81640625" style="446" bestFit="1" customWidth="1"/>
    <col min="3" max="3" width="15.81640625" style="446" bestFit="1" customWidth="1"/>
    <col min="4" max="6" width="20.81640625" style="477" customWidth="1"/>
    <col min="7" max="10" width="20.81640625" style="446" customWidth="1"/>
    <col min="11" max="11" width="8.90625" style="446"/>
    <col min="12" max="12" width="61.90625" style="446" bestFit="1" customWidth="1"/>
    <col min="13" max="13" width="61.36328125" style="446" bestFit="1" customWidth="1"/>
    <col min="14" max="14" width="35.1796875" style="446" bestFit="1" customWidth="1"/>
    <col min="15" max="15" width="15.81640625" style="446" bestFit="1" customWidth="1"/>
    <col min="16" max="16" width="27.90625" style="446" bestFit="1" customWidth="1"/>
    <col min="17" max="17" width="17.453125" style="446" bestFit="1" customWidth="1"/>
    <col min="18" max="18" width="40.08984375" style="446" bestFit="1" customWidth="1"/>
    <col min="19" max="19" width="49.54296875" style="446" bestFit="1" customWidth="1"/>
    <col min="20" max="20" width="21.81640625" style="446" bestFit="1" customWidth="1"/>
    <col min="21" max="21" width="22" style="446" bestFit="1" customWidth="1"/>
    <col min="22" max="22" width="31.6328125" style="446" bestFit="1" customWidth="1"/>
    <col min="23" max="23" width="15" style="446" bestFit="1" customWidth="1"/>
    <col min="24" max="24" width="14.90625" style="446" bestFit="1" customWidth="1"/>
    <col min="25" max="25" width="25.54296875" style="446" bestFit="1" customWidth="1"/>
    <col min="26" max="26" width="17.6328125" style="446" bestFit="1" customWidth="1"/>
    <col min="27" max="27" width="16.1796875" style="446" bestFit="1" customWidth="1"/>
    <col min="28" max="28" width="11.81640625" style="446" bestFit="1" customWidth="1"/>
    <col min="29" max="29" width="26.90625" style="446" bestFit="1" customWidth="1"/>
    <col min="30" max="16384" width="8.90625" style="446"/>
  </cols>
  <sheetData>
    <row r="2" spans="1:10" ht="21" customHeight="1" x14ac:dyDescent="0.35">
      <c r="G2" s="353">
        <v>0.15</v>
      </c>
      <c r="H2" s="64"/>
      <c r="I2" s="353">
        <v>0.14000000000000001</v>
      </c>
      <c r="J2" s="456" t="s">
        <v>180</v>
      </c>
    </row>
    <row r="3" spans="1:10" ht="21" customHeight="1" thickBot="1" x14ac:dyDescent="0.4">
      <c r="A3" s="464" t="s">
        <v>12</v>
      </c>
      <c r="B3" s="13" t="s">
        <v>30</v>
      </c>
      <c r="C3" s="14" t="s">
        <v>14</v>
      </c>
      <c r="D3" s="78" t="s">
        <v>472</v>
      </c>
      <c r="E3" s="478" t="s">
        <v>471</v>
      </c>
      <c r="F3" s="478"/>
      <c r="G3" s="480" t="s">
        <v>447</v>
      </c>
      <c r="H3" s="480" t="s">
        <v>240</v>
      </c>
      <c r="I3" s="481" t="s">
        <v>463</v>
      </c>
      <c r="J3" s="481" t="s">
        <v>464</v>
      </c>
    </row>
    <row r="4" spans="1:10" ht="21" customHeight="1" x14ac:dyDescent="0.35">
      <c r="A4" s="465">
        <v>1</v>
      </c>
      <c r="B4" s="475" t="s">
        <v>32</v>
      </c>
      <c r="C4" s="582" t="s">
        <v>33</v>
      </c>
      <c r="D4" s="479">
        <v>85</v>
      </c>
      <c r="E4" s="479">
        <v>6</v>
      </c>
      <c r="F4" s="479">
        <f>D4*E4</f>
        <v>510</v>
      </c>
      <c r="G4" s="446">
        <f>F4*$G$2</f>
        <v>76.5</v>
      </c>
      <c r="H4" s="482">
        <f>F4+G4</f>
        <v>586.5</v>
      </c>
      <c r="I4" s="446">
        <f>H4*$I$2</f>
        <v>82.110000000000014</v>
      </c>
      <c r="J4" s="490">
        <f>ROUNDUP(H4+I4,0)</f>
        <v>669</v>
      </c>
    </row>
    <row r="5" spans="1:10" ht="21" customHeight="1" x14ac:dyDescent="0.35">
      <c r="A5" s="463">
        <v>2</v>
      </c>
      <c r="B5" s="469" t="s">
        <v>34</v>
      </c>
      <c r="C5" s="583"/>
      <c r="D5" s="479">
        <v>100</v>
      </c>
      <c r="E5" s="479">
        <v>6</v>
      </c>
      <c r="F5" s="479">
        <f t="shared" ref="F5:F17" si="0">D5*E5</f>
        <v>600</v>
      </c>
      <c r="G5" s="446">
        <f t="shared" ref="G5:G17" si="1">F5*$G$2</f>
        <v>90</v>
      </c>
      <c r="H5" s="482">
        <f t="shared" ref="H5:H17" si="2">F5+G5</f>
        <v>690</v>
      </c>
      <c r="I5" s="446">
        <f t="shared" ref="I5:I17" si="3">H5*$I$2</f>
        <v>96.600000000000009</v>
      </c>
      <c r="J5" s="490">
        <f>ROUNDUP(H5+I5,0)</f>
        <v>787</v>
      </c>
    </row>
    <row r="6" spans="1:10" ht="21" customHeight="1" x14ac:dyDescent="0.35">
      <c r="A6" s="463">
        <v>3</v>
      </c>
      <c r="B6" s="469" t="s">
        <v>35</v>
      </c>
      <c r="C6" s="583"/>
      <c r="D6" s="479">
        <v>160</v>
      </c>
      <c r="E6" s="479">
        <v>5</v>
      </c>
      <c r="F6" s="479">
        <f t="shared" si="0"/>
        <v>800</v>
      </c>
      <c r="G6" s="446">
        <f t="shared" si="1"/>
        <v>120</v>
      </c>
      <c r="H6" s="482">
        <f t="shared" si="2"/>
        <v>920</v>
      </c>
      <c r="I6" s="446">
        <f t="shared" si="3"/>
        <v>128.80000000000001</v>
      </c>
      <c r="J6" s="490">
        <f t="shared" ref="J6:J17" si="4">ROUNDUP(H6+I6,0)</f>
        <v>1049</v>
      </c>
    </row>
    <row r="7" spans="1:10" ht="21" customHeight="1" x14ac:dyDescent="0.35">
      <c r="A7" s="463">
        <v>4</v>
      </c>
      <c r="B7" s="469" t="s">
        <v>36</v>
      </c>
      <c r="C7" s="583"/>
      <c r="D7" s="479">
        <v>250</v>
      </c>
      <c r="E7" s="479">
        <v>5</v>
      </c>
      <c r="F7" s="479">
        <f t="shared" si="0"/>
        <v>1250</v>
      </c>
      <c r="G7" s="446">
        <f t="shared" si="1"/>
        <v>187.5</v>
      </c>
      <c r="H7" s="482">
        <f t="shared" si="2"/>
        <v>1437.5</v>
      </c>
      <c r="I7" s="446">
        <f t="shared" si="3"/>
        <v>201.25000000000003</v>
      </c>
      <c r="J7" s="490">
        <f t="shared" si="4"/>
        <v>1639</v>
      </c>
    </row>
    <row r="8" spans="1:10" ht="21" customHeight="1" x14ac:dyDescent="0.35">
      <c r="A8" s="463">
        <v>5</v>
      </c>
      <c r="B8" s="469" t="s">
        <v>37</v>
      </c>
      <c r="C8" s="583"/>
      <c r="D8" s="479">
        <v>350</v>
      </c>
      <c r="E8" s="479">
        <v>5</v>
      </c>
      <c r="F8" s="479">
        <f t="shared" si="0"/>
        <v>1750</v>
      </c>
      <c r="G8" s="446">
        <f t="shared" si="1"/>
        <v>262.5</v>
      </c>
      <c r="H8" s="482">
        <f t="shared" si="2"/>
        <v>2012.5</v>
      </c>
      <c r="I8" s="446">
        <f t="shared" si="3"/>
        <v>281.75</v>
      </c>
      <c r="J8" s="490">
        <f t="shared" si="4"/>
        <v>2295</v>
      </c>
    </row>
    <row r="9" spans="1:10" ht="21" customHeight="1" x14ac:dyDescent="0.35">
      <c r="A9" s="463">
        <v>6</v>
      </c>
      <c r="B9" s="469" t="s">
        <v>38</v>
      </c>
      <c r="C9" s="583"/>
      <c r="D9" s="479">
        <v>500</v>
      </c>
      <c r="E9" s="479">
        <v>4</v>
      </c>
      <c r="F9" s="479">
        <f t="shared" si="0"/>
        <v>2000</v>
      </c>
      <c r="G9" s="446">
        <f t="shared" si="1"/>
        <v>300</v>
      </c>
      <c r="H9" s="482">
        <f t="shared" si="2"/>
        <v>2300</v>
      </c>
      <c r="I9" s="446">
        <f t="shared" si="3"/>
        <v>322.00000000000006</v>
      </c>
      <c r="J9" s="490">
        <f t="shared" si="4"/>
        <v>2622</v>
      </c>
    </row>
    <row r="10" spans="1:10" ht="21" customHeight="1" thickBot="1" x14ac:dyDescent="0.4">
      <c r="A10" s="466">
        <v>7</v>
      </c>
      <c r="B10" s="474" t="s">
        <v>39</v>
      </c>
      <c r="C10" s="584"/>
      <c r="D10" s="479">
        <v>750</v>
      </c>
      <c r="E10" s="479">
        <v>4</v>
      </c>
      <c r="F10" s="479">
        <f t="shared" si="0"/>
        <v>3000</v>
      </c>
      <c r="G10" s="446">
        <f t="shared" si="1"/>
        <v>450</v>
      </c>
      <c r="H10" s="482">
        <f t="shared" si="2"/>
        <v>3450</v>
      </c>
      <c r="I10" s="446">
        <f t="shared" si="3"/>
        <v>483.00000000000006</v>
      </c>
      <c r="J10" s="490">
        <f t="shared" si="4"/>
        <v>3933</v>
      </c>
    </row>
    <row r="11" spans="1:10" x14ac:dyDescent="0.35">
      <c r="A11" s="465">
        <v>8</v>
      </c>
      <c r="B11" s="475" t="s">
        <v>32</v>
      </c>
      <c r="C11" s="582" t="s">
        <v>40</v>
      </c>
      <c r="D11" s="479">
        <v>85</v>
      </c>
      <c r="E11" s="479">
        <v>10</v>
      </c>
      <c r="F11" s="479">
        <f t="shared" si="0"/>
        <v>850</v>
      </c>
      <c r="G11" s="446">
        <f t="shared" si="1"/>
        <v>127.5</v>
      </c>
      <c r="H11" s="482">
        <f t="shared" si="2"/>
        <v>977.5</v>
      </c>
      <c r="I11" s="446">
        <f t="shared" si="3"/>
        <v>136.85000000000002</v>
      </c>
      <c r="J11" s="490">
        <f t="shared" si="4"/>
        <v>1115</v>
      </c>
    </row>
    <row r="12" spans="1:10" x14ac:dyDescent="0.35">
      <c r="A12" s="463">
        <v>9</v>
      </c>
      <c r="B12" s="469" t="s">
        <v>34</v>
      </c>
      <c r="C12" s="583"/>
      <c r="D12" s="479">
        <v>100</v>
      </c>
      <c r="E12" s="479">
        <v>10</v>
      </c>
      <c r="F12" s="479">
        <f t="shared" si="0"/>
        <v>1000</v>
      </c>
      <c r="G12" s="446">
        <f t="shared" si="1"/>
        <v>150</v>
      </c>
      <c r="H12" s="482">
        <f t="shared" si="2"/>
        <v>1150</v>
      </c>
      <c r="I12" s="446">
        <f t="shared" si="3"/>
        <v>161.00000000000003</v>
      </c>
      <c r="J12" s="490">
        <f t="shared" si="4"/>
        <v>1311</v>
      </c>
    </row>
    <row r="13" spans="1:10" x14ac:dyDescent="0.35">
      <c r="A13" s="463">
        <v>10</v>
      </c>
      <c r="B13" s="469" t="s">
        <v>35</v>
      </c>
      <c r="C13" s="583"/>
      <c r="D13" s="479">
        <v>160</v>
      </c>
      <c r="E13" s="479">
        <v>8</v>
      </c>
      <c r="F13" s="479">
        <f t="shared" si="0"/>
        <v>1280</v>
      </c>
      <c r="G13" s="446">
        <f t="shared" si="1"/>
        <v>192</v>
      </c>
      <c r="H13" s="482">
        <f t="shared" si="2"/>
        <v>1472</v>
      </c>
      <c r="I13" s="446">
        <f t="shared" si="3"/>
        <v>206.08</v>
      </c>
      <c r="J13" s="490">
        <f t="shared" si="4"/>
        <v>1679</v>
      </c>
    </row>
    <row r="14" spans="1:10" x14ac:dyDescent="0.35">
      <c r="A14" s="463">
        <v>11</v>
      </c>
      <c r="B14" s="469" t="s">
        <v>36</v>
      </c>
      <c r="C14" s="583"/>
      <c r="D14" s="479">
        <v>250</v>
      </c>
      <c r="E14" s="479">
        <v>8</v>
      </c>
      <c r="F14" s="479">
        <f t="shared" si="0"/>
        <v>2000</v>
      </c>
      <c r="G14" s="446">
        <f t="shared" si="1"/>
        <v>300</v>
      </c>
      <c r="H14" s="482">
        <f t="shared" si="2"/>
        <v>2300</v>
      </c>
      <c r="I14" s="446">
        <f t="shared" si="3"/>
        <v>322.00000000000006</v>
      </c>
      <c r="J14" s="490">
        <f t="shared" si="4"/>
        <v>2622</v>
      </c>
    </row>
    <row r="15" spans="1:10" x14ac:dyDescent="0.35">
      <c r="A15" s="463">
        <v>12</v>
      </c>
      <c r="B15" s="469" t="s">
        <v>37</v>
      </c>
      <c r="C15" s="583"/>
      <c r="D15" s="479">
        <v>350</v>
      </c>
      <c r="E15" s="479">
        <v>8</v>
      </c>
      <c r="F15" s="479">
        <f t="shared" si="0"/>
        <v>2800</v>
      </c>
      <c r="G15" s="446">
        <f t="shared" si="1"/>
        <v>420</v>
      </c>
      <c r="H15" s="482">
        <f t="shared" si="2"/>
        <v>3220</v>
      </c>
      <c r="I15" s="446">
        <f t="shared" si="3"/>
        <v>450.80000000000007</v>
      </c>
      <c r="J15" s="490">
        <f t="shared" si="4"/>
        <v>3671</v>
      </c>
    </row>
    <row r="16" spans="1:10" x14ac:dyDescent="0.35">
      <c r="A16" s="463">
        <v>13</v>
      </c>
      <c r="B16" s="469" t="s">
        <v>38</v>
      </c>
      <c r="C16" s="583"/>
      <c r="D16" s="479">
        <v>500</v>
      </c>
      <c r="E16" s="479">
        <v>6</v>
      </c>
      <c r="F16" s="479">
        <f t="shared" si="0"/>
        <v>3000</v>
      </c>
      <c r="G16" s="446">
        <f t="shared" si="1"/>
        <v>450</v>
      </c>
      <c r="H16" s="482">
        <f t="shared" si="2"/>
        <v>3450</v>
      </c>
      <c r="I16" s="446">
        <f t="shared" si="3"/>
        <v>483.00000000000006</v>
      </c>
      <c r="J16" s="490">
        <f t="shared" si="4"/>
        <v>3933</v>
      </c>
    </row>
    <row r="17" spans="1:10" ht="15" thickBot="1" x14ac:dyDescent="0.4">
      <c r="A17" s="466">
        <v>14</v>
      </c>
      <c r="B17" s="474" t="s">
        <v>39</v>
      </c>
      <c r="C17" s="584"/>
      <c r="D17" s="479">
        <v>750</v>
      </c>
      <c r="E17" s="479">
        <v>6</v>
      </c>
      <c r="F17" s="479">
        <f t="shared" si="0"/>
        <v>4500</v>
      </c>
      <c r="G17" s="446">
        <f t="shared" si="1"/>
        <v>675</v>
      </c>
      <c r="H17" s="482">
        <f t="shared" si="2"/>
        <v>5175</v>
      </c>
      <c r="I17" s="446">
        <f t="shared" si="3"/>
        <v>724.50000000000011</v>
      </c>
      <c r="J17" s="490">
        <f t="shared" si="4"/>
        <v>5900</v>
      </c>
    </row>
  </sheetData>
  <mergeCells count="2">
    <mergeCell ref="C4:C10"/>
    <mergeCell ref="C11:C1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0488-D211-4AD7-B496-71F9097FB270}">
  <dimension ref="B3:AV36"/>
  <sheetViews>
    <sheetView topLeftCell="A7" zoomScaleNormal="100" workbookViewId="0">
      <selection activeCell="I32" sqref="I32"/>
    </sheetView>
  </sheetViews>
  <sheetFormatPr defaultColWidth="8.90625" defaultRowHeight="14.5" x14ac:dyDescent="0.35"/>
  <cols>
    <col min="1" max="1" width="8.90625" style="64"/>
    <col min="2" max="2" width="57.08984375" style="64" bestFit="1" customWidth="1"/>
    <col min="3" max="4" width="9.90625" style="64" customWidth="1"/>
    <col min="5" max="6" width="18.6328125" style="64" customWidth="1"/>
    <col min="7" max="7" width="24.08984375" style="64" customWidth="1"/>
    <col min="8" max="8" width="8.90625" style="64"/>
    <col min="9" max="9" width="18.1796875" style="64" bestFit="1" customWidth="1"/>
    <col min="10" max="12" width="8.90625" style="64"/>
    <col min="13" max="13" width="14.81640625" style="64" customWidth="1"/>
    <col min="14" max="14" width="8.90625" style="64"/>
    <col min="15" max="15" width="14.81640625" style="64" customWidth="1"/>
    <col min="16" max="16" width="8.90625" style="64"/>
    <col min="17" max="17" width="14.81640625" style="64" customWidth="1"/>
    <col min="18" max="18" width="8.90625" style="64"/>
    <col min="19" max="19" width="14.81640625" style="64" customWidth="1"/>
    <col min="20" max="20" width="8.90625" style="64"/>
    <col min="21" max="21" width="14.81640625" style="64" customWidth="1"/>
    <col min="22" max="22" width="8.90625" style="64"/>
    <col min="23" max="23" width="14.81640625" style="64" customWidth="1"/>
    <col min="24" max="24" width="8.90625" style="64"/>
    <col min="25" max="25" width="14.81640625" style="64" customWidth="1"/>
    <col min="26" max="26" width="8.90625" style="64"/>
    <col min="27" max="27" width="14.81640625" style="64" customWidth="1"/>
    <col min="28" max="28" width="8.90625" style="64"/>
    <col min="29" max="29" width="14.81640625" style="64" customWidth="1"/>
    <col min="30" max="30" width="8.90625" style="64"/>
    <col min="31" max="31" width="14.81640625" style="64" customWidth="1"/>
    <col min="32" max="32" width="8.90625" style="64"/>
    <col min="33" max="33" width="14.81640625" style="64" customWidth="1"/>
    <col min="34" max="34" width="8.90625" style="64"/>
    <col min="35" max="35" width="14.81640625" style="64" customWidth="1"/>
    <col min="36" max="36" width="8.90625" style="64"/>
    <col min="37" max="37" width="14.81640625" style="64" customWidth="1"/>
    <col min="38" max="38" width="8.90625" style="64"/>
    <col min="39" max="39" width="14.81640625" style="64" customWidth="1"/>
    <col min="40" max="40" width="11.08984375" style="64" bestFit="1" customWidth="1"/>
    <col min="41" max="41" width="10.453125" style="64" bestFit="1" customWidth="1"/>
    <col min="42" max="42" width="11.453125" style="64" bestFit="1" customWidth="1"/>
    <col min="43" max="43" width="9.453125" style="64" bestFit="1" customWidth="1"/>
    <col min="44" max="44" width="11.453125" style="64" bestFit="1" customWidth="1"/>
    <col min="45" max="45" width="10.453125" style="64" bestFit="1" customWidth="1"/>
    <col min="46" max="46" width="11.453125" style="64" bestFit="1" customWidth="1"/>
    <col min="47" max="47" width="10.08984375" style="64" bestFit="1" customWidth="1"/>
    <col min="48" max="16384" width="8.90625" style="64"/>
  </cols>
  <sheetData>
    <row r="3" spans="2:48" x14ac:dyDescent="0.35">
      <c r="B3" s="314"/>
      <c r="C3" s="74"/>
      <c r="D3" s="74"/>
      <c r="E3" s="37"/>
      <c r="F3" s="37"/>
      <c r="G3" s="37"/>
      <c r="L3" s="64">
        <v>27.213947990543737</v>
      </c>
      <c r="M3" s="64">
        <v>0</v>
      </c>
      <c r="N3" s="64">
        <v>13.708037825059103</v>
      </c>
      <c r="O3" s="64">
        <v>0</v>
      </c>
      <c r="P3" s="64">
        <v>14.359338061465721</v>
      </c>
      <c r="Q3" s="64">
        <v>0</v>
      </c>
      <c r="R3" s="64">
        <v>26.607565011820334</v>
      </c>
      <c r="S3" s="64">
        <v>0</v>
      </c>
      <c r="T3" s="64">
        <v>6.2777777777777786</v>
      </c>
      <c r="U3" s="64">
        <v>0</v>
      </c>
      <c r="V3" s="64">
        <v>4.7936507936507935</v>
      </c>
      <c r="W3" s="64">
        <v>0</v>
      </c>
      <c r="X3" s="64">
        <v>3.5952380952380949</v>
      </c>
      <c r="Y3" s="64">
        <v>0</v>
      </c>
      <c r="Z3" s="64">
        <v>4.7222222222222223</v>
      </c>
      <c r="AA3" s="64">
        <v>0</v>
      </c>
      <c r="AB3" s="64">
        <v>4.7222222222222223</v>
      </c>
      <c r="AC3" s="64">
        <v>0</v>
      </c>
      <c r="AD3" s="64">
        <v>12.555555555555557</v>
      </c>
      <c r="AE3" s="64">
        <v>0</v>
      </c>
      <c r="AF3" s="64">
        <v>1.1805555555555556</v>
      </c>
      <c r="AG3" s="64">
        <v>0</v>
      </c>
      <c r="AH3" s="64">
        <v>7.083333333333333</v>
      </c>
      <c r="AI3" s="64">
        <v>0</v>
      </c>
      <c r="AJ3" s="64">
        <v>1.1805555555555556</v>
      </c>
      <c r="AK3" s="64">
        <v>0</v>
      </c>
      <c r="AL3" s="64">
        <v>34</v>
      </c>
      <c r="AM3" s="64">
        <v>0</v>
      </c>
    </row>
    <row r="4" spans="2:48" ht="69" customHeight="1" x14ac:dyDescent="0.35">
      <c r="B4" s="297" t="s">
        <v>226</v>
      </c>
      <c r="C4" s="298" t="s">
        <v>227</v>
      </c>
      <c r="D4" s="298" t="s">
        <v>441</v>
      </c>
      <c r="E4" s="40" t="s">
        <v>68</v>
      </c>
      <c r="F4" s="41" t="s">
        <v>421</v>
      </c>
      <c r="G4" s="42" t="s">
        <v>230</v>
      </c>
      <c r="L4" s="592" t="s">
        <v>145</v>
      </c>
      <c r="M4" s="593"/>
      <c r="N4" s="588" t="s">
        <v>146</v>
      </c>
      <c r="O4" s="589"/>
      <c r="P4" s="588" t="s">
        <v>147</v>
      </c>
      <c r="Q4" s="589"/>
      <c r="R4" s="588" t="s">
        <v>148</v>
      </c>
      <c r="S4" s="589"/>
      <c r="T4" s="588" t="s">
        <v>149</v>
      </c>
      <c r="U4" s="589"/>
      <c r="V4" s="588" t="s">
        <v>150</v>
      </c>
      <c r="W4" s="589"/>
      <c r="X4" s="588" t="s">
        <v>151</v>
      </c>
      <c r="Y4" s="589"/>
      <c r="Z4" s="588" t="s">
        <v>152</v>
      </c>
      <c r="AA4" s="589"/>
      <c r="AB4" s="588" t="s">
        <v>153</v>
      </c>
      <c r="AC4" s="589"/>
      <c r="AD4" s="588" t="s">
        <v>154</v>
      </c>
      <c r="AE4" s="589"/>
      <c r="AF4" s="588" t="s">
        <v>155</v>
      </c>
      <c r="AG4" s="589"/>
      <c r="AH4" s="588" t="s">
        <v>156</v>
      </c>
      <c r="AI4" s="589"/>
      <c r="AJ4" s="588" t="s">
        <v>157</v>
      </c>
      <c r="AK4" s="589"/>
      <c r="AL4" s="590" t="s">
        <v>339</v>
      </c>
      <c r="AM4" s="591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2:48" x14ac:dyDescent="0.35">
      <c r="B5" s="299"/>
      <c r="C5" s="300"/>
      <c r="D5" s="300"/>
      <c r="E5" s="45"/>
      <c r="F5" s="46"/>
      <c r="G5" s="47"/>
      <c r="L5" s="64" t="s">
        <v>183</v>
      </c>
      <c r="M5" s="64" t="s">
        <v>15</v>
      </c>
      <c r="N5" s="64" t="s">
        <v>227</v>
      </c>
      <c r="O5" s="64" t="s">
        <v>15</v>
      </c>
      <c r="P5" s="64" t="s">
        <v>227</v>
      </c>
      <c r="Q5" s="64" t="s">
        <v>15</v>
      </c>
      <c r="R5" s="64" t="s">
        <v>227</v>
      </c>
      <c r="S5" s="64" t="s">
        <v>15</v>
      </c>
      <c r="T5" s="64" t="s">
        <v>227</v>
      </c>
      <c r="U5" s="64" t="s">
        <v>15</v>
      </c>
      <c r="V5" s="64" t="s">
        <v>227</v>
      </c>
      <c r="W5" s="64" t="s">
        <v>15</v>
      </c>
      <c r="X5" s="64" t="s">
        <v>227</v>
      </c>
      <c r="Y5" s="64" t="s">
        <v>15</v>
      </c>
      <c r="Z5" s="64" t="s">
        <v>227</v>
      </c>
      <c r="AA5" s="64" t="s">
        <v>15</v>
      </c>
      <c r="AB5" s="64" t="s">
        <v>227</v>
      </c>
      <c r="AC5" s="64" t="s">
        <v>15</v>
      </c>
      <c r="AD5" s="64" t="s">
        <v>227</v>
      </c>
      <c r="AE5" s="64" t="s">
        <v>15</v>
      </c>
      <c r="AF5" s="64" t="s">
        <v>227</v>
      </c>
      <c r="AG5" s="64" t="s">
        <v>15</v>
      </c>
      <c r="AH5" s="64" t="s">
        <v>227</v>
      </c>
      <c r="AI5" s="64" t="s">
        <v>15</v>
      </c>
      <c r="AJ5" s="64" t="s">
        <v>227</v>
      </c>
      <c r="AK5" s="64" t="s">
        <v>15</v>
      </c>
      <c r="AL5" s="64" t="s">
        <v>227</v>
      </c>
      <c r="AM5" s="64" t="s">
        <v>15</v>
      </c>
    </row>
    <row r="6" spans="2:48" x14ac:dyDescent="0.35">
      <c r="B6" s="222" t="s">
        <v>435</v>
      </c>
      <c r="C6" s="301">
        <v>6</v>
      </c>
      <c r="D6" s="302">
        <v>1</v>
      </c>
      <c r="E6" s="99">
        <f>1500*30</f>
        <v>45000</v>
      </c>
      <c r="F6" s="49">
        <f>E6/D6</f>
        <v>45000</v>
      </c>
      <c r="G6" s="332">
        <f>C6*F6</f>
        <v>270000</v>
      </c>
      <c r="I6" s="303">
        <f t="shared" ref="I6:I11" si="0">C6-(L6+N6+P6+R6+T6+V6+X6+Z6+AB6+AD6+AF6+AH6+AJ6+AL6)</f>
        <v>0</v>
      </c>
      <c r="J6" s="303">
        <f>G6-(M6+O6+Q6+S6+U6+W6+Y6+AA6+AC6+AE6+AG6+AI6+AK6+AM6)</f>
        <v>0</v>
      </c>
      <c r="L6" s="304">
        <f>C6*Maning!D$21</f>
        <v>1.0111008325624422</v>
      </c>
      <c r="M6" s="209">
        <f>F6*L6</f>
        <v>45499.537465309899</v>
      </c>
      <c r="N6" s="304">
        <f>C6*Maning!D$22</f>
        <v>0.50971322849213696</v>
      </c>
      <c r="O6" s="209">
        <f>N6*F6</f>
        <v>22937.095282146161</v>
      </c>
      <c r="P6" s="304">
        <f>C6*Maning!D$23</f>
        <v>0.53654024051803884</v>
      </c>
      <c r="Q6" s="209">
        <f>P6*F6</f>
        <v>24144.310823311749</v>
      </c>
      <c r="R6" s="304">
        <f>C6*Maning!D$24</f>
        <v>0.98612395929694729</v>
      </c>
      <c r="S6" s="209">
        <f>R6*F6</f>
        <v>44375.578168362626</v>
      </c>
      <c r="T6" s="304">
        <f>C6*Maning!D$25</f>
        <v>0.21739130434782611</v>
      </c>
      <c r="U6" s="209">
        <f>T6*F6</f>
        <v>9782.608695652174</v>
      </c>
      <c r="V6" s="304">
        <f>C6*Maning!D$26</f>
        <v>0.17391304347826086</v>
      </c>
      <c r="W6" s="209">
        <f>V6*F6</f>
        <v>7826.086956521739</v>
      </c>
      <c r="X6" s="304">
        <f>C6*Maning!D$27</f>
        <v>0.13043478260869565</v>
      </c>
      <c r="Y6" s="209">
        <f>X6*F6</f>
        <v>5869.565217391304</v>
      </c>
      <c r="Z6" s="304">
        <f>C6*Maning!D$28</f>
        <v>0.17391304347826086</v>
      </c>
      <c r="AA6" s="209">
        <f>Z6*F6</f>
        <v>7826.086956521739</v>
      </c>
      <c r="AB6" s="304">
        <f>C6*Maning!D$29</f>
        <v>0.17391304347826086</v>
      </c>
      <c r="AC6" s="209">
        <f>AB6*F6</f>
        <v>7826.086956521739</v>
      </c>
      <c r="AD6" s="304">
        <f>C6*Maning!D$30</f>
        <v>0.43478260869565222</v>
      </c>
      <c r="AE6" s="209">
        <f>AD6*F6</f>
        <v>19565.217391304348</v>
      </c>
      <c r="AF6" s="304">
        <f>C6*Maning!D$31</f>
        <v>4.3478260869565216E-2</v>
      </c>
      <c r="AG6" s="209">
        <f>AF6*F6</f>
        <v>1956.5217391304348</v>
      </c>
      <c r="AH6" s="304">
        <f>C6*Maning!D$32</f>
        <v>0.2608695652173913</v>
      </c>
      <c r="AI6" s="209">
        <f>AH6*F6</f>
        <v>11739.130434782608</v>
      </c>
      <c r="AJ6" s="304">
        <f>C6*Maning!D$33</f>
        <v>4.3478260869565216E-2</v>
      </c>
      <c r="AK6" s="209">
        <f>AJ6*F6</f>
        <v>1956.5217391304348</v>
      </c>
      <c r="AL6" s="304">
        <f>C6*Maning!D$34</f>
        <v>1.3043478260869565</v>
      </c>
      <c r="AM6" s="209">
        <f>AL6*F6</f>
        <v>58695.652173913048</v>
      </c>
      <c r="AN6" s="209">
        <f>M6+O6+Q6+S6+U6+W6+Y6+AA6+AC6+AE6+AG6+AI6+AK6+AM6</f>
        <v>269999.99999999994</v>
      </c>
      <c r="AO6" s="209">
        <f>AN6*$F$15</f>
        <v>21599.999999999996</v>
      </c>
      <c r="AP6" s="209">
        <f>AN6+AO6</f>
        <v>291599.99999999994</v>
      </c>
      <c r="AQ6" s="209">
        <f>AP6*$F$17</f>
        <v>4082.3999999999992</v>
      </c>
      <c r="AR6" s="209">
        <f>AP6+AQ6</f>
        <v>295682.39999999997</v>
      </c>
      <c r="AS6" s="209">
        <f>AR6*$F$19</f>
        <v>41395.536</v>
      </c>
      <c r="AT6" s="209">
        <f>AR6+AS6</f>
        <v>337077.93599999999</v>
      </c>
      <c r="AU6" s="57">
        <f>AT6/C6</f>
        <v>56179.655999999995</v>
      </c>
    </row>
    <row r="7" spans="2:48" x14ac:dyDescent="0.35">
      <c r="B7" s="222" t="s">
        <v>436</v>
      </c>
      <c r="C7" s="301">
        <v>3</v>
      </c>
      <c r="D7" s="302">
        <v>1</v>
      </c>
      <c r="E7" s="99">
        <f>1100*30</f>
        <v>33000</v>
      </c>
      <c r="F7" s="49">
        <f t="shared" ref="F7:F11" si="1">E7/D7</f>
        <v>33000</v>
      </c>
      <c r="G7" s="332">
        <f>C7*F7</f>
        <v>99000</v>
      </c>
      <c r="I7" s="303">
        <f t="shared" si="0"/>
        <v>0</v>
      </c>
      <c r="J7" s="303">
        <f>G7-(M7+O7+Q7+S7+U7+W7+Y7+AA7+AC7+AE7+AG7+AI7+AK7+AM7)</f>
        <v>0</v>
      </c>
      <c r="L7" s="304">
        <f>C7*Maning!D$21</f>
        <v>0.5055504162812211</v>
      </c>
      <c r="M7" s="209">
        <f t="shared" ref="M7:M11" si="2">F7*L7</f>
        <v>16683.163737280298</v>
      </c>
      <c r="N7" s="304">
        <f>C7*Maning!D$22</f>
        <v>0.25485661424606848</v>
      </c>
      <c r="O7" s="209">
        <f t="shared" ref="O7:O11" si="3">N7*F7</f>
        <v>8410.2682701202593</v>
      </c>
      <c r="P7" s="304">
        <f>C7*Maning!D$23</f>
        <v>0.26827012025901942</v>
      </c>
      <c r="Q7" s="209">
        <f t="shared" ref="Q7:Q11" si="4">P7*F7</f>
        <v>8852.9139685476403</v>
      </c>
      <c r="R7" s="304">
        <f>C7*Maning!D$24</f>
        <v>0.49306197964847365</v>
      </c>
      <c r="S7" s="209">
        <f t="shared" ref="S7:S11" si="5">R7*F7</f>
        <v>16271.04532839963</v>
      </c>
      <c r="T7" s="304">
        <f>C7*Maning!D$25</f>
        <v>0.10869565217391305</v>
      </c>
      <c r="U7" s="209">
        <f t="shared" ref="U7:U11" si="6">T7*F7</f>
        <v>3586.9565217391309</v>
      </c>
      <c r="V7" s="304">
        <f>C7*Maning!D$26</f>
        <v>8.6956521739130432E-2</v>
      </c>
      <c r="W7" s="209">
        <f t="shared" ref="W7:W11" si="7">V7*F7</f>
        <v>2869.5652173913045</v>
      </c>
      <c r="X7" s="304">
        <f>C7*Maning!D$27</f>
        <v>6.5217391304347824E-2</v>
      </c>
      <c r="Y7" s="209">
        <f t="shared" ref="Y7:Y11" si="8">X7*F7</f>
        <v>2152.173913043478</v>
      </c>
      <c r="Z7" s="304">
        <f>C7*Maning!D$28</f>
        <v>8.6956521739130432E-2</v>
      </c>
      <c r="AA7" s="209">
        <f t="shared" ref="AA7:AA11" si="9">Z7*F7</f>
        <v>2869.5652173913045</v>
      </c>
      <c r="AB7" s="304">
        <f>C7*Maning!D$29</f>
        <v>8.6956521739130432E-2</v>
      </c>
      <c r="AC7" s="209">
        <f t="shared" ref="AC7:AC11" si="10">AB7*F7</f>
        <v>2869.5652173913045</v>
      </c>
      <c r="AD7" s="304">
        <f>C7*Maning!D$30</f>
        <v>0.21739130434782611</v>
      </c>
      <c r="AE7" s="209">
        <f t="shared" ref="AE7:AE11" si="11">AD7*F7</f>
        <v>7173.9130434782619</v>
      </c>
      <c r="AF7" s="304">
        <f>C7*Maning!D$31</f>
        <v>2.1739130434782608E-2</v>
      </c>
      <c r="AG7" s="209">
        <f t="shared" ref="AG7:AG11" si="12">AF7*F7</f>
        <v>717.39130434782612</v>
      </c>
      <c r="AH7" s="304">
        <f>C7*Maning!D$32</f>
        <v>0.13043478260869565</v>
      </c>
      <c r="AI7" s="209">
        <f t="shared" ref="AI7:AI11" si="13">AH7*F7</f>
        <v>4304.347826086956</v>
      </c>
      <c r="AJ7" s="304">
        <f>C7*Maning!D$33</f>
        <v>2.1739130434782608E-2</v>
      </c>
      <c r="AK7" s="209">
        <f t="shared" ref="AK7:AK11" si="14">AJ7*F7</f>
        <v>717.39130434782612</v>
      </c>
      <c r="AL7" s="304">
        <f>C7*Maning!D$34</f>
        <v>0.65217391304347827</v>
      </c>
      <c r="AM7" s="209">
        <f t="shared" ref="AM7:AM11" si="15">AL7*F7</f>
        <v>21521.739130434784</v>
      </c>
      <c r="AN7" s="209">
        <f t="shared" ref="AN7:AN12" si="16">M7+O7+Q7+S7+U7+W7+Y7+AA7+AC7+AE7+AG7+AI7+AK7+AM7</f>
        <v>99000</v>
      </c>
      <c r="AO7" s="209">
        <f t="shared" ref="AO7:AO12" si="17">AN7*$F$15</f>
        <v>7920</v>
      </c>
      <c r="AP7" s="209">
        <f t="shared" ref="AP7:AP12" si="18">AN7+AO7</f>
        <v>106920</v>
      </c>
      <c r="AQ7" s="209">
        <f t="shared" ref="AQ7:AQ12" si="19">AP7*$F$17</f>
        <v>1496.88</v>
      </c>
      <c r="AR7" s="209">
        <f t="shared" ref="AR7:AR12" si="20">AP7+AQ7</f>
        <v>108416.88</v>
      </c>
      <c r="AS7" s="209">
        <f t="shared" ref="AS7:AS12" si="21">AR7*$F$19</f>
        <v>15178.363200000002</v>
      </c>
      <c r="AT7" s="209">
        <f t="shared" ref="AT7:AT12" si="22">AR7+AS7</f>
        <v>123595.24320000001</v>
      </c>
      <c r="AU7" s="57">
        <f t="shared" ref="AU7:AU12" si="23">AT7/C7</f>
        <v>41198.414400000001</v>
      </c>
    </row>
    <row r="8" spans="2:48" x14ac:dyDescent="0.35">
      <c r="B8" s="222" t="s">
        <v>437</v>
      </c>
      <c r="C8" s="301">
        <v>0</v>
      </c>
      <c r="D8" s="302">
        <v>1</v>
      </c>
      <c r="E8" s="99">
        <f>1100*30</f>
        <v>33000</v>
      </c>
      <c r="F8" s="49">
        <f>E8/D8</f>
        <v>33000</v>
      </c>
      <c r="G8" s="332">
        <f t="shared" ref="G8:G11" si="24">C8*F8</f>
        <v>0</v>
      </c>
      <c r="I8" s="303">
        <f t="shared" si="0"/>
        <v>0</v>
      </c>
      <c r="J8" s="303">
        <f t="shared" ref="J8:J13" si="25">G8-(M8+O8+Q8+S8+U8+W8+Y8+AA8+AC8+AE8+AG8+AI8+AK8+AM8)</f>
        <v>0</v>
      </c>
      <c r="L8" s="304">
        <f>C8*Maning!D$21</f>
        <v>0</v>
      </c>
      <c r="M8" s="209">
        <f t="shared" si="2"/>
        <v>0</v>
      </c>
      <c r="N8" s="304">
        <f>C8*Maning!D$22</f>
        <v>0</v>
      </c>
      <c r="O8" s="209">
        <f t="shared" si="3"/>
        <v>0</v>
      </c>
      <c r="P8" s="304">
        <f>C8*Maning!D$23</f>
        <v>0</v>
      </c>
      <c r="Q8" s="209">
        <f t="shared" si="4"/>
        <v>0</v>
      </c>
      <c r="R8" s="304">
        <f>C8*Maning!D$24</f>
        <v>0</v>
      </c>
      <c r="S8" s="209">
        <f t="shared" si="5"/>
        <v>0</v>
      </c>
      <c r="T8" s="304">
        <f>C8*Maning!D$25</f>
        <v>0</v>
      </c>
      <c r="U8" s="209">
        <f t="shared" si="6"/>
        <v>0</v>
      </c>
      <c r="V8" s="304">
        <f>C8*Maning!D$26</f>
        <v>0</v>
      </c>
      <c r="W8" s="209">
        <f t="shared" si="7"/>
        <v>0</v>
      </c>
      <c r="X8" s="304">
        <f>C8*Maning!D$27</f>
        <v>0</v>
      </c>
      <c r="Y8" s="209">
        <f t="shared" si="8"/>
        <v>0</v>
      </c>
      <c r="Z8" s="304">
        <f>C8*Maning!D$28</f>
        <v>0</v>
      </c>
      <c r="AA8" s="209">
        <f t="shared" si="9"/>
        <v>0</v>
      </c>
      <c r="AB8" s="304">
        <f>C8*Maning!D$29</f>
        <v>0</v>
      </c>
      <c r="AC8" s="209">
        <f t="shared" si="10"/>
        <v>0</v>
      </c>
      <c r="AD8" s="304">
        <f>C8*Maning!D$30</f>
        <v>0</v>
      </c>
      <c r="AE8" s="209">
        <f t="shared" si="11"/>
        <v>0</v>
      </c>
      <c r="AF8" s="304">
        <f>C8*Maning!D$31</f>
        <v>0</v>
      </c>
      <c r="AG8" s="209">
        <f t="shared" si="12"/>
        <v>0</v>
      </c>
      <c r="AH8" s="304">
        <f>C8*Maning!D$32</f>
        <v>0</v>
      </c>
      <c r="AI8" s="209">
        <f t="shared" si="13"/>
        <v>0</v>
      </c>
      <c r="AJ8" s="304">
        <f>C8*Maning!D$33</f>
        <v>0</v>
      </c>
      <c r="AK8" s="209">
        <f t="shared" si="14"/>
        <v>0</v>
      </c>
      <c r="AL8" s="304">
        <f>C8*Maning!D$34</f>
        <v>0</v>
      </c>
      <c r="AM8" s="209">
        <f t="shared" si="15"/>
        <v>0</v>
      </c>
      <c r="AN8" s="209">
        <f t="shared" si="16"/>
        <v>0</v>
      </c>
      <c r="AO8" s="209">
        <f t="shared" si="17"/>
        <v>0</v>
      </c>
      <c r="AP8" s="209">
        <f t="shared" si="18"/>
        <v>0</v>
      </c>
      <c r="AQ8" s="209">
        <f t="shared" si="19"/>
        <v>0</v>
      </c>
      <c r="AR8" s="209">
        <f t="shared" si="20"/>
        <v>0</v>
      </c>
      <c r="AS8" s="209">
        <f t="shared" si="21"/>
        <v>0</v>
      </c>
      <c r="AT8" s="209">
        <f t="shared" si="22"/>
        <v>0</v>
      </c>
      <c r="AU8" s="57" t="e">
        <f t="shared" si="23"/>
        <v>#DIV/0!</v>
      </c>
    </row>
    <row r="9" spans="2:48" s="307" customFormat="1" x14ac:dyDescent="0.35">
      <c r="B9" s="70" t="s">
        <v>451</v>
      </c>
      <c r="C9" s="305">
        <v>0</v>
      </c>
      <c r="D9" s="306">
        <v>1</v>
      </c>
      <c r="E9" s="279">
        <f>1400*30</f>
        <v>42000</v>
      </c>
      <c r="F9" s="49">
        <f t="shared" si="1"/>
        <v>42000</v>
      </c>
      <c r="G9" s="332">
        <f t="shared" si="24"/>
        <v>0</v>
      </c>
      <c r="I9" s="308">
        <f t="shared" si="0"/>
        <v>0</v>
      </c>
      <c r="J9" s="308">
        <f t="shared" si="25"/>
        <v>0</v>
      </c>
      <c r="L9" s="309">
        <f>C9*Maning!D$21</f>
        <v>0</v>
      </c>
      <c r="M9" s="310">
        <f t="shared" si="2"/>
        <v>0</v>
      </c>
      <c r="N9" s="309">
        <f>C9*Maning!D$22</f>
        <v>0</v>
      </c>
      <c r="O9" s="310">
        <f t="shared" si="3"/>
        <v>0</v>
      </c>
      <c r="P9" s="309">
        <f>C9*Maning!D$23</f>
        <v>0</v>
      </c>
      <c r="Q9" s="310">
        <f t="shared" si="4"/>
        <v>0</v>
      </c>
      <c r="R9" s="309">
        <f>C9*Maning!D$24</f>
        <v>0</v>
      </c>
      <c r="S9" s="310">
        <f t="shared" si="5"/>
        <v>0</v>
      </c>
      <c r="T9" s="309">
        <f>C9*Maning!D$25</f>
        <v>0</v>
      </c>
      <c r="U9" s="310">
        <f t="shared" si="6"/>
        <v>0</v>
      </c>
      <c r="V9" s="309">
        <f>C9*Maning!D$26</f>
        <v>0</v>
      </c>
      <c r="W9" s="310">
        <f t="shared" si="7"/>
        <v>0</v>
      </c>
      <c r="X9" s="309">
        <f>C9*Maning!D$27</f>
        <v>0</v>
      </c>
      <c r="Y9" s="310">
        <f t="shared" si="8"/>
        <v>0</v>
      </c>
      <c r="Z9" s="309">
        <f>C9*Maning!D$28</f>
        <v>0</v>
      </c>
      <c r="AA9" s="310">
        <f t="shared" si="9"/>
        <v>0</v>
      </c>
      <c r="AB9" s="309">
        <f>C9*Maning!D$29</f>
        <v>0</v>
      </c>
      <c r="AC9" s="310">
        <f t="shared" si="10"/>
        <v>0</v>
      </c>
      <c r="AD9" s="309">
        <f>C9*Maning!D$30</f>
        <v>0</v>
      </c>
      <c r="AE9" s="310">
        <f t="shared" si="11"/>
        <v>0</v>
      </c>
      <c r="AF9" s="309">
        <f>C9*Maning!D$31</f>
        <v>0</v>
      </c>
      <c r="AG9" s="310">
        <f t="shared" si="12"/>
        <v>0</v>
      </c>
      <c r="AH9" s="309">
        <f>C9*Maning!D$32</f>
        <v>0</v>
      </c>
      <c r="AI9" s="310">
        <f t="shared" si="13"/>
        <v>0</v>
      </c>
      <c r="AJ9" s="309">
        <f>C9*Maning!D$33</f>
        <v>0</v>
      </c>
      <c r="AK9" s="310">
        <f t="shared" si="14"/>
        <v>0</v>
      </c>
      <c r="AL9" s="309">
        <f>C9*Maning!D$34</f>
        <v>0</v>
      </c>
      <c r="AM9" s="310">
        <f t="shared" si="15"/>
        <v>0</v>
      </c>
      <c r="AN9" s="209">
        <f t="shared" si="16"/>
        <v>0</v>
      </c>
      <c r="AO9" s="209">
        <f t="shared" si="17"/>
        <v>0</v>
      </c>
      <c r="AP9" s="209">
        <f t="shared" si="18"/>
        <v>0</v>
      </c>
      <c r="AQ9" s="209">
        <f t="shared" si="19"/>
        <v>0</v>
      </c>
      <c r="AR9" s="209">
        <f t="shared" si="20"/>
        <v>0</v>
      </c>
      <c r="AS9" s="209">
        <f t="shared" si="21"/>
        <v>0</v>
      </c>
      <c r="AT9" s="209">
        <f t="shared" si="22"/>
        <v>0</v>
      </c>
      <c r="AU9" s="57" t="e">
        <f t="shared" si="23"/>
        <v>#DIV/0!</v>
      </c>
    </row>
    <row r="10" spans="2:48" s="307" customFormat="1" x14ac:dyDescent="0.35">
      <c r="B10" s="70" t="s">
        <v>453</v>
      </c>
      <c r="C10" s="305">
        <v>0</v>
      </c>
      <c r="D10" s="306">
        <v>1</v>
      </c>
      <c r="E10" s="279"/>
      <c r="F10" s="49">
        <f t="shared" si="1"/>
        <v>0</v>
      </c>
      <c r="G10" s="332">
        <f t="shared" si="24"/>
        <v>0</v>
      </c>
      <c r="I10" s="308">
        <f t="shared" si="0"/>
        <v>0</v>
      </c>
      <c r="J10" s="308">
        <f t="shared" si="25"/>
        <v>0</v>
      </c>
      <c r="L10" s="309">
        <f>C10*Maning!D$21</f>
        <v>0</v>
      </c>
      <c r="M10" s="310">
        <f t="shared" si="2"/>
        <v>0</v>
      </c>
      <c r="N10" s="309">
        <f>C10*Maning!D$22</f>
        <v>0</v>
      </c>
      <c r="O10" s="310">
        <f t="shared" si="3"/>
        <v>0</v>
      </c>
      <c r="P10" s="309">
        <f>C10*Maning!D$23</f>
        <v>0</v>
      </c>
      <c r="Q10" s="310">
        <f t="shared" si="4"/>
        <v>0</v>
      </c>
      <c r="R10" s="309">
        <f>C10*Maning!D$24</f>
        <v>0</v>
      </c>
      <c r="S10" s="310">
        <f t="shared" si="5"/>
        <v>0</v>
      </c>
      <c r="T10" s="309">
        <f>C10*Maning!D$25</f>
        <v>0</v>
      </c>
      <c r="U10" s="310">
        <f t="shared" si="6"/>
        <v>0</v>
      </c>
      <c r="V10" s="309">
        <f>C10*Maning!D$26</f>
        <v>0</v>
      </c>
      <c r="W10" s="310">
        <f t="shared" si="7"/>
        <v>0</v>
      </c>
      <c r="X10" s="309">
        <f>C10*Maning!D$27</f>
        <v>0</v>
      </c>
      <c r="Y10" s="310">
        <f t="shared" si="8"/>
        <v>0</v>
      </c>
      <c r="Z10" s="309">
        <f>C10*Maning!D$28</f>
        <v>0</v>
      </c>
      <c r="AA10" s="310">
        <f t="shared" si="9"/>
        <v>0</v>
      </c>
      <c r="AB10" s="309">
        <f>C10*Maning!D$29</f>
        <v>0</v>
      </c>
      <c r="AC10" s="310">
        <f t="shared" si="10"/>
        <v>0</v>
      </c>
      <c r="AD10" s="309">
        <f>C10*Maning!D$30</f>
        <v>0</v>
      </c>
      <c r="AE10" s="310">
        <f t="shared" si="11"/>
        <v>0</v>
      </c>
      <c r="AF10" s="309">
        <f>C10*Maning!D$31</f>
        <v>0</v>
      </c>
      <c r="AG10" s="310">
        <f t="shared" si="12"/>
        <v>0</v>
      </c>
      <c r="AH10" s="309">
        <f>C10*Maning!D$32</f>
        <v>0</v>
      </c>
      <c r="AI10" s="310">
        <f t="shared" si="13"/>
        <v>0</v>
      </c>
      <c r="AJ10" s="309">
        <f>C10*Maning!D$33</f>
        <v>0</v>
      </c>
      <c r="AK10" s="310">
        <f t="shared" si="14"/>
        <v>0</v>
      </c>
      <c r="AL10" s="309">
        <f>C10*Maning!D$34</f>
        <v>0</v>
      </c>
      <c r="AM10" s="310">
        <f t="shared" si="15"/>
        <v>0</v>
      </c>
      <c r="AN10" s="209">
        <f t="shared" si="16"/>
        <v>0</v>
      </c>
      <c r="AO10" s="209">
        <f t="shared" si="17"/>
        <v>0</v>
      </c>
      <c r="AP10" s="209">
        <f t="shared" si="18"/>
        <v>0</v>
      </c>
      <c r="AQ10" s="209">
        <f t="shared" si="19"/>
        <v>0</v>
      </c>
      <c r="AR10" s="209">
        <f t="shared" si="20"/>
        <v>0</v>
      </c>
      <c r="AS10" s="209">
        <f t="shared" si="21"/>
        <v>0</v>
      </c>
      <c r="AT10" s="209">
        <f t="shared" si="22"/>
        <v>0</v>
      </c>
      <c r="AU10" s="57" t="e">
        <f t="shared" si="23"/>
        <v>#DIV/0!</v>
      </c>
    </row>
    <row r="11" spans="2:48" s="307" customFormat="1" x14ac:dyDescent="0.35">
      <c r="B11" s="70" t="s">
        <v>233</v>
      </c>
      <c r="C11" s="305">
        <v>0</v>
      </c>
      <c r="D11" s="306">
        <v>1</v>
      </c>
      <c r="E11" s="279"/>
      <c r="F11" s="49">
        <f t="shared" si="1"/>
        <v>0</v>
      </c>
      <c r="G11" s="332">
        <f t="shared" si="24"/>
        <v>0</v>
      </c>
      <c r="I11" s="308">
        <f t="shared" si="0"/>
        <v>0</v>
      </c>
      <c r="J11" s="308">
        <f t="shared" si="25"/>
        <v>0</v>
      </c>
      <c r="L11" s="309">
        <f>C11*Maning!D$21</f>
        <v>0</v>
      </c>
      <c r="M11" s="310">
        <f t="shared" si="2"/>
        <v>0</v>
      </c>
      <c r="N11" s="309">
        <f>C11*Maning!D$22</f>
        <v>0</v>
      </c>
      <c r="O11" s="310">
        <f t="shared" si="3"/>
        <v>0</v>
      </c>
      <c r="P11" s="309">
        <f>C11*Maning!D$23</f>
        <v>0</v>
      </c>
      <c r="Q11" s="310">
        <f t="shared" si="4"/>
        <v>0</v>
      </c>
      <c r="R11" s="309">
        <f>C11*Maning!D$24</f>
        <v>0</v>
      </c>
      <c r="S11" s="310">
        <f t="shared" si="5"/>
        <v>0</v>
      </c>
      <c r="T11" s="309">
        <f>C11*Maning!D$25</f>
        <v>0</v>
      </c>
      <c r="U11" s="310">
        <f t="shared" si="6"/>
        <v>0</v>
      </c>
      <c r="V11" s="309">
        <f>C11*Maning!D$26</f>
        <v>0</v>
      </c>
      <c r="W11" s="310">
        <f t="shared" si="7"/>
        <v>0</v>
      </c>
      <c r="X11" s="309">
        <f>C11*Maning!D$27</f>
        <v>0</v>
      </c>
      <c r="Y11" s="310">
        <f t="shared" si="8"/>
        <v>0</v>
      </c>
      <c r="Z11" s="309">
        <f>C11*Maning!D$28</f>
        <v>0</v>
      </c>
      <c r="AA11" s="310">
        <f t="shared" si="9"/>
        <v>0</v>
      </c>
      <c r="AB11" s="309">
        <f>C11*Maning!D$29</f>
        <v>0</v>
      </c>
      <c r="AC11" s="310">
        <f t="shared" si="10"/>
        <v>0</v>
      </c>
      <c r="AD11" s="309">
        <f>C11*Maning!D$30</f>
        <v>0</v>
      </c>
      <c r="AE11" s="310">
        <f t="shared" si="11"/>
        <v>0</v>
      </c>
      <c r="AF11" s="309">
        <f>C11*Maning!D$31</f>
        <v>0</v>
      </c>
      <c r="AG11" s="310">
        <f t="shared" si="12"/>
        <v>0</v>
      </c>
      <c r="AH11" s="309">
        <f>C11*Maning!D$32</f>
        <v>0</v>
      </c>
      <c r="AI11" s="310">
        <f t="shared" si="13"/>
        <v>0</v>
      </c>
      <c r="AJ11" s="309">
        <f>C11*Maning!D$33</f>
        <v>0</v>
      </c>
      <c r="AK11" s="310">
        <f t="shared" si="14"/>
        <v>0</v>
      </c>
      <c r="AL11" s="309">
        <f>C11*Maning!D$34</f>
        <v>0</v>
      </c>
      <c r="AM11" s="310">
        <f t="shared" si="15"/>
        <v>0</v>
      </c>
      <c r="AN11" s="209">
        <f t="shared" si="16"/>
        <v>0</v>
      </c>
      <c r="AO11" s="209">
        <f t="shared" si="17"/>
        <v>0</v>
      </c>
      <c r="AP11" s="209">
        <f t="shared" si="18"/>
        <v>0</v>
      </c>
      <c r="AQ11" s="209">
        <f t="shared" si="19"/>
        <v>0</v>
      </c>
      <c r="AR11" s="209">
        <f t="shared" si="20"/>
        <v>0</v>
      </c>
      <c r="AS11" s="209">
        <f t="shared" si="21"/>
        <v>0</v>
      </c>
      <c r="AT11" s="209">
        <f t="shared" si="22"/>
        <v>0</v>
      </c>
      <c r="AU11" s="57" t="e">
        <f t="shared" si="23"/>
        <v>#DIV/0!</v>
      </c>
    </row>
    <row r="12" spans="2:48" s="307" customFormat="1" x14ac:dyDescent="0.35">
      <c r="B12" s="70" t="s">
        <v>345</v>
      </c>
      <c r="C12" s="305">
        <v>0</v>
      </c>
      <c r="D12" s="306">
        <v>1</v>
      </c>
      <c r="E12" s="279"/>
      <c r="F12" s="49">
        <f t="shared" ref="F12" si="26">E12/D12</f>
        <v>0</v>
      </c>
      <c r="G12" s="332">
        <f t="shared" ref="G12" si="27">C12*F12</f>
        <v>0</v>
      </c>
      <c r="I12" s="308">
        <f t="shared" ref="I12" si="28">C12-(L12+N12+P12+R12+T12+V12+X12+Z12+AB12+AD12+AF12+AH12+AJ12+AL12)</f>
        <v>0</v>
      </c>
      <c r="J12" s="308">
        <f t="shared" ref="J12" si="29">G12-(M12+O12+Q12+S12+U12+W12+Y12+AA12+AC12+AE12+AG12+AI12+AK12+AM12)</f>
        <v>0</v>
      </c>
      <c r="L12" s="309">
        <f>C12*Maning!D$21</f>
        <v>0</v>
      </c>
      <c r="M12" s="310">
        <f t="shared" ref="M12" si="30">F12*L12</f>
        <v>0</v>
      </c>
      <c r="N12" s="309">
        <f>C12*Maning!D$22</f>
        <v>0</v>
      </c>
      <c r="O12" s="310">
        <f t="shared" ref="O12" si="31">N12*F12</f>
        <v>0</v>
      </c>
      <c r="P12" s="309">
        <f>C12*Maning!D$23</f>
        <v>0</v>
      </c>
      <c r="Q12" s="310">
        <f t="shared" ref="Q12" si="32">P12*F12</f>
        <v>0</v>
      </c>
      <c r="R12" s="309">
        <f>C12*Maning!D$24</f>
        <v>0</v>
      </c>
      <c r="S12" s="310">
        <f t="shared" ref="S12" si="33">R12*F12</f>
        <v>0</v>
      </c>
      <c r="T12" s="309">
        <f>C12*Maning!D$25</f>
        <v>0</v>
      </c>
      <c r="U12" s="310">
        <f t="shared" ref="U12" si="34">T12*F12</f>
        <v>0</v>
      </c>
      <c r="V12" s="309">
        <f>C12*Maning!D$26</f>
        <v>0</v>
      </c>
      <c r="W12" s="310">
        <f t="shared" ref="W12" si="35">V12*F12</f>
        <v>0</v>
      </c>
      <c r="X12" s="309">
        <f>C12*Maning!D$27</f>
        <v>0</v>
      </c>
      <c r="Y12" s="310">
        <f t="shared" ref="Y12" si="36">X12*F12</f>
        <v>0</v>
      </c>
      <c r="Z12" s="309">
        <f>C12*Maning!D$28</f>
        <v>0</v>
      </c>
      <c r="AA12" s="310">
        <f t="shared" ref="AA12" si="37">Z12*F12</f>
        <v>0</v>
      </c>
      <c r="AB12" s="309">
        <f>C12*Maning!D$29</f>
        <v>0</v>
      </c>
      <c r="AC12" s="310">
        <f t="shared" ref="AC12" si="38">AB12*F12</f>
        <v>0</v>
      </c>
      <c r="AD12" s="309">
        <f>C12*Maning!D$30</f>
        <v>0</v>
      </c>
      <c r="AE12" s="310">
        <f t="shared" ref="AE12" si="39">AD12*F12</f>
        <v>0</v>
      </c>
      <c r="AF12" s="309">
        <f>C12*Maning!D$31</f>
        <v>0</v>
      </c>
      <c r="AG12" s="310">
        <f t="shared" ref="AG12" si="40">AF12*F12</f>
        <v>0</v>
      </c>
      <c r="AH12" s="309">
        <f>C12*Maning!D$32</f>
        <v>0</v>
      </c>
      <c r="AI12" s="310">
        <f t="shared" ref="AI12" si="41">AH12*F12</f>
        <v>0</v>
      </c>
      <c r="AJ12" s="309">
        <f>C12*Maning!D$33</f>
        <v>0</v>
      </c>
      <c r="AK12" s="310">
        <f t="shared" ref="AK12" si="42">AJ12*F12</f>
        <v>0</v>
      </c>
      <c r="AL12" s="309">
        <f>C12*Maning!D$34</f>
        <v>0</v>
      </c>
      <c r="AM12" s="310">
        <f t="shared" ref="AM12" si="43">AL12*F12</f>
        <v>0</v>
      </c>
      <c r="AN12" s="209">
        <f t="shared" si="16"/>
        <v>0</v>
      </c>
      <c r="AO12" s="209">
        <f t="shared" si="17"/>
        <v>0</v>
      </c>
      <c r="AP12" s="209">
        <f t="shared" si="18"/>
        <v>0</v>
      </c>
      <c r="AQ12" s="209">
        <f t="shared" si="19"/>
        <v>0</v>
      </c>
      <c r="AR12" s="209">
        <f t="shared" si="20"/>
        <v>0</v>
      </c>
      <c r="AS12" s="209">
        <f t="shared" si="21"/>
        <v>0</v>
      </c>
      <c r="AT12" s="209">
        <f t="shared" si="22"/>
        <v>0</v>
      </c>
      <c r="AU12" s="57" t="e">
        <f t="shared" si="23"/>
        <v>#DIV/0!</v>
      </c>
    </row>
    <row r="13" spans="2:48" x14ac:dyDescent="0.35">
      <c r="B13" s="102"/>
      <c r="C13" s="301"/>
      <c r="D13" s="302"/>
      <c r="E13" s="103"/>
      <c r="F13" s="49"/>
      <c r="G13" s="332"/>
      <c r="I13" s="303"/>
      <c r="J13" s="303">
        <f t="shared" si="25"/>
        <v>0</v>
      </c>
      <c r="L13" s="304"/>
      <c r="M13" s="209"/>
      <c r="N13" s="304"/>
      <c r="O13" s="209"/>
      <c r="P13" s="304"/>
      <c r="Q13" s="209"/>
      <c r="R13" s="304"/>
      <c r="S13" s="209"/>
      <c r="T13" s="304"/>
      <c r="U13" s="209"/>
      <c r="V13" s="304"/>
      <c r="W13" s="209"/>
      <c r="X13" s="304"/>
      <c r="Y13" s="209"/>
      <c r="Z13" s="304"/>
      <c r="AA13" s="209"/>
      <c r="AB13" s="304"/>
      <c r="AC13" s="209"/>
      <c r="AD13" s="304"/>
      <c r="AE13" s="209"/>
      <c r="AF13" s="304"/>
      <c r="AG13" s="209"/>
      <c r="AH13" s="304"/>
      <c r="AI13" s="209"/>
      <c r="AJ13" s="304"/>
      <c r="AK13" s="209"/>
      <c r="AL13" s="304"/>
      <c r="AM13" s="209"/>
      <c r="AN13" s="209"/>
      <c r="AO13" s="209"/>
      <c r="AP13" s="209"/>
      <c r="AQ13" s="209"/>
      <c r="AR13" s="209"/>
      <c r="AS13" s="209"/>
      <c r="AT13" s="209"/>
      <c r="AU13" s="57"/>
    </row>
    <row r="14" spans="2:48" x14ac:dyDescent="0.35">
      <c r="B14" s="315" t="s">
        <v>241</v>
      </c>
      <c r="C14" s="316">
        <f>SUM(C6:C13)</f>
        <v>9</v>
      </c>
      <c r="D14" s="316"/>
      <c r="E14" s="265"/>
      <c r="F14" s="265"/>
      <c r="G14" s="334">
        <f>SUM(G6:G13)</f>
        <v>369000</v>
      </c>
      <c r="I14" s="303"/>
      <c r="J14" s="303">
        <f>G14-(M14+O14+Q14+S14+U14+W14+Y14+AA14+AC14+AE14+AG14+AI14+AK14+AM14)</f>
        <v>0</v>
      </c>
      <c r="L14" s="317">
        <f t="shared" ref="L14:AV14" si="44">SUM(L6:L13)</f>
        <v>1.5166512488436634</v>
      </c>
      <c r="M14" s="317">
        <f t="shared" si="44"/>
        <v>62182.701202590193</v>
      </c>
      <c r="N14" s="317">
        <f t="shared" si="44"/>
        <v>0.7645698427382055</v>
      </c>
      <c r="O14" s="317">
        <f t="shared" si="44"/>
        <v>31347.363552266419</v>
      </c>
      <c r="P14" s="317">
        <f t="shared" si="44"/>
        <v>0.80481036077705825</v>
      </c>
      <c r="Q14" s="317">
        <f t="shared" si="44"/>
        <v>32997.224791859393</v>
      </c>
      <c r="R14" s="317">
        <f t="shared" si="44"/>
        <v>1.4791859389454209</v>
      </c>
      <c r="S14" s="317">
        <f t="shared" si="44"/>
        <v>60646.623496762259</v>
      </c>
      <c r="T14" s="317">
        <f t="shared" si="44"/>
        <v>0.32608695652173914</v>
      </c>
      <c r="U14" s="317">
        <f t="shared" si="44"/>
        <v>13369.565217391304</v>
      </c>
      <c r="V14" s="317">
        <f t="shared" si="44"/>
        <v>0.2608695652173913</v>
      </c>
      <c r="W14" s="317">
        <f t="shared" si="44"/>
        <v>10695.652173913044</v>
      </c>
      <c r="X14" s="317">
        <f t="shared" si="44"/>
        <v>0.19565217391304346</v>
      </c>
      <c r="Y14" s="317">
        <f t="shared" si="44"/>
        <v>8021.7391304347821</v>
      </c>
      <c r="Z14" s="317">
        <f t="shared" si="44"/>
        <v>0.2608695652173913</v>
      </c>
      <c r="AA14" s="317">
        <f t="shared" si="44"/>
        <v>10695.652173913044</v>
      </c>
      <c r="AB14" s="317">
        <f t="shared" si="44"/>
        <v>0.2608695652173913</v>
      </c>
      <c r="AC14" s="317">
        <f t="shared" si="44"/>
        <v>10695.652173913044</v>
      </c>
      <c r="AD14" s="317">
        <f t="shared" si="44"/>
        <v>0.65217391304347827</v>
      </c>
      <c r="AE14" s="317">
        <f t="shared" si="44"/>
        <v>26739.130434782608</v>
      </c>
      <c r="AF14" s="317">
        <f t="shared" si="44"/>
        <v>6.5217391304347824E-2</v>
      </c>
      <c r="AG14" s="317">
        <f t="shared" si="44"/>
        <v>2673.913043478261</v>
      </c>
      <c r="AH14" s="317">
        <f t="shared" si="44"/>
        <v>0.39130434782608692</v>
      </c>
      <c r="AI14" s="317">
        <f t="shared" si="44"/>
        <v>16043.478260869564</v>
      </c>
      <c r="AJ14" s="317">
        <f t="shared" si="44"/>
        <v>6.5217391304347824E-2</v>
      </c>
      <c r="AK14" s="317">
        <f t="shared" si="44"/>
        <v>2673.913043478261</v>
      </c>
      <c r="AL14" s="317">
        <f t="shared" si="44"/>
        <v>1.9565217391304348</v>
      </c>
      <c r="AM14" s="317">
        <f t="shared" si="44"/>
        <v>80217.391304347839</v>
      </c>
      <c r="AN14" s="317">
        <f t="shared" si="44"/>
        <v>368999.99999999994</v>
      </c>
      <c r="AO14" s="317">
        <f t="shared" si="44"/>
        <v>29519.999999999996</v>
      </c>
      <c r="AP14" s="317">
        <f t="shared" si="44"/>
        <v>398519.99999999994</v>
      </c>
      <c r="AQ14" s="317">
        <f t="shared" si="44"/>
        <v>5579.2799999999988</v>
      </c>
      <c r="AR14" s="317">
        <f t="shared" si="44"/>
        <v>404099.27999999997</v>
      </c>
      <c r="AS14" s="317">
        <f t="shared" si="44"/>
        <v>56573.8992</v>
      </c>
      <c r="AT14" s="317">
        <f t="shared" si="44"/>
        <v>460673.17920000001</v>
      </c>
      <c r="AU14" s="317"/>
      <c r="AV14" s="317">
        <f t="shared" si="44"/>
        <v>0</v>
      </c>
    </row>
    <row r="15" spans="2:48" x14ac:dyDescent="0.35">
      <c r="B15" s="59" t="s">
        <v>475</v>
      </c>
      <c r="F15" s="353">
        <f>'HK Budget (2)'!C14</f>
        <v>0.08</v>
      </c>
      <c r="G15" s="209">
        <f>G14*$F$15</f>
        <v>29520</v>
      </c>
      <c r="I15" s="303">
        <f t="shared" ref="I15:I20" si="45">C15-(L15+N15+P15+R15+T15+V15+X15+Z15+AB15+AD15+AF15+AH15+AJ15+AL15)</f>
        <v>0</v>
      </c>
      <c r="J15" s="303">
        <f t="shared" ref="J15:J20" si="46">G15-(M15+O15+Q15+S15+U15+W15+Y15+AA15+AC15+AE15+AG15+AI15+AK15+AM15)</f>
        <v>0</v>
      </c>
      <c r="M15" s="209">
        <f>M14*$F$15</f>
        <v>4974.6160962072154</v>
      </c>
      <c r="O15" s="209">
        <f>O14*$F$15</f>
        <v>2507.7890841813137</v>
      </c>
      <c r="Q15" s="209">
        <f>Q14*$F$15</f>
        <v>2639.7779833487516</v>
      </c>
      <c r="S15" s="209">
        <f>S14*$F$15</f>
        <v>4851.7298797409812</v>
      </c>
      <c r="U15" s="209">
        <f>U14*$F$15</f>
        <v>1069.5652173913043</v>
      </c>
      <c r="W15" s="209">
        <f>W14*$F$15</f>
        <v>855.6521739130435</v>
      </c>
      <c r="Y15" s="209">
        <f>Y14*$F$15</f>
        <v>641.73913043478262</v>
      </c>
      <c r="AA15" s="209">
        <f>AA14*$F$15</f>
        <v>855.6521739130435</v>
      </c>
      <c r="AC15" s="209">
        <f>AC14*$F$15</f>
        <v>855.6521739130435</v>
      </c>
      <c r="AE15" s="209">
        <f>AE14*$F$15</f>
        <v>2139.1304347826085</v>
      </c>
      <c r="AG15" s="209">
        <f>AG14*$F$15</f>
        <v>213.91304347826087</v>
      </c>
      <c r="AI15" s="209">
        <f>AI14*$F$15</f>
        <v>1283.4782608695652</v>
      </c>
      <c r="AK15" s="209">
        <f>AK14*$F$15</f>
        <v>213.91304347826087</v>
      </c>
      <c r="AM15" s="209">
        <f>AM14*$F$15</f>
        <v>6417.3913043478269</v>
      </c>
    </row>
    <row r="16" spans="2:48" x14ac:dyDescent="0.35">
      <c r="B16" s="65" t="s">
        <v>240</v>
      </c>
      <c r="F16" s="353"/>
      <c r="G16" s="84">
        <f>G14+G15</f>
        <v>398520</v>
      </c>
      <c r="I16" s="303">
        <f t="shared" si="45"/>
        <v>0</v>
      </c>
      <c r="J16" s="303">
        <f t="shared" si="46"/>
        <v>0</v>
      </c>
      <c r="M16" s="84">
        <f>M14+M15</f>
        <v>67157.31729879741</v>
      </c>
      <c r="O16" s="84">
        <f>O14+O15</f>
        <v>33855.152636447732</v>
      </c>
      <c r="Q16" s="84">
        <f>Q14+Q15</f>
        <v>35637.002775208144</v>
      </c>
      <c r="S16" s="84">
        <f>S14+S15</f>
        <v>65498.353376503241</v>
      </c>
      <c r="U16" s="84">
        <f>U14+U15</f>
        <v>14439.130434782608</v>
      </c>
      <c r="W16" s="84">
        <f>W14+W15</f>
        <v>11551.304347826088</v>
      </c>
      <c r="Y16" s="84">
        <f>Y14+Y15</f>
        <v>8663.4782608695641</v>
      </c>
      <c r="AA16" s="84">
        <f>AA14+AA15</f>
        <v>11551.304347826088</v>
      </c>
      <c r="AC16" s="84">
        <f>AC14+AC15</f>
        <v>11551.304347826088</v>
      </c>
      <c r="AE16" s="84">
        <f>AE14+AE15</f>
        <v>28878.260869565216</v>
      </c>
      <c r="AG16" s="84">
        <f>AG14+AG15</f>
        <v>2887.826086956522</v>
      </c>
      <c r="AI16" s="84">
        <f>AI14+AI15</f>
        <v>17326.956521739128</v>
      </c>
      <c r="AK16" s="84">
        <f>AK14+AK15</f>
        <v>2887.826086956522</v>
      </c>
      <c r="AM16" s="84">
        <f>AM14+AM15</f>
        <v>86634.782608695663</v>
      </c>
    </row>
    <row r="17" spans="2:39" x14ac:dyDescent="0.35">
      <c r="B17" s="494" t="s">
        <v>474</v>
      </c>
      <c r="F17" s="353">
        <f>'HK Budget (2)'!C16</f>
        <v>1.4E-2</v>
      </c>
      <c r="G17" s="84">
        <f>G16*$F$17</f>
        <v>5579.28</v>
      </c>
      <c r="I17" s="303">
        <f t="shared" si="45"/>
        <v>0</v>
      </c>
      <c r="J17" s="303">
        <f t="shared" si="46"/>
        <v>0</v>
      </c>
      <c r="M17" s="84">
        <f>M16*$F$17</f>
        <v>940.20244218316373</v>
      </c>
      <c r="O17" s="84">
        <f>O16*$F$17</f>
        <v>473.97213691026826</v>
      </c>
      <c r="Q17" s="84">
        <f>Q16*$F$17</f>
        <v>498.91803885291404</v>
      </c>
      <c r="S17" s="84">
        <f>S16*$F$17</f>
        <v>916.97694727104533</v>
      </c>
      <c r="U17" s="84">
        <f>U16*$F$17</f>
        <v>202.14782608695651</v>
      </c>
      <c r="W17" s="84">
        <f>W16*$F$17</f>
        <v>161.71826086956523</v>
      </c>
      <c r="Y17" s="84">
        <f>Y16*$F$17</f>
        <v>121.2886956521739</v>
      </c>
      <c r="AA17" s="84">
        <f>AA16*$F$17</f>
        <v>161.71826086956523</v>
      </c>
      <c r="AC17" s="84">
        <f>AC16*$F$17</f>
        <v>161.71826086956523</v>
      </c>
      <c r="AE17" s="84">
        <f>AE16*$F$17</f>
        <v>404.29565217391303</v>
      </c>
      <c r="AG17" s="84">
        <f>AG16*$F$17</f>
        <v>40.429565217391307</v>
      </c>
      <c r="AI17" s="84">
        <f>AI16*$F$17</f>
        <v>242.5773913043478</v>
      </c>
      <c r="AK17" s="84">
        <f>AK16*$F$17</f>
        <v>40.429565217391307</v>
      </c>
      <c r="AM17" s="84">
        <f>AM16*$F$17</f>
        <v>1212.8869565217392</v>
      </c>
    </row>
    <row r="18" spans="2:39" x14ac:dyDescent="0.35">
      <c r="B18" s="70" t="s">
        <v>449</v>
      </c>
      <c r="G18" s="84">
        <f>G17+G16</f>
        <v>404099.28</v>
      </c>
      <c r="I18" s="303">
        <f t="shared" si="45"/>
        <v>0</v>
      </c>
      <c r="J18" s="303">
        <f t="shared" si="46"/>
        <v>0</v>
      </c>
      <c r="M18" s="84">
        <f>M17+M16</f>
        <v>68097.51974098057</v>
      </c>
      <c r="O18" s="84">
        <f>O17+O16</f>
        <v>34329.124773358002</v>
      </c>
      <c r="Q18" s="84">
        <f>Q17+Q16</f>
        <v>36135.920814061057</v>
      </c>
      <c r="S18" s="84">
        <f>S17+S16</f>
        <v>66415.33032377428</v>
      </c>
      <c r="U18" s="84">
        <f>U17+U16</f>
        <v>14641.278260869565</v>
      </c>
      <c r="W18" s="84">
        <f>W17+W16</f>
        <v>11713.022608695654</v>
      </c>
      <c r="Y18" s="84">
        <f>Y17+Y16</f>
        <v>8784.7669565217384</v>
      </c>
      <c r="AA18" s="84">
        <f>AA17+AA16</f>
        <v>11713.022608695654</v>
      </c>
      <c r="AC18" s="84">
        <f>AC17+AC16</f>
        <v>11713.022608695654</v>
      </c>
      <c r="AE18" s="84">
        <f>AE17+AE16</f>
        <v>29282.55652173913</v>
      </c>
      <c r="AG18" s="84">
        <f>AG17+AG16</f>
        <v>2928.2556521739134</v>
      </c>
      <c r="AI18" s="84">
        <f>AI17+AI16</f>
        <v>17569.533913043477</v>
      </c>
      <c r="AK18" s="84">
        <f>AK17+AK16</f>
        <v>2928.2556521739134</v>
      </c>
      <c r="AM18" s="84">
        <f>AM17+AM16</f>
        <v>87847.669565217395</v>
      </c>
    </row>
    <row r="19" spans="2:39" x14ac:dyDescent="0.35">
      <c r="B19" s="355" t="s">
        <v>463</v>
      </c>
      <c r="F19" s="353">
        <v>0.14000000000000001</v>
      </c>
      <c r="G19" s="84">
        <f>G18*$F$19</f>
        <v>56573.899200000007</v>
      </c>
      <c r="I19" s="303">
        <f t="shared" si="45"/>
        <v>0</v>
      </c>
      <c r="J19" s="303">
        <f t="shared" si="46"/>
        <v>0</v>
      </c>
      <c r="M19" s="84">
        <f>M18*$F$19</f>
        <v>9533.6527637372801</v>
      </c>
      <c r="O19" s="84">
        <f>O18*$F$19</f>
        <v>4806.0774682701203</v>
      </c>
      <c r="Q19" s="84">
        <f>Q18*$F$19</f>
        <v>5059.0289139685483</v>
      </c>
      <c r="S19" s="84">
        <f>S18*$F$19</f>
        <v>9298.1462453284003</v>
      </c>
      <c r="U19" s="84">
        <f>U18*$F$19</f>
        <v>2049.7789565217395</v>
      </c>
      <c r="W19" s="84">
        <f>W18*$F$19</f>
        <v>1639.8231652173918</v>
      </c>
      <c r="Y19" s="84">
        <f>Y18*$F$19</f>
        <v>1229.8673739130436</v>
      </c>
      <c r="AA19" s="84">
        <f>AA18*$F$19</f>
        <v>1639.8231652173918</v>
      </c>
      <c r="AC19" s="84">
        <f>AC18*$F$19</f>
        <v>1639.8231652173918</v>
      </c>
      <c r="AE19" s="84">
        <f>AE18*$F$19</f>
        <v>4099.5579130434789</v>
      </c>
      <c r="AG19" s="84">
        <f>AG18*$F$19</f>
        <v>409.95579130434794</v>
      </c>
      <c r="AI19" s="84">
        <f>AI18*$F$19</f>
        <v>2459.7347478260872</v>
      </c>
      <c r="AK19" s="84">
        <f>AK18*$F$19</f>
        <v>409.95579130434794</v>
      </c>
      <c r="AM19" s="84">
        <f>AM18*$F$19</f>
        <v>12298.673739130436</v>
      </c>
    </row>
    <row r="20" spans="2:39" x14ac:dyDescent="0.35">
      <c r="B20" s="355" t="s">
        <v>464</v>
      </c>
      <c r="G20" s="84">
        <f>G18+G19</f>
        <v>460673.17920000001</v>
      </c>
      <c r="I20" s="303">
        <f t="shared" si="45"/>
        <v>0</v>
      </c>
      <c r="J20" s="303">
        <f t="shared" si="46"/>
        <v>0</v>
      </c>
      <c r="M20" s="84">
        <f>M18+M19</f>
        <v>77631.172504717848</v>
      </c>
      <c r="O20" s="84">
        <f>O18+O19</f>
        <v>39135.202241628125</v>
      </c>
      <c r="Q20" s="84">
        <f>Q18+Q19</f>
        <v>41194.949728029605</v>
      </c>
      <c r="S20" s="84">
        <f>S18+S19</f>
        <v>75713.476569102684</v>
      </c>
      <c r="U20" s="84">
        <f>U18+U19</f>
        <v>16691.057217391306</v>
      </c>
      <c r="W20" s="84">
        <f>W18+W19</f>
        <v>13352.845773913046</v>
      </c>
      <c r="Y20" s="84">
        <f>Y18+Y19</f>
        <v>10014.634330434783</v>
      </c>
      <c r="AA20" s="84">
        <f>AA18+AA19</f>
        <v>13352.845773913046</v>
      </c>
      <c r="AC20" s="84">
        <f>AC18+AC19</f>
        <v>13352.845773913046</v>
      </c>
      <c r="AE20" s="84">
        <f>AE18+AE19</f>
        <v>33382.114434782612</v>
      </c>
      <c r="AG20" s="84">
        <f>AG18+AG19</f>
        <v>3338.2114434782616</v>
      </c>
      <c r="AI20" s="84">
        <f>AI18+AI19</f>
        <v>20029.268660869566</v>
      </c>
      <c r="AK20" s="84">
        <f>AK18+AK19</f>
        <v>3338.2114434782616</v>
      </c>
      <c r="AM20" s="84">
        <f>AM18+AM19</f>
        <v>100146.34330434783</v>
      </c>
    </row>
    <row r="24" spans="2:39" ht="15" thickBot="1" x14ac:dyDescent="0.4">
      <c r="B24" s="207" t="s">
        <v>321</v>
      </c>
      <c r="C24" s="74"/>
      <c r="D24" s="74"/>
      <c r="E24" s="37"/>
      <c r="F24" s="37"/>
      <c r="G24" s="37"/>
    </row>
    <row r="25" spans="2:39" ht="43.5" x14ac:dyDescent="0.35">
      <c r="B25" s="297" t="s">
        <v>226</v>
      </c>
      <c r="C25" s="298" t="s">
        <v>227</v>
      </c>
      <c r="D25" s="298" t="s">
        <v>441</v>
      </c>
      <c r="E25" s="40" t="s">
        <v>68</v>
      </c>
      <c r="F25" s="41" t="s">
        <v>421</v>
      </c>
      <c r="G25" s="42" t="s">
        <v>230</v>
      </c>
    </row>
    <row r="26" spans="2:39" x14ac:dyDescent="0.35">
      <c r="B26" s="299"/>
      <c r="C26" s="300"/>
      <c r="D26" s="300"/>
      <c r="E26" s="45"/>
      <c r="F26" s="46"/>
      <c r="G26" s="47"/>
    </row>
    <row r="27" spans="2:39" x14ac:dyDescent="0.35">
      <c r="B27" s="70" t="s">
        <v>486</v>
      </c>
      <c r="C27" s="301">
        <v>1</v>
      </c>
      <c r="D27" s="302">
        <v>1</v>
      </c>
      <c r="E27" s="99">
        <v>36000</v>
      </c>
      <c r="F27" s="49">
        <f>E27/D27</f>
        <v>36000</v>
      </c>
      <c r="G27" s="332">
        <f>C27*F27</f>
        <v>36000</v>
      </c>
    </row>
    <row r="28" spans="2:39" x14ac:dyDescent="0.35">
      <c r="B28" s="222" t="s">
        <v>439</v>
      </c>
      <c r="C28" s="301">
        <v>1</v>
      </c>
      <c r="D28" s="302">
        <v>3</v>
      </c>
      <c r="E28" s="99">
        <v>5000</v>
      </c>
      <c r="F28" s="49">
        <f t="shared" ref="F28:F31" si="47">E28/D28</f>
        <v>1666.6666666666667</v>
      </c>
      <c r="G28" s="332">
        <f t="shared" ref="G28:G31" si="48">C28*F28</f>
        <v>1666.6666666666667</v>
      </c>
    </row>
    <row r="29" spans="2:39" x14ac:dyDescent="0.35">
      <c r="B29" s="70" t="s">
        <v>440</v>
      </c>
      <c r="C29" s="305"/>
      <c r="D29" s="302">
        <v>1</v>
      </c>
      <c r="E29" s="279">
        <v>25000</v>
      </c>
      <c r="F29" s="49">
        <f t="shared" si="47"/>
        <v>25000</v>
      </c>
      <c r="G29" s="332">
        <f t="shared" si="48"/>
        <v>0</v>
      </c>
    </row>
    <row r="30" spans="2:39" x14ac:dyDescent="0.35">
      <c r="B30" s="102" t="s">
        <v>438</v>
      </c>
      <c r="C30" s="301">
        <v>1</v>
      </c>
      <c r="D30" s="302">
        <v>1</v>
      </c>
      <c r="E30" s="103">
        <v>10000</v>
      </c>
      <c r="F30" s="49">
        <f t="shared" si="47"/>
        <v>10000</v>
      </c>
      <c r="G30" s="332">
        <f t="shared" si="48"/>
        <v>10000</v>
      </c>
    </row>
    <row r="31" spans="2:39" x14ac:dyDescent="0.35">
      <c r="B31" s="102" t="s">
        <v>452</v>
      </c>
      <c r="C31" s="301">
        <v>1</v>
      </c>
      <c r="D31" s="302">
        <v>60</v>
      </c>
      <c r="E31" s="48">
        <v>250000</v>
      </c>
      <c r="F31" s="49">
        <f t="shared" si="47"/>
        <v>4166.666666666667</v>
      </c>
      <c r="G31" s="332">
        <f t="shared" si="48"/>
        <v>4166.666666666667</v>
      </c>
    </row>
    <row r="32" spans="2:39" x14ac:dyDescent="0.35">
      <c r="B32" s="70"/>
      <c r="C32" s="301"/>
      <c r="D32" s="301"/>
      <c r="E32" s="48"/>
      <c r="F32" s="49"/>
      <c r="G32" s="332">
        <f t="shared" ref="G32:G35" si="49">C32*E32</f>
        <v>0</v>
      </c>
    </row>
    <row r="33" spans="2:7" x14ac:dyDescent="0.35">
      <c r="B33" s="70"/>
      <c r="C33" s="301"/>
      <c r="D33" s="301"/>
      <c r="E33" s="48"/>
      <c r="F33" s="49"/>
      <c r="G33" s="332">
        <f t="shared" si="49"/>
        <v>0</v>
      </c>
    </row>
    <row r="34" spans="2:7" x14ac:dyDescent="0.35">
      <c r="B34" s="70"/>
      <c r="C34" s="301"/>
      <c r="D34" s="301"/>
      <c r="E34" s="48"/>
      <c r="F34" s="49"/>
      <c r="G34" s="332">
        <f t="shared" si="49"/>
        <v>0</v>
      </c>
    </row>
    <row r="35" spans="2:7" x14ac:dyDescent="0.35">
      <c r="B35" s="311"/>
      <c r="C35" s="312"/>
      <c r="D35" s="312"/>
      <c r="E35" s="51"/>
      <c r="F35" s="52"/>
      <c r="G35" s="333">
        <f t="shared" si="49"/>
        <v>0</v>
      </c>
    </row>
    <row r="36" spans="2:7" x14ac:dyDescent="0.35">
      <c r="B36" s="315" t="s">
        <v>241</v>
      </c>
      <c r="C36" s="316">
        <f>SUM(C27:C35)</f>
        <v>4</v>
      </c>
      <c r="D36" s="316"/>
      <c r="E36" s="265"/>
      <c r="F36" s="265"/>
      <c r="G36" s="334">
        <f>SUM(G27:G35)</f>
        <v>51833.333333333328</v>
      </c>
    </row>
  </sheetData>
  <mergeCells count="14">
    <mergeCell ref="V4:W4"/>
    <mergeCell ref="L4:M4"/>
    <mergeCell ref="N4:O4"/>
    <mergeCell ref="P4:Q4"/>
    <mergeCell ref="R4:S4"/>
    <mergeCell ref="T4:U4"/>
    <mergeCell ref="AJ4:AK4"/>
    <mergeCell ref="AL4:AM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234A-FA53-4FA6-A024-FC9CC9FC4222}">
  <dimension ref="B3:AU18"/>
  <sheetViews>
    <sheetView zoomScale="80" zoomScaleNormal="80" workbookViewId="0">
      <selection activeCell="G18" sqref="G18"/>
    </sheetView>
  </sheetViews>
  <sheetFormatPr defaultRowHeight="14.5" x14ac:dyDescent="0.35"/>
  <cols>
    <col min="2" max="2" width="57.08984375" bestFit="1" customWidth="1"/>
    <col min="3" max="4" width="9.90625" customWidth="1"/>
    <col min="5" max="6" width="18.6328125" customWidth="1"/>
    <col min="7" max="7" width="24.08984375" customWidth="1"/>
    <col min="9" max="9" width="18.1796875" bestFit="1" customWidth="1"/>
    <col min="10" max="10" width="9.1796875" bestFit="1" customWidth="1"/>
    <col min="13" max="13" width="14.81640625" customWidth="1"/>
    <col min="15" max="15" width="14.81640625" customWidth="1"/>
    <col min="17" max="17" width="14.81640625" customWidth="1"/>
    <col min="19" max="19" width="14.81640625" customWidth="1"/>
    <col min="21" max="21" width="14.81640625" customWidth="1"/>
    <col min="23" max="23" width="14.81640625" customWidth="1"/>
    <col min="25" max="25" width="14.81640625" customWidth="1"/>
    <col min="27" max="27" width="14.81640625" customWidth="1"/>
    <col min="29" max="29" width="14.81640625" customWidth="1"/>
    <col min="31" max="31" width="14.81640625" customWidth="1"/>
    <col min="33" max="33" width="14.81640625" customWidth="1"/>
    <col min="35" max="35" width="14.81640625" customWidth="1"/>
    <col min="37" max="37" width="14.81640625" customWidth="1"/>
    <col min="39" max="39" width="14.81640625" customWidth="1"/>
    <col min="40" max="40" width="11.08984375" bestFit="1" customWidth="1"/>
    <col min="41" max="41" width="10.453125" bestFit="1" customWidth="1"/>
    <col min="42" max="42" width="11.453125" bestFit="1" customWidth="1"/>
    <col min="43" max="43" width="9.453125" bestFit="1" customWidth="1"/>
    <col min="44" max="44" width="11.453125" bestFit="1" customWidth="1"/>
    <col min="45" max="45" width="10.453125" bestFit="1" customWidth="1"/>
    <col min="46" max="46" width="11.453125" bestFit="1" customWidth="1"/>
    <col min="47" max="47" width="10.08984375" bestFit="1" customWidth="1"/>
  </cols>
  <sheetData>
    <row r="3" spans="2:47" x14ac:dyDescent="0.35">
      <c r="B3" s="36"/>
      <c r="C3" s="17"/>
      <c r="D3" s="17"/>
      <c r="E3" s="37"/>
      <c r="F3" s="37"/>
      <c r="G3" s="37"/>
      <c r="L3">
        <v>27.213947990543737</v>
      </c>
      <c r="M3">
        <v>0</v>
      </c>
      <c r="N3">
        <v>13.708037825059103</v>
      </c>
      <c r="O3">
        <v>0</v>
      </c>
      <c r="P3">
        <v>14.359338061465721</v>
      </c>
      <c r="Q3">
        <v>0</v>
      </c>
      <c r="R3">
        <v>26.607565011820334</v>
      </c>
      <c r="S3">
        <v>0</v>
      </c>
      <c r="T3">
        <v>6.2777777777777786</v>
      </c>
      <c r="U3">
        <v>0</v>
      </c>
      <c r="V3">
        <v>4.7936507936507935</v>
      </c>
      <c r="W3">
        <v>0</v>
      </c>
      <c r="X3">
        <v>3.5952380952380949</v>
      </c>
      <c r="Y3">
        <v>0</v>
      </c>
      <c r="Z3">
        <v>4.7222222222222223</v>
      </c>
      <c r="AA3">
        <v>0</v>
      </c>
      <c r="AB3">
        <v>4.7222222222222223</v>
      </c>
      <c r="AC3">
        <v>0</v>
      </c>
      <c r="AD3">
        <v>12.555555555555557</v>
      </c>
      <c r="AE3">
        <v>0</v>
      </c>
      <c r="AF3">
        <v>1.1805555555555556</v>
      </c>
      <c r="AG3">
        <v>0</v>
      </c>
      <c r="AH3">
        <v>7.083333333333333</v>
      </c>
      <c r="AI3">
        <v>0</v>
      </c>
      <c r="AJ3">
        <v>1.1805555555555556</v>
      </c>
      <c r="AK3">
        <v>0</v>
      </c>
      <c r="AL3">
        <v>34</v>
      </c>
      <c r="AM3">
        <v>0</v>
      </c>
    </row>
    <row r="4" spans="2:47" ht="69" customHeight="1" x14ac:dyDescent="0.35">
      <c r="B4" s="38" t="s">
        <v>226</v>
      </c>
      <c r="C4" s="39" t="s">
        <v>227</v>
      </c>
      <c r="D4" s="298" t="s">
        <v>441</v>
      </c>
      <c r="E4" s="40" t="s">
        <v>68</v>
      </c>
      <c r="F4" s="41" t="s">
        <v>421</v>
      </c>
      <c r="G4" s="42" t="s">
        <v>230</v>
      </c>
      <c r="L4" s="570" t="s">
        <v>145</v>
      </c>
      <c r="M4" s="571"/>
      <c r="N4" s="568" t="s">
        <v>146</v>
      </c>
      <c r="O4" s="569"/>
      <c r="P4" s="568" t="s">
        <v>147</v>
      </c>
      <c r="Q4" s="569"/>
      <c r="R4" s="568" t="s">
        <v>148</v>
      </c>
      <c r="S4" s="569"/>
      <c r="T4" s="568" t="s">
        <v>149</v>
      </c>
      <c r="U4" s="569"/>
      <c r="V4" s="568" t="s">
        <v>150</v>
      </c>
      <c r="W4" s="569"/>
      <c r="X4" s="568" t="s">
        <v>151</v>
      </c>
      <c r="Y4" s="569"/>
      <c r="Z4" s="568" t="s">
        <v>152</v>
      </c>
      <c r="AA4" s="569"/>
      <c r="AB4" s="568" t="s">
        <v>153</v>
      </c>
      <c r="AC4" s="569"/>
      <c r="AD4" s="568" t="s">
        <v>154</v>
      </c>
      <c r="AE4" s="569"/>
      <c r="AF4" s="568" t="s">
        <v>155</v>
      </c>
      <c r="AG4" s="569"/>
      <c r="AH4" s="568" t="s">
        <v>156</v>
      </c>
      <c r="AI4" s="569"/>
      <c r="AJ4" s="568" t="s">
        <v>157</v>
      </c>
      <c r="AK4" s="569"/>
      <c r="AL4" s="572" t="s">
        <v>339</v>
      </c>
      <c r="AM4" s="573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2:47" x14ac:dyDescent="0.35">
      <c r="B5" s="43"/>
      <c r="C5" s="44"/>
      <c r="D5" s="44"/>
      <c r="E5" s="45"/>
      <c r="F5" s="46"/>
      <c r="G5" s="47"/>
      <c r="L5" t="s">
        <v>183</v>
      </c>
      <c r="M5" t="s">
        <v>15</v>
      </c>
      <c r="N5" t="s">
        <v>227</v>
      </c>
      <c r="O5" t="s">
        <v>15</v>
      </c>
      <c r="P5" t="s">
        <v>227</v>
      </c>
      <c r="Q5" t="s">
        <v>15</v>
      </c>
      <c r="R5" t="s">
        <v>227</v>
      </c>
      <c r="S5" t="s">
        <v>15</v>
      </c>
      <c r="T5" t="s">
        <v>227</v>
      </c>
      <c r="U5" t="s">
        <v>15</v>
      </c>
      <c r="V5" t="s">
        <v>227</v>
      </c>
      <c r="W5" t="s">
        <v>15</v>
      </c>
      <c r="X5" t="s">
        <v>227</v>
      </c>
      <c r="Y5" t="s">
        <v>15</v>
      </c>
      <c r="Z5" t="s">
        <v>227</v>
      </c>
      <c r="AA5" t="s">
        <v>15</v>
      </c>
      <c r="AB5" t="s">
        <v>227</v>
      </c>
      <c r="AC5" t="s">
        <v>15</v>
      </c>
      <c r="AD5" t="s">
        <v>227</v>
      </c>
      <c r="AE5" t="s">
        <v>15</v>
      </c>
      <c r="AF5" t="s">
        <v>227</v>
      </c>
      <c r="AG5" t="s">
        <v>15</v>
      </c>
      <c r="AH5" t="s">
        <v>227</v>
      </c>
      <c r="AI5" t="s">
        <v>15</v>
      </c>
      <c r="AJ5" t="s">
        <v>227</v>
      </c>
      <c r="AK5" t="s">
        <v>15</v>
      </c>
      <c r="AL5" t="s">
        <v>227</v>
      </c>
      <c r="AM5" t="s">
        <v>15</v>
      </c>
    </row>
    <row r="6" spans="2:47" x14ac:dyDescent="0.35">
      <c r="B6" s="102" t="s">
        <v>303</v>
      </c>
      <c r="C6" s="244">
        <v>1</v>
      </c>
      <c r="D6" s="268">
        <v>1</v>
      </c>
      <c r="E6" s="103">
        <v>25000</v>
      </c>
      <c r="F6" s="49">
        <f t="shared" ref="F6:F7" si="0">E6/D6</f>
        <v>25000</v>
      </c>
      <c r="G6" s="50">
        <f t="shared" ref="G6:G7" si="1">C6*F6</f>
        <v>25000</v>
      </c>
      <c r="I6" s="239">
        <f t="shared" ref="I6:I7" si="2">C6-(L6+N6+P6+R6+T6+V6+X6+Z6+AB6+AD6+AF6+AH6+AJ6+AL6)</f>
        <v>0</v>
      </c>
      <c r="J6" s="239">
        <f t="shared" ref="J6" si="3">G6-(M6+O6+Q6+S6+U6+W6+Y6+AA6+AC6+AE6+AG6+AI6+AK6+AM6)</f>
        <v>0</v>
      </c>
      <c r="L6" s="243">
        <f>C6*Maning!D$21</f>
        <v>0.1685168054270737</v>
      </c>
      <c r="M6" s="54">
        <f t="shared" ref="M6:M11" si="4">F6*L6</f>
        <v>4212.9201356768426</v>
      </c>
      <c r="N6" s="243">
        <f>C6*Maning!D$22</f>
        <v>8.4952204748689489E-2</v>
      </c>
      <c r="O6" s="54">
        <f t="shared" ref="O6:O11" si="5">N6*F6</f>
        <v>2123.8051187172373</v>
      </c>
      <c r="P6" s="243">
        <f>C6*Maning!D$23</f>
        <v>8.9423373419673144E-2</v>
      </c>
      <c r="Q6" s="54">
        <f t="shared" ref="Q6:Q11" si="6">P6*F6</f>
        <v>2235.5843354918288</v>
      </c>
      <c r="R6" s="243">
        <f>C6*Maning!D$24</f>
        <v>0.16435399321615787</v>
      </c>
      <c r="S6" s="54">
        <f t="shared" ref="S6:S11" si="7">R6*F6</f>
        <v>4108.8498304039467</v>
      </c>
      <c r="T6" s="243">
        <f>C6*Maning!D$25</f>
        <v>3.6231884057971016E-2</v>
      </c>
      <c r="U6" s="54">
        <f t="shared" ref="U6:U11" si="8">T6*F6</f>
        <v>905.79710144927537</v>
      </c>
      <c r="V6" s="243">
        <f>C6*Maning!D$26</f>
        <v>2.8985507246376812E-2</v>
      </c>
      <c r="W6" s="54">
        <f t="shared" ref="W6:W11" si="9">V6*F6</f>
        <v>724.63768115942025</v>
      </c>
      <c r="X6" s="243">
        <f>C6*Maning!D$27</f>
        <v>2.1739130434782608E-2</v>
      </c>
      <c r="Y6" s="54">
        <f t="shared" ref="Y6:Y11" si="10">X6*F6</f>
        <v>543.47826086956525</v>
      </c>
      <c r="Z6" s="243">
        <f>C6*Maning!D$28</f>
        <v>2.8985507246376812E-2</v>
      </c>
      <c r="AA6" s="54">
        <f t="shared" ref="AA6:AA11" si="11">Z6*F6</f>
        <v>724.63768115942025</v>
      </c>
      <c r="AB6" s="243">
        <f>C6*Maning!D$29</f>
        <v>2.8985507246376812E-2</v>
      </c>
      <c r="AC6" s="54">
        <f t="shared" ref="AC6:AC11" si="12">AB6*F6</f>
        <v>724.63768115942025</v>
      </c>
      <c r="AD6" s="243">
        <f>C6*Maning!D$30</f>
        <v>7.2463768115942032E-2</v>
      </c>
      <c r="AE6" s="54">
        <f t="shared" ref="AE6:AE11" si="13">AD6*F6</f>
        <v>1811.5942028985507</v>
      </c>
      <c r="AF6" s="243">
        <f>C6*Maning!D$31</f>
        <v>7.246376811594203E-3</v>
      </c>
      <c r="AG6" s="54">
        <f t="shared" ref="AG6:AG11" si="14">AF6*F6</f>
        <v>181.15942028985506</v>
      </c>
      <c r="AH6" s="243">
        <f>C6*Maning!D$32</f>
        <v>4.3478260869565216E-2</v>
      </c>
      <c r="AI6" s="54">
        <f t="shared" ref="AI6:AI11" si="15">AH6*F6</f>
        <v>1086.9565217391305</v>
      </c>
      <c r="AJ6" s="243">
        <f>C6*Maning!D$33</f>
        <v>7.246376811594203E-3</v>
      </c>
      <c r="AK6" s="54">
        <f t="shared" ref="AK6:AK11" si="16">AJ6*F6</f>
        <v>181.15942028985506</v>
      </c>
      <c r="AL6" s="243">
        <f>C6*Maning!D$34</f>
        <v>0.21739130434782608</v>
      </c>
      <c r="AM6" s="54">
        <f t="shared" ref="AM6:AM11" si="17">AL6*F6</f>
        <v>5434.782608695652</v>
      </c>
      <c r="AN6" s="54">
        <f t="shared" ref="AN6:AN11" si="18">M6+O6+Q6+S6+U6+W6+Y6+AA6+AC6+AE6+AG6+AI6+AK6+AM6</f>
        <v>25000.000000000004</v>
      </c>
      <c r="AO6" s="54">
        <f t="shared" ref="AO6:AO11" si="19">AN6*$F$13</f>
        <v>2000.0000000000002</v>
      </c>
      <c r="AP6" s="54">
        <f t="shared" ref="AP6:AP11" si="20">AN6+AO6</f>
        <v>27000.000000000004</v>
      </c>
      <c r="AQ6" s="54">
        <f t="shared" ref="AQ6:AQ11" si="21">AP6*$F$15</f>
        <v>378.00000000000006</v>
      </c>
      <c r="AR6" s="54">
        <f t="shared" ref="AR6:AR11" si="22">AP6+AQ6</f>
        <v>27378.000000000004</v>
      </c>
      <c r="AS6" s="54">
        <f t="shared" ref="AS6:AS11" si="23">AR6*$F$17</f>
        <v>3832.920000000001</v>
      </c>
      <c r="AT6" s="54">
        <f t="shared" ref="AT6:AT11" si="24">AR6+AS6</f>
        <v>31210.920000000006</v>
      </c>
      <c r="AU6" s="54">
        <f t="shared" ref="AU6:AU11" si="25">AT6/C6</f>
        <v>31210.920000000006</v>
      </c>
    </row>
    <row r="7" spans="2:47" x14ac:dyDescent="0.35">
      <c r="B7" s="89" t="s">
        <v>304</v>
      </c>
      <c r="C7" s="244">
        <v>1</v>
      </c>
      <c r="D7" s="244">
        <v>12</v>
      </c>
      <c r="E7" s="443">
        <v>150000</v>
      </c>
      <c r="F7" s="49">
        <f t="shared" si="0"/>
        <v>12500</v>
      </c>
      <c r="G7" s="50">
        <f t="shared" si="1"/>
        <v>12500</v>
      </c>
      <c r="I7" s="239">
        <f t="shared" si="2"/>
        <v>0</v>
      </c>
      <c r="J7" s="239">
        <f>G7-(M7+O7+Q7+S7+U7+W7+Y7+AA7+AC7+AE7+AG7+AI7+AK7+AM7)</f>
        <v>0</v>
      </c>
      <c r="L7" s="243">
        <f>C7*Maning!D$21</f>
        <v>0.1685168054270737</v>
      </c>
      <c r="M7" s="54">
        <f t="shared" si="4"/>
        <v>2106.4600678384213</v>
      </c>
      <c r="N7" s="243">
        <f>C7*Maning!D$22</f>
        <v>8.4952204748689489E-2</v>
      </c>
      <c r="O7" s="54">
        <f t="shared" si="5"/>
        <v>1061.9025593586186</v>
      </c>
      <c r="P7" s="243">
        <f>C7*Maning!D$23</f>
        <v>8.9423373419673144E-2</v>
      </c>
      <c r="Q7" s="54">
        <f t="shared" si="6"/>
        <v>1117.7921677459144</v>
      </c>
      <c r="R7" s="243">
        <f>C7*Maning!D$24</f>
        <v>0.16435399321615787</v>
      </c>
      <c r="S7" s="54">
        <f t="shared" si="7"/>
        <v>2054.4249152019734</v>
      </c>
      <c r="T7" s="243">
        <f>C7*Maning!D$25</f>
        <v>3.6231884057971016E-2</v>
      </c>
      <c r="U7" s="54">
        <f t="shared" si="8"/>
        <v>452.89855072463769</v>
      </c>
      <c r="V7" s="243">
        <f>C7*Maning!D$26</f>
        <v>2.8985507246376812E-2</v>
      </c>
      <c r="W7" s="54">
        <f t="shared" si="9"/>
        <v>362.31884057971013</v>
      </c>
      <c r="X7" s="243">
        <f>C7*Maning!D$27</f>
        <v>2.1739130434782608E-2</v>
      </c>
      <c r="Y7" s="54">
        <f t="shared" si="10"/>
        <v>271.73913043478262</v>
      </c>
      <c r="Z7" s="243">
        <f>C7*Maning!D$28</f>
        <v>2.8985507246376812E-2</v>
      </c>
      <c r="AA7" s="54">
        <f t="shared" si="11"/>
        <v>362.31884057971013</v>
      </c>
      <c r="AB7" s="243">
        <f>C7*Maning!D$29</f>
        <v>2.8985507246376812E-2</v>
      </c>
      <c r="AC7" s="54">
        <f t="shared" si="12"/>
        <v>362.31884057971013</v>
      </c>
      <c r="AD7" s="243">
        <f>C7*Maning!D$30</f>
        <v>7.2463768115942032E-2</v>
      </c>
      <c r="AE7" s="54">
        <f t="shared" si="13"/>
        <v>905.79710144927537</v>
      </c>
      <c r="AF7" s="243">
        <f>C7*Maning!D$31</f>
        <v>7.246376811594203E-3</v>
      </c>
      <c r="AG7" s="54">
        <f t="shared" si="14"/>
        <v>90.579710144927532</v>
      </c>
      <c r="AH7" s="243">
        <f>C7*Maning!D$32</f>
        <v>4.3478260869565216E-2</v>
      </c>
      <c r="AI7" s="54">
        <f t="shared" si="15"/>
        <v>543.47826086956525</v>
      </c>
      <c r="AJ7" s="243">
        <f>C7*Maning!D$33</f>
        <v>7.246376811594203E-3</v>
      </c>
      <c r="AK7" s="54">
        <f t="shared" si="16"/>
        <v>90.579710144927532</v>
      </c>
      <c r="AL7" s="243">
        <f>C7*Maning!D$34</f>
        <v>0.21739130434782608</v>
      </c>
      <c r="AM7" s="54">
        <f t="shared" si="17"/>
        <v>2717.391304347826</v>
      </c>
      <c r="AN7" s="54">
        <f t="shared" si="18"/>
        <v>12500.000000000002</v>
      </c>
      <c r="AO7" s="54">
        <f t="shared" si="19"/>
        <v>1000.0000000000001</v>
      </c>
      <c r="AP7" s="54">
        <f t="shared" si="20"/>
        <v>13500.000000000002</v>
      </c>
      <c r="AQ7" s="54">
        <f t="shared" si="21"/>
        <v>189.00000000000003</v>
      </c>
      <c r="AR7" s="54">
        <f t="shared" si="22"/>
        <v>13689.000000000002</v>
      </c>
      <c r="AS7" s="54">
        <f t="shared" si="23"/>
        <v>1916.4600000000005</v>
      </c>
      <c r="AT7" s="54">
        <f t="shared" si="24"/>
        <v>15605.460000000003</v>
      </c>
      <c r="AU7" s="54">
        <f t="shared" si="25"/>
        <v>15605.460000000003</v>
      </c>
    </row>
    <row r="8" spans="2:47" x14ac:dyDescent="0.35">
      <c r="B8" s="247"/>
      <c r="C8" s="244"/>
      <c r="D8" s="244"/>
      <c r="E8" s="48"/>
      <c r="F8" s="49"/>
      <c r="G8" s="50"/>
      <c r="I8" s="239"/>
      <c r="J8" s="239"/>
      <c r="L8" s="243"/>
      <c r="M8" s="54"/>
      <c r="N8" s="54"/>
      <c r="O8" s="54"/>
      <c r="P8" s="54"/>
      <c r="Q8" s="54"/>
      <c r="R8" s="54"/>
      <c r="S8" s="54"/>
      <c r="T8" s="243"/>
      <c r="U8" s="54"/>
      <c r="V8" s="243"/>
      <c r="W8" s="54"/>
      <c r="X8" s="243"/>
      <c r="Y8" s="54"/>
      <c r="Z8" s="243"/>
      <c r="AA8" s="54"/>
      <c r="AB8" s="243"/>
      <c r="AC8" s="54"/>
      <c r="AD8" s="243"/>
      <c r="AE8" s="54"/>
      <c r="AF8" s="243"/>
      <c r="AG8" s="54"/>
      <c r="AH8" s="243"/>
      <c r="AI8" s="54"/>
      <c r="AJ8" s="243"/>
      <c r="AK8" s="54"/>
      <c r="AL8" s="243"/>
      <c r="AM8" s="54"/>
      <c r="AN8" s="54"/>
      <c r="AO8" s="54"/>
      <c r="AP8" s="54"/>
      <c r="AQ8" s="54"/>
      <c r="AR8" s="54"/>
      <c r="AS8" s="54"/>
      <c r="AT8" s="54"/>
      <c r="AU8" s="54"/>
    </row>
    <row r="9" spans="2:47" x14ac:dyDescent="0.35">
      <c r="B9" s="247"/>
      <c r="C9" s="244"/>
      <c r="D9" s="244"/>
      <c r="E9" s="48"/>
      <c r="F9" s="49"/>
      <c r="G9" s="50">
        <f t="shared" ref="G9:G11" si="26">C9*E9</f>
        <v>0</v>
      </c>
      <c r="I9" s="239">
        <f t="shared" ref="I9" si="27">C9-(L9+N9+P9+R9+T9+V9+X9+Z9+AB9+AD9+AF9+AH9+AJ9+AL9)</f>
        <v>0</v>
      </c>
      <c r="J9" s="239">
        <f t="shared" ref="J9" si="28">G9-(M9+O9+Q9+S9+U9+W9+Y9+AA9+AC9+AE9+AG9+AI9+AK9+AM9)</f>
        <v>0</v>
      </c>
      <c r="L9" s="243"/>
      <c r="M9" s="54">
        <f t="shared" si="4"/>
        <v>0</v>
      </c>
      <c r="N9" s="243"/>
      <c r="O9" s="54">
        <f t="shared" si="5"/>
        <v>0</v>
      </c>
      <c r="P9" s="243"/>
      <c r="Q9" s="54">
        <f t="shared" si="6"/>
        <v>0</v>
      </c>
      <c r="R9" s="243"/>
      <c r="S9" s="54">
        <f t="shared" si="7"/>
        <v>0</v>
      </c>
      <c r="T9" s="243"/>
      <c r="U9" s="54">
        <f t="shared" si="8"/>
        <v>0</v>
      </c>
      <c r="V9" s="243"/>
      <c r="W9" s="54">
        <f t="shared" si="9"/>
        <v>0</v>
      </c>
      <c r="X9" s="243"/>
      <c r="Y9" s="54">
        <f t="shared" si="10"/>
        <v>0</v>
      </c>
      <c r="Z9" s="243"/>
      <c r="AA9" s="54">
        <f t="shared" si="11"/>
        <v>0</v>
      </c>
      <c r="AB9" s="243"/>
      <c r="AC9" s="54">
        <f t="shared" si="12"/>
        <v>0</v>
      </c>
      <c r="AD9" s="243"/>
      <c r="AE9" s="54">
        <f t="shared" si="13"/>
        <v>0</v>
      </c>
      <c r="AF9" s="243"/>
      <c r="AG9" s="54">
        <f t="shared" si="14"/>
        <v>0</v>
      </c>
      <c r="AH9" s="243"/>
      <c r="AI9" s="54">
        <f t="shared" si="15"/>
        <v>0</v>
      </c>
      <c r="AJ9" s="243"/>
      <c r="AK9" s="54">
        <f t="shared" si="16"/>
        <v>0</v>
      </c>
      <c r="AL9" s="243"/>
      <c r="AM9" s="54">
        <f t="shared" si="17"/>
        <v>0</v>
      </c>
      <c r="AN9" s="54">
        <f t="shared" si="18"/>
        <v>0</v>
      </c>
      <c r="AO9" s="54">
        <f t="shared" si="19"/>
        <v>0</v>
      </c>
      <c r="AP9" s="54">
        <f t="shared" si="20"/>
        <v>0</v>
      </c>
      <c r="AQ9" s="54">
        <f t="shared" si="21"/>
        <v>0</v>
      </c>
      <c r="AR9" s="54">
        <f t="shared" si="22"/>
        <v>0</v>
      </c>
      <c r="AS9" s="54">
        <f t="shared" si="23"/>
        <v>0</v>
      </c>
      <c r="AT9" s="54">
        <f t="shared" si="24"/>
        <v>0</v>
      </c>
      <c r="AU9" s="54" t="e">
        <f t="shared" si="25"/>
        <v>#DIV/0!</v>
      </c>
    </row>
    <row r="10" spans="2:47" x14ac:dyDescent="0.35">
      <c r="B10" s="247"/>
      <c r="C10" s="244"/>
      <c r="D10" s="244"/>
      <c r="E10" s="48"/>
      <c r="F10" s="49"/>
      <c r="G10" s="50">
        <f t="shared" si="26"/>
        <v>0</v>
      </c>
      <c r="I10" s="239"/>
      <c r="J10" s="239"/>
      <c r="L10" s="243"/>
      <c r="M10" s="54">
        <f t="shared" si="4"/>
        <v>0</v>
      </c>
      <c r="N10" s="243"/>
      <c r="O10" s="54">
        <f t="shared" si="5"/>
        <v>0</v>
      </c>
      <c r="P10" s="243"/>
      <c r="Q10" s="54">
        <f t="shared" si="6"/>
        <v>0</v>
      </c>
      <c r="R10" s="243"/>
      <c r="S10" s="54">
        <f t="shared" si="7"/>
        <v>0</v>
      </c>
      <c r="T10" s="243"/>
      <c r="U10" s="54">
        <f t="shared" si="8"/>
        <v>0</v>
      </c>
      <c r="V10" s="243"/>
      <c r="W10" s="54">
        <f t="shared" si="9"/>
        <v>0</v>
      </c>
      <c r="X10" s="243"/>
      <c r="Y10" s="54">
        <f t="shared" si="10"/>
        <v>0</v>
      </c>
      <c r="Z10" s="243"/>
      <c r="AA10" s="54">
        <f t="shared" si="11"/>
        <v>0</v>
      </c>
      <c r="AB10" s="243"/>
      <c r="AC10" s="54">
        <f t="shared" si="12"/>
        <v>0</v>
      </c>
      <c r="AD10" s="243"/>
      <c r="AE10" s="54">
        <f t="shared" si="13"/>
        <v>0</v>
      </c>
      <c r="AF10" s="243"/>
      <c r="AG10" s="54">
        <f t="shared" si="14"/>
        <v>0</v>
      </c>
      <c r="AH10" s="243"/>
      <c r="AI10" s="54">
        <f t="shared" si="15"/>
        <v>0</v>
      </c>
      <c r="AJ10" s="243"/>
      <c r="AK10" s="54">
        <f t="shared" si="16"/>
        <v>0</v>
      </c>
      <c r="AL10" s="243"/>
      <c r="AM10" s="54">
        <f t="shared" si="17"/>
        <v>0</v>
      </c>
      <c r="AN10" s="54">
        <f t="shared" si="18"/>
        <v>0</v>
      </c>
      <c r="AO10" s="54">
        <f t="shared" si="19"/>
        <v>0</v>
      </c>
      <c r="AP10" s="54">
        <f t="shared" si="20"/>
        <v>0</v>
      </c>
      <c r="AQ10" s="54">
        <f t="shared" si="21"/>
        <v>0</v>
      </c>
      <c r="AR10" s="54">
        <f t="shared" si="22"/>
        <v>0</v>
      </c>
      <c r="AS10" s="54">
        <f t="shared" si="23"/>
        <v>0</v>
      </c>
      <c r="AT10" s="54">
        <f t="shared" si="24"/>
        <v>0</v>
      </c>
      <c r="AU10" s="54" t="e">
        <f t="shared" si="25"/>
        <v>#DIV/0!</v>
      </c>
    </row>
    <row r="11" spans="2:47" x14ac:dyDescent="0.35">
      <c r="B11" s="263"/>
      <c r="C11" s="264"/>
      <c r="D11" s="264"/>
      <c r="E11" s="51"/>
      <c r="F11" s="52"/>
      <c r="G11" s="53">
        <f t="shared" si="26"/>
        <v>0</v>
      </c>
      <c r="I11" s="239"/>
      <c r="J11" s="239"/>
      <c r="L11" s="243"/>
      <c r="M11" s="54">
        <f t="shared" si="4"/>
        <v>0</v>
      </c>
      <c r="N11" s="243"/>
      <c r="O11" s="54">
        <f t="shared" si="5"/>
        <v>0</v>
      </c>
      <c r="P11" s="243"/>
      <c r="Q11" s="54">
        <f t="shared" si="6"/>
        <v>0</v>
      </c>
      <c r="R11" s="243"/>
      <c r="S11" s="54">
        <f t="shared" si="7"/>
        <v>0</v>
      </c>
      <c r="T11" s="243"/>
      <c r="U11" s="54">
        <f t="shared" si="8"/>
        <v>0</v>
      </c>
      <c r="V11" s="243"/>
      <c r="W11" s="54">
        <f t="shared" si="9"/>
        <v>0</v>
      </c>
      <c r="X11" s="243"/>
      <c r="Y11" s="54">
        <f t="shared" si="10"/>
        <v>0</v>
      </c>
      <c r="Z11" s="243"/>
      <c r="AA11" s="54">
        <f t="shared" si="11"/>
        <v>0</v>
      </c>
      <c r="AB11" s="243"/>
      <c r="AC11" s="54">
        <f t="shared" si="12"/>
        <v>0</v>
      </c>
      <c r="AD11" s="243"/>
      <c r="AE11" s="54">
        <f t="shared" si="13"/>
        <v>0</v>
      </c>
      <c r="AF11" s="243"/>
      <c r="AG11" s="54">
        <f t="shared" si="14"/>
        <v>0</v>
      </c>
      <c r="AH11" s="243"/>
      <c r="AI11" s="54">
        <f t="shared" si="15"/>
        <v>0</v>
      </c>
      <c r="AJ11" s="243"/>
      <c r="AK11" s="54">
        <f t="shared" si="16"/>
        <v>0</v>
      </c>
      <c r="AL11" s="243"/>
      <c r="AM11" s="54">
        <f t="shared" si="17"/>
        <v>0</v>
      </c>
      <c r="AN11" s="54">
        <f t="shared" si="18"/>
        <v>0</v>
      </c>
      <c r="AO11" s="54">
        <f t="shared" si="19"/>
        <v>0</v>
      </c>
      <c r="AP11" s="54">
        <f t="shared" si="20"/>
        <v>0</v>
      </c>
      <c r="AQ11" s="54">
        <f t="shared" si="21"/>
        <v>0</v>
      </c>
      <c r="AR11" s="54">
        <f t="shared" si="22"/>
        <v>0</v>
      </c>
      <c r="AS11" s="54">
        <f t="shared" si="23"/>
        <v>0</v>
      </c>
      <c r="AT11" s="54">
        <f t="shared" si="24"/>
        <v>0</v>
      </c>
      <c r="AU11" s="54" t="e">
        <f t="shared" si="25"/>
        <v>#DIV/0!</v>
      </c>
    </row>
    <row r="12" spans="2:47" s="274" customFormat="1" x14ac:dyDescent="0.35">
      <c r="B12" s="270" t="s">
        <v>241</v>
      </c>
      <c r="C12" s="271">
        <f>SUM(C6:C11)</f>
        <v>2</v>
      </c>
      <c r="D12" s="271"/>
      <c r="E12" s="272"/>
      <c r="F12" s="272"/>
      <c r="G12" s="273">
        <f>SUM(G6:G11)</f>
        <v>37500</v>
      </c>
      <c r="I12" s="275">
        <f>C12-(L12+N12+P12+R12+T12+V12+X12+Z12+AB12+AD12+AF12+AH12+AJ12+AL12)</f>
        <v>0</v>
      </c>
      <c r="J12" s="275">
        <f>G12-(M12+O12+Q12+S12+U12+W12+Y12+AA12+AC12+AE12+AG12+AI12+AK12+AM12)</f>
        <v>0</v>
      </c>
      <c r="L12" s="276">
        <f t="shared" ref="L12:AT12" si="29">SUM(L6:L11)</f>
        <v>0.3370336108541474</v>
      </c>
      <c r="M12" s="276">
        <f t="shared" si="29"/>
        <v>6319.3802035152639</v>
      </c>
      <c r="N12" s="276">
        <f t="shared" si="29"/>
        <v>0.16990440949737898</v>
      </c>
      <c r="O12" s="276">
        <f t="shared" si="29"/>
        <v>3185.7076780758562</v>
      </c>
      <c r="P12" s="276">
        <f t="shared" si="29"/>
        <v>0.17884674683934629</v>
      </c>
      <c r="Q12" s="276">
        <f t="shared" si="29"/>
        <v>3353.3765032377432</v>
      </c>
      <c r="R12" s="276">
        <f t="shared" si="29"/>
        <v>0.32870798643231575</v>
      </c>
      <c r="S12" s="276">
        <f t="shared" si="29"/>
        <v>6163.2747456059205</v>
      </c>
      <c r="T12" s="276">
        <f t="shared" si="29"/>
        <v>7.2463768115942032E-2</v>
      </c>
      <c r="U12" s="276">
        <f t="shared" si="29"/>
        <v>1358.695652173913</v>
      </c>
      <c r="V12" s="276">
        <f t="shared" si="29"/>
        <v>5.7971014492753624E-2</v>
      </c>
      <c r="W12" s="276">
        <f t="shared" si="29"/>
        <v>1086.9565217391305</v>
      </c>
      <c r="X12" s="276">
        <f t="shared" si="29"/>
        <v>4.3478260869565216E-2</v>
      </c>
      <c r="Y12" s="276">
        <f t="shared" si="29"/>
        <v>815.21739130434787</v>
      </c>
      <c r="Z12" s="276">
        <f t="shared" si="29"/>
        <v>5.7971014492753624E-2</v>
      </c>
      <c r="AA12" s="276">
        <f t="shared" si="29"/>
        <v>1086.9565217391305</v>
      </c>
      <c r="AB12" s="276">
        <f t="shared" si="29"/>
        <v>5.7971014492753624E-2</v>
      </c>
      <c r="AC12" s="276">
        <f t="shared" si="29"/>
        <v>1086.9565217391305</v>
      </c>
      <c r="AD12" s="276">
        <f t="shared" si="29"/>
        <v>0.14492753623188406</v>
      </c>
      <c r="AE12" s="276">
        <f t="shared" si="29"/>
        <v>2717.391304347826</v>
      </c>
      <c r="AF12" s="276">
        <f t="shared" si="29"/>
        <v>1.4492753623188406E-2</v>
      </c>
      <c r="AG12" s="276">
        <f t="shared" si="29"/>
        <v>271.73913043478262</v>
      </c>
      <c r="AH12" s="276">
        <f t="shared" si="29"/>
        <v>8.6956521739130432E-2</v>
      </c>
      <c r="AI12" s="276">
        <f t="shared" si="29"/>
        <v>1630.4347826086957</v>
      </c>
      <c r="AJ12" s="276">
        <f t="shared" si="29"/>
        <v>1.4492753623188406E-2</v>
      </c>
      <c r="AK12" s="276">
        <f t="shared" si="29"/>
        <v>271.73913043478262</v>
      </c>
      <c r="AL12" s="276">
        <f t="shared" si="29"/>
        <v>0.43478260869565216</v>
      </c>
      <c r="AM12" s="276">
        <f t="shared" si="29"/>
        <v>8152.173913043478</v>
      </c>
      <c r="AN12" s="276">
        <f t="shared" si="29"/>
        <v>37500.000000000007</v>
      </c>
      <c r="AO12" s="276">
        <f t="shared" si="29"/>
        <v>3000.0000000000005</v>
      </c>
      <c r="AP12" s="276">
        <f t="shared" si="29"/>
        <v>40500.000000000007</v>
      </c>
      <c r="AQ12" s="276">
        <f t="shared" si="29"/>
        <v>567.00000000000011</v>
      </c>
      <c r="AR12" s="276">
        <f t="shared" si="29"/>
        <v>41067.000000000007</v>
      </c>
      <c r="AS12" s="276">
        <f t="shared" si="29"/>
        <v>5749.380000000001</v>
      </c>
      <c r="AT12" s="276">
        <f t="shared" si="29"/>
        <v>46816.380000000005</v>
      </c>
      <c r="AU12" s="276"/>
    </row>
    <row r="13" spans="2:47" x14ac:dyDescent="0.35">
      <c r="B13" s="59" t="s">
        <v>475</v>
      </c>
      <c r="F13" s="352">
        <f>'HK Budget (2)'!C14</f>
        <v>0.08</v>
      </c>
      <c r="G13" s="54">
        <f>G12*$F$13</f>
        <v>3000</v>
      </c>
      <c r="I13" s="275">
        <f t="shared" ref="I13:I18" si="30">C13-(L13+N13+P13+R13+T13+V13+X13+Z13+AB13+AD13+AF13+AH13+AJ13+AL13)</f>
        <v>0</v>
      </c>
      <c r="J13" s="275">
        <f t="shared" ref="J13:J18" si="31">G13-(M13+O13+Q13+S13+U13+W13+Y13+AA13+AC13+AE13+AG13+AI13+AK13+AM13)</f>
        <v>0</v>
      </c>
      <c r="M13" s="54">
        <f>M12*$F$13</f>
        <v>505.55041628122115</v>
      </c>
      <c r="O13" s="54">
        <f>O12*$F$13</f>
        <v>254.85661424606849</v>
      </c>
      <c r="Q13" s="54">
        <f>Q12*$F$13</f>
        <v>268.27012025901945</v>
      </c>
      <c r="S13" s="54">
        <f>S12*$F$13</f>
        <v>493.06197964847365</v>
      </c>
      <c r="U13" s="54">
        <f>U12*$F$13</f>
        <v>108.69565217391305</v>
      </c>
      <c r="W13" s="54">
        <f>W12*$F$13</f>
        <v>86.956521739130437</v>
      </c>
      <c r="Y13" s="54">
        <f>Y12*$F$13</f>
        <v>65.217391304347828</v>
      </c>
      <c r="AA13" s="54">
        <f>AA12*$F$13</f>
        <v>86.956521739130437</v>
      </c>
      <c r="AC13" s="54">
        <f>AC12*$F$13</f>
        <v>86.956521739130437</v>
      </c>
      <c r="AE13" s="54">
        <f>AE12*$F$13</f>
        <v>217.39130434782609</v>
      </c>
      <c r="AG13" s="54">
        <f>AG12*$F$13</f>
        <v>21.739130434782609</v>
      </c>
      <c r="AI13" s="54">
        <f>AI12*$F$13</f>
        <v>130.43478260869566</v>
      </c>
      <c r="AK13" s="54">
        <f>AK12*$F$13</f>
        <v>21.739130434782609</v>
      </c>
      <c r="AM13" s="54">
        <f>AM12*$F$13</f>
        <v>652.17391304347825</v>
      </c>
    </row>
    <row r="14" spans="2:47" x14ac:dyDescent="0.35">
      <c r="B14" s="65" t="s">
        <v>240</v>
      </c>
      <c r="F14" s="352"/>
      <c r="G14" s="54">
        <f>G12+G13</f>
        <v>40500</v>
      </c>
      <c r="I14" s="275">
        <f t="shared" si="30"/>
        <v>0</v>
      </c>
      <c r="J14" s="275">
        <f t="shared" si="31"/>
        <v>0</v>
      </c>
      <c r="M14" s="54">
        <f>M12+M13</f>
        <v>6824.9306197964852</v>
      </c>
      <c r="O14" s="54">
        <f>O12+O13</f>
        <v>3440.5642923219248</v>
      </c>
      <c r="Q14" s="54">
        <f>Q12+Q13</f>
        <v>3621.6466234967629</v>
      </c>
      <c r="S14" s="54">
        <f>S12+S13</f>
        <v>6656.336725254394</v>
      </c>
      <c r="U14" s="54">
        <f>U12+U13</f>
        <v>1467.391304347826</v>
      </c>
      <c r="W14" s="54">
        <f>W12+W13</f>
        <v>1173.913043478261</v>
      </c>
      <c r="Y14" s="54">
        <f>Y12+Y13</f>
        <v>880.43478260869574</v>
      </c>
      <c r="AA14" s="54">
        <f>AA12+AA13</f>
        <v>1173.913043478261</v>
      </c>
      <c r="AC14" s="54">
        <f>AC12+AC13</f>
        <v>1173.913043478261</v>
      </c>
      <c r="AE14" s="54">
        <f>AE12+AE13</f>
        <v>2934.782608695652</v>
      </c>
      <c r="AG14" s="54">
        <f>AG12+AG13</f>
        <v>293.47826086956525</v>
      </c>
      <c r="AI14" s="54">
        <f>AI12+AI13</f>
        <v>1760.8695652173915</v>
      </c>
      <c r="AK14" s="54">
        <f>AK12+AK13</f>
        <v>293.47826086956525</v>
      </c>
      <c r="AM14" s="54">
        <f>AM12+AM13</f>
        <v>8804.347826086956</v>
      </c>
    </row>
    <row r="15" spans="2:47" x14ac:dyDescent="0.35">
      <c r="B15" s="494" t="s">
        <v>474</v>
      </c>
      <c r="F15" s="352">
        <f>'HK Budget (2)'!C16</f>
        <v>1.4E-2</v>
      </c>
      <c r="G15" s="54">
        <f>G14*$F$15</f>
        <v>567</v>
      </c>
      <c r="I15" s="275">
        <f t="shared" si="30"/>
        <v>0</v>
      </c>
      <c r="J15" s="275">
        <f t="shared" si="31"/>
        <v>0</v>
      </c>
      <c r="M15" s="54">
        <f>M14*$F$15</f>
        <v>95.549028677150801</v>
      </c>
      <c r="O15" s="54">
        <f>O14*$F$15</f>
        <v>48.167900092506947</v>
      </c>
      <c r="Q15" s="54">
        <f>Q14*$F$15</f>
        <v>50.703052728954681</v>
      </c>
      <c r="S15" s="54">
        <f>S14*$F$15</f>
        <v>93.18871415356152</v>
      </c>
      <c r="U15" s="54">
        <f>U14*$F$15</f>
        <v>20.543478260869566</v>
      </c>
      <c r="W15" s="54">
        <f>W14*$F$15</f>
        <v>16.434782608695656</v>
      </c>
      <c r="Y15" s="54">
        <f>Y14*$F$15</f>
        <v>12.32608695652174</v>
      </c>
      <c r="AA15" s="54">
        <f>AA14*$F$15</f>
        <v>16.434782608695656</v>
      </c>
      <c r="AC15" s="54">
        <f>AC14*$F$15</f>
        <v>16.434782608695656</v>
      </c>
      <c r="AE15" s="54">
        <f>AE14*$F$15</f>
        <v>41.086956521739133</v>
      </c>
      <c r="AG15" s="54">
        <f>AG14*$F$15</f>
        <v>4.108695652173914</v>
      </c>
      <c r="AI15" s="54">
        <f>AI14*$F$15</f>
        <v>24.65217391304348</v>
      </c>
      <c r="AK15" s="54">
        <f>AK14*$F$15</f>
        <v>4.108695652173914</v>
      </c>
      <c r="AM15" s="54">
        <f>AM14*$F$15</f>
        <v>123.26086956521739</v>
      </c>
    </row>
    <row r="16" spans="2:47" x14ac:dyDescent="0.35">
      <c r="B16" s="70" t="s">
        <v>449</v>
      </c>
      <c r="G16" s="54">
        <f>G14+G15</f>
        <v>41067</v>
      </c>
      <c r="I16" s="275">
        <f t="shared" si="30"/>
        <v>0</v>
      </c>
      <c r="J16" s="275">
        <f t="shared" si="31"/>
        <v>0</v>
      </c>
      <c r="M16" s="54">
        <f>M14+M15</f>
        <v>6920.4796484736362</v>
      </c>
      <c r="O16" s="54">
        <f>O14+O15</f>
        <v>3488.7321924144317</v>
      </c>
      <c r="Q16" s="54">
        <f>Q14+Q15</f>
        <v>3672.3496762257178</v>
      </c>
      <c r="S16" s="54">
        <f>S14+S15</f>
        <v>6749.5254394079557</v>
      </c>
      <c r="U16" s="54">
        <f>U14+U15</f>
        <v>1487.9347826086955</v>
      </c>
      <c r="W16" s="54">
        <f>W14+W15</f>
        <v>1190.3478260869567</v>
      </c>
      <c r="Y16" s="54">
        <f>Y14+Y15</f>
        <v>892.76086956521749</v>
      </c>
      <c r="AA16" s="54">
        <f>AA14+AA15</f>
        <v>1190.3478260869567</v>
      </c>
      <c r="AC16" s="54">
        <f>AC14+AC15</f>
        <v>1190.3478260869567</v>
      </c>
      <c r="AE16" s="54">
        <f>AE14+AE15</f>
        <v>2975.869565217391</v>
      </c>
      <c r="AG16" s="54">
        <f>AG14+AG15</f>
        <v>297.58695652173918</v>
      </c>
      <c r="AI16" s="54">
        <f>AI14+AI15</f>
        <v>1785.521739130435</v>
      </c>
      <c r="AK16" s="54">
        <f>AK14+AK15</f>
        <v>297.58695652173918</v>
      </c>
      <c r="AM16" s="54">
        <f>AM14+AM15</f>
        <v>8927.608695652174</v>
      </c>
    </row>
    <row r="17" spans="2:39" x14ac:dyDescent="0.35">
      <c r="B17" s="355" t="s">
        <v>463</v>
      </c>
      <c r="F17" s="352">
        <v>0.14000000000000001</v>
      </c>
      <c r="G17" s="54">
        <f>G16*$F$17</f>
        <v>5749.38</v>
      </c>
      <c r="I17" s="275">
        <f t="shared" si="30"/>
        <v>0</v>
      </c>
      <c r="J17" s="275">
        <f t="shared" si="31"/>
        <v>0</v>
      </c>
      <c r="M17" s="54">
        <f>M16*$F$17</f>
        <v>968.86715078630914</v>
      </c>
      <c r="O17" s="54">
        <f>O16*$F$17</f>
        <v>488.42250693802049</v>
      </c>
      <c r="Q17" s="54">
        <f>Q16*$F$17</f>
        <v>514.12895467160058</v>
      </c>
      <c r="S17" s="54">
        <f>S16*$F$17</f>
        <v>944.93356151711384</v>
      </c>
      <c r="U17" s="54">
        <f>U16*$F$17</f>
        <v>208.31086956521739</v>
      </c>
      <c r="W17" s="54">
        <f>W16*$F$17</f>
        <v>166.64869565217396</v>
      </c>
      <c r="Y17" s="54">
        <f>Y16*$F$17</f>
        <v>124.98652173913047</v>
      </c>
      <c r="AA17" s="54">
        <f>AA16*$F$17</f>
        <v>166.64869565217396</v>
      </c>
      <c r="AC17" s="54">
        <f>AC16*$F$17</f>
        <v>166.64869565217396</v>
      </c>
      <c r="AE17" s="54">
        <f>AE16*$F$17</f>
        <v>416.62173913043478</v>
      </c>
      <c r="AG17" s="54">
        <f>AG16*$F$17</f>
        <v>41.662173913043489</v>
      </c>
      <c r="AI17" s="54">
        <f>AI16*$F$17</f>
        <v>249.97304347826093</v>
      </c>
      <c r="AK17" s="54">
        <f>AK16*$F$17</f>
        <v>41.662173913043489</v>
      </c>
      <c r="AM17" s="54">
        <f>AM16*$F$17</f>
        <v>1249.8652173913044</v>
      </c>
    </row>
    <row r="18" spans="2:39" x14ac:dyDescent="0.35">
      <c r="B18" s="355" t="s">
        <v>464</v>
      </c>
      <c r="G18" s="54">
        <f>G16+G17</f>
        <v>46816.38</v>
      </c>
      <c r="I18" s="275">
        <f t="shared" si="30"/>
        <v>0</v>
      </c>
      <c r="J18" s="275">
        <f t="shared" si="31"/>
        <v>0</v>
      </c>
      <c r="M18" s="54">
        <f>M16+M17</f>
        <v>7889.3467992599453</v>
      </c>
      <c r="O18" s="54">
        <f>O16+O17</f>
        <v>3977.1546993524521</v>
      </c>
      <c r="Q18" s="54">
        <f>Q16+Q17</f>
        <v>4186.478630897318</v>
      </c>
      <c r="S18" s="54">
        <f>S16+S17</f>
        <v>7694.4590009250696</v>
      </c>
      <c r="U18" s="54">
        <f>U16+U17</f>
        <v>1696.245652173913</v>
      </c>
      <c r="W18" s="54">
        <f>W16+W17</f>
        <v>1356.9965217391307</v>
      </c>
      <c r="Y18" s="54">
        <f>Y16+Y17</f>
        <v>1017.747391304348</v>
      </c>
      <c r="AA18" s="54">
        <f>AA16+AA17</f>
        <v>1356.9965217391307</v>
      </c>
      <c r="AC18" s="54">
        <f>AC16+AC17</f>
        <v>1356.9965217391307</v>
      </c>
      <c r="AE18" s="54">
        <f>AE16+AE17</f>
        <v>3392.4913043478259</v>
      </c>
      <c r="AG18" s="54">
        <f>AG16+AG17</f>
        <v>339.24913043478267</v>
      </c>
      <c r="AI18" s="54">
        <f>AI16+AI17</f>
        <v>2035.4947826086959</v>
      </c>
      <c r="AK18" s="54">
        <f>AK16+AK17</f>
        <v>339.24913043478267</v>
      </c>
      <c r="AM18" s="54">
        <f>AM16+AM17</f>
        <v>10177.473913043479</v>
      </c>
    </row>
  </sheetData>
  <mergeCells count="14">
    <mergeCell ref="V4:W4"/>
    <mergeCell ref="L4:M4"/>
    <mergeCell ref="N4:O4"/>
    <mergeCell ref="P4:Q4"/>
    <mergeCell ref="R4:S4"/>
    <mergeCell ref="T4:U4"/>
    <mergeCell ref="AJ4:AK4"/>
    <mergeCell ref="AL4:AM4"/>
    <mergeCell ref="X4:Y4"/>
    <mergeCell ref="Z4:AA4"/>
    <mergeCell ref="AB4:AC4"/>
    <mergeCell ref="AD4:AE4"/>
    <mergeCell ref="AF4:AG4"/>
    <mergeCell ref="AH4:A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2518-2FE2-40D2-9C58-CCB04ADDA8B1}">
  <dimension ref="B3:AU20"/>
  <sheetViews>
    <sheetView topLeftCell="A4" zoomScaleNormal="100" workbookViewId="0">
      <selection activeCell="B10" sqref="B10:AU10"/>
    </sheetView>
  </sheetViews>
  <sheetFormatPr defaultRowHeight="14.5" x14ac:dyDescent="0.35"/>
  <cols>
    <col min="2" max="2" width="57.08984375" bestFit="1" customWidth="1"/>
    <col min="3" max="4" width="9.90625" customWidth="1"/>
    <col min="5" max="6" width="18.6328125" customWidth="1"/>
    <col min="7" max="7" width="24.08984375" customWidth="1"/>
    <col min="9" max="9" width="18.1796875" bestFit="1" customWidth="1"/>
    <col min="13" max="13" width="14.81640625" customWidth="1"/>
    <col min="15" max="15" width="14.81640625" customWidth="1"/>
    <col min="17" max="17" width="14.81640625" customWidth="1"/>
    <col min="19" max="19" width="14.81640625" customWidth="1"/>
    <col min="21" max="21" width="14.81640625" customWidth="1"/>
    <col min="23" max="23" width="14.81640625" customWidth="1"/>
    <col min="25" max="25" width="14.81640625" customWidth="1"/>
    <col min="27" max="27" width="14.81640625" customWidth="1"/>
    <col min="29" max="29" width="14.81640625" customWidth="1"/>
    <col min="31" max="31" width="14.81640625" customWidth="1"/>
    <col min="33" max="33" width="14.81640625" customWidth="1"/>
    <col min="35" max="35" width="14.81640625" customWidth="1"/>
    <col min="37" max="37" width="14.81640625" customWidth="1"/>
    <col min="39" max="39" width="14.81640625" customWidth="1"/>
    <col min="40" max="40" width="11.08984375" bestFit="1" customWidth="1"/>
    <col min="41" max="41" width="10.453125" bestFit="1" customWidth="1"/>
    <col min="42" max="42" width="11.453125" bestFit="1" customWidth="1"/>
    <col min="43" max="43" width="9.453125" bestFit="1" customWidth="1"/>
    <col min="44" max="44" width="11.453125" bestFit="1" customWidth="1"/>
    <col min="45" max="45" width="10.453125" bestFit="1" customWidth="1"/>
    <col min="46" max="46" width="11.453125" bestFit="1" customWidth="1"/>
    <col min="47" max="47" width="10.08984375" bestFit="1" customWidth="1"/>
  </cols>
  <sheetData>
    <row r="3" spans="2:47" x14ac:dyDescent="0.35">
      <c r="B3" s="36"/>
      <c r="C3" s="17"/>
      <c r="D3" s="17"/>
      <c r="E3" s="37"/>
      <c r="F3" s="37"/>
      <c r="G3" s="37"/>
      <c r="L3">
        <v>27.213947990543737</v>
      </c>
      <c r="M3">
        <v>0</v>
      </c>
      <c r="N3">
        <v>13.708037825059103</v>
      </c>
      <c r="O3">
        <v>0</v>
      </c>
      <c r="P3">
        <v>14.359338061465721</v>
      </c>
      <c r="Q3">
        <v>0</v>
      </c>
      <c r="R3">
        <v>26.607565011820334</v>
      </c>
      <c r="S3">
        <v>0</v>
      </c>
      <c r="T3">
        <v>6.2777777777777786</v>
      </c>
      <c r="U3">
        <v>0</v>
      </c>
      <c r="V3">
        <v>4.7936507936507935</v>
      </c>
      <c r="W3">
        <v>0</v>
      </c>
      <c r="X3">
        <v>3.5952380952380949</v>
      </c>
      <c r="Y3">
        <v>0</v>
      </c>
      <c r="Z3">
        <v>4.7222222222222223</v>
      </c>
      <c r="AA3">
        <v>0</v>
      </c>
      <c r="AB3">
        <v>4.7222222222222223</v>
      </c>
      <c r="AC3">
        <v>0</v>
      </c>
      <c r="AD3">
        <v>12.555555555555557</v>
      </c>
      <c r="AE3">
        <v>0</v>
      </c>
      <c r="AF3">
        <v>1.1805555555555556</v>
      </c>
      <c r="AG3">
        <v>0</v>
      </c>
      <c r="AH3">
        <v>7.083333333333333</v>
      </c>
      <c r="AI3">
        <v>0</v>
      </c>
      <c r="AJ3">
        <v>1.1805555555555556</v>
      </c>
      <c r="AK3">
        <v>0</v>
      </c>
      <c r="AL3">
        <v>34</v>
      </c>
      <c r="AM3">
        <v>0</v>
      </c>
    </row>
    <row r="4" spans="2:47" ht="69" customHeight="1" x14ac:dyDescent="0.35">
      <c r="B4" s="38" t="s">
        <v>226</v>
      </c>
      <c r="C4" s="39" t="s">
        <v>227</v>
      </c>
      <c r="D4" s="298" t="s">
        <v>441</v>
      </c>
      <c r="E4" s="40" t="s">
        <v>68</v>
      </c>
      <c r="F4" s="41" t="s">
        <v>421</v>
      </c>
      <c r="G4" s="42" t="s">
        <v>230</v>
      </c>
      <c r="L4" s="570" t="s">
        <v>145</v>
      </c>
      <c r="M4" s="571"/>
      <c r="N4" s="568" t="s">
        <v>146</v>
      </c>
      <c r="O4" s="569"/>
      <c r="P4" s="568" t="s">
        <v>147</v>
      </c>
      <c r="Q4" s="569"/>
      <c r="R4" s="568" t="s">
        <v>148</v>
      </c>
      <c r="S4" s="569"/>
      <c r="T4" s="568" t="s">
        <v>149</v>
      </c>
      <c r="U4" s="569"/>
      <c r="V4" s="568" t="s">
        <v>150</v>
      </c>
      <c r="W4" s="569"/>
      <c r="X4" s="568" t="s">
        <v>151</v>
      </c>
      <c r="Y4" s="569"/>
      <c r="Z4" s="568" t="s">
        <v>152</v>
      </c>
      <c r="AA4" s="569"/>
      <c r="AB4" s="568" t="s">
        <v>153</v>
      </c>
      <c r="AC4" s="569"/>
      <c r="AD4" s="568" t="s">
        <v>154</v>
      </c>
      <c r="AE4" s="569"/>
      <c r="AF4" s="568" t="s">
        <v>155</v>
      </c>
      <c r="AG4" s="569"/>
      <c r="AH4" s="568" t="s">
        <v>156</v>
      </c>
      <c r="AI4" s="569"/>
      <c r="AJ4" s="568" t="s">
        <v>157</v>
      </c>
      <c r="AK4" s="569"/>
      <c r="AL4" s="572" t="s">
        <v>339</v>
      </c>
      <c r="AM4" s="573"/>
      <c r="AN4" s="215" t="s">
        <v>234</v>
      </c>
      <c r="AO4" s="385" t="s">
        <v>447</v>
      </c>
      <c r="AP4" s="385" t="s">
        <v>240</v>
      </c>
      <c r="AQ4" s="386" t="s">
        <v>448</v>
      </c>
      <c r="AR4" s="387" t="s">
        <v>241</v>
      </c>
      <c r="AS4" s="388" t="s">
        <v>463</v>
      </c>
      <c r="AT4" s="388" t="s">
        <v>464</v>
      </c>
      <c r="AU4" s="388" t="s">
        <v>180</v>
      </c>
    </row>
    <row r="5" spans="2:47" x14ac:dyDescent="0.35">
      <c r="B5" s="43"/>
      <c r="C5" s="44"/>
      <c r="D5" s="44"/>
      <c r="E5" s="45"/>
      <c r="F5" s="46"/>
      <c r="G5" s="47"/>
      <c r="L5" t="s">
        <v>183</v>
      </c>
      <c r="M5" t="s">
        <v>15</v>
      </c>
      <c r="N5" t="s">
        <v>227</v>
      </c>
      <c r="O5" t="s">
        <v>15</v>
      </c>
      <c r="P5" t="s">
        <v>227</v>
      </c>
      <c r="Q5" t="s">
        <v>15</v>
      </c>
      <c r="R5" t="s">
        <v>227</v>
      </c>
      <c r="S5" t="s">
        <v>15</v>
      </c>
      <c r="T5" t="s">
        <v>227</v>
      </c>
      <c r="U5" t="s">
        <v>15</v>
      </c>
      <c r="V5" t="s">
        <v>227</v>
      </c>
      <c r="W5" t="s">
        <v>15</v>
      </c>
      <c r="X5" t="s">
        <v>227</v>
      </c>
      <c r="Y5" t="s">
        <v>15</v>
      </c>
      <c r="Z5" t="s">
        <v>227</v>
      </c>
      <c r="AA5" t="s">
        <v>15</v>
      </c>
      <c r="AB5" t="s">
        <v>227</v>
      </c>
      <c r="AC5" t="s">
        <v>15</v>
      </c>
      <c r="AD5" t="s">
        <v>227</v>
      </c>
      <c r="AE5" t="s">
        <v>15</v>
      </c>
      <c r="AF5" t="s">
        <v>227</v>
      </c>
      <c r="AG5" t="s">
        <v>15</v>
      </c>
      <c r="AH5" t="s">
        <v>227</v>
      </c>
      <c r="AI5" t="s">
        <v>15</v>
      </c>
      <c r="AJ5" t="s">
        <v>227</v>
      </c>
      <c r="AK5" t="s">
        <v>15</v>
      </c>
      <c r="AL5" t="s">
        <v>227</v>
      </c>
      <c r="AM5" t="s">
        <v>15</v>
      </c>
    </row>
    <row r="6" spans="2:47" x14ac:dyDescent="0.35">
      <c r="B6" s="98" t="s">
        <v>299</v>
      </c>
      <c r="C6" s="244">
        <v>2</v>
      </c>
      <c r="D6" s="268">
        <v>36</v>
      </c>
      <c r="E6" s="99">
        <v>200000</v>
      </c>
      <c r="F6" s="49">
        <f>E6/D6</f>
        <v>5555.5555555555557</v>
      </c>
      <c r="G6" s="50">
        <f>C6*F6</f>
        <v>11111.111111111111</v>
      </c>
      <c r="I6" s="239">
        <f t="shared" ref="I6:I8" si="0">C6-(L6+N6+P6+R6+T6+V6+X6+Z6+AB6+AD6+AF6+AH6+AJ6+AL6)</f>
        <v>0</v>
      </c>
      <c r="J6" s="239">
        <f>G6-(M6+O6+Q6+S6+U6+W6+Y6+AA6+AC6+AE6+AG6+AI6+AK6+AM6)</f>
        <v>0</v>
      </c>
      <c r="L6" s="243">
        <f>C6*Maning!D$21</f>
        <v>0.3370336108541474</v>
      </c>
      <c r="M6" s="54">
        <f>F6*L6</f>
        <v>1872.4089491897078</v>
      </c>
      <c r="N6" s="243">
        <f>C6*Maning!D$22</f>
        <v>0.16990440949737898</v>
      </c>
      <c r="O6" s="54">
        <f>N6*F6</f>
        <v>943.91338609654986</v>
      </c>
      <c r="P6" s="243">
        <f>C6*Maning!D$23</f>
        <v>0.17884674683934629</v>
      </c>
      <c r="Q6" s="54">
        <f>P6*F6</f>
        <v>993.59303799636825</v>
      </c>
      <c r="R6" s="243">
        <f>C6*Maning!D$24</f>
        <v>0.32870798643231575</v>
      </c>
      <c r="S6" s="54">
        <f>R6*F6</f>
        <v>1826.1554801795319</v>
      </c>
      <c r="T6" s="243">
        <f>C6*Maning!D$25</f>
        <v>7.2463768115942032E-2</v>
      </c>
      <c r="U6" s="54">
        <f>T6*F6</f>
        <v>402.57648953301128</v>
      </c>
      <c r="V6" s="243">
        <f>C6*Maning!D$26</f>
        <v>5.7971014492753624E-2</v>
      </c>
      <c r="W6" s="54">
        <f>V6*F6</f>
        <v>322.06119162640903</v>
      </c>
      <c r="X6" s="243">
        <f>C6*Maning!D$27</f>
        <v>4.3478260869565216E-2</v>
      </c>
      <c r="Y6" s="54">
        <f>X6*F6</f>
        <v>241.54589371980677</v>
      </c>
      <c r="Z6" s="243">
        <f>C6*Maning!D$28</f>
        <v>5.7971014492753624E-2</v>
      </c>
      <c r="AA6" s="54">
        <f>Z6*F6</f>
        <v>322.06119162640903</v>
      </c>
      <c r="AB6" s="243">
        <f>C6*Maning!D$29</f>
        <v>5.7971014492753624E-2</v>
      </c>
      <c r="AC6" s="54">
        <f>AB6*F6</f>
        <v>322.06119162640903</v>
      </c>
      <c r="AD6" s="243">
        <f>C6*Maning!D$30</f>
        <v>0.14492753623188406</v>
      </c>
      <c r="AE6" s="54">
        <f>AD6*F6</f>
        <v>805.15297906602257</v>
      </c>
      <c r="AF6" s="243">
        <f>C6*Maning!D$31</f>
        <v>1.4492753623188406E-2</v>
      </c>
      <c r="AG6" s="54">
        <f>AF6*F6</f>
        <v>80.515297906602257</v>
      </c>
      <c r="AH6" s="243">
        <f>C6*Maning!D$32</f>
        <v>8.6956521739130432E-2</v>
      </c>
      <c r="AI6" s="54">
        <f>AH6*F6</f>
        <v>483.09178743961354</v>
      </c>
      <c r="AJ6" s="243">
        <f>C6*Maning!D$33</f>
        <v>1.4492753623188406E-2</v>
      </c>
      <c r="AK6" s="54">
        <f>AJ6*F6</f>
        <v>80.515297906602257</v>
      </c>
      <c r="AL6" s="243">
        <f>C6*Maning!D$34</f>
        <v>0.43478260869565216</v>
      </c>
      <c r="AM6" s="54">
        <f>AL6*F6</f>
        <v>2415.4589371980678</v>
      </c>
      <c r="AN6" s="54">
        <f>M6+O6+Q6+S6+U6+W6+Y6+AA6+AC6+AE6+AG6+AI6+AK6+AM6</f>
        <v>11111.111111111109</v>
      </c>
      <c r="AO6" s="54">
        <f t="shared" ref="AO6:AO13" si="1">AN6*$F$15</f>
        <v>888.8888888888888</v>
      </c>
      <c r="AP6" s="54">
        <f>AN6+AO6</f>
        <v>11999.999999999998</v>
      </c>
      <c r="AQ6" s="54">
        <f t="shared" ref="AQ6:AQ13" si="2">AP6*$F$17</f>
        <v>167.99999999999997</v>
      </c>
      <c r="AR6" s="54">
        <f>AP6+AQ6</f>
        <v>12167.999999999998</v>
      </c>
      <c r="AS6" s="54">
        <f t="shared" ref="AS6:AS13" si="3">AR6*$F$19</f>
        <v>1703.52</v>
      </c>
      <c r="AT6" s="54">
        <f>AR6+AS6</f>
        <v>13871.519999999999</v>
      </c>
      <c r="AU6" s="54">
        <f>AT6/C6</f>
        <v>6935.7599999999993</v>
      </c>
    </row>
    <row r="7" spans="2:47" x14ac:dyDescent="0.35">
      <c r="B7" s="98" t="s">
        <v>300</v>
      </c>
      <c r="C7" s="244">
        <v>1</v>
      </c>
      <c r="D7" s="268">
        <v>36</v>
      </c>
      <c r="E7" s="99">
        <v>200000</v>
      </c>
      <c r="F7" s="49">
        <f t="shared" ref="F7:F8" si="4">E7/D7</f>
        <v>5555.5555555555557</v>
      </c>
      <c r="G7" s="50">
        <f t="shared" ref="G7:G9" si="5">C7*F7</f>
        <v>5555.5555555555557</v>
      </c>
      <c r="I7" s="239">
        <f t="shared" si="0"/>
        <v>0</v>
      </c>
      <c r="J7" s="239">
        <f>G7-(M7+O7+Q7+S7+U7+W7+Y7+AA7+AC7+AE7+AG7+AI7+AK7+AM7)</f>
        <v>0</v>
      </c>
      <c r="L7" s="243">
        <f>C7*Maning!D$21</f>
        <v>0.1685168054270737</v>
      </c>
      <c r="M7" s="54">
        <f t="shared" ref="M7:M13" si="6">F7*L7</f>
        <v>936.20447459485388</v>
      </c>
      <c r="N7" s="243">
        <f>C7*Maning!D$22</f>
        <v>8.4952204748689489E-2</v>
      </c>
      <c r="O7" s="54">
        <f t="shared" ref="O7:O13" si="7">N7*F7</f>
        <v>471.95669304827493</v>
      </c>
      <c r="P7" s="243">
        <f>C7*Maning!D$23</f>
        <v>8.9423373419673144E-2</v>
      </c>
      <c r="Q7" s="54">
        <f t="shared" ref="Q7:Q13" si="8">P7*F7</f>
        <v>496.79651899818413</v>
      </c>
      <c r="R7" s="243">
        <f>C7*Maning!D$24</f>
        <v>0.16435399321615787</v>
      </c>
      <c r="S7" s="54">
        <f t="shared" ref="S7:S13" si="9">R7*F7</f>
        <v>913.07774008976594</v>
      </c>
      <c r="T7" s="243">
        <f>C7*Maning!D$25</f>
        <v>3.6231884057971016E-2</v>
      </c>
      <c r="U7" s="54">
        <f t="shared" ref="U7:U13" si="10">T7*F7</f>
        <v>201.28824476650564</v>
      </c>
      <c r="V7" s="243">
        <f>C7*Maning!D$26</f>
        <v>2.8985507246376812E-2</v>
      </c>
      <c r="W7" s="54">
        <f t="shared" ref="W7:W13" si="11">V7*F7</f>
        <v>161.03059581320451</v>
      </c>
      <c r="X7" s="243">
        <f>C7*Maning!D$27</f>
        <v>2.1739130434782608E-2</v>
      </c>
      <c r="Y7" s="54">
        <f t="shared" ref="Y7:Y13" si="12">X7*F7</f>
        <v>120.77294685990339</v>
      </c>
      <c r="Z7" s="243">
        <f>C7*Maning!D$28</f>
        <v>2.8985507246376812E-2</v>
      </c>
      <c r="AA7" s="54">
        <f t="shared" ref="AA7:AA13" si="13">Z7*F7</f>
        <v>161.03059581320451</v>
      </c>
      <c r="AB7" s="243">
        <f>C7*Maning!D$29</f>
        <v>2.8985507246376812E-2</v>
      </c>
      <c r="AC7" s="54">
        <f t="shared" ref="AC7:AC13" si="14">AB7*F7</f>
        <v>161.03059581320451</v>
      </c>
      <c r="AD7" s="243">
        <f>C7*Maning!D$30</f>
        <v>7.2463768115942032E-2</v>
      </c>
      <c r="AE7" s="54">
        <f t="shared" ref="AE7:AE13" si="15">AD7*F7</f>
        <v>402.57648953301128</v>
      </c>
      <c r="AF7" s="243">
        <f>C7*Maning!D$31</f>
        <v>7.246376811594203E-3</v>
      </c>
      <c r="AG7" s="54">
        <f t="shared" ref="AG7:AG13" si="16">AF7*F7</f>
        <v>40.257648953301128</v>
      </c>
      <c r="AH7" s="243">
        <f>C7*Maning!D$32</f>
        <v>4.3478260869565216E-2</v>
      </c>
      <c r="AI7" s="54">
        <f t="shared" ref="AI7:AI13" si="17">AH7*F7</f>
        <v>241.54589371980677</v>
      </c>
      <c r="AJ7" s="243">
        <f>C7*Maning!D$33</f>
        <v>7.246376811594203E-3</v>
      </c>
      <c r="AK7" s="54">
        <f t="shared" ref="AK7:AK13" si="18">AJ7*F7</f>
        <v>40.257648953301128</v>
      </c>
      <c r="AL7" s="243">
        <f>C7*Maning!D$34</f>
        <v>0.21739130434782608</v>
      </c>
      <c r="AM7" s="54">
        <f t="shared" ref="AM7:AM13" si="19">AL7*F7</f>
        <v>1207.7294685990339</v>
      </c>
      <c r="AN7" s="54">
        <f t="shared" ref="AN7:AN13" si="20">M7+O7+Q7+S7+U7+W7+Y7+AA7+AC7+AE7+AG7+AI7+AK7+AM7</f>
        <v>5555.5555555555547</v>
      </c>
      <c r="AO7" s="54">
        <f t="shared" si="1"/>
        <v>444.4444444444444</v>
      </c>
      <c r="AP7" s="54">
        <f t="shared" ref="AP7:AP13" si="21">AN7+AO7</f>
        <v>5999.9999999999991</v>
      </c>
      <c r="AQ7" s="54">
        <f t="shared" si="2"/>
        <v>83.999999999999986</v>
      </c>
      <c r="AR7" s="54">
        <f t="shared" ref="AR7:AR13" si="22">AP7+AQ7</f>
        <v>6083.9999999999991</v>
      </c>
      <c r="AS7" s="54">
        <f t="shared" si="3"/>
        <v>851.76</v>
      </c>
      <c r="AT7" s="54">
        <f t="shared" ref="AT7:AT13" si="23">AR7+AS7</f>
        <v>6935.7599999999993</v>
      </c>
      <c r="AU7" s="54">
        <f t="shared" ref="AU7:AU13" si="24">AT7/C7</f>
        <v>6935.7599999999993</v>
      </c>
    </row>
    <row r="8" spans="2:47" x14ac:dyDescent="0.35">
      <c r="B8" s="98" t="s">
        <v>301</v>
      </c>
      <c r="C8" s="244">
        <v>1</v>
      </c>
      <c r="D8" s="268">
        <v>36</v>
      </c>
      <c r="E8" s="99">
        <v>100000</v>
      </c>
      <c r="F8" s="49">
        <f t="shared" si="4"/>
        <v>2777.7777777777778</v>
      </c>
      <c r="G8" s="50">
        <f t="shared" si="5"/>
        <v>2777.7777777777778</v>
      </c>
      <c r="I8" s="239">
        <f t="shared" si="0"/>
        <v>0</v>
      </c>
      <c r="J8" s="239">
        <f t="shared" ref="J8:J9" si="25">G8-(M8+O8+Q8+S8+U8+W8+Y8+AA8+AC8+AE8+AG8+AI8+AK8+AM8)</f>
        <v>0</v>
      </c>
      <c r="L8" s="243">
        <f>C8*Maning!D$21</f>
        <v>0.1685168054270737</v>
      </c>
      <c r="M8" s="54">
        <f t="shared" si="6"/>
        <v>468.10223729742694</v>
      </c>
      <c r="N8" s="243">
        <f>C8*Maning!D$22</f>
        <v>8.4952204748689489E-2</v>
      </c>
      <c r="O8" s="54">
        <f t="shared" si="7"/>
        <v>235.97834652413746</v>
      </c>
      <c r="P8" s="243">
        <f>C8*Maning!D$23</f>
        <v>8.9423373419673144E-2</v>
      </c>
      <c r="Q8" s="54">
        <f t="shared" si="8"/>
        <v>248.39825949909206</v>
      </c>
      <c r="R8" s="243">
        <f>C8*Maning!D$24</f>
        <v>0.16435399321615787</v>
      </c>
      <c r="S8" s="54">
        <f t="shared" si="9"/>
        <v>456.53887004488297</v>
      </c>
      <c r="T8" s="243">
        <f>C8*Maning!D$25</f>
        <v>3.6231884057971016E-2</v>
      </c>
      <c r="U8" s="54">
        <f t="shared" si="10"/>
        <v>100.64412238325282</v>
      </c>
      <c r="V8" s="243">
        <f>C8*Maning!D$26</f>
        <v>2.8985507246376812E-2</v>
      </c>
      <c r="W8" s="54">
        <f t="shared" si="11"/>
        <v>80.515297906602257</v>
      </c>
      <c r="X8" s="243">
        <f>C8*Maning!D$27</f>
        <v>2.1739130434782608E-2</v>
      </c>
      <c r="Y8" s="54">
        <f t="shared" si="12"/>
        <v>60.386473429951693</v>
      </c>
      <c r="Z8" s="243">
        <f>C8*Maning!D$28</f>
        <v>2.8985507246376812E-2</v>
      </c>
      <c r="AA8" s="54">
        <f t="shared" si="13"/>
        <v>80.515297906602257</v>
      </c>
      <c r="AB8" s="243">
        <f>C8*Maning!D$29</f>
        <v>2.8985507246376812E-2</v>
      </c>
      <c r="AC8" s="54">
        <f t="shared" si="14"/>
        <v>80.515297906602257</v>
      </c>
      <c r="AD8" s="243">
        <f>C8*Maning!D$30</f>
        <v>7.2463768115942032E-2</v>
      </c>
      <c r="AE8" s="54">
        <f t="shared" si="15"/>
        <v>201.28824476650564</v>
      </c>
      <c r="AF8" s="243">
        <f>C8*Maning!D$31</f>
        <v>7.246376811594203E-3</v>
      </c>
      <c r="AG8" s="54">
        <f t="shared" si="16"/>
        <v>20.128824476650564</v>
      </c>
      <c r="AH8" s="243">
        <f>C8*Maning!D$32</f>
        <v>4.3478260869565216E-2</v>
      </c>
      <c r="AI8" s="54">
        <f t="shared" si="17"/>
        <v>120.77294685990339</v>
      </c>
      <c r="AJ8" s="243">
        <f>C8*Maning!D$33</f>
        <v>7.246376811594203E-3</v>
      </c>
      <c r="AK8" s="54">
        <f t="shared" si="18"/>
        <v>20.128824476650564</v>
      </c>
      <c r="AL8" s="243">
        <f>C8*Maning!D$34</f>
        <v>0.21739130434782608</v>
      </c>
      <c r="AM8" s="54">
        <f t="shared" si="19"/>
        <v>603.86473429951695</v>
      </c>
      <c r="AN8" s="54">
        <f t="shared" si="20"/>
        <v>2777.7777777777774</v>
      </c>
      <c r="AO8" s="54">
        <f t="shared" si="1"/>
        <v>222.2222222222222</v>
      </c>
      <c r="AP8" s="54">
        <f t="shared" si="21"/>
        <v>2999.9999999999995</v>
      </c>
      <c r="AQ8" s="54">
        <f t="shared" si="2"/>
        <v>41.999999999999993</v>
      </c>
      <c r="AR8" s="54">
        <f t="shared" si="22"/>
        <v>3041.9999999999995</v>
      </c>
      <c r="AS8" s="54">
        <f t="shared" si="3"/>
        <v>425.88</v>
      </c>
      <c r="AT8" s="54">
        <f t="shared" si="23"/>
        <v>3467.8799999999997</v>
      </c>
      <c r="AU8" s="54">
        <f t="shared" si="24"/>
        <v>3467.8799999999997</v>
      </c>
    </row>
    <row r="9" spans="2:47" s="214" customFormat="1" x14ac:dyDescent="0.35">
      <c r="B9" s="247" t="s">
        <v>302</v>
      </c>
      <c r="C9" s="277">
        <v>1</v>
      </c>
      <c r="D9" s="278">
        <v>1</v>
      </c>
      <c r="E9" s="279">
        <v>15000</v>
      </c>
      <c r="F9" s="49">
        <f>E9/D9</f>
        <v>15000</v>
      </c>
      <c r="G9" s="50">
        <f t="shared" si="5"/>
        <v>15000</v>
      </c>
      <c r="I9" s="280"/>
      <c r="J9" s="280">
        <f t="shared" si="25"/>
        <v>0</v>
      </c>
      <c r="L9" s="281">
        <f>C9*Maning!D$21</f>
        <v>0.1685168054270737</v>
      </c>
      <c r="M9" s="282">
        <f t="shared" si="6"/>
        <v>2527.7520814061054</v>
      </c>
      <c r="N9" s="281">
        <f>C9*Maning!D$22</f>
        <v>8.4952204748689489E-2</v>
      </c>
      <c r="O9" s="282">
        <f t="shared" si="7"/>
        <v>1274.2830712303423</v>
      </c>
      <c r="P9" s="281">
        <f>C9*Maning!D$23</f>
        <v>8.9423373419673144E-2</v>
      </c>
      <c r="Q9" s="282">
        <f t="shared" si="8"/>
        <v>1341.3506012950972</v>
      </c>
      <c r="R9" s="281">
        <f>C9*Maning!D$24</f>
        <v>0.16435399321615787</v>
      </c>
      <c r="S9" s="282">
        <f t="shared" si="9"/>
        <v>2465.309898242368</v>
      </c>
      <c r="T9" s="281">
        <f>C9*Maning!D$25</f>
        <v>3.6231884057971016E-2</v>
      </c>
      <c r="U9" s="282">
        <f t="shared" si="10"/>
        <v>543.47826086956525</v>
      </c>
      <c r="V9" s="281">
        <f>C9*Maning!D$26</f>
        <v>2.8985507246376812E-2</v>
      </c>
      <c r="W9" s="282">
        <f t="shared" si="11"/>
        <v>434.78260869565219</v>
      </c>
      <c r="X9" s="281">
        <f>C9*Maning!D$27</f>
        <v>2.1739130434782608E-2</v>
      </c>
      <c r="Y9" s="282">
        <f t="shared" si="12"/>
        <v>326.08695652173913</v>
      </c>
      <c r="Z9" s="281">
        <f>C9*Maning!D$28</f>
        <v>2.8985507246376812E-2</v>
      </c>
      <c r="AA9" s="282">
        <f t="shared" si="13"/>
        <v>434.78260869565219</v>
      </c>
      <c r="AB9" s="281">
        <f>C9*Maning!D$29</f>
        <v>2.8985507246376812E-2</v>
      </c>
      <c r="AC9" s="282">
        <f t="shared" si="14"/>
        <v>434.78260869565219</v>
      </c>
      <c r="AD9" s="281">
        <f>C9*Maning!D$30</f>
        <v>7.2463768115942032E-2</v>
      </c>
      <c r="AE9" s="282">
        <f t="shared" si="15"/>
        <v>1086.9565217391305</v>
      </c>
      <c r="AF9" s="281">
        <f>C9*Maning!D$31</f>
        <v>7.246376811594203E-3</v>
      </c>
      <c r="AG9" s="282">
        <f t="shared" si="16"/>
        <v>108.69565217391305</v>
      </c>
      <c r="AH9" s="281">
        <f>C9*Maning!D$32</f>
        <v>4.3478260869565216E-2</v>
      </c>
      <c r="AI9" s="282">
        <f t="shared" si="17"/>
        <v>652.17391304347825</v>
      </c>
      <c r="AJ9" s="281">
        <f>C9*Maning!D$33</f>
        <v>7.246376811594203E-3</v>
      </c>
      <c r="AK9" s="282">
        <f t="shared" si="18"/>
        <v>108.69565217391305</v>
      </c>
      <c r="AL9" s="281">
        <f>C9*Maning!D$34</f>
        <v>0.21739130434782608</v>
      </c>
      <c r="AM9" s="282">
        <f t="shared" si="19"/>
        <v>3260.869565217391</v>
      </c>
      <c r="AN9" s="54">
        <f t="shared" si="20"/>
        <v>15000</v>
      </c>
      <c r="AO9" s="54">
        <f t="shared" si="1"/>
        <v>1200</v>
      </c>
      <c r="AP9" s="54">
        <f t="shared" si="21"/>
        <v>16200</v>
      </c>
      <c r="AQ9" s="54">
        <f t="shared" si="2"/>
        <v>226.8</v>
      </c>
      <c r="AR9" s="54">
        <f t="shared" si="22"/>
        <v>16426.8</v>
      </c>
      <c r="AS9" s="54">
        <f t="shared" si="3"/>
        <v>2299.752</v>
      </c>
      <c r="AT9" s="54">
        <f t="shared" si="23"/>
        <v>18726.552</v>
      </c>
      <c r="AU9" s="54">
        <f t="shared" si="24"/>
        <v>18726.552</v>
      </c>
    </row>
    <row r="10" spans="2:47" x14ac:dyDescent="0.35">
      <c r="B10" s="247"/>
      <c r="C10" s="244"/>
      <c r="D10" s="244"/>
      <c r="E10" s="48"/>
      <c r="F10" s="49"/>
      <c r="G10" s="50"/>
      <c r="I10" s="280"/>
      <c r="J10" s="280"/>
      <c r="L10" s="243"/>
      <c r="M10" s="54"/>
      <c r="N10" s="243"/>
      <c r="O10" s="54"/>
      <c r="P10" s="243"/>
      <c r="Q10" s="54"/>
      <c r="R10" s="243"/>
      <c r="S10" s="54"/>
      <c r="T10" s="243"/>
      <c r="U10" s="54"/>
      <c r="V10" s="243"/>
      <c r="W10" s="54"/>
      <c r="X10" s="243"/>
      <c r="Y10" s="54"/>
      <c r="Z10" s="243"/>
      <c r="AA10" s="54"/>
      <c r="AB10" s="243"/>
      <c r="AC10" s="54"/>
      <c r="AD10" s="243"/>
      <c r="AE10" s="54"/>
      <c r="AF10" s="243"/>
      <c r="AG10" s="54"/>
      <c r="AH10" s="243"/>
      <c r="AI10" s="54"/>
      <c r="AJ10" s="243"/>
      <c r="AK10" s="54"/>
      <c r="AL10" s="243"/>
      <c r="AM10" s="54"/>
      <c r="AN10" s="54"/>
      <c r="AO10" s="54"/>
      <c r="AP10" s="54"/>
      <c r="AQ10" s="54"/>
      <c r="AR10" s="54"/>
      <c r="AS10" s="54"/>
      <c r="AT10" s="54"/>
      <c r="AU10" s="54"/>
    </row>
    <row r="11" spans="2:47" x14ac:dyDescent="0.35">
      <c r="B11" s="247"/>
      <c r="C11" s="244"/>
      <c r="D11" s="244"/>
      <c r="E11" s="48"/>
      <c r="F11" s="49"/>
      <c r="G11" s="50">
        <f t="shared" ref="G11:G13" si="26">C11*E11</f>
        <v>0</v>
      </c>
      <c r="I11" s="280"/>
      <c r="J11" s="280">
        <f t="shared" ref="J11:J13" si="27">G11-(M11+O11+Q11+S11+U11+W11+Y11+AA11+AC11+AE11+AG11+AI11+AK11+AM11)</f>
        <v>0</v>
      </c>
      <c r="L11" s="243"/>
      <c r="M11" s="54">
        <f t="shared" si="6"/>
        <v>0</v>
      </c>
      <c r="N11" s="243"/>
      <c r="O11" s="54">
        <f t="shared" si="7"/>
        <v>0</v>
      </c>
      <c r="P11" s="243"/>
      <c r="Q11" s="54">
        <f t="shared" si="8"/>
        <v>0</v>
      </c>
      <c r="R11" s="243"/>
      <c r="S11" s="54">
        <f t="shared" si="9"/>
        <v>0</v>
      </c>
      <c r="T11" s="243"/>
      <c r="U11" s="54">
        <f t="shared" si="10"/>
        <v>0</v>
      </c>
      <c r="V11" s="243"/>
      <c r="W11" s="54">
        <f t="shared" si="11"/>
        <v>0</v>
      </c>
      <c r="X11" s="243"/>
      <c r="Y11" s="54">
        <f t="shared" si="12"/>
        <v>0</v>
      </c>
      <c r="Z11" s="243"/>
      <c r="AA11" s="54">
        <f t="shared" si="13"/>
        <v>0</v>
      </c>
      <c r="AB11" s="243"/>
      <c r="AC11" s="54">
        <f t="shared" si="14"/>
        <v>0</v>
      </c>
      <c r="AD11" s="243"/>
      <c r="AE11" s="54">
        <f t="shared" si="15"/>
        <v>0</v>
      </c>
      <c r="AF11" s="243"/>
      <c r="AG11" s="54">
        <f t="shared" si="16"/>
        <v>0</v>
      </c>
      <c r="AH11" s="243"/>
      <c r="AI11" s="54">
        <f t="shared" si="17"/>
        <v>0</v>
      </c>
      <c r="AJ11" s="243"/>
      <c r="AK11" s="54">
        <f t="shared" si="18"/>
        <v>0</v>
      </c>
      <c r="AL11" s="243"/>
      <c r="AM11" s="54">
        <f t="shared" si="19"/>
        <v>0</v>
      </c>
      <c r="AN11" s="54">
        <f t="shared" si="20"/>
        <v>0</v>
      </c>
      <c r="AO11" s="54">
        <f t="shared" si="1"/>
        <v>0</v>
      </c>
      <c r="AP11" s="54">
        <f t="shared" si="21"/>
        <v>0</v>
      </c>
      <c r="AQ11" s="54">
        <f t="shared" si="2"/>
        <v>0</v>
      </c>
      <c r="AR11" s="54">
        <f t="shared" si="22"/>
        <v>0</v>
      </c>
      <c r="AS11" s="54">
        <f t="shared" si="3"/>
        <v>0</v>
      </c>
      <c r="AT11" s="54">
        <f t="shared" si="23"/>
        <v>0</v>
      </c>
      <c r="AU11" s="54" t="e">
        <f t="shared" si="24"/>
        <v>#DIV/0!</v>
      </c>
    </row>
    <row r="12" spans="2:47" x14ac:dyDescent="0.35">
      <c r="B12" s="247"/>
      <c r="C12" s="244"/>
      <c r="D12" s="244"/>
      <c r="E12" s="48"/>
      <c r="F12" s="49"/>
      <c r="G12" s="50">
        <f t="shared" si="26"/>
        <v>0</v>
      </c>
      <c r="I12" s="280"/>
      <c r="J12" s="280">
        <f t="shared" si="27"/>
        <v>0</v>
      </c>
      <c r="L12" s="243"/>
      <c r="M12" s="54">
        <f t="shared" si="6"/>
        <v>0</v>
      </c>
      <c r="N12" s="243"/>
      <c r="O12" s="54">
        <f t="shared" si="7"/>
        <v>0</v>
      </c>
      <c r="P12" s="243"/>
      <c r="Q12" s="54">
        <f t="shared" si="8"/>
        <v>0</v>
      </c>
      <c r="R12" s="243"/>
      <c r="S12" s="54">
        <f t="shared" si="9"/>
        <v>0</v>
      </c>
      <c r="T12" s="243"/>
      <c r="U12" s="54">
        <f t="shared" si="10"/>
        <v>0</v>
      </c>
      <c r="V12" s="243"/>
      <c r="W12" s="54">
        <f t="shared" si="11"/>
        <v>0</v>
      </c>
      <c r="X12" s="243"/>
      <c r="Y12" s="54">
        <f t="shared" si="12"/>
        <v>0</v>
      </c>
      <c r="Z12" s="243"/>
      <c r="AA12" s="54">
        <f t="shared" si="13"/>
        <v>0</v>
      </c>
      <c r="AB12" s="243"/>
      <c r="AC12" s="54">
        <f t="shared" si="14"/>
        <v>0</v>
      </c>
      <c r="AD12" s="243"/>
      <c r="AE12" s="54">
        <f t="shared" si="15"/>
        <v>0</v>
      </c>
      <c r="AF12" s="243"/>
      <c r="AG12" s="54">
        <f t="shared" si="16"/>
        <v>0</v>
      </c>
      <c r="AH12" s="243"/>
      <c r="AI12" s="54">
        <f t="shared" si="17"/>
        <v>0</v>
      </c>
      <c r="AJ12" s="243"/>
      <c r="AK12" s="54">
        <f t="shared" si="18"/>
        <v>0</v>
      </c>
      <c r="AL12" s="243"/>
      <c r="AM12" s="54">
        <f t="shared" si="19"/>
        <v>0</v>
      </c>
      <c r="AN12" s="54">
        <f t="shared" si="20"/>
        <v>0</v>
      </c>
      <c r="AO12" s="54">
        <f t="shared" si="1"/>
        <v>0</v>
      </c>
      <c r="AP12" s="54">
        <f t="shared" si="21"/>
        <v>0</v>
      </c>
      <c r="AQ12" s="54">
        <f t="shared" si="2"/>
        <v>0</v>
      </c>
      <c r="AR12" s="54">
        <f t="shared" si="22"/>
        <v>0</v>
      </c>
      <c r="AS12" s="54">
        <f t="shared" si="3"/>
        <v>0</v>
      </c>
      <c r="AT12" s="54">
        <f t="shared" si="23"/>
        <v>0</v>
      </c>
      <c r="AU12" s="54" t="e">
        <f t="shared" si="24"/>
        <v>#DIV/0!</v>
      </c>
    </row>
    <row r="13" spans="2:47" x14ac:dyDescent="0.35">
      <c r="B13" s="263"/>
      <c r="C13" s="264"/>
      <c r="D13" s="264"/>
      <c r="E13" s="51"/>
      <c r="F13" s="52"/>
      <c r="G13" s="53">
        <f t="shared" si="26"/>
        <v>0</v>
      </c>
      <c r="I13" s="280"/>
      <c r="J13" s="280">
        <f t="shared" si="27"/>
        <v>0</v>
      </c>
      <c r="L13" s="243"/>
      <c r="M13" s="54">
        <f t="shared" si="6"/>
        <v>0</v>
      </c>
      <c r="N13" s="243"/>
      <c r="O13" s="54">
        <f t="shared" si="7"/>
        <v>0</v>
      </c>
      <c r="P13" s="243"/>
      <c r="Q13" s="54">
        <f t="shared" si="8"/>
        <v>0</v>
      </c>
      <c r="R13" s="243"/>
      <c r="S13" s="54">
        <f t="shared" si="9"/>
        <v>0</v>
      </c>
      <c r="T13" s="243"/>
      <c r="U13" s="54">
        <f t="shared" si="10"/>
        <v>0</v>
      </c>
      <c r="V13" s="243"/>
      <c r="W13" s="54">
        <f t="shared" si="11"/>
        <v>0</v>
      </c>
      <c r="X13" s="243"/>
      <c r="Y13" s="54">
        <f t="shared" si="12"/>
        <v>0</v>
      </c>
      <c r="Z13" s="243"/>
      <c r="AA13" s="54">
        <f t="shared" si="13"/>
        <v>0</v>
      </c>
      <c r="AB13" s="243"/>
      <c r="AC13" s="54">
        <f t="shared" si="14"/>
        <v>0</v>
      </c>
      <c r="AD13" s="243"/>
      <c r="AE13" s="54">
        <f t="shared" si="15"/>
        <v>0</v>
      </c>
      <c r="AF13" s="243"/>
      <c r="AG13" s="54">
        <f t="shared" si="16"/>
        <v>0</v>
      </c>
      <c r="AH13" s="243"/>
      <c r="AI13" s="54">
        <f t="shared" si="17"/>
        <v>0</v>
      </c>
      <c r="AJ13" s="243"/>
      <c r="AK13" s="54">
        <f t="shared" si="18"/>
        <v>0</v>
      </c>
      <c r="AL13" s="243"/>
      <c r="AM13" s="54">
        <f t="shared" si="19"/>
        <v>0</v>
      </c>
      <c r="AN13" s="54">
        <f t="shared" si="20"/>
        <v>0</v>
      </c>
      <c r="AO13" s="54">
        <f t="shared" si="1"/>
        <v>0</v>
      </c>
      <c r="AP13" s="54">
        <f t="shared" si="21"/>
        <v>0</v>
      </c>
      <c r="AQ13" s="54">
        <f t="shared" si="2"/>
        <v>0</v>
      </c>
      <c r="AR13" s="54">
        <f t="shared" si="22"/>
        <v>0</v>
      </c>
      <c r="AS13" s="54">
        <f t="shared" si="3"/>
        <v>0</v>
      </c>
      <c r="AT13" s="54">
        <f t="shared" si="23"/>
        <v>0</v>
      </c>
      <c r="AU13" s="54" t="e">
        <f t="shared" si="24"/>
        <v>#DIV/0!</v>
      </c>
    </row>
    <row r="14" spans="2:47" s="274" customFormat="1" x14ac:dyDescent="0.35">
      <c r="B14" s="270" t="s">
        <v>241</v>
      </c>
      <c r="C14" s="271">
        <f>SUM(C6:C13)</f>
        <v>5</v>
      </c>
      <c r="D14" s="271"/>
      <c r="E14" s="272"/>
      <c r="F14" s="272"/>
      <c r="G14" s="273">
        <f>SUM(G6:G13)</f>
        <v>34444.444444444445</v>
      </c>
      <c r="I14" s="275">
        <f>C14-(L14+N14+P14+R14+T14+V14+X14+Z14+AB14+AD14+AF14+AH14+AJ14+AL14)</f>
        <v>0</v>
      </c>
      <c r="J14" s="275">
        <f>G14-(M14+O14+Q14+S14+U14+W14+Y14+AA14+AC14+AE14+AG14+AI14+AK14+AM14)</f>
        <v>0</v>
      </c>
      <c r="L14" s="276">
        <f t="shared" ref="L14:AT14" si="28">SUM(L6:L13)</f>
        <v>0.84258402713536851</v>
      </c>
      <c r="M14" s="276">
        <f t="shared" si="28"/>
        <v>5804.4677424880938</v>
      </c>
      <c r="N14" s="276">
        <f t="shared" si="28"/>
        <v>0.42476102374344743</v>
      </c>
      <c r="O14" s="276">
        <f t="shared" si="28"/>
        <v>2926.1314968993047</v>
      </c>
      <c r="P14" s="276">
        <f t="shared" si="28"/>
        <v>0.44711686709836573</v>
      </c>
      <c r="Q14" s="276">
        <f t="shared" si="28"/>
        <v>3080.1384177887417</v>
      </c>
      <c r="R14" s="276">
        <f t="shared" si="28"/>
        <v>0.82176996608078934</v>
      </c>
      <c r="S14" s="276">
        <f t="shared" si="28"/>
        <v>5661.0819885565488</v>
      </c>
      <c r="T14" s="276">
        <f t="shared" si="28"/>
        <v>0.18115942028985507</v>
      </c>
      <c r="U14" s="276">
        <f t="shared" si="28"/>
        <v>1247.9871175523349</v>
      </c>
      <c r="V14" s="276">
        <f t="shared" si="28"/>
        <v>0.14492753623188406</v>
      </c>
      <c r="W14" s="276">
        <f t="shared" si="28"/>
        <v>998.3896940418681</v>
      </c>
      <c r="X14" s="276">
        <f t="shared" si="28"/>
        <v>0.10869565217391304</v>
      </c>
      <c r="Y14" s="276">
        <f t="shared" si="28"/>
        <v>748.79227053140096</v>
      </c>
      <c r="Z14" s="276">
        <f t="shared" si="28"/>
        <v>0.14492753623188406</v>
      </c>
      <c r="AA14" s="276">
        <f t="shared" si="28"/>
        <v>998.3896940418681</v>
      </c>
      <c r="AB14" s="276">
        <f t="shared" si="28"/>
        <v>0.14492753623188406</v>
      </c>
      <c r="AC14" s="276">
        <f t="shared" si="28"/>
        <v>998.3896940418681</v>
      </c>
      <c r="AD14" s="276">
        <f t="shared" si="28"/>
        <v>0.36231884057971014</v>
      </c>
      <c r="AE14" s="276">
        <f t="shared" si="28"/>
        <v>2495.9742351046698</v>
      </c>
      <c r="AF14" s="276">
        <f t="shared" si="28"/>
        <v>3.6231884057971016E-2</v>
      </c>
      <c r="AG14" s="276">
        <f t="shared" si="28"/>
        <v>249.59742351046702</v>
      </c>
      <c r="AH14" s="276">
        <f t="shared" si="28"/>
        <v>0.21739130434782608</v>
      </c>
      <c r="AI14" s="276">
        <f t="shared" si="28"/>
        <v>1497.5845410628019</v>
      </c>
      <c r="AJ14" s="276">
        <f t="shared" si="28"/>
        <v>3.6231884057971016E-2</v>
      </c>
      <c r="AK14" s="276">
        <f t="shared" si="28"/>
        <v>249.59742351046702</v>
      </c>
      <c r="AL14" s="276">
        <f t="shared" si="28"/>
        <v>1.0869565217391304</v>
      </c>
      <c r="AM14" s="276">
        <f t="shared" si="28"/>
        <v>7487.9227053140103</v>
      </c>
      <c r="AN14" s="276">
        <f t="shared" si="28"/>
        <v>34444.444444444438</v>
      </c>
      <c r="AO14" s="276">
        <f t="shared" si="28"/>
        <v>2755.5555555555557</v>
      </c>
      <c r="AP14" s="276">
        <f t="shared" si="28"/>
        <v>37200</v>
      </c>
      <c r="AQ14" s="276">
        <f t="shared" si="28"/>
        <v>520.79999999999995</v>
      </c>
      <c r="AR14" s="276">
        <f t="shared" si="28"/>
        <v>37720.799999999996</v>
      </c>
      <c r="AS14" s="276">
        <f t="shared" si="28"/>
        <v>5280.9120000000003</v>
      </c>
      <c r="AT14" s="276">
        <f t="shared" si="28"/>
        <v>43001.712</v>
      </c>
      <c r="AU14" s="276"/>
    </row>
    <row r="15" spans="2:47" x14ac:dyDescent="0.35">
      <c r="B15" s="59" t="s">
        <v>475</v>
      </c>
      <c r="F15" s="352">
        <f>'HK Budget (2)'!C14</f>
        <v>0.08</v>
      </c>
      <c r="G15" s="54">
        <f>G14*$F$15</f>
        <v>2755.5555555555557</v>
      </c>
      <c r="I15" s="275">
        <f t="shared" ref="I15:I20" si="29">C15-(L15+N15+P15+R15+T15+V15+X15+Z15+AB15+AD15+AF15+AH15+AJ15+AL15)</f>
        <v>0</v>
      </c>
      <c r="J15" s="275">
        <f t="shared" ref="J15:J20" si="30">G15-(M15+O15+Q15+S15+U15+W15+Y15+AA15+AC15+AE15+AG15+AI15+AK15+AM15)</f>
        <v>0</v>
      </c>
      <c r="M15" s="54">
        <f>M14*$F$15</f>
        <v>464.3574193990475</v>
      </c>
      <c r="O15" s="54">
        <f>O14*$F$15</f>
        <v>234.09051975194438</v>
      </c>
      <c r="Q15" s="54">
        <f>Q14*$F$15</f>
        <v>246.41107342309934</v>
      </c>
      <c r="S15" s="54">
        <f>S14*$F$15</f>
        <v>452.88655908452392</v>
      </c>
      <c r="U15" s="54">
        <f>U14*$F$15</f>
        <v>99.838969404186798</v>
      </c>
      <c r="W15" s="54">
        <f>W14*$F$15</f>
        <v>79.87117552334945</v>
      </c>
      <c r="Y15" s="54">
        <f>Y14*$F$15</f>
        <v>59.90338164251208</v>
      </c>
      <c r="AA15" s="54">
        <f>AA14*$F$15</f>
        <v>79.87117552334945</v>
      </c>
      <c r="AC15" s="54">
        <f>AC14*$F$15</f>
        <v>79.87117552334945</v>
      </c>
      <c r="AE15" s="54">
        <f>AE14*$F$15</f>
        <v>199.6779388083736</v>
      </c>
      <c r="AG15" s="54">
        <f>AG14*$F$15</f>
        <v>19.967793880837363</v>
      </c>
      <c r="AI15" s="54">
        <f>AI14*$F$15</f>
        <v>119.80676328502416</v>
      </c>
      <c r="AK15" s="54">
        <f>AK14*$F$15</f>
        <v>19.967793880837363</v>
      </c>
      <c r="AM15" s="54">
        <f>AM14*$F$15</f>
        <v>599.03381642512079</v>
      </c>
    </row>
    <row r="16" spans="2:47" x14ac:dyDescent="0.35">
      <c r="B16" s="65" t="s">
        <v>240</v>
      </c>
      <c r="F16" s="352"/>
      <c r="G16" s="54">
        <f>G14+G15</f>
        <v>37200</v>
      </c>
      <c r="I16" s="275">
        <f t="shared" si="29"/>
        <v>0</v>
      </c>
      <c r="J16" s="275">
        <f t="shared" si="30"/>
        <v>0</v>
      </c>
      <c r="M16" s="54">
        <f>M14+M15</f>
        <v>6268.8251618871409</v>
      </c>
      <c r="O16" s="54">
        <f>O14+O15</f>
        <v>3160.2220166512489</v>
      </c>
      <c r="Q16" s="54">
        <f>Q14+Q15</f>
        <v>3326.5494912118411</v>
      </c>
      <c r="S16" s="54">
        <f>S14+S15</f>
        <v>6113.9685476410723</v>
      </c>
      <c r="U16" s="54">
        <f>U14+U15</f>
        <v>1347.8260869565217</v>
      </c>
      <c r="W16" s="54">
        <f>W14+W15</f>
        <v>1078.2608695652175</v>
      </c>
      <c r="Y16" s="54">
        <f>Y14+Y15</f>
        <v>808.695652173913</v>
      </c>
      <c r="AA16" s="54">
        <f>AA14+AA15</f>
        <v>1078.2608695652175</v>
      </c>
      <c r="AC16" s="54">
        <f>AC14+AC15</f>
        <v>1078.2608695652175</v>
      </c>
      <c r="AE16" s="54">
        <f>AE14+AE15</f>
        <v>2695.6521739130435</v>
      </c>
      <c r="AG16" s="54">
        <f>AG14+AG15</f>
        <v>269.56521739130437</v>
      </c>
      <c r="AI16" s="54">
        <f>AI14+AI15</f>
        <v>1617.391304347826</v>
      </c>
      <c r="AK16" s="54">
        <f>AK14+AK15</f>
        <v>269.56521739130437</v>
      </c>
      <c r="AM16" s="54">
        <f>AM14+AM15</f>
        <v>8086.9565217391309</v>
      </c>
    </row>
    <row r="17" spans="2:39" x14ac:dyDescent="0.35">
      <c r="B17" s="494" t="s">
        <v>474</v>
      </c>
      <c r="F17" s="352">
        <f>'HK Budget (2)'!C16</f>
        <v>1.4E-2</v>
      </c>
      <c r="G17" s="54">
        <f>G16*$F$17</f>
        <v>520.79999999999995</v>
      </c>
      <c r="I17" s="275">
        <f t="shared" si="29"/>
        <v>0</v>
      </c>
      <c r="J17" s="275">
        <f t="shared" si="30"/>
        <v>0</v>
      </c>
      <c r="M17" s="54">
        <f>M16*$F$17</f>
        <v>87.763552266419978</v>
      </c>
      <c r="O17" s="54">
        <f>O16*$F$17</f>
        <v>44.243108233117482</v>
      </c>
      <c r="Q17" s="54">
        <f>Q16*$F$17</f>
        <v>46.571692876965777</v>
      </c>
      <c r="S17" s="54">
        <f>S16*$F$17</f>
        <v>85.595559666975021</v>
      </c>
      <c r="U17" s="54">
        <f>U16*$F$17</f>
        <v>18.869565217391305</v>
      </c>
      <c r="W17" s="54">
        <f>W16*$F$17</f>
        <v>15.095652173913045</v>
      </c>
      <c r="Y17" s="54">
        <f>Y16*$F$17</f>
        <v>11.321739130434782</v>
      </c>
      <c r="AA17" s="54">
        <f>AA16*$F$17</f>
        <v>15.095652173913045</v>
      </c>
      <c r="AC17" s="54">
        <f>AC16*$F$17</f>
        <v>15.095652173913045</v>
      </c>
      <c r="AE17" s="54">
        <f>AE16*$F$17</f>
        <v>37.739130434782609</v>
      </c>
      <c r="AG17" s="54">
        <f>AG16*$F$17</f>
        <v>3.7739130434782613</v>
      </c>
      <c r="AI17" s="54">
        <f>AI16*$F$17</f>
        <v>22.643478260869564</v>
      </c>
      <c r="AK17" s="54">
        <f>AK16*$F$17</f>
        <v>3.7739130434782613</v>
      </c>
      <c r="AM17" s="54">
        <f>AM16*$F$17</f>
        <v>113.21739130434784</v>
      </c>
    </row>
    <row r="18" spans="2:39" x14ac:dyDescent="0.35">
      <c r="B18" s="70" t="s">
        <v>449</v>
      </c>
      <c r="G18" s="54">
        <f>G16+G17</f>
        <v>37720.800000000003</v>
      </c>
      <c r="I18" s="275">
        <f t="shared" si="29"/>
        <v>0</v>
      </c>
      <c r="J18" s="275">
        <f t="shared" si="30"/>
        <v>0</v>
      </c>
      <c r="M18" s="54">
        <f>M16+M17</f>
        <v>6356.5887141535604</v>
      </c>
      <c r="O18" s="54">
        <f>O16+O17</f>
        <v>3204.4651248843666</v>
      </c>
      <c r="Q18" s="54">
        <f>Q16+Q17</f>
        <v>3373.1211840888068</v>
      </c>
      <c r="S18" s="54">
        <f>S16+S17</f>
        <v>6199.5641073080469</v>
      </c>
      <c r="U18" s="54">
        <f>U16+U17</f>
        <v>1366.695652173913</v>
      </c>
      <c r="W18" s="54">
        <f>W16+W17</f>
        <v>1093.3565217391306</v>
      </c>
      <c r="Y18" s="54">
        <f>Y16+Y17</f>
        <v>820.01739130434783</v>
      </c>
      <c r="AA18" s="54">
        <f>AA16+AA17</f>
        <v>1093.3565217391306</v>
      </c>
      <c r="AC18" s="54">
        <f>AC16+AC17</f>
        <v>1093.3565217391306</v>
      </c>
      <c r="AE18" s="54">
        <f>AE16+AE17</f>
        <v>2733.391304347826</v>
      </c>
      <c r="AG18" s="54">
        <f>AG16+AG17</f>
        <v>273.33913043478265</v>
      </c>
      <c r="AI18" s="54">
        <f>AI16+AI17</f>
        <v>1640.0347826086957</v>
      </c>
      <c r="AK18" s="54">
        <f>AK16+AK17</f>
        <v>273.33913043478265</v>
      </c>
      <c r="AM18" s="54">
        <f>AM16+AM17</f>
        <v>8200.173913043478</v>
      </c>
    </row>
    <row r="19" spans="2:39" x14ac:dyDescent="0.35">
      <c r="B19" s="355" t="s">
        <v>463</v>
      </c>
      <c r="F19" s="352">
        <v>0.14000000000000001</v>
      </c>
      <c r="G19" s="54">
        <f>G18*$F$19</f>
        <v>5280.9120000000012</v>
      </c>
      <c r="I19" s="275">
        <f t="shared" si="29"/>
        <v>0</v>
      </c>
      <c r="J19" s="275">
        <f t="shared" si="30"/>
        <v>0</v>
      </c>
      <c r="M19" s="54">
        <f>M18*$F$19</f>
        <v>889.92241998149859</v>
      </c>
      <c r="O19" s="54">
        <f>O18*$F$19</f>
        <v>448.62511748381138</v>
      </c>
      <c r="Q19" s="54">
        <f>Q18*$F$19</f>
        <v>472.236965772433</v>
      </c>
      <c r="S19" s="54">
        <f>S18*$F$19</f>
        <v>867.93897502312666</v>
      </c>
      <c r="U19" s="54">
        <f>U18*$F$19</f>
        <v>191.33739130434785</v>
      </c>
      <c r="W19" s="54">
        <f>W18*$F$19</f>
        <v>153.06991304347829</v>
      </c>
      <c r="Y19" s="54">
        <f>Y18*$F$19</f>
        <v>114.8024347826087</v>
      </c>
      <c r="AA19" s="54">
        <f>AA18*$F$19</f>
        <v>153.06991304347829</v>
      </c>
      <c r="AC19" s="54">
        <f>AC18*$F$19</f>
        <v>153.06991304347829</v>
      </c>
      <c r="AE19" s="54">
        <f>AE18*$F$19</f>
        <v>382.67478260869569</v>
      </c>
      <c r="AG19" s="54">
        <f>AG18*$F$19</f>
        <v>38.267478260869574</v>
      </c>
      <c r="AI19" s="54">
        <f>AI18*$F$19</f>
        <v>229.6048695652174</v>
      </c>
      <c r="AK19" s="54">
        <f>AK18*$F$19</f>
        <v>38.267478260869574</v>
      </c>
      <c r="AM19" s="54">
        <f>AM18*$F$19</f>
        <v>1148.024347826087</v>
      </c>
    </row>
    <row r="20" spans="2:39" x14ac:dyDescent="0.35">
      <c r="B20" s="355" t="s">
        <v>464</v>
      </c>
      <c r="G20" s="54">
        <f>G18+G19</f>
        <v>43001.712000000007</v>
      </c>
      <c r="I20" s="275">
        <f t="shared" si="29"/>
        <v>0</v>
      </c>
      <c r="J20" s="275">
        <f t="shared" si="30"/>
        <v>0</v>
      </c>
      <c r="M20" s="54">
        <f>M18+M19</f>
        <v>7246.5111341350594</v>
      </c>
      <c r="O20" s="54">
        <f>O18+O19</f>
        <v>3653.0902423681778</v>
      </c>
      <c r="Q20" s="54">
        <f>Q18+Q19</f>
        <v>3845.3581498612398</v>
      </c>
      <c r="S20" s="54">
        <f>S18+S19</f>
        <v>7067.5030823311736</v>
      </c>
      <c r="U20" s="54">
        <f>U18+U19</f>
        <v>1558.0330434782609</v>
      </c>
      <c r="W20" s="54">
        <f>W18+W19</f>
        <v>1246.4264347826088</v>
      </c>
      <c r="Y20" s="54">
        <f>Y18+Y19</f>
        <v>934.81982608695648</v>
      </c>
      <c r="AA20" s="54">
        <f>AA18+AA19</f>
        <v>1246.4264347826088</v>
      </c>
      <c r="AC20" s="54">
        <f>AC18+AC19</f>
        <v>1246.4264347826088</v>
      </c>
      <c r="AE20" s="54">
        <f>AE18+AE19</f>
        <v>3116.0660869565218</v>
      </c>
      <c r="AG20" s="54">
        <f>AG18+AG19</f>
        <v>311.6066086956522</v>
      </c>
      <c r="AI20" s="54">
        <f>AI18+AI19</f>
        <v>1869.639652173913</v>
      </c>
      <c r="AK20" s="54">
        <f>AK18+AK19</f>
        <v>311.6066086956522</v>
      </c>
      <c r="AM20" s="54">
        <f>AM18+AM19</f>
        <v>9348.1982608695653</v>
      </c>
    </row>
  </sheetData>
  <mergeCells count="14">
    <mergeCell ref="AJ4:AK4"/>
    <mergeCell ref="AL4:AM4"/>
    <mergeCell ref="X4:Y4"/>
    <mergeCell ref="Z4:AA4"/>
    <mergeCell ref="AB4:AC4"/>
    <mergeCell ref="AD4:AE4"/>
    <mergeCell ref="AF4:AG4"/>
    <mergeCell ref="AH4:AI4"/>
    <mergeCell ref="V4:W4"/>
    <mergeCell ref="L4:M4"/>
    <mergeCell ref="N4:O4"/>
    <mergeCell ref="P4:Q4"/>
    <mergeCell ref="R4:S4"/>
    <mergeCell ref="T4:U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C01F-589C-4F8E-B86E-D25D08F82CD3}">
  <dimension ref="B1:T72"/>
  <sheetViews>
    <sheetView topLeftCell="A4" workbookViewId="0">
      <selection activeCell="D22" sqref="D22"/>
    </sheetView>
  </sheetViews>
  <sheetFormatPr defaultColWidth="8.90625" defaultRowHeight="14.5" x14ac:dyDescent="0.35"/>
  <cols>
    <col min="1" max="3" width="8.90625" style="17"/>
    <col min="4" max="4" width="47.08984375" style="85" customWidth="1"/>
    <col min="5" max="5" width="12.08984375" style="17" customWidth="1"/>
    <col min="6" max="6" width="14.36328125" style="17" customWidth="1"/>
    <col min="7" max="7" width="8.90625" style="17"/>
    <col min="8" max="8" width="18.36328125" style="17" customWidth="1"/>
    <col min="9" max="9" width="19.81640625" style="17" customWidth="1"/>
    <col min="10" max="10" width="14.453125" style="17" customWidth="1"/>
    <col min="11" max="11" width="16.54296875" style="17" customWidth="1"/>
    <col min="12" max="12" width="17.08984375" style="17" customWidth="1"/>
    <col min="13" max="13" width="14.1796875" style="17" customWidth="1"/>
    <col min="14" max="14" width="17.453125" style="17" customWidth="1"/>
    <col min="15" max="15" width="18.81640625" style="17" customWidth="1"/>
    <col min="16" max="16" width="12.1796875" style="17" customWidth="1"/>
    <col min="17" max="17" width="13.1796875" style="17" customWidth="1"/>
    <col min="18" max="18" width="8.90625" style="17"/>
    <col min="19" max="19" width="16.1796875" style="17" customWidth="1"/>
    <col min="20" max="20" width="9.81640625" style="17" customWidth="1"/>
    <col min="21" max="16384" width="8.90625" style="17"/>
  </cols>
  <sheetData>
    <row r="1" spans="3:20" ht="15" thickBot="1" x14ac:dyDescent="0.4"/>
    <row r="2" spans="3:20" ht="15" customHeight="1" thickBot="1" x14ac:dyDescent="0.4">
      <c r="C2" s="290" t="s">
        <v>305</v>
      </c>
      <c r="D2" s="227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9"/>
    </row>
    <row r="3" spans="3:20" ht="15" thickBot="1" x14ac:dyDescent="0.4">
      <c r="C3" s="600" t="s">
        <v>12</v>
      </c>
      <c r="D3" s="601"/>
      <c r="F3" s="111">
        <v>1</v>
      </c>
      <c r="G3" s="121">
        <v>2</v>
      </c>
      <c r="H3" s="121">
        <v>3</v>
      </c>
      <c r="I3" s="121">
        <v>4</v>
      </c>
      <c r="J3" s="111">
        <v>5</v>
      </c>
      <c r="K3" s="121">
        <v>6</v>
      </c>
      <c r="L3" s="121">
        <v>7</v>
      </c>
      <c r="M3" s="121">
        <v>8</v>
      </c>
      <c r="N3" s="121">
        <v>9</v>
      </c>
      <c r="O3" s="121">
        <v>10</v>
      </c>
      <c r="P3" s="121">
        <v>12</v>
      </c>
      <c r="Q3" s="121">
        <v>13</v>
      </c>
      <c r="R3" s="121">
        <v>14</v>
      </c>
      <c r="S3" s="121">
        <v>11</v>
      </c>
      <c r="T3" s="283" t="s">
        <v>240</v>
      </c>
    </row>
    <row r="4" spans="3:20" ht="52.5" thickBot="1" x14ac:dyDescent="0.4">
      <c r="C4" s="636" t="s">
        <v>306</v>
      </c>
      <c r="D4" s="637"/>
      <c r="F4" s="112" t="s">
        <v>145</v>
      </c>
      <c r="G4" s="122" t="s">
        <v>146</v>
      </c>
      <c r="H4" s="122" t="s">
        <v>147</v>
      </c>
      <c r="I4" s="122" t="s">
        <v>148</v>
      </c>
      <c r="J4" s="122" t="s">
        <v>149</v>
      </c>
      <c r="K4" s="122" t="s">
        <v>150</v>
      </c>
      <c r="L4" s="122" t="s">
        <v>151</v>
      </c>
      <c r="M4" s="122" t="s">
        <v>152</v>
      </c>
      <c r="N4" s="122" t="s">
        <v>153</v>
      </c>
      <c r="O4" s="122" t="s">
        <v>154</v>
      </c>
      <c r="P4" s="122" t="s">
        <v>155</v>
      </c>
      <c r="Q4" s="122" t="s">
        <v>156</v>
      </c>
      <c r="R4" s="122" t="s">
        <v>157</v>
      </c>
      <c r="S4" s="122" t="s">
        <v>339</v>
      </c>
      <c r="T4" s="284"/>
    </row>
    <row r="5" spans="3:20" ht="15" thickBot="1" x14ac:dyDescent="0.4">
      <c r="C5" s="634"/>
      <c r="D5" s="207" t="s">
        <v>196</v>
      </c>
      <c r="E5" s="245">
        <f>SUM(F5:S5)</f>
        <v>8</v>
      </c>
      <c r="F5" s="117">
        <v>1</v>
      </c>
      <c r="G5" s="126">
        <v>1</v>
      </c>
      <c r="H5" s="126">
        <v>1</v>
      </c>
      <c r="I5" s="126">
        <v>1</v>
      </c>
      <c r="J5" s="126"/>
      <c r="K5" s="126"/>
      <c r="L5" s="126"/>
      <c r="M5" s="126"/>
      <c r="N5" s="126"/>
      <c r="O5" s="126">
        <v>1</v>
      </c>
      <c r="P5" s="124"/>
      <c r="Q5" s="154"/>
      <c r="R5" s="154"/>
      <c r="S5" s="126">
        <v>3</v>
      </c>
      <c r="T5" s="140">
        <f t="shared" ref="T5:T20" si="0">SUM(F5:S5)</f>
        <v>8</v>
      </c>
    </row>
    <row r="6" spans="3:20" ht="15" thickBot="1" x14ac:dyDescent="0.4">
      <c r="C6" s="634"/>
      <c r="D6" s="207" t="s">
        <v>51</v>
      </c>
      <c r="E6" s="245">
        <f t="shared" ref="E6:E20" si="1">SUM(F6:S6)</f>
        <v>0</v>
      </c>
      <c r="F6" s="117"/>
      <c r="G6" s="126"/>
      <c r="H6" s="126"/>
      <c r="I6" s="130"/>
      <c r="J6" s="126"/>
      <c r="K6" s="125"/>
      <c r="L6" s="130"/>
      <c r="M6" s="125"/>
      <c r="N6" s="130"/>
      <c r="O6" s="126"/>
      <c r="P6" s="124"/>
      <c r="Q6" s="154"/>
      <c r="R6" s="154"/>
      <c r="S6" s="126"/>
      <c r="T6" s="140">
        <f t="shared" si="0"/>
        <v>0</v>
      </c>
    </row>
    <row r="7" spans="3:20" ht="15" thickBot="1" x14ac:dyDescent="0.4">
      <c r="C7" s="634"/>
      <c r="D7" s="207" t="s">
        <v>197</v>
      </c>
      <c r="E7" s="245">
        <f t="shared" si="1"/>
        <v>8</v>
      </c>
      <c r="F7" s="117">
        <v>1</v>
      </c>
      <c r="G7" s="126">
        <v>1</v>
      </c>
      <c r="H7" s="126">
        <v>1</v>
      </c>
      <c r="I7" s="126">
        <v>1</v>
      </c>
      <c r="J7" s="128">
        <v>1</v>
      </c>
      <c r="K7" s="117"/>
      <c r="L7" s="117"/>
      <c r="M7" s="117"/>
      <c r="N7" s="118"/>
      <c r="O7" s="126">
        <v>1</v>
      </c>
      <c r="P7" s="124"/>
      <c r="Q7" s="154"/>
      <c r="R7" s="154"/>
      <c r="S7" s="126">
        <v>2</v>
      </c>
      <c r="T7" s="140">
        <f t="shared" si="0"/>
        <v>8</v>
      </c>
    </row>
    <row r="8" spans="3:20" ht="15" thickBot="1" x14ac:dyDescent="0.4">
      <c r="C8" s="634"/>
      <c r="D8" s="208" t="s">
        <v>318</v>
      </c>
      <c r="E8" s="245">
        <f t="shared" si="1"/>
        <v>1</v>
      </c>
      <c r="F8" s="118"/>
      <c r="G8" s="126"/>
      <c r="H8" s="126"/>
      <c r="I8" s="126"/>
      <c r="J8" s="126"/>
      <c r="K8" s="126"/>
      <c r="L8" s="126"/>
      <c r="M8" s="126"/>
      <c r="N8" s="126"/>
      <c r="O8" s="126"/>
      <c r="P8" s="124"/>
      <c r="Q8" s="124"/>
      <c r="R8" s="124"/>
      <c r="S8" s="126">
        <v>1</v>
      </c>
      <c r="T8" s="140">
        <f t="shared" si="0"/>
        <v>1</v>
      </c>
    </row>
    <row r="9" spans="3:20" ht="15" thickBot="1" x14ac:dyDescent="0.4">
      <c r="C9" s="634"/>
      <c r="D9" s="208" t="s">
        <v>319</v>
      </c>
      <c r="E9" s="245">
        <f t="shared" si="1"/>
        <v>28</v>
      </c>
      <c r="F9" s="119">
        <v>10</v>
      </c>
      <c r="G9" s="127">
        <v>4</v>
      </c>
      <c r="H9" s="127">
        <v>4</v>
      </c>
      <c r="I9" s="127">
        <v>7</v>
      </c>
      <c r="J9" s="126"/>
      <c r="K9" s="126"/>
      <c r="L9" s="126"/>
      <c r="M9" s="126"/>
      <c r="N9" s="126"/>
      <c r="O9" s="126"/>
      <c r="P9" s="124"/>
      <c r="Q9" s="154"/>
      <c r="R9" s="154"/>
      <c r="S9" s="126">
        <v>3</v>
      </c>
      <c r="T9" s="140">
        <f t="shared" si="0"/>
        <v>28</v>
      </c>
    </row>
    <row r="10" spans="3:20" ht="15" thickBot="1" x14ac:dyDescent="0.4">
      <c r="C10" s="634"/>
      <c r="D10" s="208" t="s">
        <v>198</v>
      </c>
      <c r="E10" s="245">
        <f t="shared" si="1"/>
        <v>12</v>
      </c>
      <c r="F10" s="118">
        <v>1</v>
      </c>
      <c r="G10" s="126">
        <v>1</v>
      </c>
      <c r="H10" s="126">
        <v>1</v>
      </c>
      <c r="I10" s="126">
        <v>1</v>
      </c>
      <c r="J10" s="126">
        <v>1</v>
      </c>
      <c r="K10" s="126">
        <v>1</v>
      </c>
      <c r="L10" s="126">
        <v>1</v>
      </c>
      <c r="M10" s="126">
        <v>1</v>
      </c>
      <c r="N10" s="126"/>
      <c r="O10" s="126">
        <v>1</v>
      </c>
      <c r="P10" s="124">
        <v>1</v>
      </c>
      <c r="Q10" s="154"/>
      <c r="R10" s="154"/>
      <c r="S10" s="126">
        <v>2</v>
      </c>
      <c r="T10" s="140">
        <f t="shared" si="0"/>
        <v>12</v>
      </c>
    </row>
    <row r="11" spans="3:20" ht="15" thickBot="1" x14ac:dyDescent="0.4">
      <c r="C11" s="634"/>
      <c r="D11" s="208" t="s">
        <v>199</v>
      </c>
      <c r="E11" s="245">
        <f t="shared" si="1"/>
        <v>17</v>
      </c>
      <c r="F11" s="118">
        <v>2</v>
      </c>
      <c r="G11" s="126">
        <v>1</v>
      </c>
      <c r="H11" s="126">
        <v>2</v>
      </c>
      <c r="I11" s="126">
        <v>2</v>
      </c>
      <c r="J11" s="126">
        <v>1</v>
      </c>
      <c r="K11" s="126">
        <v>1</v>
      </c>
      <c r="L11" s="126">
        <v>1</v>
      </c>
      <c r="M11" s="126">
        <v>1</v>
      </c>
      <c r="N11" s="126">
        <v>1</v>
      </c>
      <c r="O11" s="126">
        <v>1</v>
      </c>
      <c r="P11" s="124">
        <v>1</v>
      </c>
      <c r="Q11" s="154"/>
      <c r="R11" s="154"/>
      <c r="S11" s="126">
        <v>3</v>
      </c>
      <c r="T11" s="140">
        <f t="shared" si="0"/>
        <v>17</v>
      </c>
    </row>
    <row r="12" spans="3:20" ht="15" thickBot="1" x14ac:dyDescent="0.4">
      <c r="C12" s="634"/>
      <c r="D12" s="208" t="s">
        <v>52</v>
      </c>
      <c r="E12" s="245">
        <f t="shared" si="1"/>
        <v>33</v>
      </c>
      <c r="F12" s="117">
        <v>2</v>
      </c>
      <c r="G12" s="128">
        <v>2</v>
      </c>
      <c r="H12" s="128">
        <v>2</v>
      </c>
      <c r="I12" s="128">
        <v>2</v>
      </c>
      <c r="J12" s="128">
        <v>2</v>
      </c>
      <c r="K12" s="128">
        <v>2</v>
      </c>
      <c r="L12" s="128">
        <v>2</v>
      </c>
      <c r="M12" s="128">
        <v>2</v>
      </c>
      <c r="N12" s="128">
        <v>2</v>
      </c>
      <c r="O12" s="128">
        <v>4</v>
      </c>
      <c r="P12" s="128">
        <v>1</v>
      </c>
      <c r="Q12" s="128"/>
      <c r="R12" s="128"/>
      <c r="S12" s="126">
        <v>10</v>
      </c>
      <c r="T12" s="140">
        <f t="shared" si="0"/>
        <v>33</v>
      </c>
    </row>
    <row r="13" spans="3:20" ht="15" thickBot="1" x14ac:dyDescent="0.4">
      <c r="C13" s="634"/>
      <c r="D13" s="208" t="s">
        <v>53</v>
      </c>
      <c r="E13" s="245">
        <f t="shared" si="1"/>
        <v>15</v>
      </c>
      <c r="F13" s="117">
        <v>2</v>
      </c>
      <c r="G13" s="128">
        <v>1</v>
      </c>
      <c r="H13" s="128">
        <v>1</v>
      </c>
      <c r="I13" s="128">
        <v>1</v>
      </c>
      <c r="J13" s="128">
        <v>1</v>
      </c>
      <c r="K13" s="128">
        <v>1</v>
      </c>
      <c r="L13" s="128">
        <v>1</v>
      </c>
      <c r="M13" s="128">
        <v>1</v>
      </c>
      <c r="N13" s="128">
        <v>1</v>
      </c>
      <c r="O13" s="126">
        <v>1</v>
      </c>
      <c r="P13" s="124">
        <v>1</v>
      </c>
      <c r="Q13" s="154"/>
      <c r="R13" s="154"/>
      <c r="S13" s="126">
        <v>3</v>
      </c>
      <c r="T13" s="140">
        <f t="shared" si="0"/>
        <v>15</v>
      </c>
    </row>
    <row r="14" spans="3:20" ht="15" thickBot="1" x14ac:dyDescent="0.4">
      <c r="C14" s="634"/>
      <c r="D14" s="208" t="s">
        <v>54</v>
      </c>
      <c r="E14" s="245">
        <f t="shared" si="1"/>
        <v>35</v>
      </c>
      <c r="F14" s="117">
        <v>10</v>
      </c>
      <c r="G14" s="126">
        <v>6</v>
      </c>
      <c r="H14" s="126">
        <v>3</v>
      </c>
      <c r="I14" s="126">
        <v>6</v>
      </c>
      <c r="J14" s="126"/>
      <c r="K14" s="126"/>
      <c r="L14" s="126"/>
      <c r="M14" s="126"/>
      <c r="N14" s="126"/>
      <c r="O14" s="126"/>
      <c r="P14" s="124"/>
      <c r="Q14" s="154"/>
      <c r="R14" s="154"/>
      <c r="S14" s="126">
        <v>10</v>
      </c>
      <c r="T14" s="140">
        <f t="shared" si="0"/>
        <v>35</v>
      </c>
    </row>
    <row r="15" spans="3:20" ht="15" thickBot="1" x14ac:dyDescent="0.4">
      <c r="C15" s="634"/>
      <c r="D15" s="208" t="s">
        <v>320</v>
      </c>
      <c r="E15" s="245">
        <f t="shared" si="1"/>
        <v>69</v>
      </c>
      <c r="F15" s="120">
        <v>26</v>
      </c>
      <c r="G15" s="129">
        <v>9</v>
      </c>
      <c r="H15" s="129">
        <v>7</v>
      </c>
      <c r="I15" s="129">
        <v>14</v>
      </c>
      <c r="J15" s="131"/>
      <c r="K15" s="131"/>
      <c r="L15" s="131"/>
      <c r="M15" s="131"/>
      <c r="N15" s="131"/>
      <c r="O15" s="131"/>
      <c r="P15" s="131"/>
      <c r="Q15" s="131"/>
      <c r="R15" s="131"/>
      <c r="S15" s="139">
        <v>13</v>
      </c>
      <c r="T15" s="140">
        <f t="shared" si="0"/>
        <v>69</v>
      </c>
    </row>
    <row r="16" spans="3:20" ht="15" thickBot="1" x14ac:dyDescent="0.4">
      <c r="C16" s="634"/>
      <c r="D16" s="207" t="s">
        <v>200</v>
      </c>
      <c r="E16" s="245">
        <f t="shared" si="1"/>
        <v>2.0000000000000004</v>
      </c>
      <c r="F16" s="218">
        <f>2*Maning!D21</f>
        <v>0.3370336108541474</v>
      </c>
      <c r="G16" s="216">
        <f>2*Maning!D22</f>
        <v>0.16990440949737898</v>
      </c>
      <c r="H16" s="216">
        <f>2*Maning!D23</f>
        <v>0.17884674683934629</v>
      </c>
      <c r="I16" s="216">
        <f>2*Maning!D24</f>
        <v>0.32870798643231575</v>
      </c>
      <c r="J16" s="216">
        <f>2*Maning!D25</f>
        <v>7.2463768115942032E-2</v>
      </c>
      <c r="K16" s="216">
        <f>2*Maning!D26</f>
        <v>5.7971014492753624E-2</v>
      </c>
      <c r="L16" s="216">
        <f>2*Maning!D27</f>
        <v>4.3478260869565216E-2</v>
      </c>
      <c r="M16" s="216">
        <f>2*Maning!D28</f>
        <v>5.7971014492753624E-2</v>
      </c>
      <c r="N16" s="216">
        <f>2*Maning!D29</f>
        <v>5.7971014492753624E-2</v>
      </c>
      <c r="O16" s="216">
        <f>2*Maning!D30</f>
        <v>0.14492753623188406</v>
      </c>
      <c r="P16" s="216">
        <f>2*Maning!D31</f>
        <v>1.4492753623188406E-2</v>
      </c>
      <c r="Q16" s="216">
        <f>2*Maning!D32</f>
        <v>8.6956521739130432E-2</v>
      </c>
      <c r="R16" s="216">
        <f>2*Maning!D33</f>
        <v>1.4492753623188406E-2</v>
      </c>
      <c r="S16" s="217">
        <f>2*Maning!D34</f>
        <v>0.43478260869565216</v>
      </c>
      <c r="T16" s="140">
        <f t="shared" si="0"/>
        <v>2.0000000000000004</v>
      </c>
    </row>
    <row r="17" spans="2:20" ht="15" thickBot="1" x14ac:dyDescent="0.4">
      <c r="C17" s="634"/>
      <c r="D17" s="207" t="s">
        <v>321</v>
      </c>
      <c r="E17" s="245">
        <f t="shared" si="1"/>
        <v>2.0000000000000004</v>
      </c>
      <c r="F17" s="218">
        <f>2*Maning!D21</f>
        <v>0.3370336108541474</v>
      </c>
      <c r="G17" s="216">
        <f>2*Maning!D22</f>
        <v>0.16990440949737898</v>
      </c>
      <c r="H17" s="216">
        <f>2*Maning!D23</f>
        <v>0.17884674683934629</v>
      </c>
      <c r="I17" s="216">
        <f>2*Maning!D24</f>
        <v>0.32870798643231575</v>
      </c>
      <c r="J17" s="216">
        <f>2*Maning!D25</f>
        <v>7.2463768115942032E-2</v>
      </c>
      <c r="K17" s="216">
        <f>2*Maning!D26</f>
        <v>5.7971014492753624E-2</v>
      </c>
      <c r="L17" s="216">
        <f>2*Maning!D27</f>
        <v>4.3478260869565216E-2</v>
      </c>
      <c r="M17" s="216">
        <f>2*Maning!D28</f>
        <v>5.7971014492753624E-2</v>
      </c>
      <c r="N17" s="216">
        <f>2*Maning!D29</f>
        <v>5.7971014492753624E-2</v>
      </c>
      <c r="O17" s="216">
        <f>2*Maning!D30</f>
        <v>0.14492753623188406</v>
      </c>
      <c r="P17" s="216">
        <f>2*Maning!D31</f>
        <v>1.4492753623188406E-2</v>
      </c>
      <c r="Q17" s="216">
        <f>2*Maning!D32</f>
        <v>8.6956521739130432E-2</v>
      </c>
      <c r="R17" s="216">
        <f>2*Maning!D33</f>
        <v>1.4492753623188406E-2</v>
      </c>
      <c r="S17" s="217">
        <f>2*Maning!D34</f>
        <v>0.43478260869565216</v>
      </c>
      <c r="T17" s="140">
        <f t="shared" si="0"/>
        <v>2.0000000000000004</v>
      </c>
    </row>
    <row r="18" spans="2:20" ht="15" thickBot="1" x14ac:dyDescent="0.4">
      <c r="C18" s="635"/>
      <c r="D18" s="208" t="s">
        <v>322</v>
      </c>
      <c r="E18" s="245">
        <f t="shared" si="1"/>
        <v>2.0000000000000004</v>
      </c>
      <c r="F18" s="218">
        <f>2*Maning!D21</f>
        <v>0.3370336108541474</v>
      </c>
      <c r="G18" s="216">
        <f>2*Maning!D22</f>
        <v>0.16990440949737898</v>
      </c>
      <c r="H18" s="216">
        <f>2*Maning!D23</f>
        <v>0.17884674683934629</v>
      </c>
      <c r="I18" s="216">
        <f>2*Maning!D24</f>
        <v>0.32870798643231575</v>
      </c>
      <c r="J18" s="216">
        <f>2*Maning!D25</f>
        <v>7.2463768115942032E-2</v>
      </c>
      <c r="K18" s="216">
        <f>2*Maning!D26</f>
        <v>5.7971014492753624E-2</v>
      </c>
      <c r="L18" s="216">
        <f>2*Maning!D27</f>
        <v>4.3478260869565216E-2</v>
      </c>
      <c r="M18" s="216">
        <f>2*Maning!D28</f>
        <v>5.7971014492753624E-2</v>
      </c>
      <c r="N18" s="216">
        <f>2*Maning!D29</f>
        <v>5.7971014492753624E-2</v>
      </c>
      <c r="O18" s="216">
        <f>2*Maning!D30</f>
        <v>0.14492753623188406</v>
      </c>
      <c r="P18" s="216">
        <f>2*Maning!D31</f>
        <v>1.4492753623188406E-2</v>
      </c>
      <c r="Q18" s="216">
        <f>2*Maning!D32</f>
        <v>8.6956521739130432E-2</v>
      </c>
      <c r="R18" s="216">
        <f>2*Maning!D33</f>
        <v>1.4492753623188406E-2</v>
      </c>
      <c r="S18" s="217">
        <f>2*Maning!D34</f>
        <v>0.43478260869565216</v>
      </c>
      <c r="T18" s="140">
        <f t="shared" si="0"/>
        <v>2.0000000000000004</v>
      </c>
    </row>
    <row r="19" spans="2:20" ht="15" customHeight="1" thickBot="1" x14ac:dyDescent="0.4">
      <c r="C19" s="291" t="s">
        <v>313</v>
      </c>
      <c r="D19" s="292" t="s">
        <v>313</v>
      </c>
      <c r="E19" s="245">
        <f t="shared" si="1"/>
        <v>0</v>
      </c>
      <c r="F19" s="216" t="s">
        <v>326</v>
      </c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7"/>
      <c r="T19" s="140">
        <f t="shared" si="0"/>
        <v>0</v>
      </c>
    </row>
    <row r="20" spans="2:20" ht="15" thickBot="1" x14ac:dyDescent="0.4">
      <c r="C20" s="108" t="s">
        <v>314</v>
      </c>
      <c r="D20" s="208" t="s">
        <v>323</v>
      </c>
      <c r="E20" s="245">
        <f t="shared" si="1"/>
        <v>2.0000000000000004</v>
      </c>
      <c r="F20" s="216">
        <f>2*Maning!D21</f>
        <v>0.3370336108541474</v>
      </c>
      <c r="G20" s="216">
        <f>2*Maning!D22</f>
        <v>0.16990440949737898</v>
      </c>
      <c r="H20" s="216">
        <f>2*Maning!D23</f>
        <v>0.17884674683934629</v>
      </c>
      <c r="I20" s="216">
        <f>2*Maning!D24</f>
        <v>0.32870798643231575</v>
      </c>
      <c r="J20" s="216">
        <f>2*Maning!D25</f>
        <v>7.2463768115942032E-2</v>
      </c>
      <c r="K20" s="216">
        <f>2*Maning!D26</f>
        <v>5.7971014492753624E-2</v>
      </c>
      <c r="L20" s="216">
        <f>2*Maning!D27</f>
        <v>4.3478260869565216E-2</v>
      </c>
      <c r="M20" s="216">
        <f>2*Maning!D28</f>
        <v>5.7971014492753624E-2</v>
      </c>
      <c r="N20" s="216">
        <f>2*Maning!D29</f>
        <v>5.7971014492753624E-2</v>
      </c>
      <c r="O20" s="216">
        <f>2*Maning!D30</f>
        <v>0.14492753623188406</v>
      </c>
      <c r="P20" s="216">
        <f>2*Maning!D31</f>
        <v>1.4492753623188406E-2</v>
      </c>
      <c r="Q20" s="216">
        <f>2*Maning!D32</f>
        <v>8.6956521739130432E-2</v>
      </c>
      <c r="R20" s="216">
        <f>2*Maning!D33</f>
        <v>1.4492753623188406E-2</v>
      </c>
      <c r="S20" s="217">
        <f>2*Maning!D34</f>
        <v>0.43478260869565216</v>
      </c>
      <c r="T20" s="140">
        <f t="shared" si="0"/>
        <v>2.0000000000000004</v>
      </c>
    </row>
    <row r="21" spans="2:20" x14ac:dyDescent="0.35">
      <c r="J21" s="17" t="s">
        <v>454</v>
      </c>
    </row>
    <row r="29" spans="2:20" ht="15" thickBot="1" x14ac:dyDescent="0.4"/>
    <row r="30" spans="2:20" x14ac:dyDescent="0.35">
      <c r="B30" s="596" t="s">
        <v>305</v>
      </c>
      <c r="C30" s="600" t="s">
        <v>12</v>
      </c>
      <c r="D30" s="602" t="s">
        <v>306</v>
      </c>
      <c r="E30" s="634"/>
      <c r="F30" s="634"/>
      <c r="G30" s="634"/>
      <c r="H30" s="634"/>
      <c r="I30" s="634"/>
      <c r="J30" s="634"/>
      <c r="K30" s="634"/>
      <c r="L30" s="634"/>
      <c r="M30" s="634"/>
      <c r="N30" s="634"/>
      <c r="O30" s="634"/>
      <c r="P30" s="634"/>
      <c r="Q30" s="634"/>
      <c r="R30" s="635"/>
      <c r="S30" s="594" t="s">
        <v>313</v>
      </c>
      <c r="T30" s="108" t="s">
        <v>314</v>
      </c>
    </row>
    <row r="31" spans="2:20" ht="52.5" thickBot="1" x14ac:dyDescent="0.4">
      <c r="B31" s="597"/>
      <c r="C31" s="601"/>
      <c r="D31" s="603"/>
      <c r="E31" s="110" t="s">
        <v>196</v>
      </c>
      <c r="F31" s="110" t="s">
        <v>51</v>
      </c>
      <c r="G31" s="110" t="s">
        <v>197</v>
      </c>
      <c r="H31" s="109" t="s">
        <v>318</v>
      </c>
      <c r="I31" s="109" t="s">
        <v>319</v>
      </c>
      <c r="J31" s="109" t="s">
        <v>198</v>
      </c>
      <c r="K31" s="109" t="s">
        <v>199</v>
      </c>
      <c r="L31" s="109" t="s">
        <v>52</v>
      </c>
      <c r="M31" s="109" t="s">
        <v>53</v>
      </c>
      <c r="N31" s="109" t="s">
        <v>54</v>
      </c>
      <c r="O31" s="109" t="s">
        <v>320</v>
      </c>
      <c r="P31" s="109" t="s">
        <v>200</v>
      </c>
      <c r="Q31" s="109" t="s">
        <v>321</v>
      </c>
      <c r="R31" s="109" t="s">
        <v>322</v>
      </c>
      <c r="S31" s="595"/>
      <c r="T31" s="109" t="s">
        <v>323</v>
      </c>
    </row>
    <row r="32" spans="2:20" x14ac:dyDescent="0.35">
      <c r="B32" s="598"/>
      <c r="C32" s="111">
        <v>1</v>
      </c>
      <c r="D32" s="210" t="s">
        <v>145</v>
      </c>
      <c r="E32" s="117">
        <v>1</v>
      </c>
      <c r="F32" s="117"/>
      <c r="G32" s="117">
        <v>1</v>
      </c>
      <c r="H32" s="118"/>
      <c r="I32" s="119">
        <v>10</v>
      </c>
      <c r="J32" s="118">
        <v>1</v>
      </c>
      <c r="K32" s="118">
        <v>2</v>
      </c>
      <c r="L32" s="117">
        <v>2</v>
      </c>
      <c r="M32" s="117">
        <v>2</v>
      </c>
      <c r="N32" s="117">
        <v>10</v>
      </c>
      <c r="O32" s="120">
        <v>26</v>
      </c>
      <c r="P32" s="606">
        <v>2</v>
      </c>
      <c r="Q32" s="606">
        <v>2</v>
      </c>
      <c r="R32" s="606">
        <v>2</v>
      </c>
      <c r="S32" s="607" t="s">
        <v>326</v>
      </c>
      <c r="T32" s="607">
        <v>2</v>
      </c>
    </row>
    <row r="33" spans="2:20" x14ac:dyDescent="0.35">
      <c r="B33" s="598"/>
      <c r="C33" s="121">
        <v>2</v>
      </c>
      <c r="D33" s="211" t="s">
        <v>146</v>
      </c>
      <c r="E33" s="126">
        <v>1</v>
      </c>
      <c r="F33" s="126"/>
      <c r="G33" s="126">
        <v>1</v>
      </c>
      <c r="H33" s="126"/>
      <c r="I33" s="127">
        <v>4</v>
      </c>
      <c r="J33" s="126">
        <v>1</v>
      </c>
      <c r="K33" s="126">
        <v>1</v>
      </c>
      <c r="L33" s="128">
        <v>2</v>
      </c>
      <c r="M33" s="128">
        <v>1</v>
      </c>
      <c r="N33" s="126">
        <v>6</v>
      </c>
      <c r="O33" s="129">
        <v>9</v>
      </c>
      <c r="P33" s="607"/>
      <c r="Q33" s="607"/>
      <c r="R33" s="607"/>
      <c r="S33" s="607"/>
      <c r="T33" s="607"/>
    </row>
    <row r="34" spans="2:20" x14ac:dyDescent="0.35">
      <c r="B34" s="598"/>
      <c r="C34" s="121">
        <v>3</v>
      </c>
      <c r="D34" s="211" t="s">
        <v>147</v>
      </c>
      <c r="E34" s="126">
        <v>1</v>
      </c>
      <c r="F34" s="126"/>
      <c r="G34" s="126">
        <v>1</v>
      </c>
      <c r="H34" s="126"/>
      <c r="I34" s="127">
        <v>4</v>
      </c>
      <c r="J34" s="126">
        <v>1</v>
      </c>
      <c r="K34" s="126">
        <v>2</v>
      </c>
      <c r="L34" s="128">
        <v>2</v>
      </c>
      <c r="M34" s="128">
        <v>1</v>
      </c>
      <c r="N34" s="126">
        <v>3</v>
      </c>
      <c r="O34" s="129">
        <v>7</v>
      </c>
      <c r="P34" s="607"/>
      <c r="Q34" s="607"/>
      <c r="R34" s="607"/>
      <c r="S34" s="607"/>
      <c r="T34" s="607"/>
    </row>
    <row r="35" spans="2:20" x14ac:dyDescent="0.35">
      <c r="B35" s="598"/>
      <c r="C35" s="121">
        <v>4</v>
      </c>
      <c r="D35" s="211" t="s">
        <v>148</v>
      </c>
      <c r="E35" s="126">
        <v>1</v>
      </c>
      <c r="F35" s="130"/>
      <c r="G35" s="126">
        <v>1</v>
      </c>
      <c r="H35" s="126"/>
      <c r="I35" s="127">
        <v>7</v>
      </c>
      <c r="J35" s="126">
        <v>1</v>
      </c>
      <c r="K35" s="126">
        <v>2</v>
      </c>
      <c r="L35" s="128">
        <v>2</v>
      </c>
      <c r="M35" s="128">
        <v>1</v>
      </c>
      <c r="N35" s="126">
        <v>6</v>
      </c>
      <c r="O35" s="129">
        <v>14</v>
      </c>
      <c r="P35" s="607"/>
      <c r="Q35" s="607"/>
      <c r="R35" s="607"/>
      <c r="S35" s="607"/>
      <c r="T35" s="607"/>
    </row>
    <row r="36" spans="2:20" x14ac:dyDescent="0.35">
      <c r="B36" s="598"/>
      <c r="C36" s="111">
        <v>5</v>
      </c>
      <c r="D36" s="211" t="s">
        <v>149</v>
      </c>
      <c r="E36" s="126"/>
      <c r="F36" s="126"/>
      <c r="G36" s="609">
        <v>1</v>
      </c>
      <c r="H36" s="126"/>
      <c r="I36" s="126"/>
      <c r="J36" s="126">
        <v>1</v>
      </c>
      <c r="K36" s="126">
        <v>1</v>
      </c>
      <c r="L36" s="128">
        <v>2</v>
      </c>
      <c r="M36" s="128">
        <v>1</v>
      </c>
      <c r="N36" s="126"/>
      <c r="O36" s="131"/>
      <c r="P36" s="607"/>
      <c r="Q36" s="607"/>
      <c r="R36" s="607"/>
      <c r="S36" s="607"/>
      <c r="T36" s="607"/>
    </row>
    <row r="37" spans="2:20" x14ac:dyDescent="0.35">
      <c r="B37" s="598"/>
      <c r="C37" s="121">
        <v>6</v>
      </c>
      <c r="D37" s="211" t="s">
        <v>150</v>
      </c>
      <c r="E37" s="126"/>
      <c r="F37" s="125"/>
      <c r="G37" s="610"/>
      <c r="H37" s="126"/>
      <c r="I37" s="126"/>
      <c r="J37" s="126">
        <v>1</v>
      </c>
      <c r="K37" s="126">
        <v>1</v>
      </c>
      <c r="L37" s="128">
        <v>2</v>
      </c>
      <c r="M37" s="128">
        <v>1</v>
      </c>
      <c r="N37" s="126"/>
      <c r="O37" s="131"/>
      <c r="P37" s="607"/>
      <c r="Q37" s="607"/>
      <c r="R37" s="607"/>
      <c r="S37" s="607"/>
      <c r="T37" s="607"/>
    </row>
    <row r="38" spans="2:20" x14ac:dyDescent="0.35">
      <c r="B38" s="598"/>
      <c r="C38" s="121">
        <v>7</v>
      </c>
      <c r="D38" s="211" t="s">
        <v>151</v>
      </c>
      <c r="E38" s="126"/>
      <c r="F38" s="130"/>
      <c r="G38" s="610"/>
      <c r="H38" s="126"/>
      <c r="I38" s="126"/>
      <c r="J38" s="126">
        <v>1</v>
      </c>
      <c r="K38" s="126">
        <v>1</v>
      </c>
      <c r="L38" s="128">
        <v>2</v>
      </c>
      <c r="M38" s="128">
        <v>1</v>
      </c>
      <c r="N38" s="126"/>
      <c r="O38" s="131"/>
      <c r="P38" s="607"/>
      <c r="Q38" s="607"/>
      <c r="R38" s="607"/>
      <c r="S38" s="607"/>
      <c r="T38" s="607"/>
    </row>
    <row r="39" spans="2:20" x14ac:dyDescent="0.35">
      <c r="B39" s="598"/>
      <c r="C39" s="121">
        <v>8</v>
      </c>
      <c r="D39" s="211" t="s">
        <v>152</v>
      </c>
      <c r="E39" s="126"/>
      <c r="F39" s="125"/>
      <c r="G39" s="610"/>
      <c r="H39" s="126"/>
      <c r="I39" s="126"/>
      <c r="J39" s="126">
        <v>1</v>
      </c>
      <c r="K39" s="126">
        <v>1</v>
      </c>
      <c r="L39" s="128">
        <v>2</v>
      </c>
      <c r="M39" s="128">
        <v>1</v>
      </c>
      <c r="N39" s="126"/>
      <c r="O39" s="131"/>
      <c r="P39" s="607"/>
      <c r="Q39" s="607"/>
      <c r="R39" s="607"/>
      <c r="S39" s="607"/>
      <c r="T39" s="607"/>
    </row>
    <row r="40" spans="2:20" x14ac:dyDescent="0.35">
      <c r="B40" s="598"/>
      <c r="C40" s="121">
        <v>9</v>
      </c>
      <c r="D40" s="211" t="s">
        <v>153</v>
      </c>
      <c r="E40" s="126"/>
      <c r="F40" s="130"/>
      <c r="G40" s="611"/>
      <c r="H40" s="126"/>
      <c r="I40" s="126"/>
      <c r="J40" s="126"/>
      <c r="K40" s="126">
        <v>1</v>
      </c>
      <c r="L40" s="128">
        <v>2</v>
      </c>
      <c r="M40" s="128">
        <v>1</v>
      </c>
      <c r="N40" s="126"/>
      <c r="O40" s="131"/>
      <c r="P40" s="607"/>
      <c r="Q40" s="607"/>
      <c r="R40" s="607"/>
      <c r="S40" s="607"/>
      <c r="T40" s="607"/>
    </row>
    <row r="41" spans="2:20" x14ac:dyDescent="0.35">
      <c r="B41" s="598"/>
      <c r="C41" s="121">
        <v>10</v>
      </c>
      <c r="D41" s="211" t="s">
        <v>154</v>
      </c>
      <c r="E41" s="126">
        <v>1</v>
      </c>
      <c r="F41" s="126"/>
      <c r="G41" s="126">
        <v>1</v>
      </c>
      <c r="H41" s="126"/>
      <c r="I41" s="126"/>
      <c r="J41" s="126">
        <v>1</v>
      </c>
      <c r="K41" s="126">
        <v>1</v>
      </c>
      <c r="L41" s="128">
        <v>4</v>
      </c>
      <c r="M41" s="126">
        <v>1</v>
      </c>
      <c r="N41" s="126"/>
      <c r="O41" s="131"/>
      <c r="P41" s="607"/>
      <c r="Q41" s="607"/>
      <c r="R41" s="607"/>
      <c r="S41" s="607"/>
      <c r="T41" s="607"/>
    </row>
    <row r="42" spans="2:20" x14ac:dyDescent="0.35">
      <c r="B42" s="598"/>
      <c r="C42" s="121">
        <v>12</v>
      </c>
      <c r="D42" s="211" t="s">
        <v>155</v>
      </c>
      <c r="E42" s="124"/>
      <c r="F42" s="124"/>
      <c r="G42" s="124"/>
      <c r="H42" s="124"/>
      <c r="I42" s="124"/>
      <c r="J42" s="124">
        <v>1</v>
      </c>
      <c r="K42" s="124">
        <v>1</v>
      </c>
      <c r="L42" s="128">
        <v>1</v>
      </c>
      <c r="M42" s="124">
        <v>1</v>
      </c>
      <c r="N42" s="124"/>
      <c r="O42" s="131"/>
      <c r="P42" s="607"/>
      <c r="Q42" s="607"/>
      <c r="R42" s="607"/>
      <c r="S42" s="607"/>
      <c r="T42" s="607"/>
    </row>
    <row r="43" spans="2:20" x14ac:dyDescent="0.35">
      <c r="B43" s="598"/>
      <c r="C43" s="121">
        <v>13</v>
      </c>
      <c r="D43" s="211" t="s">
        <v>156</v>
      </c>
      <c r="E43" s="154"/>
      <c r="F43" s="154"/>
      <c r="G43" s="154"/>
      <c r="H43" s="124"/>
      <c r="I43" s="154"/>
      <c r="J43" s="154"/>
      <c r="K43" s="154"/>
      <c r="L43" s="128"/>
      <c r="M43" s="154"/>
      <c r="N43" s="154"/>
      <c r="O43" s="131"/>
      <c r="P43" s="607"/>
      <c r="Q43" s="607"/>
      <c r="R43" s="607"/>
      <c r="S43" s="607"/>
      <c r="T43" s="607"/>
    </row>
    <row r="44" spans="2:20" x14ac:dyDescent="0.35">
      <c r="B44" s="598"/>
      <c r="C44" s="121">
        <v>14</v>
      </c>
      <c r="D44" s="211" t="s">
        <v>157</v>
      </c>
      <c r="E44" s="154"/>
      <c r="F44" s="154"/>
      <c r="G44" s="154"/>
      <c r="H44" s="124"/>
      <c r="I44" s="154"/>
      <c r="J44" s="154"/>
      <c r="K44" s="154"/>
      <c r="L44" s="128"/>
      <c r="M44" s="154"/>
      <c r="N44" s="154"/>
      <c r="O44" s="131"/>
      <c r="P44" s="607"/>
      <c r="Q44" s="607"/>
      <c r="R44" s="607"/>
      <c r="S44" s="607"/>
      <c r="T44" s="607"/>
    </row>
    <row r="45" spans="2:20" x14ac:dyDescent="0.35">
      <c r="B45" s="598"/>
      <c r="C45" s="121">
        <v>11</v>
      </c>
      <c r="D45" s="211" t="s">
        <v>339</v>
      </c>
      <c r="E45" s="126">
        <v>3</v>
      </c>
      <c r="F45" s="126"/>
      <c r="G45" s="126">
        <v>2</v>
      </c>
      <c r="H45" s="126">
        <v>1</v>
      </c>
      <c r="I45" s="126">
        <v>3</v>
      </c>
      <c r="J45" s="126">
        <v>2</v>
      </c>
      <c r="K45" s="126">
        <v>3</v>
      </c>
      <c r="L45" s="126">
        <v>10</v>
      </c>
      <c r="M45" s="126">
        <v>3</v>
      </c>
      <c r="N45" s="126">
        <v>10</v>
      </c>
      <c r="O45" s="139">
        <v>13</v>
      </c>
      <c r="P45" s="608"/>
      <c r="Q45" s="608"/>
      <c r="R45" s="608"/>
      <c r="S45" s="608"/>
      <c r="T45" s="608"/>
    </row>
    <row r="46" spans="2:20" ht="15" thickBot="1" x14ac:dyDescent="0.4">
      <c r="B46" s="599"/>
      <c r="C46" s="604" t="s">
        <v>240</v>
      </c>
      <c r="D46" s="605"/>
      <c r="E46" s="140">
        <f>SUM(E32:E45)</f>
        <v>8</v>
      </c>
      <c r="F46" s="140">
        <f t="shared" ref="F46:K46" si="2">SUM(F32:F45)</f>
        <v>0</v>
      </c>
      <c r="G46" s="140">
        <f t="shared" si="2"/>
        <v>8</v>
      </c>
      <c r="H46" s="140">
        <f t="shared" si="2"/>
        <v>1</v>
      </c>
      <c r="I46" s="140">
        <f t="shared" si="2"/>
        <v>28</v>
      </c>
      <c r="J46" s="140">
        <f t="shared" si="2"/>
        <v>12</v>
      </c>
      <c r="K46" s="140">
        <f t="shared" si="2"/>
        <v>17</v>
      </c>
      <c r="L46" s="140">
        <f>SUM(L32:L45)</f>
        <v>33</v>
      </c>
      <c r="M46" s="140">
        <f t="shared" ref="M46" si="3">SUM(M32:M45)</f>
        <v>15</v>
      </c>
      <c r="N46" s="140">
        <f t="shared" ref="N46" si="4">SUM(N32:N45)</f>
        <v>35</v>
      </c>
      <c r="O46" s="140">
        <f>SUM(O32:O45)</f>
        <v>69</v>
      </c>
      <c r="P46" s="140">
        <f t="shared" ref="P46" si="5">SUM(P32:P45)</f>
        <v>2</v>
      </c>
      <c r="Q46" s="140">
        <f t="shared" ref="Q46" si="6">SUM(Q32:Q45)</f>
        <v>2</v>
      </c>
      <c r="R46" s="140">
        <f t="shared" ref="R46" si="7">SUM(R32:R45)</f>
        <v>2</v>
      </c>
      <c r="S46" s="140">
        <f t="shared" ref="S46" si="8">SUM(S32:S45)</f>
        <v>0</v>
      </c>
      <c r="T46" s="140">
        <f t="shared" ref="T46" si="9">SUM(T32:T45)</f>
        <v>2</v>
      </c>
    </row>
    <row r="47" spans="2:20" ht="15" thickBot="1" x14ac:dyDescent="0.4">
      <c r="B47" s="226"/>
      <c r="C47" s="226"/>
      <c r="D47" s="285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</row>
    <row r="48" spans="2:20" x14ac:dyDescent="0.35">
      <c r="B48" s="626" t="s">
        <v>341</v>
      </c>
      <c r="C48" s="629" t="s">
        <v>12</v>
      </c>
      <c r="D48" s="602" t="s">
        <v>306</v>
      </c>
      <c r="E48" s="594"/>
      <c r="F48" s="594"/>
      <c r="G48" s="594"/>
      <c r="H48" s="594"/>
      <c r="I48" s="594"/>
      <c r="J48" s="594"/>
      <c r="K48" s="594"/>
      <c r="L48" s="594"/>
      <c r="M48" s="594"/>
      <c r="N48" s="594"/>
      <c r="O48" s="594"/>
      <c r="P48" s="594"/>
      <c r="Q48" s="594" t="s">
        <v>313</v>
      </c>
      <c r="R48" s="594" t="s">
        <v>314</v>
      </c>
      <c r="S48" s="594"/>
      <c r="T48" s="612" t="s">
        <v>14</v>
      </c>
    </row>
    <row r="49" spans="2:20" ht="26" x14ac:dyDescent="0.35">
      <c r="B49" s="627"/>
      <c r="C49" s="630"/>
      <c r="D49" s="633"/>
      <c r="E49" s="144" t="s">
        <v>196</v>
      </c>
      <c r="F49" s="144" t="s">
        <v>51</v>
      </c>
      <c r="G49" s="144" t="s">
        <v>197</v>
      </c>
      <c r="H49" s="144" t="s">
        <v>198</v>
      </c>
      <c r="I49" s="144" t="s">
        <v>199</v>
      </c>
      <c r="J49" s="144" t="s">
        <v>319</v>
      </c>
      <c r="K49" s="144" t="s">
        <v>320</v>
      </c>
      <c r="L49" s="144" t="s">
        <v>52</v>
      </c>
      <c r="M49" s="144" t="s">
        <v>53</v>
      </c>
      <c r="N49" s="144" t="s">
        <v>54</v>
      </c>
      <c r="O49" s="144" t="s">
        <v>200</v>
      </c>
      <c r="P49" s="144" t="s">
        <v>344</v>
      </c>
      <c r="Q49" s="632"/>
      <c r="R49" s="144" t="s">
        <v>345</v>
      </c>
      <c r="S49" s="144" t="s">
        <v>323</v>
      </c>
      <c r="T49" s="613"/>
    </row>
    <row r="50" spans="2:20" x14ac:dyDescent="0.35">
      <c r="B50" s="627"/>
      <c r="C50" s="146">
        <v>1</v>
      </c>
      <c r="D50" s="631" t="s">
        <v>346</v>
      </c>
      <c r="E50" s="617">
        <v>5</v>
      </c>
      <c r="F50" s="618">
        <v>2</v>
      </c>
      <c r="G50" s="617">
        <v>5</v>
      </c>
      <c r="H50" s="147"/>
      <c r="I50" s="147"/>
      <c r="J50" s="617">
        <v>2</v>
      </c>
      <c r="K50" s="617">
        <v>4</v>
      </c>
      <c r="L50" s="617">
        <v>3</v>
      </c>
      <c r="M50" s="147"/>
      <c r="N50" s="617">
        <v>2</v>
      </c>
      <c r="O50" s="623">
        <v>1</v>
      </c>
      <c r="P50" s="623">
        <v>1</v>
      </c>
      <c r="Q50" s="623" t="s">
        <v>326</v>
      </c>
      <c r="R50" s="620">
        <v>3</v>
      </c>
      <c r="S50" s="614">
        <v>1</v>
      </c>
      <c r="T50" s="148"/>
    </row>
    <row r="51" spans="2:20" x14ac:dyDescent="0.35">
      <c r="B51" s="627"/>
      <c r="C51" s="146">
        <v>2</v>
      </c>
      <c r="D51" s="631"/>
      <c r="E51" s="617"/>
      <c r="F51" s="618"/>
      <c r="G51" s="617"/>
      <c r="H51" s="147"/>
      <c r="I51" s="147"/>
      <c r="J51" s="617"/>
      <c r="K51" s="617"/>
      <c r="L51" s="617"/>
      <c r="M51" s="147"/>
      <c r="N51" s="617"/>
      <c r="O51" s="624"/>
      <c r="P51" s="624"/>
      <c r="Q51" s="624"/>
      <c r="R51" s="620"/>
      <c r="S51" s="615"/>
      <c r="T51" s="148"/>
    </row>
    <row r="52" spans="2:20" x14ac:dyDescent="0.35">
      <c r="B52" s="627"/>
      <c r="C52" s="146">
        <v>3</v>
      </c>
      <c r="D52" s="631"/>
      <c r="E52" s="617"/>
      <c r="F52" s="618"/>
      <c r="G52" s="617"/>
      <c r="H52" s="147"/>
      <c r="I52" s="147"/>
      <c r="J52" s="617"/>
      <c r="K52" s="617"/>
      <c r="L52" s="617"/>
      <c r="M52" s="147"/>
      <c r="N52" s="617"/>
      <c r="O52" s="624"/>
      <c r="P52" s="624"/>
      <c r="Q52" s="624"/>
      <c r="R52" s="620"/>
      <c r="S52" s="615"/>
      <c r="T52" s="148"/>
    </row>
    <row r="53" spans="2:20" x14ac:dyDescent="0.35">
      <c r="B53" s="627"/>
      <c r="C53" s="146">
        <v>4</v>
      </c>
      <c r="D53" s="286" t="s">
        <v>146</v>
      </c>
      <c r="E53" s="617"/>
      <c r="F53" s="618"/>
      <c r="G53" s="617"/>
      <c r="H53" s="147"/>
      <c r="I53" s="147"/>
      <c r="J53" s="150">
        <v>1</v>
      </c>
      <c r="K53" s="126">
        <v>2</v>
      </c>
      <c r="L53" s="126">
        <v>1</v>
      </c>
      <c r="M53" s="147"/>
      <c r="N53" s="126">
        <v>1</v>
      </c>
      <c r="O53" s="624"/>
      <c r="P53" s="624"/>
      <c r="Q53" s="624"/>
      <c r="R53" s="620"/>
      <c r="S53" s="615"/>
      <c r="T53" s="148"/>
    </row>
    <row r="54" spans="2:20" x14ac:dyDescent="0.35">
      <c r="B54" s="627"/>
      <c r="C54" s="146">
        <v>5</v>
      </c>
      <c r="D54" s="286" t="s">
        <v>147</v>
      </c>
      <c r="E54" s="617"/>
      <c r="F54" s="618"/>
      <c r="G54" s="617"/>
      <c r="H54" s="147"/>
      <c r="I54" s="147"/>
      <c r="J54" s="126">
        <v>1</v>
      </c>
      <c r="K54" s="126">
        <v>2</v>
      </c>
      <c r="L54" s="126">
        <v>1</v>
      </c>
      <c r="M54" s="147"/>
      <c r="N54" s="126">
        <v>1</v>
      </c>
      <c r="O54" s="624"/>
      <c r="P54" s="624"/>
      <c r="Q54" s="624"/>
      <c r="R54" s="620"/>
      <c r="S54" s="615"/>
      <c r="T54" s="148"/>
    </row>
    <row r="55" spans="2:20" x14ac:dyDescent="0.35">
      <c r="B55" s="627"/>
      <c r="C55" s="146">
        <v>6</v>
      </c>
      <c r="D55" s="286" t="s">
        <v>150</v>
      </c>
      <c r="E55" s="617"/>
      <c r="F55" s="618"/>
      <c r="G55" s="617"/>
      <c r="H55" s="147"/>
      <c r="I55" s="147"/>
      <c r="J55" s="126">
        <v>1</v>
      </c>
      <c r="K55" s="126">
        <v>2</v>
      </c>
      <c r="L55" s="126">
        <v>2</v>
      </c>
      <c r="M55" s="147"/>
      <c r="N55" s="126">
        <v>1</v>
      </c>
      <c r="O55" s="624"/>
      <c r="P55" s="624"/>
      <c r="Q55" s="624"/>
      <c r="R55" s="620"/>
      <c r="S55" s="615"/>
      <c r="T55" s="148"/>
    </row>
    <row r="56" spans="2:20" x14ac:dyDescent="0.35">
      <c r="B56" s="627"/>
      <c r="C56" s="146">
        <v>7</v>
      </c>
      <c r="D56" s="286" t="s">
        <v>151</v>
      </c>
      <c r="E56" s="617"/>
      <c r="F56" s="618"/>
      <c r="G56" s="617"/>
      <c r="H56" s="147"/>
      <c r="I56" s="147"/>
      <c r="J56" s="126">
        <v>1</v>
      </c>
      <c r="K56" s="126">
        <v>2</v>
      </c>
      <c r="L56" s="126">
        <v>1</v>
      </c>
      <c r="M56" s="147"/>
      <c r="N56" s="126">
        <v>1</v>
      </c>
      <c r="O56" s="624"/>
      <c r="P56" s="624"/>
      <c r="Q56" s="624"/>
      <c r="R56" s="620"/>
      <c r="S56" s="615"/>
      <c r="T56" s="148"/>
    </row>
    <row r="57" spans="2:20" x14ac:dyDescent="0.35">
      <c r="B57" s="627"/>
      <c r="C57" s="146">
        <v>8</v>
      </c>
      <c r="D57" s="286" t="s">
        <v>149</v>
      </c>
      <c r="E57" s="617"/>
      <c r="F57" s="618"/>
      <c r="G57" s="617"/>
      <c r="H57" s="147"/>
      <c r="I57" s="147"/>
      <c r="J57" s="126">
        <v>1</v>
      </c>
      <c r="K57" s="126">
        <v>2</v>
      </c>
      <c r="L57" s="126">
        <v>1</v>
      </c>
      <c r="M57" s="147"/>
      <c r="N57" s="126">
        <v>1</v>
      </c>
      <c r="O57" s="624"/>
      <c r="P57" s="624"/>
      <c r="Q57" s="624"/>
      <c r="R57" s="620"/>
      <c r="S57" s="615"/>
      <c r="T57" s="148"/>
    </row>
    <row r="58" spans="2:20" x14ac:dyDescent="0.35">
      <c r="B58" s="627"/>
      <c r="C58" s="146">
        <v>9</v>
      </c>
      <c r="D58" s="286" t="s">
        <v>355</v>
      </c>
      <c r="E58" s="617"/>
      <c r="F58" s="618"/>
      <c r="G58" s="617"/>
      <c r="H58" s="147"/>
      <c r="I58" s="147"/>
      <c r="J58" s="126">
        <v>1</v>
      </c>
      <c r="K58" s="126">
        <v>2</v>
      </c>
      <c r="L58" s="126">
        <v>1</v>
      </c>
      <c r="M58" s="147"/>
      <c r="N58" s="126">
        <v>1</v>
      </c>
      <c r="O58" s="624"/>
      <c r="P58" s="624"/>
      <c r="Q58" s="624"/>
      <c r="R58" s="620"/>
      <c r="S58" s="615"/>
      <c r="T58" s="148"/>
    </row>
    <row r="59" spans="2:20" x14ac:dyDescent="0.35">
      <c r="B59" s="627"/>
      <c r="C59" s="146">
        <v>10</v>
      </c>
      <c r="D59" s="211" t="s">
        <v>357</v>
      </c>
      <c r="E59" s="617"/>
      <c r="F59" s="618"/>
      <c r="G59" s="617"/>
      <c r="H59" s="147"/>
      <c r="I59" s="147"/>
      <c r="J59" s="126">
        <v>1</v>
      </c>
      <c r="K59" s="126">
        <v>2</v>
      </c>
      <c r="L59" s="126">
        <v>1</v>
      </c>
      <c r="M59" s="147"/>
      <c r="N59" s="126">
        <v>1</v>
      </c>
      <c r="O59" s="624"/>
      <c r="P59" s="624"/>
      <c r="Q59" s="624"/>
      <c r="R59" s="620"/>
      <c r="S59" s="615"/>
      <c r="T59" s="148"/>
    </row>
    <row r="60" spans="2:20" x14ac:dyDescent="0.35">
      <c r="B60" s="627"/>
      <c r="C60" s="146">
        <v>11</v>
      </c>
      <c r="D60" s="631" t="s">
        <v>359</v>
      </c>
      <c r="E60" s="617"/>
      <c r="F60" s="618"/>
      <c r="G60" s="617"/>
      <c r="H60" s="147"/>
      <c r="I60" s="147"/>
      <c r="J60" s="617">
        <v>1</v>
      </c>
      <c r="K60" s="617">
        <v>2</v>
      </c>
      <c r="L60" s="617">
        <v>1</v>
      </c>
      <c r="M60" s="147"/>
      <c r="N60" s="617">
        <v>2</v>
      </c>
      <c r="O60" s="624"/>
      <c r="P60" s="624"/>
      <c r="Q60" s="624"/>
      <c r="R60" s="620"/>
      <c r="S60" s="615"/>
      <c r="T60" s="148"/>
    </row>
    <row r="61" spans="2:20" x14ac:dyDescent="0.35">
      <c r="B61" s="627"/>
      <c r="C61" s="146">
        <v>12</v>
      </c>
      <c r="D61" s="631"/>
      <c r="E61" s="617"/>
      <c r="F61" s="618"/>
      <c r="G61" s="617"/>
      <c r="H61" s="147"/>
      <c r="I61" s="147"/>
      <c r="J61" s="617"/>
      <c r="K61" s="617"/>
      <c r="L61" s="617"/>
      <c r="M61" s="147"/>
      <c r="N61" s="617"/>
      <c r="O61" s="624"/>
      <c r="P61" s="624"/>
      <c r="Q61" s="624"/>
      <c r="R61" s="620"/>
      <c r="S61" s="615"/>
      <c r="T61" s="148"/>
    </row>
    <row r="62" spans="2:20" x14ac:dyDescent="0.35">
      <c r="B62" s="627"/>
      <c r="C62" s="146">
        <v>13</v>
      </c>
      <c r="D62" s="286" t="s">
        <v>362</v>
      </c>
      <c r="E62" s="617"/>
      <c r="F62" s="618"/>
      <c r="G62" s="617"/>
      <c r="H62" s="147"/>
      <c r="I62" s="147"/>
      <c r="J62" s="126">
        <v>1</v>
      </c>
      <c r="K62" s="126">
        <v>2</v>
      </c>
      <c r="L62" s="126">
        <v>1</v>
      </c>
      <c r="M62" s="147"/>
      <c r="N62" s="126">
        <v>1</v>
      </c>
      <c r="O62" s="624"/>
      <c r="P62" s="624"/>
      <c r="Q62" s="624"/>
      <c r="R62" s="620"/>
      <c r="S62" s="615"/>
      <c r="T62" s="148"/>
    </row>
    <row r="63" spans="2:20" x14ac:dyDescent="0.35">
      <c r="B63" s="627"/>
      <c r="C63" s="146">
        <v>14</v>
      </c>
      <c r="D63" s="286" t="s">
        <v>364</v>
      </c>
      <c r="E63" s="617"/>
      <c r="F63" s="618"/>
      <c r="G63" s="617"/>
      <c r="H63" s="147"/>
      <c r="I63" s="147"/>
      <c r="J63" s="126">
        <v>1</v>
      </c>
      <c r="K63" s="126">
        <v>2</v>
      </c>
      <c r="L63" s="126">
        <v>1</v>
      </c>
      <c r="M63" s="147"/>
      <c r="N63" s="126">
        <v>1</v>
      </c>
      <c r="O63" s="624"/>
      <c r="P63" s="624"/>
      <c r="Q63" s="624"/>
      <c r="R63" s="620"/>
      <c r="S63" s="615"/>
      <c r="T63" s="148"/>
    </row>
    <row r="64" spans="2:20" x14ac:dyDescent="0.35">
      <c r="B64" s="627"/>
      <c r="C64" s="146">
        <v>15</v>
      </c>
      <c r="D64" s="286" t="s">
        <v>366</v>
      </c>
      <c r="E64" s="126">
        <v>1</v>
      </c>
      <c r="F64" s="618"/>
      <c r="G64" s="126">
        <v>1</v>
      </c>
      <c r="H64" s="147"/>
      <c r="I64" s="126">
        <v>1</v>
      </c>
      <c r="J64" s="126">
        <v>1</v>
      </c>
      <c r="K64" s="126">
        <v>2</v>
      </c>
      <c r="L64" s="126">
        <v>2</v>
      </c>
      <c r="M64" s="147"/>
      <c r="N64" s="126">
        <v>1</v>
      </c>
      <c r="O64" s="624"/>
      <c r="P64" s="624"/>
      <c r="Q64" s="624"/>
      <c r="R64" s="620"/>
      <c r="S64" s="615"/>
      <c r="T64" s="148"/>
    </row>
    <row r="65" spans="2:20" x14ac:dyDescent="0.35">
      <c r="B65" s="627"/>
      <c r="C65" s="146">
        <v>16</v>
      </c>
      <c r="D65" s="211" t="s">
        <v>159</v>
      </c>
      <c r="E65" s="617">
        <v>2</v>
      </c>
      <c r="F65" s="618"/>
      <c r="G65" s="617">
        <v>2</v>
      </c>
      <c r="H65" s="617">
        <v>2</v>
      </c>
      <c r="I65" s="126">
        <v>1</v>
      </c>
      <c r="J65" s="126">
        <v>1</v>
      </c>
      <c r="K65" s="126">
        <v>2</v>
      </c>
      <c r="L65" s="126">
        <v>2</v>
      </c>
      <c r="M65" s="126">
        <v>1</v>
      </c>
      <c r="N65" s="126">
        <v>1</v>
      </c>
      <c r="O65" s="624"/>
      <c r="P65" s="624"/>
      <c r="Q65" s="624"/>
      <c r="R65" s="620"/>
      <c r="S65" s="615"/>
      <c r="T65" s="151"/>
    </row>
    <row r="66" spans="2:20" x14ac:dyDescent="0.35">
      <c r="B66" s="627"/>
      <c r="C66" s="146">
        <v>17</v>
      </c>
      <c r="D66" s="211" t="s">
        <v>161</v>
      </c>
      <c r="E66" s="617"/>
      <c r="F66" s="618"/>
      <c r="G66" s="617"/>
      <c r="H66" s="617"/>
      <c r="I66" s="126">
        <v>1</v>
      </c>
      <c r="J66" s="126">
        <v>1</v>
      </c>
      <c r="K66" s="126">
        <v>2</v>
      </c>
      <c r="L66" s="126">
        <v>2</v>
      </c>
      <c r="M66" s="126">
        <v>1</v>
      </c>
      <c r="N66" s="126">
        <v>1</v>
      </c>
      <c r="O66" s="624"/>
      <c r="P66" s="624"/>
      <c r="Q66" s="624"/>
      <c r="R66" s="620"/>
      <c r="S66" s="615"/>
      <c r="T66" s="151"/>
    </row>
    <row r="67" spans="2:20" x14ac:dyDescent="0.35">
      <c r="B67" s="627"/>
      <c r="C67" s="146">
        <v>18</v>
      </c>
      <c r="D67" s="287" t="s">
        <v>160</v>
      </c>
      <c r="E67" s="609"/>
      <c r="F67" s="619"/>
      <c r="G67" s="609"/>
      <c r="H67" s="609"/>
      <c r="I67" s="128">
        <v>1</v>
      </c>
      <c r="J67" s="128">
        <v>2</v>
      </c>
      <c r="K67" s="128">
        <v>2</v>
      </c>
      <c r="L67" s="128">
        <v>2</v>
      </c>
      <c r="M67" s="128">
        <v>1</v>
      </c>
      <c r="N67" s="128">
        <v>1</v>
      </c>
      <c r="O67" s="624"/>
      <c r="P67" s="624"/>
      <c r="Q67" s="624"/>
      <c r="R67" s="620"/>
      <c r="S67" s="615"/>
      <c r="T67" s="155"/>
    </row>
    <row r="68" spans="2:20" x14ac:dyDescent="0.35">
      <c r="B68" s="627"/>
      <c r="C68" s="156">
        <v>19</v>
      </c>
      <c r="D68" s="288" t="s">
        <v>371</v>
      </c>
      <c r="E68" s="126">
        <v>1</v>
      </c>
      <c r="F68" s="159"/>
      <c r="G68" s="126">
        <v>1</v>
      </c>
      <c r="H68" s="126"/>
      <c r="I68" s="128">
        <v>2</v>
      </c>
      <c r="J68" s="128">
        <v>2</v>
      </c>
      <c r="K68" s="128">
        <v>2</v>
      </c>
      <c r="L68" s="128">
        <v>2</v>
      </c>
      <c r="M68" s="128">
        <v>1</v>
      </c>
      <c r="N68" s="128">
        <v>1</v>
      </c>
      <c r="O68" s="624"/>
      <c r="P68" s="624"/>
      <c r="Q68" s="624"/>
      <c r="R68" s="620">
        <v>1</v>
      </c>
      <c r="S68" s="615"/>
      <c r="T68" s="160"/>
    </row>
    <row r="69" spans="2:20" x14ac:dyDescent="0.35">
      <c r="B69" s="627"/>
      <c r="C69" s="156">
        <v>20</v>
      </c>
      <c r="D69" s="288" t="s">
        <v>373</v>
      </c>
      <c r="E69" s="126"/>
      <c r="F69" s="159"/>
      <c r="G69" s="126"/>
      <c r="H69" s="126">
        <v>1</v>
      </c>
      <c r="I69" s="128">
        <v>2</v>
      </c>
      <c r="J69" s="128">
        <v>2</v>
      </c>
      <c r="K69" s="128">
        <v>2</v>
      </c>
      <c r="L69" s="128">
        <v>2</v>
      </c>
      <c r="M69" s="128">
        <v>1</v>
      </c>
      <c r="N69" s="128">
        <v>1</v>
      </c>
      <c r="O69" s="624"/>
      <c r="P69" s="624"/>
      <c r="Q69" s="624"/>
      <c r="R69" s="620"/>
      <c r="S69" s="615"/>
      <c r="T69" s="160"/>
    </row>
    <row r="70" spans="2:20" x14ac:dyDescent="0.35">
      <c r="B70" s="627"/>
      <c r="C70" s="156">
        <v>21</v>
      </c>
      <c r="D70" s="289" t="s">
        <v>373</v>
      </c>
      <c r="E70" s="126">
        <v>1</v>
      </c>
      <c r="F70" s="159"/>
      <c r="G70" s="126">
        <v>1</v>
      </c>
      <c r="H70" s="126"/>
      <c r="I70" s="128"/>
      <c r="J70" s="128">
        <v>1</v>
      </c>
      <c r="K70" s="128">
        <v>3</v>
      </c>
      <c r="L70" s="128">
        <v>1</v>
      </c>
      <c r="M70" s="128">
        <v>1</v>
      </c>
      <c r="N70" s="128">
        <v>1</v>
      </c>
      <c r="O70" s="624"/>
      <c r="P70" s="624"/>
      <c r="Q70" s="624"/>
      <c r="R70" s="620"/>
      <c r="S70" s="615"/>
      <c r="T70" s="160"/>
    </row>
    <row r="71" spans="2:20" ht="15" thickBot="1" x14ac:dyDescent="0.4">
      <c r="B71" s="628"/>
      <c r="C71" s="156">
        <v>22</v>
      </c>
      <c r="D71" s="288" t="s">
        <v>376</v>
      </c>
      <c r="E71" s="126">
        <v>1</v>
      </c>
      <c r="F71" s="159"/>
      <c r="G71" s="126">
        <v>1</v>
      </c>
      <c r="H71" s="126"/>
      <c r="I71" s="128">
        <v>1</v>
      </c>
      <c r="J71" s="128">
        <v>2</v>
      </c>
      <c r="K71" s="128">
        <v>2</v>
      </c>
      <c r="L71" s="128">
        <v>2</v>
      </c>
      <c r="M71" s="128">
        <v>1</v>
      </c>
      <c r="N71" s="128">
        <v>1</v>
      </c>
      <c r="O71" s="625"/>
      <c r="P71" s="625"/>
      <c r="Q71" s="625"/>
      <c r="R71" s="620"/>
      <c r="S71" s="616"/>
      <c r="T71" s="160"/>
    </row>
    <row r="72" spans="2:20" ht="15" thickBot="1" x14ac:dyDescent="0.4">
      <c r="B72" s="621" t="s">
        <v>240</v>
      </c>
      <c r="C72" s="622"/>
      <c r="D72" s="622"/>
      <c r="E72" s="161">
        <f>SUM(E50:E71)</f>
        <v>11</v>
      </c>
      <c r="F72" s="161">
        <f t="shared" ref="F72:T72" si="10">SUM(F50:F71)</f>
        <v>2</v>
      </c>
      <c r="G72" s="161">
        <f t="shared" si="10"/>
        <v>11</v>
      </c>
      <c r="H72" s="161">
        <f t="shared" si="10"/>
        <v>3</v>
      </c>
      <c r="I72" s="161">
        <f t="shared" si="10"/>
        <v>9</v>
      </c>
      <c r="J72" s="161">
        <f t="shared" si="10"/>
        <v>24</v>
      </c>
      <c r="K72" s="161">
        <f t="shared" si="10"/>
        <v>41</v>
      </c>
      <c r="L72" s="161">
        <f t="shared" si="10"/>
        <v>29</v>
      </c>
      <c r="M72" s="161">
        <f t="shared" si="10"/>
        <v>7</v>
      </c>
      <c r="N72" s="161">
        <f t="shared" si="10"/>
        <v>21</v>
      </c>
      <c r="O72" s="161">
        <f t="shared" si="10"/>
        <v>1</v>
      </c>
      <c r="P72" s="161">
        <f t="shared" si="10"/>
        <v>1</v>
      </c>
      <c r="Q72" s="161">
        <f t="shared" si="10"/>
        <v>0</v>
      </c>
      <c r="R72" s="161">
        <f t="shared" si="10"/>
        <v>4</v>
      </c>
      <c r="S72" s="161">
        <f t="shared" si="10"/>
        <v>1</v>
      </c>
      <c r="T72" s="161">
        <f t="shared" si="10"/>
        <v>0</v>
      </c>
    </row>
  </sheetData>
  <mergeCells count="45">
    <mergeCell ref="C5:C18"/>
    <mergeCell ref="C3:D3"/>
    <mergeCell ref="C4:D4"/>
    <mergeCell ref="E65:E67"/>
    <mergeCell ref="G65:G67"/>
    <mergeCell ref="E30:R30"/>
    <mergeCell ref="B72:D72"/>
    <mergeCell ref="O50:O71"/>
    <mergeCell ref="P50:P71"/>
    <mergeCell ref="Q50:Q71"/>
    <mergeCell ref="R50:R67"/>
    <mergeCell ref="B48:B71"/>
    <mergeCell ref="C48:C49"/>
    <mergeCell ref="D50:D52"/>
    <mergeCell ref="E50:E63"/>
    <mergeCell ref="E48:P48"/>
    <mergeCell ref="Q48:Q49"/>
    <mergeCell ref="D48:D49"/>
    <mergeCell ref="D60:D61"/>
    <mergeCell ref="S50:S71"/>
    <mergeCell ref="J60:J61"/>
    <mergeCell ref="K60:K61"/>
    <mergeCell ref="F50:F67"/>
    <mergeCell ref="G50:G63"/>
    <mergeCell ref="J50:J52"/>
    <mergeCell ref="K50:K52"/>
    <mergeCell ref="L50:L52"/>
    <mergeCell ref="N50:N52"/>
    <mergeCell ref="L60:L61"/>
    <mergeCell ref="N60:N61"/>
    <mergeCell ref="H65:H67"/>
    <mergeCell ref="R68:R71"/>
    <mergeCell ref="T32:T45"/>
    <mergeCell ref="G36:G40"/>
    <mergeCell ref="P32:P45"/>
    <mergeCell ref="Q32:Q45"/>
    <mergeCell ref="R48:S48"/>
    <mergeCell ref="T48:T49"/>
    <mergeCell ref="S30:S31"/>
    <mergeCell ref="B30:B46"/>
    <mergeCell ref="C30:C31"/>
    <mergeCell ref="D30:D31"/>
    <mergeCell ref="C46:D46"/>
    <mergeCell ref="R32:R45"/>
    <mergeCell ref="S32:S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E524-E136-48B5-934F-59991DDB06DB}">
  <dimension ref="B2:O36"/>
  <sheetViews>
    <sheetView workbookViewId="0">
      <selection activeCell="C5" sqref="C5"/>
    </sheetView>
  </sheetViews>
  <sheetFormatPr defaultColWidth="8.90625" defaultRowHeight="14.5" x14ac:dyDescent="0.35"/>
  <cols>
    <col min="1" max="1" width="8.90625" style="17"/>
    <col min="2" max="2" width="26.90625" style="85" bestFit="1" customWidth="1"/>
    <col min="3" max="3" width="10" style="85" bestFit="1" customWidth="1"/>
    <col min="4" max="4" width="7.6328125" style="17" bestFit="1" customWidth="1"/>
    <col min="5" max="10" width="16" style="17" customWidth="1"/>
    <col min="11" max="12" width="21.453125" style="17" bestFit="1" customWidth="1"/>
    <col min="13" max="15" width="16" style="17" customWidth="1"/>
    <col min="16" max="16384" width="8.90625" style="17"/>
  </cols>
  <sheetData>
    <row r="2" spans="2:15" ht="15" thickBot="1" x14ac:dyDescent="0.4"/>
    <row r="3" spans="2:15" x14ac:dyDescent="0.35">
      <c r="B3" s="88" t="s">
        <v>305</v>
      </c>
      <c r="C3" s="220"/>
      <c r="F3" s="83"/>
      <c r="G3" s="83"/>
      <c r="H3" s="83"/>
      <c r="I3" s="83"/>
    </row>
    <row r="4" spans="2:15" ht="39" x14ac:dyDescent="0.35">
      <c r="B4" s="89" t="s">
        <v>182</v>
      </c>
      <c r="C4" s="90" t="s">
        <v>229</v>
      </c>
      <c r="D4" s="91" t="s">
        <v>227</v>
      </c>
      <c r="E4" s="90" t="s">
        <v>235</v>
      </c>
      <c r="F4" s="90" t="s">
        <v>236</v>
      </c>
      <c r="G4" s="90" t="s">
        <v>434</v>
      </c>
      <c r="H4" s="90" t="s">
        <v>450</v>
      </c>
      <c r="I4" s="90" t="s">
        <v>237</v>
      </c>
      <c r="J4" s="90" t="s">
        <v>238</v>
      </c>
      <c r="K4" s="90" t="s">
        <v>458</v>
      </c>
      <c r="L4" s="90" t="s">
        <v>239</v>
      </c>
      <c r="M4" s="90" t="s">
        <v>231</v>
      </c>
      <c r="N4" s="91" t="s">
        <v>232</v>
      </c>
      <c r="O4" s="90" t="s">
        <v>240</v>
      </c>
    </row>
    <row r="5" spans="2:15" x14ac:dyDescent="0.35">
      <c r="B5" s="92" t="s">
        <v>405</v>
      </c>
      <c r="C5" s="221">
        <f>O5</f>
        <v>6320</v>
      </c>
      <c r="D5" s="93">
        <v>1</v>
      </c>
      <c r="E5" s="95">
        <v>5000</v>
      </c>
      <c r="F5" s="350">
        <v>500</v>
      </c>
      <c r="G5" s="350"/>
      <c r="H5" s="350">
        <v>150</v>
      </c>
      <c r="I5" s="97"/>
      <c r="J5" s="97"/>
      <c r="K5" s="95">
        <v>170</v>
      </c>
      <c r="L5" s="95"/>
      <c r="M5" s="95">
        <v>500</v>
      </c>
      <c r="N5" s="95"/>
      <c r="O5" s="95">
        <f>SUM(E5:N5)</f>
        <v>6320</v>
      </c>
    </row>
    <row r="6" spans="2:15" x14ac:dyDescent="0.35">
      <c r="B6" s="92" t="s">
        <v>407</v>
      </c>
      <c r="C6" s="221">
        <f>O6</f>
        <v>6320</v>
      </c>
      <c r="D6" s="93">
        <v>1</v>
      </c>
      <c r="E6" s="95">
        <v>5000</v>
      </c>
      <c r="F6" s="350">
        <v>500</v>
      </c>
      <c r="G6" s="350"/>
      <c r="H6" s="350">
        <v>150</v>
      </c>
      <c r="I6" s="97"/>
      <c r="J6" s="97"/>
      <c r="K6" s="95">
        <v>170</v>
      </c>
      <c r="L6" s="95"/>
      <c r="M6" s="95">
        <v>500</v>
      </c>
      <c r="N6" s="95"/>
      <c r="O6" s="95">
        <f t="shared" ref="O6:O14" si="0">SUM(E6:N6)</f>
        <v>6320</v>
      </c>
    </row>
    <row r="7" spans="2:15" x14ac:dyDescent="0.35">
      <c r="B7" s="92" t="s">
        <v>406</v>
      </c>
      <c r="C7" s="221">
        <f t="shared" ref="C7:C14" si="1">O7</f>
        <v>10870</v>
      </c>
      <c r="D7" s="93">
        <v>1</v>
      </c>
      <c r="E7" s="95">
        <v>8000</v>
      </c>
      <c r="F7" s="350">
        <v>1200</v>
      </c>
      <c r="G7" s="350"/>
      <c r="H7" s="350">
        <v>150</v>
      </c>
      <c r="I7" s="97"/>
      <c r="J7" s="97">
        <v>700</v>
      </c>
      <c r="K7" s="95">
        <v>170</v>
      </c>
      <c r="L7" s="95"/>
      <c r="M7" s="95">
        <v>500</v>
      </c>
      <c r="N7" s="95">
        <v>150</v>
      </c>
      <c r="O7" s="95">
        <f t="shared" si="0"/>
        <v>10870</v>
      </c>
    </row>
    <row r="8" spans="2:15" x14ac:dyDescent="0.35">
      <c r="B8" s="92" t="s">
        <v>408</v>
      </c>
      <c r="C8" s="221">
        <f t="shared" si="1"/>
        <v>10870</v>
      </c>
      <c r="D8" s="93">
        <v>1</v>
      </c>
      <c r="E8" s="95">
        <v>8000</v>
      </c>
      <c r="F8" s="350">
        <v>1200</v>
      </c>
      <c r="G8" s="350"/>
      <c r="H8" s="350">
        <v>150</v>
      </c>
      <c r="I8" s="97"/>
      <c r="J8" s="97">
        <v>700</v>
      </c>
      <c r="K8" s="95">
        <v>170</v>
      </c>
      <c r="L8" s="95"/>
      <c r="M8" s="95">
        <v>500</v>
      </c>
      <c r="N8" s="95">
        <v>150</v>
      </c>
      <c r="O8" s="95">
        <f t="shared" si="0"/>
        <v>10870</v>
      </c>
    </row>
    <row r="9" spans="2:15" x14ac:dyDescent="0.35">
      <c r="B9" s="92" t="s">
        <v>190</v>
      </c>
      <c r="C9" s="221">
        <f t="shared" si="1"/>
        <v>16920</v>
      </c>
      <c r="D9" s="93">
        <v>1</v>
      </c>
      <c r="E9" s="95">
        <v>15000</v>
      </c>
      <c r="F9" s="350"/>
      <c r="G9" s="350"/>
      <c r="H9" s="350">
        <v>150</v>
      </c>
      <c r="I9" s="97"/>
      <c r="J9" s="97">
        <v>800</v>
      </c>
      <c r="K9" s="95">
        <v>170</v>
      </c>
      <c r="L9" s="95"/>
      <c r="M9" s="95">
        <v>500</v>
      </c>
      <c r="N9" s="95">
        <v>300</v>
      </c>
      <c r="O9" s="95">
        <f t="shared" si="0"/>
        <v>16920</v>
      </c>
    </row>
    <row r="10" spans="2:15" x14ac:dyDescent="0.35">
      <c r="B10" s="92" t="s">
        <v>189</v>
      </c>
      <c r="C10" s="221">
        <f t="shared" si="1"/>
        <v>22920</v>
      </c>
      <c r="D10" s="93">
        <v>1</v>
      </c>
      <c r="E10" s="95">
        <v>18000</v>
      </c>
      <c r="F10" s="350">
        <f>E10/6</f>
        <v>3000</v>
      </c>
      <c r="G10" s="350"/>
      <c r="H10" s="350">
        <v>150</v>
      </c>
      <c r="I10" s="97"/>
      <c r="J10" s="97">
        <v>800</v>
      </c>
      <c r="K10" s="95">
        <v>170</v>
      </c>
      <c r="L10" s="95"/>
      <c r="M10" s="95">
        <v>500</v>
      </c>
      <c r="N10" s="95">
        <v>300</v>
      </c>
      <c r="O10" s="95">
        <f t="shared" si="0"/>
        <v>22920</v>
      </c>
    </row>
    <row r="11" spans="2:15" x14ac:dyDescent="0.35">
      <c r="B11" s="92" t="s">
        <v>188</v>
      </c>
      <c r="C11" s="221">
        <f t="shared" si="1"/>
        <v>52170</v>
      </c>
      <c r="D11" s="93">
        <v>1</v>
      </c>
      <c r="E11" s="95">
        <v>50000</v>
      </c>
      <c r="F11" s="350"/>
      <c r="G11" s="350"/>
      <c r="H11" s="350">
        <v>150</v>
      </c>
      <c r="I11" s="97"/>
      <c r="J11" s="97">
        <v>800</v>
      </c>
      <c r="K11" s="95">
        <v>170</v>
      </c>
      <c r="L11" s="95"/>
      <c r="M11" s="95">
        <v>500</v>
      </c>
      <c r="N11" s="95">
        <f>250+300</f>
        <v>550</v>
      </c>
      <c r="O11" s="95">
        <f t="shared" si="0"/>
        <v>52170</v>
      </c>
    </row>
    <row r="12" spans="2:15" x14ac:dyDescent="0.35">
      <c r="B12" s="94" t="s">
        <v>191</v>
      </c>
      <c r="C12" s="221">
        <f t="shared" si="1"/>
        <v>6820</v>
      </c>
      <c r="D12" s="219">
        <v>1</v>
      </c>
      <c r="E12" s="95">
        <v>5500</v>
      </c>
      <c r="F12" s="350">
        <v>500</v>
      </c>
      <c r="G12" s="350"/>
      <c r="H12" s="350">
        <v>150</v>
      </c>
      <c r="I12" s="97"/>
      <c r="J12" s="97"/>
      <c r="K12" s="95">
        <v>170</v>
      </c>
      <c r="L12" s="95"/>
      <c r="M12" s="95">
        <v>500</v>
      </c>
      <c r="N12" s="95"/>
      <c r="O12" s="95">
        <f t="shared" si="0"/>
        <v>6820</v>
      </c>
    </row>
    <row r="13" spans="2:15" x14ac:dyDescent="0.35">
      <c r="B13" s="94" t="s">
        <v>193</v>
      </c>
      <c r="C13" s="221">
        <f t="shared" si="1"/>
        <v>11370</v>
      </c>
      <c r="D13" s="100">
        <v>1</v>
      </c>
      <c r="E13" s="96">
        <v>8500</v>
      </c>
      <c r="F13" s="350">
        <v>1200</v>
      </c>
      <c r="G13" s="350"/>
      <c r="H13" s="350">
        <v>150</v>
      </c>
      <c r="I13" s="97"/>
      <c r="J13" s="351">
        <v>700</v>
      </c>
      <c r="K13" s="95">
        <v>170</v>
      </c>
      <c r="L13" s="95"/>
      <c r="M13" s="95">
        <v>500</v>
      </c>
      <c r="N13" s="96">
        <v>150</v>
      </c>
      <c r="O13" s="95">
        <f t="shared" si="0"/>
        <v>11370</v>
      </c>
    </row>
    <row r="14" spans="2:15" x14ac:dyDescent="0.35">
      <c r="B14" s="94" t="s">
        <v>194</v>
      </c>
      <c r="C14" s="221">
        <f t="shared" si="1"/>
        <v>23420</v>
      </c>
      <c r="D14" s="219">
        <v>1</v>
      </c>
      <c r="E14" s="96">
        <v>18500</v>
      </c>
      <c r="F14" s="350">
        <v>3000</v>
      </c>
      <c r="G14" s="350"/>
      <c r="H14" s="350">
        <v>150</v>
      </c>
      <c r="I14" s="97"/>
      <c r="J14" s="351">
        <v>800</v>
      </c>
      <c r="K14" s="95">
        <v>170</v>
      </c>
      <c r="L14" s="95"/>
      <c r="M14" s="95">
        <v>500</v>
      </c>
      <c r="N14" s="96">
        <f>N9</f>
        <v>300</v>
      </c>
      <c r="O14" s="95">
        <f t="shared" si="0"/>
        <v>23420</v>
      </c>
    </row>
    <row r="15" spans="2:15" s="78" customFormat="1" x14ac:dyDescent="0.35">
      <c r="B15" s="380" t="s">
        <v>241</v>
      </c>
      <c r="C15" s="380"/>
      <c r="D15" s="381"/>
      <c r="E15" s="382"/>
      <c r="F15" s="382"/>
      <c r="G15" s="382"/>
      <c r="H15" s="382"/>
      <c r="I15" s="382"/>
      <c r="J15" s="382"/>
      <c r="K15" s="382"/>
      <c r="L15" s="382"/>
      <c r="M15" s="382"/>
      <c r="N15" s="382"/>
      <c r="O15" s="382"/>
    </row>
    <row r="16" spans="2:15" x14ac:dyDescent="0.35">
      <c r="B16" s="86"/>
      <c r="C16" s="86"/>
      <c r="D16" s="55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</row>
    <row r="17" spans="2:13" x14ac:dyDescent="0.35">
      <c r="B17" s="348" t="s">
        <v>461</v>
      </c>
      <c r="C17" s="348"/>
      <c r="D17" s="349">
        <f>Maning!C6+Maning!C7+Maning!C13</f>
        <v>138</v>
      </c>
      <c r="G17" s="17">
        <f>(2*30)/8</f>
        <v>7.5</v>
      </c>
      <c r="I17" s="17">
        <f>30000/130</f>
        <v>230.76923076923077</v>
      </c>
      <c r="J17" s="84"/>
      <c r="K17" s="83"/>
      <c r="L17" s="83">
        <f>H5*162</f>
        <v>24300</v>
      </c>
    </row>
    <row r="18" spans="2:13" x14ac:dyDescent="0.35">
      <c r="B18" s="87" t="s">
        <v>459</v>
      </c>
      <c r="C18" s="87"/>
      <c r="D18" s="17">
        <v>30</v>
      </c>
      <c r="E18" s="17">
        <v>800</v>
      </c>
      <c r="F18" s="330">
        <f>Maning!E18-('Manpower CTC'!D18+'Manpower CTC'!D19)</f>
        <v>78</v>
      </c>
      <c r="M18" s="84">
        <f>170*162</f>
        <v>27540</v>
      </c>
    </row>
    <row r="19" spans="2:13" x14ac:dyDescent="0.35">
      <c r="B19" s="85" t="s">
        <v>460</v>
      </c>
      <c r="D19" s="17">
        <v>30</v>
      </c>
    </row>
    <row r="20" spans="2:13" x14ac:dyDescent="0.35">
      <c r="B20" s="85" t="s">
        <v>462</v>
      </c>
      <c r="D20" s="330">
        <f>D17-(D18+D19)</f>
        <v>78</v>
      </c>
      <c r="E20" s="17">
        <f>D20/16</f>
        <v>4.875</v>
      </c>
      <c r="F20" s="84">
        <f>(E20*1500*30)+30000</f>
        <v>249375</v>
      </c>
      <c r="G20" s="83">
        <f>F20/138</f>
        <v>1807.0652173913043</v>
      </c>
      <c r="I20" s="330">
        <f>D18+D20</f>
        <v>108</v>
      </c>
      <c r="J20" s="17">
        <f>I20/6</f>
        <v>18</v>
      </c>
      <c r="K20" s="17">
        <f>J20*5000</f>
        <v>90000</v>
      </c>
      <c r="L20" s="17">
        <f>K20/138</f>
        <v>652.17391304347825</v>
      </c>
    </row>
    <row r="21" spans="2:13" x14ac:dyDescent="0.35">
      <c r="B21" s="87"/>
      <c r="C21" s="87"/>
    </row>
    <row r="22" spans="2:13" x14ac:dyDescent="0.35">
      <c r="F22" s="330">
        <f>D18+D20</f>
        <v>108</v>
      </c>
      <c r="G22" s="17">
        <f>F22/8</f>
        <v>13.5</v>
      </c>
      <c r="H22" s="17">
        <f>(1500*30)/20</f>
        <v>2250</v>
      </c>
    </row>
    <row r="23" spans="2:13" x14ac:dyDescent="0.35">
      <c r="G23" s="83">
        <f>G22*E5</f>
        <v>67500</v>
      </c>
      <c r="I23" s="330">
        <f>Maning!C6</f>
        <v>94</v>
      </c>
      <c r="J23" s="83">
        <f>I5</f>
        <v>0</v>
      </c>
      <c r="K23" s="83">
        <f>I23*J23</f>
        <v>0</v>
      </c>
    </row>
    <row r="24" spans="2:13" x14ac:dyDescent="0.35">
      <c r="B24" s="441">
        <f>150*162</f>
        <v>24300</v>
      </c>
      <c r="G24" s="83">
        <f>G23/138</f>
        <v>489.13043478260869</v>
      </c>
      <c r="I24" s="330">
        <f>Maning!C7</f>
        <v>14</v>
      </c>
      <c r="J24" s="83">
        <f t="shared" ref="J24:J32" si="2">I6</f>
        <v>0</v>
      </c>
      <c r="K24" s="83">
        <f t="shared" ref="K24:K32" si="3">I24*J24</f>
        <v>0</v>
      </c>
    </row>
    <row r="25" spans="2:13" x14ac:dyDescent="0.35">
      <c r="I25" s="330">
        <f>Maning!C8</f>
        <v>11</v>
      </c>
      <c r="J25" s="83">
        <f t="shared" si="2"/>
        <v>0</v>
      </c>
      <c r="K25" s="83">
        <f t="shared" si="3"/>
        <v>0</v>
      </c>
    </row>
    <row r="26" spans="2:13" x14ac:dyDescent="0.35">
      <c r="I26" s="330">
        <f>Maning!C9</f>
        <v>3</v>
      </c>
      <c r="J26" s="83">
        <f t="shared" si="2"/>
        <v>0</v>
      </c>
      <c r="K26" s="83">
        <f t="shared" si="3"/>
        <v>0</v>
      </c>
    </row>
    <row r="27" spans="2:13" x14ac:dyDescent="0.35">
      <c r="I27" s="330">
        <f>Maning!C10</f>
        <v>2</v>
      </c>
      <c r="J27" s="83">
        <f t="shared" si="2"/>
        <v>0</v>
      </c>
      <c r="K27" s="83">
        <f t="shared" si="3"/>
        <v>0</v>
      </c>
    </row>
    <row r="28" spans="2:13" x14ac:dyDescent="0.35">
      <c r="I28" s="330">
        <f>Maning!C11</f>
        <v>2.9999999999999996</v>
      </c>
      <c r="J28" s="83">
        <f t="shared" si="2"/>
        <v>0</v>
      </c>
      <c r="K28" s="83">
        <f t="shared" si="3"/>
        <v>0</v>
      </c>
    </row>
    <row r="29" spans="2:13" x14ac:dyDescent="0.35">
      <c r="I29" s="330">
        <f>Maning!C12</f>
        <v>1</v>
      </c>
      <c r="J29" s="83">
        <f t="shared" si="2"/>
        <v>0</v>
      </c>
      <c r="K29" s="83">
        <f t="shared" si="3"/>
        <v>0</v>
      </c>
    </row>
    <row r="30" spans="2:13" x14ac:dyDescent="0.35">
      <c r="I30" s="330">
        <f>Maning!C13</f>
        <v>30</v>
      </c>
      <c r="J30" s="83">
        <f t="shared" si="2"/>
        <v>0</v>
      </c>
      <c r="K30" s="83">
        <f t="shared" si="3"/>
        <v>0</v>
      </c>
    </row>
    <row r="31" spans="2:13" x14ac:dyDescent="0.35">
      <c r="I31" s="330">
        <f>Maning!C14</f>
        <v>3</v>
      </c>
      <c r="J31" s="83">
        <f t="shared" si="2"/>
        <v>0</v>
      </c>
      <c r="K31" s="83">
        <f t="shared" si="3"/>
        <v>0</v>
      </c>
    </row>
    <row r="32" spans="2:13" x14ac:dyDescent="0.35">
      <c r="I32" s="330">
        <f>Maning!C15</f>
        <v>1</v>
      </c>
      <c r="J32" s="83">
        <f t="shared" si="2"/>
        <v>0</v>
      </c>
      <c r="K32" s="83">
        <f t="shared" si="3"/>
        <v>0</v>
      </c>
    </row>
    <row r="33" spans="2:11" x14ac:dyDescent="0.35">
      <c r="I33" s="330"/>
      <c r="J33" s="83">
        <f t="shared" ref="J33" si="4">E15+I15</f>
        <v>0</v>
      </c>
      <c r="K33" s="83">
        <f>SUM(K23:K32)</f>
        <v>0</v>
      </c>
    </row>
    <row r="35" spans="2:11" x14ac:dyDescent="0.35">
      <c r="B35" s="85" t="s">
        <v>466</v>
      </c>
      <c r="C35" s="85">
        <v>10</v>
      </c>
      <c r="D35" s="17">
        <v>2</v>
      </c>
      <c r="E35" s="17">
        <f>C35*D35*30</f>
        <v>600</v>
      </c>
      <c r="F35" s="17">
        <f>E35/8</f>
        <v>75</v>
      </c>
      <c r="G35" s="17">
        <f>F35/30</f>
        <v>2.5</v>
      </c>
      <c r="H35" s="17">
        <f>G35*5000</f>
        <v>12500</v>
      </c>
      <c r="I35" s="17">
        <f>H35/138</f>
        <v>90.579710144927532</v>
      </c>
    </row>
    <row r="36" spans="2:11" x14ac:dyDescent="0.35">
      <c r="C36" s="85">
        <v>2</v>
      </c>
      <c r="D36" s="17">
        <v>2</v>
      </c>
      <c r="E36" s="17">
        <f>C36*D36*30</f>
        <v>120</v>
      </c>
      <c r="F36" s="17">
        <f>E36/8</f>
        <v>15</v>
      </c>
      <c r="G36" s="17">
        <f>F36/30</f>
        <v>0.5</v>
      </c>
      <c r="H36" s="83">
        <f>G36*E7</f>
        <v>4000</v>
      </c>
      <c r="I36" s="83">
        <f>H36/17</f>
        <v>235.29411764705881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8B8C-407D-41D0-B9C9-61C125222949}">
  <dimension ref="B3:T35"/>
  <sheetViews>
    <sheetView workbookViewId="0">
      <selection activeCell="A20" sqref="A20:XFD20"/>
    </sheetView>
  </sheetViews>
  <sheetFormatPr defaultColWidth="8.90625" defaultRowHeight="14.5" x14ac:dyDescent="0.35"/>
  <cols>
    <col min="1" max="1" width="1" style="82" customWidth="1"/>
    <col min="2" max="2" width="26.81640625" style="82" bestFit="1" customWidth="1"/>
    <col min="3" max="3" width="9.90625" style="82" customWidth="1"/>
    <col min="4" max="5" width="8.90625" style="82"/>
    <col min="6" max="19" width="9.6328125" style="17" customWidth="1"/>
    <col min="20" max="20" width="11.08984375" style="82" bestFit="1" customWidth="1"/>
    <col min="21" max="16384" width="8.90625" style="82"/>
  </cols>
  <sheetData>
    <row r="3" spans="2:19" x14ac:dyDescent="0.35">
      <c r="B3" s="82" t="s">
        <v>305</v>
      </c>
      <c r="C3" s="17"/>
    </row>
    <row r="4" spans="2:19" ht="65.400000000000006" customHeight="1" x14ac:dyDescent="0.35">
      <c r="B4" s="101"/>
      <c r="C4" s="638" t="s">
        <v>419</v>
      </c>
      <c r="F4" s="230" t="s">
        <v>145</v>
      </c>
      <c r="G4" s="122" t="s">
        <v>146</v>
      </c>
      <c r="H4" s="122" t="s">
        <v>147</v>
      </c>
      <c r="I4" s="122" t="s">
        <v>148</v>
      </c>
      <c r="J4" s="122" t="s">
        <v>149</v>
      </c>
      <c r="K4" s="122" t="s">
        <v>150</v>
      </c>
      <c r="L4" s="122" t="s">
        <v>151</v>
      </c>
      <c r="M4" s="122" t="s">
        <v>152</v>
      </c>
      <c r="N4" s="122" t="s">
        <v>153</v>
      </c>
      <c r="O4" s="122" t="s">
        <v>154</v>
      </c>
      <c r="P4" s="122" t="s">
        <v>155</v>
      </c>
      <c r="Q4" s="122" t="s">
        <v>156</v>
      </c>
      <c r="R4" s="122" t="s">
        <v>157</v>
      </c>
      <c r="S4" s="122" t="s">
        <v>339</v>
      </c>
    </row>
    <row r="5" spans="2:19" s="251" customFormat="1" ht="29" x14ac:dyDescent="0.35">
      <c r="B5" s="247" t="s">
        <v>182</v>
      </c>
      <c r="C5" s="639"/>
      <c r="F5" s="250" t="s">
        <v>227</v>
      </c>
      <c r="G5" s="250" t="s">
        <v>227</v>
      </c>
      <c r="H5" s="250" t="s">
        <v>227</v>
      </c>
      <c r="I5" s="250" t="s">
        <v>227</v>
      </c>
      <c r="J5" s="250" t="s">
        <v>227</v>
      </c>
      <c r="K5" s="250" t="s">
        <v>227</v>
      </c>
      <c r="L5" s="250" t="s">
        <v>227</v>
      </c>
      <c r="M5" s="250" t="s">
        <v>227</v>
      </c>
      <c r="N5" s="250" t="s">
        <v>227</v>
      </c>
      <c r="O5" s="250" t="s">
        <v>227</v>
      </c>
      <c r="P5" s="250" t="s">
        <v>227</v>
      </c>
      <c r="Q5" s="250" t="s">
        <v>227</v>
      </c>
      <c r="R5" s="250" t="s">
        <v>227</v>
      </c>
      <c r="S5" s="250" t="s">
        <v>227</v>
      </c>
    </row>
    <row r="6" spans="2:19" x14ac:dyDescent="0.35">
      <c r="B6" s="247" t="str">
        <f>'Manpower CTC'!B5</f>
        <v>Labors Morning Shift</v>
      </c>
      <c r="C6" s="248">
        <f>F6+G6+H6+I6+J6+K6+L6+M6+N6+O6+P6+Q6+R6</f>
        <v>94</v>
      </c>
      <c r="D6" s="269">
        <f>C6-(F6+G6+H6+I6+J6+K6+L6+M6+N6+O6+P6+Q6+R6+S6)</f>
        <v>0</v>
      </c>
      <c r="F6" s="249">
        <f>'BOQ Zone A Manpower'!C8</f>
        <v>20</v>
      </c>
      <c r="G6" s="249">
        <f>'BOQ Zone A Manpower'!D8</f>
        <v>10</v>
      </c>
      <c r="H6" s="249">
        <f>'BOQ Zone A Manpower'!E8</f>
        <v>11</v>
      </c>
      <c r="I6" s="249">
        <f>'BOQ Zone A Manpower'!F8</f>
        <v>20</v>
      </c>
      <c r="J6" s="249">
        <f>'BOQ Zone A Manpower'!G8</f>
        <v>5</v>
      </c>
      <c r="K6" s="249">
        <f>'BOQ Zone A Manpower'!H8</f>
        <v>4</v>
      </c>
      <c r="L6" s="249">
        <f>'BOQ Zone A Manpower'!I8</f>
        <v>3</v>
      </c>
      <c r="M6" s="249">
        <f>'BOQ Zone A Manpower'!J8</f>
        <v>4</v>
      </c>
      <c r="N6" s="249">
        <f>'BOQ Zone A Manpower'!K8</f>
        <v>4</v>
      </c>
      <c r="O6" s="249">
        <f>'BOQ Zone A Manpower'!L8</f>
        <v>5</v>
      </c>
      <c r="P6" s="249">
        <f>'BOQ Zone A Manpower'!M8</f>
        <v>1</v>
      </c>
      <c r="Q6" s="249">
        <f>'BOQ Zone A Manpower'!N8</f>
        <v>6</v>
      </c>
      <c r="R6" s="249">
        <f>'BOQ Zone A Manpower'!O8</f>
        <v>1</v>
      </c>
      <c r="S6" s="249"/>
    </row>
    <row r="7" spans="2:19" x14ac:dyDescent="0.35">
      <c r="B7" s="247" t="str">
        <f>'Manpower CTC'!B6</f>
        <v>Labors Noon Shift</v>
      </c>
      <c r="C7" s="248">
        <f t="shared" ref="C7:C12" si="0">F7+G7+H7+I7+J7+K7+L7+M7+N7+O7+P7+Q7+R7</f>
        <v>14</v>
      </c>
      <c r="D7" s="269">
        <f t="shared" ref="D7:D15" si="1">C7-(F7+G7+H7+I7+J7+K7+L7+M7+N7+O7+P7+Q7+R7+S7)</f>
        <v>0</v>
      </c>
      <c r="F7" s="249">
        <f>'BOQ Zone A Manpower'!C9</f>
        <v>3.2553191489361701</v>
      </c>
      <c r="G7" s="249">
        <f>'BOQ Zone A Manpower'!D9</f>
        <v>1.7234042553191489</v>
      </c>
      <c r="H7" s="249">
        <f>'BOQ Zone A Manpower'!E9</f>
        <v>1.3404255319148937</v>
      </c>
      <c r="I7" s="249">
        <f>'BOQ Zone A Manpower'!F9</f>
        <v>2.6808510638297873</v>
      </c>
      <c r="J7" s="249">
        <f>'BOQ Zone A Manpower'!G9</f>
        <v>0</v>
      </c>
      <c r="K7" s="249">
        <f>'BOQ Zone A Manpower'!H9</f>
        <v>0</v>
      </c>
      <c r="L7" s="249">
        <f>'BOQ Zone A Manpower'!I9</f>
        <v>0</v>
      </c>
      <c r="M7" s="249">
        <f>'BOQ Zone A Manpower'!J9</f>
        <v>0</v>
      </c>
      <c r="N7" s="249">
        <f>'BOQ Zone A Manpower'!K9</f>
        <v>0</v>
      </c>
      <c r="O7" s="249">
        <f>'BOQ Zone A Manpower'!L9</f>
        <v>5</v>
      </c>
      <c r="P7" s="249">
        <f>'BOQ Zone A Manpower'!M9</f>
        <v>0</v>
      </c>
      <c r="Q7" s="249">
        <f>'BOQ Zone A Manpower'!N9</f>
        <v>0</v>
      </c>
      <c r="R7" s="249">
        <f>'BOQ Zone A Manpower'!O9</f>
        <v>0</v>
      </c>
      <c r="S7" s="249"/>
    </row>
    <row r="8" spans="2:19" x14ac:dyDescent="0.35">
      <c r="B8" s="247" t="str">
        <f>'Manpower CTC'!B7</f>
        <v>Supervisor Morning Shift</v>
      </c>
      <c r="C8" s="248">
        <f t="shared" si="0"/>
        <v>11</v>
      </c>
      <c r="D8" s="269">
        <f t="shared" si="1"/>
        <v>0</v>
      </c>
      <c r="F8" s="249">
        <f>'BOQ Zone A Manpower'!C10</f>
        <v>2</v>
      </c>
      <c r="G8" s="249">
        <f>'BOQ Zone A Manpower'!D10</f>
        <v>1</v>
      </c>
      <c r="H8" s="249">
        <f>'BOQ Zone A Manpower'!E10</f>
        <v>1</v>
      </c>
      <c r="I8" s="249">
        <f>'BOQ Zone A Manpower'!F10</f>
        <v>2</v>
      </c>
      <c r="J8" s="249">
        <f>'BOQ Zone A Manpower'!G10</f>
        <v>1</v>
      </c>
      <c r="K8" s="249">
        <f>'BOQ Zone A Manpower'!H10</f>
        <v>0.5714285714285714</v>
      </c>
      <c r="L8" s="249">
        <f>'BOQ Zone A Manpower'!I10</f>
        <v>0.42857142857142855</v>
      </c>
      <c r="M8" s="249">
        <f>'BOQ Zone A Manpower'!J10</f>
        <v>0.5</v>
      </c>
      <c r="N8" s="249">
        <f>'BOQ Zone A Manpower'!K10</f>
        <v>0.5</v>
      </c>
      <c r="O8" s="249">
        <f>'BOQ Zone A Manpower'!L10</f>
        <v>1</v>
      </c>
      <c r="P8" s="249">
        <f>'BOQ Zone A Manpower'!M10</f>
        <v>0.125</v>
      </c>
      <c r="Q8" s="249">
        <f>'BOQ Zone A Manpower'!N10</f>
        <v>0.75</v>
      </c>
      <c r="R8" s="249">
        <f>'BOQ Zone A Manpower'!O10</f>
        <v>0.125</v>
      </c>
      <c r="S8" s="249"/>
    </row>
    <row r="9" spans="2:19" x14ac:dyDescent="0.35">
      <c r="B9" s="247" t="str">
        <f>'Manpower CTC'!B8</f>
        <v>Supervisor Noon Shift</v>
      </c>
      <c r="C9" s="248">
        <f t="shared" si="0"/>
        <v>3</v>
      </c>
      <c r="D9" s="269">
        <f t="shared" si="1"/>
        <v>0</v>
      </c>
      <c r="F9" s="249">
        <f>'BOQ Zone A Manpower'!C11</f>
        <v>0.66666666666666663</v>
      </c>
      <c r="G9" s="249">
        <f>'BOQ Zone A Manpower'!D11</f>
        <v>0.33333333333333331</v>
      </c>
      <c r="H9" s="249">
        <f>'BOQ Zone A Manpower'!E11</f>
        <v>0.33333333333333331</v>
      </c>
      <c r="I9" s="249">
        <f>'BOQ Zone A Manpower'!F11</f>
        <v>0.66666666666666663</v>
      </c>
      <c r="J9" s="249">
        <f>'BOQ Zone A Manpower'!G11</f>
        <v>0</v>
      </c>
      <c r="K9" s="249">
        <f>'BOQ Zone A Manpower'!H11</f>
        <v>0</v>
      </c>
      <c r="L9" s="249">
        <f>'BOQ Zone A Manpower'!I11</f>
        <v>0</v>
      </c>
      <c r="M9" s="249">
        <f>'BOQ Zone A Manpower'!J11</f>
        <v>0</v>
      </c>
      <c r="N9" s="249">
        <f>'BOQ Zone A Manpower'!K11</f>
        <v>0</v>
      </c>
      <c r="O9" s="249">
        <f>'BOQ Zone A Manpower'!L11</f>
        <v>1</v>
      </c>
      <c r="P9" s="249">
        <f>'BOQ Zone A Manpower'!M11</f>
        <v>0</v>
      </c>
      <c r="Q9" s="249">
        <f>'BOQ Zone A Manpower'!N11</f>
        <v>0</v>
      </c>
      <c r="R9" s="249">
        <f>'BOQ Zone A Manpower'!O11</f>
        <v>0</v>
      </c>
      <c r="S9" s="249"/>
    </row>
    <row r="10" spans="2:19" x14ac:dyDescent="0.35">
      <c r="B10" s="247" t="str">
        <f>'Manpower CTC'!B9</f>
        <v>Site Admin</v>
      </c>
      <c r="C10" s="248">
        <f t="shared" si="0"/>
        <v>2</v>
      </c>
      <c r="D10" s="269">
        <f t="shared" si="1"/>
        <v>0</v>
      </c>
      <c r="F10" s="249">
        <f>'BOQ Zone A Manpower'!C12</f>
        <v>0.43065405831363274</v>
      </c>
      <c r="G10" s="249">
        <f>'BOQ Zone A Manpower'!D12</f>
        <v>0.21710007880220647</v>
      </c>
      <c r="H10" s="249">
        <f>'BOQ Zone A Manpower'!E12</f>
        <v>0.22852639873916469</v>
      </c>
      <c r="I10" s="249">
        <f>'BOQ Zone A Manpower'!F12</f>
        <v>0.42001576044129235</v>
      </c>
      <c r="J10" s="249">
        <f>'BOQ Zone A Manpower'!G12</f>
        <v>9.2592592592592587E-2</v>
      </c>
      <c r="K10" s="249">
        <f>'BOQ Zone A Manpower'!H12</f>
        <v>7.407407407407407E-2</v>
      </c>
      <c r="L10" s="249">
        <f>'BOQ Zone A Manpower'!I12</f>
        <v>5.5555555555555552E-2</v>
      </c>
      <c r="M10" s="249">
        <f>'BOQ Zone A Manpower'!J12</f>
        <v>7.407407407407407E-2</v>
      </c>
      <c r="N10" s="249">
        <f>'BOQ Zone A Manpower'!K12</f>
        <v>7.407407407407407E-2</v>
      </c>
      <c r="O10" s="249">
        <f>'BOQ Zone A Manpower'!L12</f>
        <v>0.18518518518518517</v>
      </c>
      <c r="P10" s="249">
        <f>'BOQ Zone A Manpower'!M12</f>
        <v>1.8518518518518517E-2</v>
      </c>
      <c r="Q10" s="249">
        <f>'BOQ Zone A Manpower'!N12</f>
        <v>0.1111111111111111</v>
      </c>
      <c r="R10" s="249">
        <f>'BOQ Zone A Manpower'!O12</f>
        <v>1.8518518518518517E-2</v>
      </c>
      <c r="S10" s="249"/>
    </row>
    <row r="11" spans="2:19" x14ac:dyDescent="0.35">
      <c r="B11" s="247" t="str">
        <f>'Manpower CTC'!B10</f>
        <v>Site Assistant</v>
      </c>
      <c r="C11" s="248">
        <f t="shared" si="0"/>
        <v>2.9999999999999996</v>
      </c>
      <c r="D11" s="269">
        <f t="shared" si="1"/>
        <v>0</v>
      </c>
      <c r="F11" s="249">
        <f>'BOQ Zone A Manpower'!C13</f>
        <v>0.64598108747044913</v>
      </c>
      <c r="G11" s="249">
        <f>'BOQ Zone A Manpower'!D13</f>
        <v>0.32565011820330969</v>
      </c>
      <c r="H11" s="249">
        <f>'BOQ Zone A Manpower'!E13</f>
        <v>0.34278959810874704</v>
      </c>
      <c r="I11" s="249">
        <f>'BOQ Zone A Manpower'!F13</f>
        <v>0.6300236406619385</v>
      </c>
      <c r="J11" s="249">
        <f>'BOQ Zone A Manpower'!G13</f>
        <v>0.1388888888888889</v>
      </c>
      <c r="K11" s="249">
        <f>'BOQ Zone A Manpower'!H13</f>
        <v>0.1111111111111111</v>
      </c>
      <c r="L11" s="249">
        <f>'BOQ Zone A Manpower'!I13</f>
        <v>8.3333333333333329E-2</v>
      </c>
      <c r="M11" s="249">
        <f>'BOQ Zone A Manpower'!J13</f>
        <v>0.1111111111111111</v>
      </c>
      <c r="N11" s="249">
        <f>'BOQ Zone A Manpower'!K13</f>
        <v>0.1111111111111111</v>
      </c>
      <c r="O11" s="249">
        <f>'BOQ Zone A Manpower'!L13</f>
        <v>0.27777777777777779</v>
      </c>
      <c r="P11" s="249">
        <f>'BOQ Zone A Manpower'!M13</f>
        <v>2.7777777777777776E-2</v>
      </c>
      <c r="Q11" s="249">
        <f>'BOQ Zone A Manpower'!N13</f>
        <v>0.16666666666666666</v>
      </c>
      <c r="R11" s="249">
        <f>'BOQ Zone A Manpower'!O13</f>
        <v>2.7777777777777776E-2</v>
      </c>
      <c r="S11" s="249"/>
    </row>
    <row r="12" spans="2:19" x14ac:dyDescent="0.35">
      <c r="B12" s="247" t="str">
        <f>'Manpower CTC'!B11</f>
        <v>Site Manager</v>
      </c>
      <c r="C12" s="248">
        <f t="shared" si="0"/>
        <v>1</v>
      </c>
      <c r="D12" s="269">
        <f t="shared" si="1"/>
        <v>0</v>
      </c>
      <c r="F12" s="249">
        <f>'BOQ Zone A Manpower'!C14</f>
        <v>0.21532702915681637</v>
      </c>
      <c r="G12" s="249">
        <f>'BOQ Zone A Manpower'!D14</f>
        <v>0.10855003940110323</v>
      </c>
      <c r="H12" s="249">
        <f>'BOQ Zone A Manpower'!E14</f>
        <v>0.11426319936958235</v>
      </c>
      <c r="I12" s="249">
        <f>'BOQ Zone A Manpower'!F14</f>
        <v>0.21000788022064618</v>
      </c>
      <c r="J12" s="249">
        <f>'BOQ Zone A Manpower'!G14</f>
        <v>4.6296296296296294E-2</v>
      </c>
      <c r="K12" s="249">
        <f>'BOQ Zone A Manpower'!H14</f>
        <v>3.7037037037037035E-2</v>
      </c>
      <c r="L12" s="249">
        <f>'BOQ Zone A Manpower'!I14</f>
        <v>2.7777777777777776E-2</v>
      </c>
      <c r="M12" s="249">
        <f>'BOQ Zone A Manpower'!J14</f>
        <v>3.7037037037037035E-2</v>
      </c>
      <c r="N12" s="249">
        <f>'BOQ Zone A Manpower'!K14</f>
        <v>3.7037037037037035E-2</v>
      </c>
      <c r="O12" s="249">
        <f>'BOQ Zone A Manpower'!L14</f>
        <v>9.2592592592592587E-2</v>
      </c>
      <c r="P12" s="249">
        <f>'BOQ Zone A Manpower'!M14</f>
        <v>9.2592592592592587E-3</v>
      </c>
      <c r="Q12" s="249">
        <f>'BOQ Zone A Manpower'!N14</f>
        <v>5.5555555555555552E-2</v>
      </c>
      <c r="R12" s="249">
        <f>'BOQ Zone A Manpower'!O14</f>
        <v>9.2592592592592587E-3</v>
      </c>
      <c r="S12" s="249"/>
    </row>
    <row r="13" spans="2:19" x14ac:dyDescent="0.35">
      <c r="B13" s="247" t="str">
        <f>'Manpower CTC'!B12</f>
        <v>Sales Center Labor</v>
      </c>
      <c r="C13" s="248">
        <f>S13</f>
        <v>30</v>
      </c>
      <c r="D13" s="269">
        <f t="shared" si="1"/>
        <v>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49">
        <f>'BOQ Zone A Manpower'!P8+'BOQ Zone A Manpower'!P9</f>
        <v>30</v>
      </c>
    </row>
    <row r="14" spans="2:19" x14ac:dyDescent="0.35">
      <c r="B14" s="247" t="str">
        <f>'Manpower CTC'!B13</f>
        <v>Sales Center supervisor</v>
      </c>
      <c r="C14" s="248">
        <f t="shared" ref="C14:C15" si="2">S14</f>
        <v>3</v>
      </c>
      <c r="D14" s="269">
        <f t="shared" si="1"/>
        <v>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249">
        <f>'BOQ Zone A Manpower'!P10+'BOQ Zone A Manpower'!P11</f>
        <v>3</v>
      </c>
    </row>
    <row r="15" spans="2:19" x14ac:dyDescent="0.35">
      <c r="B15" s="247" t="str">
        <f>'Manpower CTC'!B14</f>
        <v>Sales Center Assistant Manager</v>
      </c>
      <c r="C15" s="248">
        <f t="shared" si="2"/>
        <v>1</v>
      </c>
      <c r="D15" s="269">
        <f t="shared" si="1"/>
        <v>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249">
        <f>'BOQ Zone A Manpower'!P13</f>
        <v>1</v>
      </c>
    </row>
    <row r="16" spans="2:19" x14ac:dyDescent="0.35">
      <c r="B16" s="247" t="s">
        <v>240</v>
      </c>
      <c r="C16" s="248">
        <f>SUM(C6:C15)</f>
        <v>162</v>
      </c>
      <c r="D16" s="269">
        <f>C16-(F16+G16+H16+I16+J16+K16+L16+M16+N16+O16+P16+Q16+R16+S16)</f>
        <v>0</v>
      </c>
      <c r="E16" s="269"/>
      <c r="F16" s="248">
        <f>SUM(F6:F15)</f>
        <v>27.213947990543737</v>
      </c>
      <c r="G16" s="248">
        <f t="shared" ref="G16:R16" si="3">SUM(G6:G15)</f>
        <v>13.708037825059103</v>
      </c>
      <c r="H16" s="248">
        <f t="shared" si="3"/>
        <v>14.359338061465721</v>
      </c>
      <c r="I16" s="248">
        <f t="shared" si="3"/>
        <v>26.607565011820334</v>
      </c>
      <c r="J16" s="248">
        <f t="shared" si="3"/>
        <v>6.2777777777777786</v>
      </c>
      <c r="K16" s="248">
        <f t="shared" si="3"/>
        <v>4.7936507936507935</v>
      </c>
      <c r="L16" s="248">
        <f t="shared" si="3"/>
        <v>3.5952380952380949</v>
      </c>
      <c r="M16" s="248">
        <f t="shared" si="3"/>
        <v>4.7222222222222223</v>
      </c>
      <c r="N16" s="248">
        <f t="shared" si="3"/>
        <v>4.7222222222222223</v>
      </c>
      <c r="O16" s="248">
        <f t="shared" si="3"/>
        <v>12.555555555555557</v>
      </c>
      <c r="P16" s="248">
        <f t="shared" si="3"/>
        <v>1.1805555555555556</v>
      </c>
      <c r="Q16" s="248">
        <f t="shared" si="3"/>
        <v>7.083333333333333</v>
      </c>
      <c r="R16" s="248">
        <f t="shared" si="3"/>
        <v>1.1805555555555556</v>
      </c>
      <c r="S16" s="248">
        <f>SUM(S6:S15)</f>
        <v>34</v>
      </c>
    </row>
    <row r="17" spans="2:20" x14ac:dyDescent="0.35">
      <c r="G17" s="82"/>
    </row>
    <row r="18" spans="2:20" x14ac:dyDescent="0.35">
      <c r="E18" s="269">
        <f>C6+C7+C13</f>
        <v>138</v>
      </c>
      <c r="G18" s="82"/>
    </row>
    <row r="19" spans="2:20" x14ac:dyDescent="0.35">
      <c r="E19" s="269">
        <f>C8+C9+C14</f>
        <v>17</v>
      </c>
      <c r="G19" s="82"/>
    </row>
    <row r="20" spans="2:20" ht="30" customHeight="1" x14ac:dyDescent="0.35">
      <c r="B20" s="82" t="s">
        <v>420</v>
      </c>
      <c r="E20" s="269">
        <f>C10+C11+C12+C15</f>
        <v>7</v>
      </c>
      <c r="F20" s="640" t="s">
        <v>239</v>
      </c>
      <c r="G20" s="640"/>
    </row>
    <row r="21" spans="2:20" x14ac:dyDescent="0.35">
      <c r="B21" s="230" t="s">
        <v>145</v>
      </c>
      <c r="C21" s="266">
        <f>F6+F7</f>
        <v>23.25531914893617</v>
      </c>
      <c r="D21" s="267">
        <f>C21/C$35</f>
        <v>0.1685168054270737</v>
      </c>
      <c r="E21" s="267"/>
      <c r="F21" s="245">
        <v>94</v>
      </c>
      <c r="G21" s="84">
        <v>1900</v>
      </c>
      <c r="H21" s="245"/>
      <c r="R21" s="330">
        <f>C6+C7+C8+C9+C13+C14</f>
        <v>155</v>
      </c>
      <c r="T21" s="442">
        <f>F21*G21</f>
        <v>178600</v>
      </c>
    </row>
    <row r="22" spans="2:20" x14ac:dyDescent="0.35">
      <c r="B22" s="122" t="s">
        <v>146</v>
      </c>
      <c r="C22" s="266">
        <f>G6+G7</f>
        <v>11.723404255319149</v>
      </c>
      <c r="D22" s="267">
        <f t="shared" ref="D22:D34" si="4">C22/C$35</f>
        <v>8.4952204748689489E-2</v>
      </c>
      <c r="E22" s="267"/>
      <c r="F22" s="245">
        <v>14</v>
      </c>
      <c r="G22" s="84">
        <v>1900</v>
      </c>
      <c r="T22" s="442">
        <f t="shared" ref="T22:T29" si="5">F22*G22</f>
        <v>26600</v>
      </c>
    </row>
    <row r="23" spans="2:20" x14ac:dyDescent="0.35">
      <c r="B23" s="122" t="s">
        <v>147</v>
      </c>
      <c r="C23" s="266">
        <f>H6+H7</f>
        <v>12.340425531914894</v>
      </c>
      <c r="D23" s="267">
        <f t="shared" si="4"/>
        <v>8.9423373419673144E-2</v>
      </c>
      <c r="E23" s="267"/>
      <c r="F23" s="17">
        <v>11</v>
      </c>
      <c r="G23" s="84">
        <v>2300</v>
      </c>
      <c r="T23" s="442">
        <f t="shared" si="5"/>
        <v>25300</v>
      </c>
    </row>
    <row r="24" spans="2:20" x14ac:dyDescent="0.35">
      <c r="B24" s="122" t="s">
        <v>148</v>
      </c>
      <c r="C24" s="266">
        <f>I6+I7</f>
        <v>22.680851063829788</v>
      </c>
      <c r="D24" s="267">
        <f t="shared" si="4"/>
        <v>0.16435399321615787</v>
      </c>
      <c r="E24" s="267"/>
      <c r="F24" s="17">
        <v>3</v>
      </c>
      <c r="G24" s="84">
        <v>2300</v>
      </c>
      <c r="R24" s="17">
        <f>R21/16</f>
        <v>9.6875</v>
      </c>
      <c r="T24" s="442">
        <f t="shared" si="5"/>
        <v>6900</v>
      </c>
    </row>
    <row r="25" spans="2:20" x14ac:dyDescent="0.35">
      <c r="B25" s="122" t="s">
        <v>149</v>
      </c>
      <c r="C25" s="266">
        <f>J6+J7</f>
        <v>5</v>
      </c>
      <c r="D25" s="267">
        <f t="shared" si="4"/>
        <v>3.6231884057971016E-2</v>
      </c>
      <c r="E25" s="267"/>
      <c r="F25" s="17">
        <v>2</v>
      </c>
      <c r="G25" s="84">
        <v>2300</v>
      </c>
      <c r="R25" s="17">
        <f>R24*1300*30</f>
        <v>377812.5</v>
      </c>
      <c r="T25" s="442">
        <f t="shared" si="5"/>
        <v>4600</v>
      </c>
    </row>
    <row r="26" spans="2:20" x14ac:dyDescent="0.35">
      <c r="B26" s="122" t="s">
        <v>150</v>
      </c>
      <c r="C26" s="266">
        <f>K6+K7</f>
        <v>4</v>
      </c>
      <c r="D26" s="267">
        <f t="shared" si="4"/>
        <v>2.8985507246376812E-2</v>
      </c>
      <c r="E26" s="267"/>
      <c r="F26" s="17">
        <v>2.9999999999999996</v>
      </c>
      <c r="G26" s="84">
        <v>2300</v>
      </c>
      <c r="T26" s="442">
        <f t="shared" si="5"/>
        <v>6899.9999999999991</v>
      </c>
    </row>
    <row r="27" spans="2:20" x14ac:dyDescent="0.35">
      <c r="B27" s="122" t="s">
        <v>151</v>
      </c>
      <c r="C27" s="266">
        <f>L6+L7</f>
        <v>3</v>
      </c>
      <c r="D27" s="267">
        <f t="shared" si="4"/>
        <v>2.1739130434782608E-2</v>
      </c>
      <c r="E27" s="267"/>
      <c r="F27" s="17">
        <v>1</v>
      </c>
      <c r="G27" s="84">
        <v>2300</v>
      </c>
      <c r="T27" s="442">
        <f t="shared" si="5"/>
        <v>2300</v>
      </c>
    </row>
    <row r="28" spans="2:20" x14ac:dyDescent="0.35">
      <c r="B28" s="122" t="s">
        <v>152</v>
      </c>
      <c r="C28" s="266">
        <f>M6+M7</f>
        <v>4</v>
      </c>
      <c r="D28" s="267">
        <f t="shared" si="4"/>
        <v>2.8985507246376812E-2</v>
      </c>
      <c r="E28" s="267"/>
      <c r="F28" s="17">
        <v>30</v>
      </c>
      <c r="G28" s="84">
        <v>1900</v>
      </c>
      <c r="T28" s="442">
        <f t="shared" si="5"/>
        <v>57000</v>
      </c>
    </row>
    <row r="29" spans="2:20" x14ac:dyDescent="0.35">
      <c r="B29" s="122" t="s">
        <v>153</v>
      </c>
      <c r="C29" s="266">
        <f>N6+N7</f>
        <v>4</v>
      </c>
      <c r="D29" s="267">
        <f t="shared" si="4"/>
        <v>2.8985507246376812E-2</v>
      </c>
      <c r="E29" s="267"/>
      <c r="F29" s="17">
        <v>3</v>
      </c>
      <c r="G29" s="84">
        <v>2300</v>
      </c>
      <c r="T29" s="442">
        <f t="shared" si="5"/>
        <v>6900</v>
      </c>
    </row>
    <row r="30" spans="2:20" ht="26" x14ac:dyDescent="0.35">
      <c r="B30" s="122" t="s">
        <v>154</v>
      </c>
      <c r="C30" s="266">
        <f>O6+O7</f>
        <v>10</v>
      </c>
      <c r="D30" s="267">
        <f t="shared" si="4"/>
        <v>7.2463768115942032E-2</v>
      </c>
      <c r="E30" s="267"/>
      <c r="F30" s="17">
        <v>1</v>
      </c>
      <c r="G30" s="84">
        <v>2300</v>
      </c>
      <c r="R30" s="83">
        <f>T31/R21</f>
        <v>2047.741935483871</v>
      </c>
      <c r="T30" s="442">
        <f>F30*G30</f>
        <v>2300</v>
      </c>
    </row>
    <row r="31" spans="2:20" x14ac:dyDescent="0.35">
      <c r="B31" s="122" t="s">
        <v>155</v>
      </c>
      <c r="C31" s="266">
        <f>P6+P7</f>
        <v>1</v>
      </c>
      <c r="D31" s="267">
        <f t="shared" si="4"/>
        <v>7.246376811594203E-3</v>
      </c>
      <c r="E31" s="267"/>
      <c r="T31" s="442">
        <f>SUM(T21:T30)</f>
        <v>317400</v>
      </c>
    </row>
    <row r="32" spans="2:20" x14ac:dyDescent="0.35">
      <c r="B32" s="122" t="s">
        <v>156</v>
      </c>
      <c r="C32" s="266">
        <f>Q6+Q7</f>
        <v>6</v>
      </c>
      <c r="D32" s="267">
        <f t="shared" si="4"/>
        <v>4.3478260869565216E-2</v>
      </c>
      <c r="E32" s="267"/>
    </row>
    <row r="33" spans="2:5" ht="26" x14ac:dyDescent="0.35">
      <c r="B33" s="122" t="s">
        <v>157</v>
      </c>
      <c r="C33" s="266">
        <f>R6+R7</f>
        <v>1</v>
      </c>
      <c r="D33" s="267">
        <f t="shared" si="4"/>
        <v>7.246376811594203E-3</v>
      </c>
      <c r="E33" s="267"/>
    </row>
    <row r="34" spans="2:5" x14ac:dyDescent="0.35">
      <c r="B34" s="122" t="s">
        <v>339</v>
      </c>
      <c r="C34" s="266">
        <f>S13</f>
        <v>30</v>
      </c>
      <c r="D34" s="267">
        <f t="shared" si="4"/>
        <v>0.21739130434782608</v>
      </c>
      <c r="E34" s="267"/>
    </row>
    <row r="35" spans="2:5" x14ac:dyDescent="0.35">
      <c r="C35" s="266">
        <f>SUM(C21:C34)</f>
        <v>138</v>
      </c>
      <c r="D35" s="267">
        <f>SUM(D21:D34)</f>
        <v>1.0000000000000002</v>
      </c>
      <c r="E35" s="267"/>
    </row>
  </sheetData>
  <mergeCells count="2">
    <mergeCell ref="C4:C5"/>
    <mergeCell ref="F20:G20"/>
  </mergeCells>
  <pageMargins left="0.7" right="0.7" top="0.75" bottom="0.75" header="0.3" footer="0.3"/>
  <ignoredErrors>
    <ignoredError sqref="D1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7517-4481-42A3-BDC1-63CE43BF8886}">
  <dimension ref="A1:Y25"/>
  <sheetViews>
    <sheetView topLeftCell="A16" workbookViewId="0">
      <selection activeCell="L14" sqref="L14"/>
    </sheetView>
  </sheetViews>
  <sheetFormatPr defaultRowHeight="14.5" x14ac:dyDescent="0.35"/>
  <cols>
    <col min="1" max="1" width="1.81640625" customWidth="1"/>
    <col min="2" max="2" width="25.453125" customWidth="1"/>
    <col min="3" max="8" width="11.36328125" style="17" customWidth="1"/>
    <col min="9" max="25" width="11.36328125" customWidth="1"/>
  </cols>
  <sheetData>
    <row r="1" spans="1:17" s="214" customFormat="1" x14ac:dyDescent="0.35">
      <c r="A1" s="212"/>
      <c r="B1" s="212"/>
      <c r="C1" s="213"/>
      <c r="D1" s="213"/>
      <c r="E1" s="213"/>
      <c r="F1" s="213"/>
      <c r="G1" s="213"/>
      <c r="H1" s="213"/>
    </row>
    <row r="2" spans="1:17" ht="29" x14ac:dyDescent="0.35">
      <c r="B2" s="1"/>
      <c r="C2" s="230" t="s">
        <v>145</v>
      </c>
      <c r="D2" s="122" t="s">
        <v>146</v>
      </c>
      <c r="E2" s="122" t="s">
        <v>147</v>
      </c>
      <c r="F2" s="122" t="s">
        <v>148</v>
      </c>
      <c r="G2" s="246" t="s">
        <v>409</v>
      </c>
      <c r="N2" s="215"/>
    </row>
    <row r="3" spans="1:17" x14ac:dyDescent="0.35">
      <c r="B3" s="252" t="s">
        <v>409</v>
      </c>
      <c r="C3" s="16">
        <v>17</v>
      </c>
      <c r="D3" s="16">
        <v>9</v>
      </c>
      <c r="E3" s="16">
        <v>7</v>
      </c>
      <c r="F3" s="16">
        <v>14</v>
      </c>
      <c r="G3" s="16">
        <f>SUM(C3:F3)</f>
        <v>47</v>
      </c>
    </row>
    <row r="6" spans="1:17" x14ac:dyDescent="0.35">
      <c r="B6" s="253" t="s">
        <v>305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641" t="s">
        <v>240</v>
      </c>
    </row>
    <row r="7" spans="1:17" ht="52" x14ac:dyDescent="0.35">
      <c r="B7" s="254" t="s">
        <v>306</v>
      </c>
      <c r="C7" s="255" t="s">
        <v>145</v>
      </c>
      <c r="D7" s="232" t="s">
        <v>146</v>
      </c>
      <c r="E7" s="232" t="s">
        <v>147</v>
      </c>
      <c r="F7" s="232" t="s">
        <v>148</v>
      </c>
      <c r="G7" s="232" t="s">
        <v>149</v>
      </c>
      <c r="H7" s="232" t="s">
        <v>150</v>
      </c>
      <c r="I7" s="232" t="s">
        <v>151</v>
      </c>
      <c r="J7" s="232" t="s">
        <v>152</v>
      </c>
      <c r="K7" s="232" t="s">
        <v>153</v>
      </c>
      <c r="L7" s="232" t="s">
        <v>154</v>
      </c>
      <c r="M7" s="232" t="s">
        <v>155</v>
      </c>
      <c r="N7" s="232" t="s">
        <v>156</v>
      </c>
      <c r="O7" s="232" t="s">
        <v>157</v>
      </c>
      <c r="P7" s="233" t="s">
        <v>339</v>
      </c>
      <c r="Q7" s="641"/>
    </row>
    <row r="8" spans="1:17" x14ac:dyDescent="0.35">
      <c r="B8" s="256" t="s">
        <v>410</v>
      </c>
      <c r="C8" s="235">
        <v>20</v>
      </c>
      <c r="D8" s="234">
        <v>10</v>
      </c>
      <c r="E8" s="234">
        <v>11</v>
      </c>
      <c r="F8" s="235">
        <v>20</v>
      </c>
      <c r="G8" s="235">
        <v>5</v>
      </c>
      <c r="H8" s="234">
        <v>4</v>
      </c>
      <c r="I8" s="235">
        <v>3</v>
      </c>
      <c r="J8" s="236">
        <v>4</v>
      </c>
      <c r="K8" s="236">
        <v>4</v>
      </c>
      <c r="L8" s="235">
        <v>5</v>
      </c>
      <c r="M8" s="235">
        <v>1</v>
      </c>
      <c r="N8" s="235">
        <v>6</v>
      </c>
      <c r="O8" s="235">
        <v>1</v>
      </c>
      <c r="P8" s="235">
        <v>19</v>
      </c>
      <c r="Q8" s="257">
        <f>SUM(C8:P8)</f>
        <v>113</v>
      </c>
    </row>
    <row r="9" spans="1:17" x14ac:dyDescent="0.35">
      <c r="B9" s="256" t="s">
        <v>412</v>
      </c>
      <c r="C9" s="235">
        <f>9/G3*C3</f>
        <v>3.2553191489361701</v>
      </c>
      <c r="D9" s="235">
        <f>9/G3*D3</f>
        <v>1.7234042553191489</v>
      </c>
      <c r="E9" s="235">
        <f>9/G3*E3</f>
        <v>1.3404255319148937</v>
      </c>
      <c r="F9" s="235">
        <f>9/G3*F3</f>
        <v>2.6808510638297873</v>
      </c>
      <c r="G9" s="235">
        <v>0</v>
      </c>
      <c r="H9" s="235">
        <v>0</v>
      </c>
      <c r="I9" s="235">
        <v>0</v>
      </c>
      <c r="J9" s="235">
        <v>0</v>
      </c>
      <c r="K9" s="235">
        <v>0</v>
      </c>
      <c r="L9" s="235">
        <v>5</v>
      </c>
      <c r="M9" s="235">
        <v>0</v>
      </c>
      <c r="N9" s="235">
        <v>0</v>
      </c>
      <c r="O9" s="235">
        <v>0</v>
      </c>
      <c r="P9" s="235">
        <v>11</v>
      </c>
      <c r="Q9" s="257">
        <f t="shared" ref="Q9:Q14" si="0">SUM(C9:P9)</f>
        <v>25</v>
      </c>
    </row>
    <row r="10" spans="1:17" x14ac:dyDescent="0.35">
      <c r="B10" s="256" t="s">
        <v>411</v>
      </c>
      <c r="C10" s="234">
        <v>2</v>
      </c>
      <c r="D10" s="234">
        <v>1</v>
      </c>
      <c r="E10" s="234">
        <v>1</v>
      </c>
      <c r="F10" s="234">
        <v>2</v>
      </c>
      <c r="G10" s="234">
        <v>1</v>
      </c>
      <c r="H10" s="234">
        <f>1/7*H8</f>
        <v>0.5714285714285714</v>
      </c>
      <c r="I10" s="234">
        <f>1/7*I8</f>
        <v>0.42857142857142855</v>
      </c>
      <c r="J10" s="234">
        <v>0.5</v>
      </c>
      <c r="K10" s="234">
        <v>0.5</v>
      </c>
      <c r="L10" s="235">
        <v>1</v>
      </c>
      <c r="M10" s="236">
        <f>1/8*M8</f>
        <v>0.125</v>
      </c>
      <c r="N10" s="236">
        <f>1/8*N8</f>
        <v>0.75</v>
      </c>
      <c r="O10" s="236">
        <f>1/8*O8</f>
        <v>0.125</v>
      </c>
      <c r="P10" s="235">
        <v>2</v>
      </c>
      <c r="Q10" s="257">
        <f>SUM(C10:P10)</f>
        <v>13</v>
      </c>
    </row>
    <row r="11" spans="1:17" x14ac:dyDescent="0.35">
      <c r="B11" s="256" t="s">
        <v>413</v>
      </c>
      <c r="C11" s="234">
        <f>2/6*C10</f>
        <v>0.66666666666666663</v>
      </c>
      <c r="D11" s="234">
        <f t="shared" ref="D11:F11" si="1">2/6*D10</f>
        <v>0.33333333333333331</v>
      </c>
      <c r="E11" s="234">
        <f t="shared" si="1"/>
        <v>0.33333333333333331</v>
      </c>
      <c r="F11" s="234">
        <f t="shared" si="1"/>
        <v>0.66666666666666663</v>
      </c>
      <c r="G11" s="234">
        <v>0</v>
      </c>
      <c r="H11" s="234">
        <v>0</v>
      </c>
      <c r="I11" s="234">
        <v>0</v>
      </c>
      <c r="J11" s="234">
        <v>0</v>
      </c>
      <c r="K11" s="234">
        <v>0</v>
      </c>
      <c r="L11" s="234">
        <v>1</v>
      </c>
      <c r="M11" s="234">
        <v>0</v>
      </c>
      <c r="N11" s="234">
        <v>0</v>
      </c>
      <c r="O11" s="234">
        <v>0</v>
      </c>
      <c r="P11" s="235">
        <v>1</v>
      </c>
      <c r="Q11" s="257">
        <f t="shared" si="0"/>
        <v>4</v>
      </c>
    </row>
    <row r="12" spans="1:17" x14ac:dyDescent="0.35">
      <c r="B12" s="258" t="s">
        <v>309</v>
      </c>
      <c r="C12" s="236">
        <f>2/(($Q8+$Q9)-($P8+$P9))*(C8+C9)</f>
        <v>0.43065405831363274</v>
      </c>
      <c r="D12" s="236">
        <f t="shared" ref="D12:O12" si="2">2/(($Q8+$Q9)-($P8+$P9))*(D8+D9)</f>
        <v>0.21710007880220647</v>
      </c>
      <c r="E12" s="236">
        <f t="shared" si="2"/>
        <v>0.22852639873916469</v>
      </c>
      <c r="F12" s="236">
        <f t="shared" si="2"/>
        <v>0.42001576044129235</v>
      </c>
      <c r="G12" s="236">
        <f t="shared" si="2"/>
        <v>9.2592592592592587E-2</v>
      </c>
      <c r="H12" s="236">
        <f t="shared" si="2"/>
        <v>7.407407407407407E-2</v>
      </c>
      <c r="I12" s="236">
        <f t="shared" si="2"/>
        <v>5.5555555555555552E-2</v>
      </c>
      <c r="J12" s="236">
        <f t="shared" si="2"/>
        <v>7.407407407407407E-2</v>
      </c>
      <c r="K12" s="236">
        <f t="shared" si="2"/>
        <v>7.407407407407407E-2</v>
      </c>
      <c r="L12" s="236">
        <f t="shared" si="2"/>
        <v>0.18518518518518517</v>
      </c>
      <c r="M12" s="236">
        <f t="shared" si="2"/>
        <v>1.8518518518518517E-2</v>
      </c>
      <c r="N12" s="236">
        <f t="shared" si="2"/>
        <v>0.1111111111111111</v>
      </c>
      <c r="O12" s="236">
        <f t="shared" si="2"/>
        <v>1.8518518518518517E-2</v>
      </c>
      <c r="P12" s="236"/>
      <c r="Q12" s="257">
        <f t="shared" si="0"/>
        <v>2</v>
      </c>
    </row>
    <row r="13" spans="1:17" x14ac:dyDescent="0.35">
      <c r="B13" s="258" t="s">
        <v>310</v>
      </c>
      <c r="C13" s="236">
        <f>3/(($Q8+$Q9)-($P8+$P9))*(C8+C9)</f>
        <v>0.64598108747044913</v>
      </c>
      <c r="D13" s="236">
        <f t="shared" ref="D13:O13" si="3">3/(($Q8+$Q9)-($P8+$P9))*(D8+D9)</f>
        <v>0.32565011820330969</v>
      </c>
      <c r="E13" s="236">
        <f t="shared" si="3"/>
        <v>0.34278959810874704</v>
      </c>
      <c r="F13" s="236">
        <f t="shared" si="3"/>
        <v>0.6300236406619385</v>
      </c>
      <c r="G13" s="236">
        <f t="shared" si="3"/>
        <v>0.1388888888888889</v>
      </c>
      <c r="H13" s="236">
        <f t="shared" si="3"/>
        <v>0.1111111111111111</v>
      </c>
      <c r="I13" s="236">
        <f t="shared" si="3"/>
        <v>8.3333333333333329E-2</v>
      </c>
      <c r="J13" s="236">
        <f t="shared" si="3"/>
        <v>0.1111111111111111</v>
      </c>
      <c r="K13" s="236">
        <f t="shared" si="3"/>
        <v>0.1111111111111111</v>
      </c>
      <c r="L13" s="236">
        <f t="shared" si="3"/>
        <v>0.27777777777777779</v>
      </c>
      <c r="M13" s="236">
        <f t="shared" si="3"/>
        <v>2.7777777777777776E-2</v>
      </c>
      <c r="N13" s="236">
        <f t="shared" si="3"/>
        <v>0.16666666666666666</v>
      </c>
      <c r="O13" s="236">
        <f t="shared" si="3"/>
        <v>2.7777777777777776E-2</v>
      </c>
      <c r="P13" s="236">
        <v>1</v>
      </c>
      <c r="Q13" s="257">
        <f t="shared" si="0"/>
        <v>3.9999999999999996</v>
      </c>
    </row>
    <row r="14" spans="1:17" x14ac:dyDescent="0.35">
      <c r="B14" s="258" t="s">
        <v>311</v>
      </c>
      <c r="C14" s="236">
        <f>1/(($Q8+$Q9)-($P8+$P9))*(C8+C9)</f>
        <v>0.21532702915681637</v>
      </c>
      <c r="D14" s="236">
        <f t="shared" ref="D14:O14" si="4">1/(($Q8+$Q9)-($P8+$P9))*(D8+D9)</f>
        <v>0.10855003940110323</v>
      </c>
      <c r="E14" s="236">
        <f t="shared" si="4"/>
        <v>0.11426319936958235</v>
      </c>
      <c r="F14" s="236">
        <f t="shared" si="4"/>
        <v>0.21000788022064618</v>
      </c>
      <c r="G14" s="236">
        <f t="shared" si="4"/>
        <v>4.6296296296296294E-2</v>
      </c>
      <c r="H14" s="236">
        <f t="shared" si="4"/>
        <v>3.7037037037037035E-2</v>
      </c>
      <c r="I14" s="236">
        <f t="shared" si="4"/>
        <v>2.7777777777777776E-2</v>
      </c>
      <c r="J14" s="236">
        <f t="shared" si="4"/>
        <v>3.7037037037037035E-2</v>
      </c>
      <c r="K14" s="236">
        <f t="shared" si="4"/>
        <v>3.7037037037037035E-2</v>
      </c>
      <c r="L14" s="236">
        <f t="shared" si="4"/>
        <v>9.2592592592592587E-2</v>
      </c>
      <c r="M14" s="236">
        <f t="shared" si="4"/>
        <v>9.2592592592592587E-3</v>
      </c>
      <c r="N14" s="236">
        <f t="shared" si="4"/>
        <v>5.5555555555555552E-2</v>
      </c>
      <c r="O14" s="236">
        <f t="shared" si="4"/>
        <v>9.2592592592592587E-3</v>
      </c>
      <c r="P14" s="236"/>
      <c r="Q14" s="257">
        <f t="shared" si="0"/>
        <v>1</v>
      </c>
    </row>
    <row r="17" spans="2:25" x14ac:dyDescent="0.35">
      <c r="B17" s="259" t="s">
        <v>341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7"/>
      <c r="V17" s="147"/>
      <c r="W17" s="147"/>
      <c r="X17" s="147"/>
      <c r="Y17" s="641" t="s">
        <v>240</v>
      </c>
    </row>
    <row r="18" spans="2:25" ht="39" x14ac:dyDescent="0.35">
      <c r="B18" s="231" t="s">
        <v>306</v>
      </c>
      <c r="C18" s="122" t="s">
        <v>414</v>
      </c>
      <c r="D18" s="122" t="s">
        <v>415</v>
      </c>
      <c r="E18" s="122" t="s">
        <v>416</v>
      </c>
      <c r="F18" s="122" t="s">
        <v>146</v>
      </c>
      <c r="G18" s="122" t="s">
        <v>147</v>
      </c>
      <c r="H18" s="122" t="s">
        <v>150</v>
      </c>
      <c r="I18" s="122" t="s">
        <v>151</v>
      </c>
      <c r="J18" s="122" t="s">
        <v>149</v>
      </c>
      <c r="K18" s="122" t="s">
        <v>355</v>
      </c>
      <c r="L18" s="122" t="s">
        <v>357</v>
      </c>
      <c r="M18" s="122" t="s">
        <v>417</v>
      </c>
      <c r="N18" s="122" t="s">
        <v>418</v>
      </c>
      <c r="O18" s="122" t="s">
        <v>362</v>
      </c>
      <c r="P18" s="122" t="s">
        <v>364</v>
      </c>
      <c r="Q18" s="122" t="s">
        <v>366</v>
      </c>
      <c r="R18" s="122" t="s">
        <v>159</v>
      </c>
      <c r="S18" s="122" t="s">
        <v>161</v>
      </c>
      <c r="T18" s="122" t="s">
        <v>160</v>
      </c>
      <c r="U18" s="230" t="s">
        <v>371</v>
      </c>
      <c r="V18" s="230" t="s">
        <v>373</v>
      </c>
      <c r="W18" s="230" t="s">
        <v>373</v>
      </c>
      <c r="X18" s="230" t="s">
        <v>376</v>
      </c>
      <c r="Y18" s="641"/>
    </row>
    <row r="19" spans="2:25" x14ac:dyDescent="0.35">
      <c r="B19" s="260" t="s">
        <v>410</v>
      </c>
      <c r="C19" s="237">
        <v>2</v>
      </c>
      <c r="D19" s="237">
        <v>1</v>
      </c>
      <c r="E19" s="238">
        <v>2</v>
      </c>
      <c r="F19" s="237">
        <v>2</v>
      </c>
      <c r="G19" s="237">
        <v>3</v>
      </c>
      <c r="H19" s="237">
        <v>2</v>
      </c>
      <c r="I19" s="237">
        <v>2</v>
      </c>
      <c r="J19" s="237">
        <v>3</v>
      </c>
      <c r="K19" s="237">
        <v>2</v>
      </c>
      <c r="L19" s="237">
        <v>3</v>
      </c>
      <c r="M19" s="237">
        <v>2</v>
      </c>
      <c r="N19" s="238">
        <v>1</v>
      </c>
      <c r="O19" s="237">
        <v>1</v>
      </c>
      <c r="P19" s="237">
        <v>2</v>
      </c>
      <c r="Q19" s="237">
        <v>3</v>
      </c>
      <c r="R19" s="237">
        <v>4</v>
      </c>
      <c r="S19" s="237">
        <v>5</v>
      </c>
      <c r="T19" s="238">
        <v>5</v>
      </c>
      <c r="U19" s="237">
        <v>9</v>
      </c>
      <c r="V19" s="237">
        <v>6</v>
      </c>
      <c r="W19" s="237">
        <v>2</v>
      </c>
      <c r="X19" s="237">
        <v>5</v>
      </c>
      <c r="Y19" s="261">
        <f>SUM(C19:X19)</f>
        <v>67</v>
      </c>
    </row>
    <row r="20" spans="2:25" x14ac:dyDescent="0.35">
      <c r="B20" s="260" t="s">
        <v>412</v>
      </c>
      <c r="C20" s="237">
        <v>1</v>
      </c>
      <c r="D20" s="237">
        <v>1</v>
      </c>
      <c r="E20" s="238">
        <v>1</v>
      </c>
      <c r="F20" s="237">
        <v>1</v>
      </c>
      <c r="G20" s="237">
        <v>1</v>
      </c>
      <c r="H20" s="237">
        <v>1</v>
      </c>
      <c r="I20" s="237">
        <v>1</v>
      </c>
      <c r="J20" s="237">
        <v>1</v>
      </c>
      <c r="K20" s="237">
        <v>1</v>
      </c>
      <c r="L20" s="237">
        <v>2</v>
      </c>
      <c r="M20" s="237">
        <f>1/3*M19</f>
        <v>0.66666666666666663</v>
      </c>
      <c r="N20" s="237">
        <f>1/3*N19</f>
        <v>0.33333333333333331</v>
      </c>
      <c r="O20" s="237">
        <v>1</v>
      </c>
      <c r="P20" s="237">
        <v>1</v>
      </c>
      <c r="Q20" s="238">
        <v>2</v>
      </c>
      <c r="R20" s="237">
        <v>3</v>
      </c>
      <c r="S20" s="237">
        <v>3</v>
      </c>
      <c r="T20" s="238">
        <v>5</v>
      </c>
      <c r="U20" s="237">
        <v>5</v>
      </c>
      <c r="V20" s="237"/>
      <c r="W20" s="237">
        <v>2</v>
      </c>
      <c r="X20" s="237">
        <v>5</v>
      </c>
      <c r="Y20" s="261">
        <f t="shared" ref="Y20:Y25" si="5">SUM(C20:X20)</f>
        <v>39</v>
      </c>
    </row>
    <row r="21" spans="2:25" x14ac:dyDescent="0.35">
      <c r="B21" s="260" t="s">
        <v>411</v>
      </c>
      <c r="C21" s="237">
        <f>1/7*C19</f>
        <v>0.2857142857142857</v>
      </c>
      <c r="D21" s="237">
        <f t="shared" ref="D21:F21" si="6">1/7*D19</f>
        <v>0.14285714285714285</v>
      </c>
      <c r="E21" s="237">
        <f t="shared" si="6"/>
        <v>0.2857142857142857</v>
      </c>
      <c r="F21" s="237">
        <f t="shared" si="6"/>
        <v>0.2857142857142857</v>
      </c>
      <c r="G21" s="237">
        <f>1/7*G19</f>
        <v>0.42857142857142855</v>
      </c>
      <c r="H21" s="237">
        <f t="shared" ref="H21:I21" si="7">1/7*H19</f>
        <v>0.2857142857142857</v>
      </c>
      <c r="I21" s="237">
        <f t="shared" si="7"/>
        <v>0.2857142857142857</v>
      </c>
      <c r="J21" s="241">
        <f>1/8*J19</f>
        <v>0.375</v>
      </c>
      <c r="K21" s="241">
        <f t="shared" ref="K21:L21" si="8">1/8*K19</f>
        <v>0.25</v>
      </c>
      <c r="L21" s="241">
        <f t="shared" si="8"/>
        <v>0.375</v>
      </c>
      <c r="M21" s="237">
        <f>2/9*M19</f>
        <v>0.44444444444444442</v>
      </c>
      <c r="N21" s="237">
        <f t="shared" ref="N21:Q21" si="9">2/9*N19</f>
        <v>0.22222222222222221</v>
      </c>
      <c r="O21" s="237">
        <f t="shared" si="9"/>
        <v>0.22222222222222221</v>
      </c>
      <c r="P21" s="237">
        <f t="shared" si="9"/>
        <v>0.44444444444444442</v>
      </c>
      <c r="Q21" s="237">
        <f t="shared" si="9"/>
        <v>0.66666666666666663</v>
      </c>
      <c r="R21" s="237">
        <f>1/14*R19</f>
        <v>0.2857142857142857</v>
      </c>
      <c r="S21" s="237">
        <f t="shared" ref="S21:T21" si="10">1/14*S19</f>
        <v>0.3571428571428571</v>
      </c>
      <c r="T21" s="237">
        <f t="shared" si="10"/>
        <v>0.3571428571428571</v>
      </c>
      <c r="U21" s="237">
        <v>1</v>
      </c>
      <c r="V21" s="237">
        <f>1/8*V19</f>
        <v>0.75</v>
      </c>
      <c r="W21" s="237">
        <f>1/8*W19</f>
        <v>0.25</v>
      </c>
      <c r="X21" s="237">
        <v>1</v>
      </c>
      <c r="Y21" s="261">
        <f t="shared" si="5"/>
        <v>9</v>
      </c>
    </row>
    <row r="22" spans="2:25" x14ac:dyDescent="0.35">
      <c r="B22" s="260" t="s">
        <v>413</v>
      </c>
      <c r="C22" s="238">
        <f>3/16*C20</f>
        <v>0.1875</v>
      </c>
      <c r="D22" s="238">
        <f t="shared" ref="D22:Q22" si="11">3/16*D20</f>
        <v>0.1875</v>
      </c>
      <c r="E22" s="238">
        <f t="shared" si="11"/>
        <v>0.1875</v>
      </c>
      <c r="F22" s="238">
        <f t="shared" si="11"/>
        <v>0.1875</v>
      </c>
      <c r="G22" s="238">
        <f t="shared" si="11"/>
        <v>0.1875</v>
      </c>
      <c r="H22" s="238">
        <f t="shared" si="11"/>
        <v>0.1875</v>
      </c>
      <c r="I22" s="238">
        <f t="shared" si="11"/>
        <v>0.1875</v>
      </c>
      <c r="J22" s="238">
        <f t="shared" si="11"/>
        <v>0.1875</v>
      </c>
      <c r="K22" s="238">
        <f t="shared" si="11"/>
        <v>0.1875</v>
      </c>
      <c r="L22" s="238">
        <f t="shared" si="11"/>
        <v>0.375</v>
      </c>
      <c r="M22" s="238">
        <f t="shared" si="11"/>
        <v>0.125</v>
      </c>
      <c r="N22" s="238">
        <f t="shared" si="11"/>
        <v>6.25E-2</v>
      </c>
      <c r="O22" s="238">
        <f t="shared" si="11"/>
        <v>0.1875</v>
      </c>
      <c r="P22" s="238">
        <f t="shared" si="11"/>
        <v>0.1875</v>
      </c>
      <c r="Q22" s="238">
        <f t="shared" si="11"/>
        <v>0.375</v>
      </c>
      <c r="R22" s="238">
        <f>1/11*R20</f>
        <v>0.27272727272727271</v>
      </c>
      <c r="S22" s="238">
        <f t="shared" ref="S22:T22" si="12">1/11*S20</f>
        <v>0.27272727272727271</v>
      </c>
      <c r="T22" s="238">
        <f t="shared" si="12"/>
        <v>0.45454545454545459</v>
      </c>
      <c r="U22" s="237">
        <v>1</v>
      </c>
      <c r="V22" s="237"/>
      <c r="W22" s="237"/>
      <c r="X22" s="237">
        <v>1</v>
      </c>
      <c r="Y22" s="261">
        <f t="shared" si="5"/>
        <v>6</v>
      </c>
    </row>
    <row r="23" spans="2:25" ht="15" customHeight="1" x14ac:dyDescent="0.35">
      <c r="B23" s="262" t="s">
        <v>342</v>
      </c>
      <c r="C23" s="237">
        <f>1/72*(C19+C20)</f>
        <v>4.1666666666666664E-2</v>
      </c>
      <c r="D23" s="237">
        <f t="shared" ref="D23:T23" si="13">1/72*(D19+D20)</f>
        <v>2.7777777777777776E-2</v>
      </c>
      <c r="E23" s="237">
        <f t="shared" si="13"/>
        <v>4.1666666666666664E-2</v>
      </c>
      <c r="F23" s="237">
        <f t="shared" si="13"/>
        <v>4.1666666666666664E-2</v>
      </c>
      <c r="G23" s="237">
        <f t="shared" si="13"/>
        <v>5.5555555555555552E-2</v>
      </c>
      <c r="H23" s="237">
        <f t="shared" si="13"/>
        <v>4.1666666666666664E-2</v>
      </c>
      <c r="I23" s="237">
        <f t="shared" si="13"/>
        <v>4.1666666666666664E-2</v>
      </c>
      <c r="J23" s="237">
        <f t="shared" si="13"/>
        <v>5.5555555555555552E-2</v>
      </c>
      <c r="K23" s="237">
        <f t="shared" si="13"/>
        <v>4.1666666666666664E-2</v>
      </c>
      <c r="L23" s="237">
        <f t="shared" si="13"/>
        <v>6.9444444444444448E-2</v>
      </c>
      <c r="M23" s="237">
        <f t="shared" si="13"/>
        <v>3.7037037037037035E-2</v>
      </c>
      <c r="N23" s="237">
        <f t="shared" si="13"/>
        <v>1.8518518518518517E-2</v>
      </c>
      <c r="O23" s="237">
        <f t="shared" si="13"/>
        <v>2.7777777777777776E-2</v>
      </c>
      <c r="P23" s="237">
        <f t="shared" si="13"/>
        <v>4.1666666666666664E-2</v>
      </c>
      <c r="Q23" s="237">
        <f t="shared" si="13"/>
        <v>6.9444444444444448E-2</v>
      </c>
      <c r="R23" s="237">
        <f t="shared" si="13"/>
        <v>9.722222222222221E-2</v>
      </c>
      <c r="S23" s="237">
        <f t="shared" si="13"/>
        <v>0.1111111111111111</v>
      </c>
      <c r="T23" s="237">
        <f t="shared" si="13"/>
        <v>0.1388888888888889</v>
      </c>
      <c r="U23" s="237"/>
      <c r="V23" s="237"/>
      <c r="W23" s="237"/>
      <c r="X23" s="237"/>
      <c r="Y23" s="261">
        <f t="shared" si="5"/>
        <v>1</v>
      </c>
    </row>
    <row r="24" spans="2:25" ht="15" customHeight="1" x14ac:dyDescent="0.35">
      <c r="B24" s="262" t="s">
        <v>310</v>
      </c>
      <c r="C24" s="237">
        <f>1/72*(C19+C20)</f>
        <v>4.1666666666666664E-2</v>
      </c>
      <c r="D24" s="237">
        <f t="shared" ref="D24:T24" si="14">1/72*(D19+D20)</f>
        <v>2.7777777777777776E-2</v>
      </c>
      <c r="E24" s="237">
        <f t="shared" si="14"/>
        <v>4.1666666666666664E-2</v>
      </c>
      <c r="F24" s="237">
        <f t="shared" si="14"/>
        <v>4.1666666666666664E-2</v>
      </c>
      <c r="G24" s="237">
        <f t="shared" si="14"/>
        <v>5.5555555555555552E-2</v>
      </c>
      <c r="H24" s="237">
        <f t="shared" si="14"/>
        <v>4.1666666666666664E-2</v>
      </c>
      <c r="I24" s="237">
        <f t="shared" si="14"/>
        <v>4.1666666666666664E-2</v>
      </c>
      <c r="J24" s="237">
        <f t="shared" si="14"/>
        <v>5.5555555555555552E-2</v>
      </c>
      <c r="K24" s="237">
        <f t="shared" si="14"/>
        <v>4.1666666666666664E-2</v>
      </c>
      <c r="L24" s="237">
        <f t="shared" si="14"/>
        <v>6.9444444444444448E-2</v>
      </c>
      <c r="M24" s="237">
        <f t="shared" si="14"/>
        <v>3.7037037037037035E-2</v>
      </c>
      <c r="N24" s="237">
        <f t="shared" si="14"/>
        <v>1.8518518518518517E-2</v>
      </c>
      <c r="O24" s="237">
        <f t="shared" si="14"/>
        <v>2.7777777777777776E-2</v>
      </c>
      <c r="P24" s="237">
        <f t="shared" si="14"/>
        <v>4.1666666666666664E-2</v>
      </c>
      <c r="Q24" s="237">
        <f t="shared" si="14"/>
        <v>6.9444444444444448E-2</v>
      </c>
      <c r="R24" s="237">
        <f t="shared" si="14"/>
        <v>9.722222222222221E-2</v>
      </c>
      <c r="S24" s="237">
        <f t="shared" si="14"/>
        <v>0.1111111111111111</v>
      </c>
      <c r="T24" s="237">
        <f t="shared" si="14"/>
        <v>0.1388888888888889</v>
      </c>
      <c r="U24" s="237"/>
      <c r="V24" s="237"/>
      <c r="W24" s="237"/>
      <c r="X24" s="237"/>
      <c r="Y24" s="261">
        <f t="shared" si="5"/>
        <v>1</v>
      </c>
    </row>
    <row r="25" spans="2:25" ht="14.4" customHeight="1" x14ac:dyDescent="0.35">
      <c r="B25" s="262" t="s">
        <v>311</v>
      </c>
      <c r="C25" s="242">
        <f>1/72*(C19+C20)</f>
        <v>4.1666666666666664E-2</v>
      </c>
      <c r="D25" s="242">
        <f t="shared" ref="D25:T25" si="15">1/72*(D19+D20)</f>
        <v>2.7777777777777776E-2</v>
      </c>
      <c r="E25" s="242">
        <f t="shared" si="15"/>
        <v>4.1666666666666664E-2</v>
      </c>
      <c r="F25" s="242">
        <f t="shared" si="15"/>
        <v>4.1666666666666664E-2</v>
      </c>
      <c r="G25" s="242">
        <f t="shared" si="15"/>
        <v>5.5555555555555552E-2</v>
      </c>
      <c r="H25" s="242">
        <f t="shared" si="15"/>
        <v>4.1666666666666664E-2</v>
      </c>
      <c r="I25" s="242">
        <f t="shared" si="15"/>
        <v>4.1666666666666664E-2</v>
      </c>
      <c r="J25" s="242">
        <f t="shared" si="15"/>
        <v>5.5555555555555552E-2</v>
      </c>
      <c r="K25" s="242">
        <f t="shared" si="15"/>
        <v>4.1666666666666664E-2</v>
      </c>
      <c r="L25" s="242">
        <f t="shared" si="15"/>
        <v>6.9444444444444448E-2</v>
      </c>
      <c r="M25" s="242">
        <f t="shared" si="15"/>
        <v>3.7037037037037035E-2</v>
      </c>
      <c r="N25" s="242">
        <f t="shared" si="15"/>
        <v>1.8518518518518517E-2</v>
      </c>
      <c r="O25" s="242">
        <f t="shared" si="15"/>
        <v>2.7777777777777776E-2</v>
      </c>
      <c r="P25" s="242">
        <f t="shared" si="15"/>
        <v>4.1666666666666664E-2</v>
      </c>
      <c r="Q25" s="242">
        <f t="shared" si="15"/>
        <v>6.9444444444444448E-2</v>
      </c>
      <c r="R25" s="242">
        <f t="shared" si="15"/>
        <v>9.722222222222221E-2</v>
      </c>
      <c r="S25" s="242">
        <f t="shared" si="15"/>
        <v>0.1111111111111111</v>
      </c>
      <c r="T25" s="242">
        <f t="shared" si="15"/>
        <v>0.1388888888888889</v>
      </c>
      <c r="U25" s="240"/>
      <c r="V25" s="240"/>
      <c r="W25" s="240"/>
      <c r="X25" s="240"/>
      <c r="Y25" s="261">
        <f t="shared" si="5"/>
        <v>1</v>
      </c>
    </row>
  </sheetData>
  <mergeCells count="2">
    <mergeCell ref="Q6:Q7"/>
    <mergeCell ref="Y17:Y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6529-0087-4990-A8CE-5332F58B459C}">
  <dimension ref="B2:AD92"/>
  <sheetViews>
    <sheetView view="pageBreakPreview" topLeftCell="A4" zoomScale="60" zoomScaleNormal="100" workbookViewId="0">
      <pane ySplit="1" topLeftCell="A5" activePane="bottomLeft" state="frozen"/>
      <selection activeCell="C4" sqref="C4"/>
      <selection pane="bottomLeft" activeCell="O4" sqref="O3:AD4"/>
    </sheetView>
  </sheetViews>
  <sheetFormatPr defaultRowHeight="14.5" x14ac:dyDescent="0.35"/>
  <cols>
    <col min="2" max="3" width="8.81640625"/>
    <col min="4" max="4" width="25.453125" customWidth="1"/>
    <col min="5" max="5" width="63.08984375" customWidth="1"/>
    <col min="6" max="6" width="10.36328125" customWidth="1"/>
    <col min="7" max="7" width="8" customWidth="1"/>
    <col min="8" max="8" width="10.453125" customWidth="1"/>
    <col min="9" max="9" width="7.1796875" customWidth="1"/>
    <col min="10" max="10" width="7.08984375" bestFit="1" customWidth="1"/>
    <col min="11" max="11" width="8.81640625" customWidth="1"/>
    <col min="12" max="12" width="9.81640625" customWidth="1"/>
    <col min="13" max="13" width="7.6328125" customWidth="1"/>
    <col min="14" max="14" width="13.36328125" customWidth="1"/>
    <col min="15" max="15" width="12.08984375" customWidth="1"/>
    <col min="16" max="16" width="14.36328125" customWidth="1"/>
    <col min="17" max="17" width="8.81640625"/>
    <col min="18" max="18" width="18.36328125" customWidth="1"/>
    <col min="19" max="19" width="19.81640625" customWidth="1"/>
    <col min="20" max="20" width="14.453125" customWidth="1"/>
    <col min="21" max="21" width="16.54296875" customWidth="1"/>
    <col min="22" max="22" width="17.08984375" customWidth="1"/>
    <col min="23" max="23" width="14.1796875" customWidth="1"/>
    <col min="24" max="24" width="17.453125" customWidth="1"/>
    <col min="25" max="25" width="18.81640625" customWidth="1"/>
    <col min="26" max="26" width="12.1796875" customWidth="1"/>
    <col min="27" max="27" width="13.1796875" customWidth="1"/>
    <col min="28" max="28" width="8.81640625"/>
    <col min="29" max="29" width="16.1796875" customWidth="1"/>
    <col min="30" max="30" width="9.81640625" customWidth="1"/>
  </cols>
  <sheetData>
    <row r="2" spans="2:30" ht="15" thickBot="1" x14ac:dyDescent="0.4"/>
    <row r="3" spans="2:30" x14ac:dyDescent="0.35">
      <c r="B3" s="596" t="s">
        <v>305</v>
      </c>
      <c r="C3" s="600" t="s">
        <v>12</v>
      </c>
      <c r="D3" s="636" t="s">
        <v>306</v>
      </c>
      <c r="E3" s="642" t="s">
        <v>307</v>
      </c>
      <c r="F3" s="108"/>
      <c r="G3" s="644" t="s">
        <v>184</v>
      </c>
      <c r="H3" s="645"/>
      <c r="I3" s="644" t="s">
        <v>308</v>
      </c>
      <c r="J3" s="645"/>
      <c r="K3" s="594" t="s">
        <v>309</v>
      </c>
      <c r="L3" s="594" t="s">
        <v>310</v>
      </c>
      <c r="M3" s="594" t="s">
        <v>311</v>
      </c>
      <c r="N3" s="594" t="s">
        <v>312</v>
      </c>
      <c r="O3" s="634"/>
      <c r="P3" s="634"/>
      <c r="Q3" s="634"/>
      <c r="R3" s="634"/>
      <c r="S3" s="634"/>
      <c r="T3" s="634"/>
      <c r="U3" s="634"/>
      <c r="V3" s="634"/>
      <c r="W3" s="634"/>
      <c r="X3" s="634"/>
      <c r="Y3" s="634"/>
      <c r="Z3" s="634"/>
      <c r="AA3" s="634"/>
      <c r="AB3" s="635"/>
      <c r="AC3" s="594" t="s">
        <v>313</v>
      </c>
      <c r="AD3" s="108" t="s">
        <v>314</v>
      </c>
    </row>
    <row r="4" spans="2:30" ht="52.5" thickBot="1" x14ac:dyDescent="0.4">
      <c r="B4" s="597"/>
      <c r="C4" s="601"/>
      <c r="D4" s="637"/>
      <c r="E4" s="643"/>
      <c r="F4" s="109" t="s">
        <v>315</v>
      </c>
      <c r="G4" s="110" t="s">
        <v>316</v>
      </c>
      <c r="H4" s="109" t="s">
        <v>317</v>
      </c>
      <c r="I4" s="110" t="s">
        <v>316</v>
      </c>
      <c r="J4" s="109" t="s">
        <v>317</v>
      </c>
      <c r="K4" s="595"/>
      <c r="L4" s="595"/>
      <c r="M4" s="595"/>
      <c r="N4" s="595"/>
      <c r="O4" s="110" t="s">
        <v>196</v>
      </c>
      <c r="P4" s="110" t="s">
        <v>51</v>
      </c>
      <c r="Q4" s="110" t="s">
        <v>197</v>
      </c>
      <c r="R4" s="109" t="s">
        <v>318</v>
      </c>
      <c r="S4" s="109" t="s">
        <v>319</v>
      </c>
      <c r="T4" s="109" t="s">
        <v>198</v>
      </c>
      <c r="U4" s="109" t="s">
        <v>199</v>
      </c>
      <c r="V4" s="109" t="s">
        <v>52</v>
      </c>
      <c r="W4" s="109" t="s">
        <v>53</v>
      </c>
      <c r="X4" s="109" t="s">
        <v>54</v>
      </c>
      <c r="Y4" s="109" t="s">
        <v>320</v>
      </c>
      <c r="Z4" s="109" t="s">
        <v>200</v>
      </c>
      <c r="AA4" s="109" t="s">
        <v>321</v>
      </c>
      <c r="AB4" s="109" t="s">
        <v>322</v>
      </c>
      <c r="AC4" s="595"/>
      <c r="AD4" s="109" t="s">
        <v>323</v>
      </c>
    </row>
    <row r="5" spans="2:30" ht="39" x14ac:dyDescent="0.35">
      <c r="B5" s="598"/>
      <c r="C5" s="111">
        <v>1</v>
      </c>
      <c r="D5" s="112" t="s">
        <v>145</v>
      </c>
      <c r="E5" s="113" t="s">
        <v>324</v>
      </c>
      <c r="F5" s="114">
        <v>12</v>
      </c>
      <c r="G5" s="115">
        <v>20</v>
      </c>
      <c r="H5" s="646">
        <v>9</v>
      </c>
      <c r="I5" s="116">
        <v>2</v>
      </c>
      <c r="J5" s="648">
        <v>2</v>
      </c>
      <c r="K5" s="615">
        <v>2</v>
      </c>
      <c r="L5" s="659">
        <v>3</v>
      </c>
      <c r="M5" s="615">
        <v>1</v>
      </c>
      <c r="N5" s="657" t="s">
        <v>325</v>
      </c>
      <c r="O5" s="117">
        <v>1</v>
      </c>
      <c r="P5" s="117"/>
      <c r="Q5" s="117">
        <v>1</v>
      </c>
      <c r="R5" s="118"/>
      <c r="S5" s="119">
        <v>10</v>
      </c>
      <c r="T5" s="118">
        <v>1</v>
      </c>
      <c r="U5" s="118">
        <v>2</v>
      </c>
      <c r="V5" s="117">
        <v>2</v>
      </c>
      <c r="W5" s="117">
        <v>2</v>
      </c>
      <c r="X5" s="117">
        <v>10</v>
      </c>
      <c r="Y5" s="120">
        <v>26</v>
      </c>
      <c r="Z5" s="606">
        <v>2</v>
      </c>
      <c r="AA5" s="606">
        <v>2</v>
      </c>
      <c r="AB5" s="606">
        <v>2</v>
      </c>
      <c r="AC5" s="607" t="s">
        <v>326</v>
      </c>
      <c r="AD5" s="607">
        <v>2</v>
      </c>
    </row>
    <row r="6" spans="2:30" ht="39" x14ac:dyDescent="0.35">
      <c r="B6" s="598"/>
      <c r="C6" s="121">
        <v>2</v>
      </c>
      <c r="D6" s="122" t="s">
        <v>146</v>
      </c>
      <c r="E6" s="123" t="s">
        <v>327</v>
      </c>
      <c r="F6" s="124">
        <v>12</v>
      </c>
      <c r="G6" s="125">
        <v>10</v>
      </c>
      <c r="H6" s="646"/>
      <c r="I6" s="125">
        <v>1</v>
      </c>
      <c r="J6" s="648"/>
      <c r="K6" s="615"/>
      <c r="L6" s="659"/>
      <c r="M6" s="615"/>
      <c r="N6" s="657"/>
      <c r="O6" s="126">
        <v>1</v>
      </c>
      <c r="P6" s="126"/>
      <c r="Q6" s="126">
        <v>1</v>
      </c>
      <c r="R6" s="126"/>
      <c r="S6" s="127">
        <v>4</v>
      </c>
      <c r="T6" s="126">
        <v>1</v>
      </c>
      <c r="U6" s="126">
        <v>1</v>
      </c>
      <c r="V6" s="128">
        <v>2</v>
      </c>
      <c r="W6" s="128">
        <v>1</v>
      </c>
      <c r="X6" s="126">
        <v>6</v>
      </c>
      <c r="Y6" s="129">
        <v>9</v>
      </c>
      <c r="Z6" s="607"/>
      <c r="AA6" s="607"/>
      <c r="AB6" s="607"/>
      <c r="AC6" s="607"/>
      <c r="AD6" s="607"/>
    </row>
    <row r="7" spans="2:30" ht="39" x14ac:dyDescent="0.35">
      <c r="B7" s="598"/>
      <c r="C7" s="121">
        <v>3</v>
      </c>
      <c r="D7" s="122" t="s">
        <v>147</v>
      </c>
      <c r="E7" s="123" t="s">
        <v>328</v>
      </c>
      <c r="F7" s="124">
        <v>12</v>
      </c>
      <c r="G7" s="125">
        <v>11</v>
      </c>
      <c r="H7" s="646"/>
      <c r="I7" s="125">
        <v>1</v>
      </c>
      <c r="J7" s="648"/>
      <c r="K7" s="615"/>
      <c r="L7" s="659"/>
      <c r="M7" s="615"/>
      <c r="N7" s="657"/>
      <c r="O7" s="126">
        <v>1</v>
      </c>
      <c r="P7" s="126"/>
      <c r="Q7" s="126">
        <v>1</v>
      </c>
      <c r="R7" s="126"/>
      <c r="S7" s="127">
        <v>4</v>
      </c>
      <c r="T7" s="126">
        <v>1</v>
      </c>
      <c r="U7" s="126">
        <v>2</v>
      </c>
      <c r="V7" s="128">
        <v>2</v>
      </c>
      <c r="W7" s="128">
        <v>1</v>
      </c>
      <c r="X7" s="126">
        <v>3</v>
      </c>
      <c r="Y7" s="129">
        <v>7</v>
      </c>
      <c r="Z7" s="607"/>
      <c r="AA7" s="607"/>
      <c r="AB7" s="607"/>
      <c r="AC7" s="607"/>
      <c r="AD7" s="607"/>
    </row>
    <row r="8" spans="2:30" ht="39" x14ac:dyDescent="0.35">
      <c r="B8" s="598"/>
      <c r="C8" s="121">
        <v>4</v>
      </c>
      <c r="D8" s="122" t="s">
        <v>148</v>
      </c>
      <c r="E8" s="123" t="s">
        <v>329</v>
      </c>
      <c r="F8" s="124">
        <v>12</v>
      </c>
      <c r="G8" s="130">
        <v>20</v>
      </c>
      <c r="H8" s="647"/>
      <c r="I8" s="125">
        <v>2</v>
      </c>
      <c r="J8" s="649"/>
      <c r="K8" s="615"/>
      <c r="L8" s="659"/>
      <c r="M8" s="615"/>
      <c r="N8" s="657"/>
      <c r="O8" s="126">
        <v>1</v>
      </c>
      <c r="P8" s="130"/>
      <c r="Q8" s="126">
        <v>1</v>
      </c>
      <c r="R8" s="126"/>
      <c r="S8" s="127">
        <v>7</v>
      </c>
      <c r="T8" s="126">
        <v>1</v>
      </c>
      <c r="U8" s="126">
        <v>2</v>
      </c>
      <c r="V8" s="128">
        <v>2</v>
      </c>
      <c r="W8" s="128">
        <v>1</v>
      </c>
      <c r="X8" s="126">
        <v>6</v>
      </c>
      <c r="Y8" s="129">
        <v>14</v>
      </c>
      <c r="Z8" s="607"/>
      <c r="AA8" s="607"/>
      <c r="AB8" s="607"/>
      <c r="AC8" s="607"/>
      <c r="AD8" s="607"/>
    </row>
    <row r="9" spans="2:30" ht="26" x14ac:dyDescent="0.35">
      <c r="B9" s="598"/>
      <c r="C9" s="111">
        <v>5</v>
      </c>
      <c r="D9" s="122" t="s">
        <v>149</v>
      </c>
      <c r="E9" s="123" t="s">
        <v>330</v>
      </c>
      <c r="F9" s="124">
        <v>12</v>
      </c>
      <c r="G9" s="130">
        <v>5</v>
      </c>
      <c r="H9" s="130"/>
      <c r="I9" s="125">
        <v>1</v>
      </c>
      <c r="J9" s="125"/>
      <c r="K9" s="615"/>
      <c r="L9" s="659"/>
      <c r="M9" s="615"/>
      <c r="N9" s="657"/>
      <c r="O9" s="126"/>
      <c r="P9" s="126"/>
      <c r="Q9" s="609">
        <v>1</v>
      </c>
      <c r="R9" s="126"/>
      <c r="S9" s="126"/>
      <c r="T9" s="126">
        <v>1</v>
      </c>
      <c r="U9" s="126">
        <v>1</v>
      </c>
      <c r="V9" s="128">
        <v>2</v>
      </c>
      <c r="W9" s="128">
        <v>1</v>
      </c>
      <c r="X9" s="126"/>
      <c r="Y9" s="131"/>
      <c r="Z9" s="607"/>
      <c r="AA9" s="607"/>
      <c r="AB9" s="607"/>
      <c r="AC9" s="607"/>
      <c r="AD9" s="607"/>
    </row>
    <row r="10" spans="2:30" ht="26" x14ac:dyDescent="0.35">
      <c r="B10" s="598"/>
      <c r="C10" s="121">
        <v>6</v>
      </c>
      <c r="D10" s="122" t="s">
        <v>150</v>
      </c>
      <c r="E10" s="123" t="s">
        <v>331</v>
      </c>
      <c r="F10" s="124">
        <v>12</v>
      </c>
      <c r="G10" s="125">
        <v>4</v>
      </c>
      <c r="H10" s="130"/>
      <c r="I10" s="655">
        <v>1</v>
      </c>
      <c r="J10" s="125"/>
      <c r="K10" s="615"/>
      <c r="L10" s="659"/>
      <c r="M10" s="615"/>
      <c r="N10" s="657"/>
      <c r="O10" s="126"/>
      <c r="P10" s="125"/>
      <c r="Q10" s="610"/>
      <c r="R10" s="126"/>
      <c r="S10" s="126"/>
      <c r="T10" s="126">
        <v>1</v>
      </c>
      <c r="U10" s="126">
        <v>1</v>
      </c>
      <c r="V10" s="128">
        <v>2</v>
      </c>
      <c r="W10" s="128">
        <v>1</v>
      </c>
      <c r="X10" s="126"/>
      <c r="Y10" s="131"/>
      <c r="Z10" s="607"/>
      <c r="AA10" s="607"/>
      <c r="AB10" s="607"/>
      <c r="AC10" s="607"/>
      <c r="AD10" s="607"/>
    </row>
    <row r="11" spans="2:30" ht="26" x14ac:dyDescent="0.35">
      <c r="B11" s="598"/>
      <c r="C11" s="121">
        <v>7</v>
      </c>
      <c r="D11" s="122" t="s">
        <v>151</v>
      </c>
      <c r="E11" s="123" t="s">
        <v>332</v>
      </c>
      <c r="F11" s="124">
        <v>12</v>
      </c>
      <c r="G11" s="130">
        <v>3</v>
      </c>
      <c r="H11" s="130"/>
      <c r="I11" s="649"/>
      <c r="J11" s="125"/>
      <c r="K11" s="615"/>
      <c r="L11" s="659"/>
      <c r="M11" s="615"/>
      <c r="N11" s="657"/>
      <c r="O11" s="126"/>
      <c r="P11" s="130"/>
      <c r="Q11" s="610"/>
      <c r="R11" s="126"/>
      <c r="S11" s="126"/>
      <c r="T11" s="126">
        <v>1</v>
      </c>
      <c r="U11" s="126">
        <v>1</v>
      </c>
      <c r="V11" s="128">
        <v>2</v>
      </c>
      <c r="W11" s="128">
        <v>1</v>
      </c>
      <c r="X11" s="126"/>
      <c r="Y11" s="131"/>
      <c r="Z11" s="607"/>
      <c r="AA11" s="607"/>
      <c r="AB11" s="607"/>
      <c r="AC11" s="607"/>
      <c r="AD11" s="607"/>
    </row>
    <row r="12" spans="2:30" ht="26" x14ac:dyDescent="0.35">
      <c r="B12" s="598"/>
      <c r="C12" s="121">
        <v>8</v>
      </c>
      <c r="D12" s="122" t="s">
        <v>152</v>
      </c>
      <c r="E12" s="123" t="s">
        <v>333</v>
      </c>
      <c r="F12" s="124">
        <v>12</v>
      </c>
      <c r="G12" s="653">
        <v>8</v>
      </c>
      <c r="H12" s="130"/>
      <c r="I12" s="655">
        <v>1</v>
      </c>
      <c r="J12" s="125"/>
      <c r="K12" s="615"/>
      <c r="L12" s="659"/>
      <c r="M12" s="615"/>
      <c r="N12" s="657"/>
      <c r="O12" s="126"/>
      <c r="P12" s="125"/>
      <c r="Q12" s="610"/>
      <c r="R12" s="126"/>
      <c r="S12" s="126"/>
      <c r="T12" s="126">
        <v>1</v>
      </c>
      <c r="U12" s="126">
        <v>1</v>
      </c>
      <c r="V12" s="128">
        <v>2</v>
      </c>
      <c r="W12" s="128">
        <v>1</v>
      </c>
      <c r="X12" s="126"/>
      <c r="Y12" s="131"/>
      <c r="Z12" s="607"/>
      <c r="AA12" s="607"/>
      <c r="AB12" s="607"/>
      <c r="AC12" s="607"/>
      <c r="AD12" s="607"/>
    </row>
    <row r="13" spans="2:30" ht="26" x14ac:dyDescent="0.35">
      <c r="B13" s="598"/>
      <c r="C13" s="121">
        <v>9</v>
      </c>
      <c r="D13" s="122" t="s">
        <v>153</v>
      </c>
      <c r="E13" s="123" t="s">
        <v>334</v>
      </c>
      <c r="F13" s="124">
        <v>12</v>
      </c>
      <c r="G13" s="654"/>
      <c r="H13" s="130"/>
      <c r="I13" s="649"/>
      <c r="J13" s="125"/>
      <c r="K13" s="615"/>
      <c r="L13" s="659"/>
      <c r="M13" s="615"/>
      <c r="N13" s="657"/>
      <c r="O13" s="126"/>
      <c r="P13" s="130"/>
      <c r="Q13" s="611"/>
      <c r="R13" s="126"/>
      <c r="S13" s="126"/>
      <c r="T13" s="126"/>
      <c r="U13" s="126">
        <v>1</v>
      </c>
      <c r="V13" s="128">
        <v>2</v>
      </c>
      <c r="W13" s="128">
        <v>1</v>
      </c>
      <c r="X13" s="126"/>
      <c r="Y13" s="131"/>
      <c r="Z13" s="607"/>
      <c r="AA13" s="607"/>
      <c r="AB13" s="607"/>
      <c r="AC13" s="607"/>
      <c r="AD13" s="607"/>
    </row>
    <row r="14" spans="2:30" ht="39" x14ac:dyDescent="0.35">
      <c r="B14" s="598"/>
      <c r="C14" s="121">
        <v>10</v>
      </c>
      <c r="D14" s="122" t="s">
        <v>154</v>
      </c>
      <c r="E14" s="123" t="s">
        <v>335</v>
      </c>
      <c r="F14" s="124">
        <v>12</v>
      </c>
      <c r="G14" s="133">
        <v>5</v>
      </c>
      <c r="H14" s="130">
        <v>5</v>
      </c>
      <c r="I14" s="133">
        <v>1</v>
      </c>
      <c r="J14" s="125">
        <v>1</v>
      </c>
      <c r="K14" s="615"/>
      <c r="L14" s="659"/>
      <c r="M14" s="615"/>
      <c r="N14" s="657"/>
      <c r="O14" s="126">
        <v>1</v>
      </c>
      <c r="P14" s="126"/>
      <c r="Q14" s="126">
        <v>1</v>
      </c>
      <c r="R14" s="126"/>
      <c r="S14" s="126"/>
      <c r="T14" s="126">
        <v>1</v>
      </c>
      <c r="U14" s="126">
        <v>1</v>
      </c>
      <c r="V14" s="128">
        <v>4</v>
      </c>
      <c r="W14" s="126">
        <v>1</v>
      </c>
      <c r="X14" s="126"/>
      <c r="Y14" s="131"/>
      <c r="Z14" s="607"/>
      <c r="AA14" s="607"/>
      <c r="AB14" s="607"/>
      <c r="AC14" s="607"/>
      <c r="AD14" s="607"/>
    </row>
    <row r="15" spans="2:30" ht="26" x14ac:dyDescent="0.35">
      <c r="B15" s="598"/>
      <c r="C15" s="121">
        <v>12</v>
      </c>
      <c r="D15" s="122" t="s">
        <v>155</v>
      </c>
      <c r="E15" s="123" t="s">
        <v>336</v>
      </c>
      <c r="F15" s="124">
        <v>12</v>
      </c>
      <c r="G15" s="133">
        <v>1</v>
      </c>
      <c r="H15" s="130"/>
      <c r="I15" s="653">
        <v>1</v>
      </c>
      <c r="J15" s="125"/>
      <c r="K15" s="615"/>
      <c r="L15" s="659"/>
      <c r="M15" s="615"/>
      <c r="N15" s="657"/>
      <c r="O15" s="134"/>
      <c r="P15" s="134"/>
      <c r="Q15" s="134"/>
      <c r="R15" s="134"/>
      <c r="S15" s="134"/>
      <c r="T15" s="134">
        <v>1</v>
      </c>
      <c r="U15" s="134">
        <v>1</v>
      </c>
      <c r="V15" s="128">
        <v>1</v>
      </c>
      <c r="W15" s="134">
        <v>1</v>
      </c>
      <c r="X15" s="134"/>
      <c r="Y15" s="131"/>
      <c r="Z15" s="607"/>
      <c r="AA15" s="607"/>
      <c r="AB15" s="607"/>
      <c r="AC15" s="607"/>
      <c r="AD15" s="607"/>
    </row>
    <row r="16" spans="2:30" x14ac:dyDescent="0.35">
      <c r="B16" s="598"/>
      <c r="C16" s="121">
        <v>13</v>
      </c>
      <c r="D16" s="122" t="s">
        <v>156</v>
      </c>
      <c r="E16" s="123" t="s">
        <v>337</v>
      </c>
      <c r="F16" s="124">
        <v>12</v>
      </c>
      <c r="G16" s="133">
        <v>6</v>
      </c>
      <c r="H16" s="130"/>
      <c r="I16" s="659"/>
      <c r="J16" s="125"/>
      <c r="K16" s="615"/>
      <c r="L16" s="659"/>
      <c r="M16" s="615"/>
      <c r="N16" s="657"/>
      <c r="O16" s="135"/>
      <c r="P16" s="135"/>
      <c r="Q16" s="135"/>
      <c r="R16" s="134"/>
      <c r="S16" s="135"/>
      <c r="T16" s="135"/>
      <c r="U16" s="135"/>
      <c r="V16" s="128"/>
      <c r="W16" s="135"/>
      <c r="X16" s="135"/>
      <c r="Y16" s="131"/>
      <c r="Z16" s="607"/>
      <c r="AA16" s="607"/>
      <c r="AB16" s="607"/>
      <c r="AC16" s="607"/>
      <c r="AD16" s="607"/>
    </row>
    <row r="17" spans="2:30" ht="26" x14ac:dyDescent="0.35">
      <c r="B17" s="598"/>
      <c r="C17" s="121">
        <v>14</v>
      </c>
      <c r="D17" s="122" t="s">
        <v>157</v>
      </c>
      <c r="E17" s="123" t="s">
        <v>338</v>
      </c>
      <c r="F17" s="124">
        <v>12</v>
      </c>
      <c r="G17" s="133">
        <v>1</v>
      </c>
      <c r="H17" s="130"/>
      <c r="I17" s="654"/>
      <c r="J17" s="125"/>
      <c r="K17" s="615"/>
      <c r="L17" s="654"/>
      <c r="M17" s="615"/>
      <c r="N17" s="657"/>
      <c r="O17" s="135"/>
      <c r="P17" s="135"/>
      <c r="Q17" s="135"/>
      <c r="R17" s="134"/>
      <c r="S17" s="135"/>
      <c r="T17" s="135"/>
      <c r="U17" s="135"/>
      <c r="V17" s="128"/>
      <c r="W17" s="135"/>
      <c r="X17" s="135"/>
      <c r="Y17" s="131"/>
      <c r="Z17" s="607"/>
      <c r="AA17" s="607"/>
      <c r="AB17" s="607"/>
      <c r="AC17" s="607"/>
      <c r="AD17" s="607"/>
    </row>
    <row r="18" spans="2:30" ht="39" x14ac:dyDescent="0.35">
      <c r="B18" s="598"/>
      <c r="C18" s="121">
        <v>11</v>
      </c>
      <c r="D18" s="136" t="s">
        <v>339</v>
      </c>
      <c r="E18" s="137" t="s">
        <v>340</v>
      </c>
      <c r="F18" s="138">
        <v>12</v>
      </c>
      <c r="G18" s="133">
        <v>19</v>
      </c>
      <c r="H18" s="133">
        <v>11</v>
      </c>
      <c r="I18" s="133">
        <v>2</v>
      </c>
      <c r="J18" s="133">
        <v>1</v>
      </c>
      <c r="K18" s="656"/>
      <c r="L18" s="124">
        <v>1</v>
      </c>
      <c r="M18" s="656"/>
      <c r="N18" s="658"/>
      <c r="O18" s="126">
        <v>3</v>
      </c>
      <c r="P18" s="126"/>
      <c r="Q18" s="126">
        <v>2</v>
      </c>
      <c r="R18" s="126">
        <v>1</v>
      </c>
      <c r="S18" s="126">
        <v>3</v>
      </c>
      <c r="T18" s="126">
        <v>2</v>
      </c>
      <c r="U18" s="126">
        <v>3</v>
      </c>
      <c r="V18" s="126">
        <v>10</v>
      </c>
      <c r="W18" s="126">
        <v>3</v>
      </c>
      <c r="X18" s="126">
        <v>10</v>
      </c>
      <c r="Y18" s="139">
        <v>13</v>
      </c>
      <c r="Z18" s="608"/>
      <c r="AA18" s="608"/>
      <c r="AB18" s="608"/>
      <c r="AC18" s="608"/>
      <c r="AD18" s="608"/>
    </row>
    <row r="19" spans="2:30" ht="15" thickBot="1" x14ac:dyDescent="0.4">
      <c r="B19" s="599"/>
      <c r="C19" s="650" t="s">
        <v>240</v>
      </c>
      <c r="D19" s="651"/>
      <c r="E19" s="651"/>
      <c r="F19" s="652"/>
      <c r="G19" s="140">
        <f>SUM(G5:G18)</f>
        <v>113</v>
      </c>
      <c r="H19" s="140">
        <f t="shared" ref="H19:K19" si="0">SUM(H5:H18)</f>
        <v>25</v>
      </c>
      <c r="I19" s="140">
        <f t="shared" si="0"/>
        <v>13</v>
      </c>
      <c r="J19" s="140">
        <f t="shared" si="0"/>
        <v>4</v>
      </c>
      <c r="K19" s="140">
        <f t="shared" si="0"/>
        <v>2</v>
      </c>
      <c r="L19" s="140">
        <f t="shared" ref="L19:P19" si="1">SUM(L5:L18)</f>
        <v>4</v>
      </c>
      <c r="M19" s="140">
        <f t="shared" si="1"/>
        <v>1</v>
      </c>
      <c r="N19" s="140">
        <f t="shared" si="1"/>
        <v>0</v>
      </c>
      <c r="O19" s="140">
        <f t="shared" si="1"/>
        <v>8</v>
      </c>
      <c r="P19" s="140">
        <f t="shared" si="1"/>
        <v>0</v>
      </c>
      <c r="Q19" s="140">
        <f>SUM(Q5:Q18)</f>
        <v>8</v>
      </c>
      <c r="R19" s="140">
        <f>SUM(R5:R18)</f>
        <v>1</v>
      </c>
      <c r="S19" s="140">
        <f>SUM(S5:S18)</f>
        <v>28</v>
      </c>
      <c r="T19" s="140">
        <f>SUM(T5:T18)</f>
        <v>12</v>
      </c>
      <c r="U19" s="140">
        <f t="shared" ref="U19:AC19" si="2">SUM(U5:U18)</f>
        <v>17</v>
      </c>
      <c r="V19" s="140">
        <f>SUM(V5:V18)</f>
        <v>33</v>
      </c>
      <c r="W19" s="140">
        <f t="shared" si="2"/>
        <v>15</v>
      </c>
      <c r="X19" s="140">
        <f t="shared" si="2"/>
        <v>35</v>
      </c>
      <c r="Y19" s="140">
        <f>SUM(Y5:Y18)</f>
        <v>69</v>
      </c>
      <c r="Z19" s="140">
        <f t="shared" si="2"/>
        <v>2</v>
      </c>
      <c r="AA19" s="140">
        <f t="shared" si="2"/>
        <v>2</v>
      </c>
      <c r="AB19" s="140">
        <f t="shared" si="2"/>
        <v>2</v>
      </c>
      <c r="AC19" s="140">
        <f t="shared" si="2"/>
        <v>0</v>
      </c>
      <c r="AD19" s="140">
        <f>SUM(AD5:AD18)</f>
        <v>2</v>
      </c>
    </row>
    <row r="20" spans="2:30" ht="15" thickBot="1" x14ac:dyDescent="0.4">
      <c r="B20" s="141"/>
      <c r="C20" s="141"/>
      <c r="D20" s="142"/>
      <c r="E20" s="141"/>
      <c r="F20" s="141"/>
      <c r="G20" s="141"/>
      <c r="H20" s="141"/>
      <c r="I20" s="141"/>
      <c r="J20" s="141"/>
      <c r="K20" s="143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</row>
    <row r="21" spans="2:30" x14ac:dyDescent="0.35">
      <c r="B21" s="626" t="s">
        <v>341</v>
      </c>
      <c r="C21" s="629" t="s">
        <v>12</v>
      </c>
      <c r="D21" s="636" t="s">
        <v>306</v>
      </c>
      <c r="E21" s="642" t="s">
        <v>307</v>
      </c>
      <c r="F21" s="108"/>
      <c r="G21" s="670" t="s">
        <v>184</v>
      </c>
      <c r="H21" s="670"/>
      <c r="I21" s="670" t="s">
        <v>308</v>
      </c>
      <c r="J21" s="670"/>
      <c r="K21" s="594" t="s">
        <v>342</v>
      </c>
      <c r="L21" s="594" t="s">
        <v>310</v>
      </c>
      <c r="M21" s="594" t="s">
        <v>311</v>
      </c>
      <c r="N21" s="594" t="s">
        <v>343</v>
      </c>
      <c r="O21" s="594"/>
      <c r="P21" s="594"/>
      <c r="Q21" s="594"/>
      <c r="R21" s="594"/>
      <c r="S21" s="594"/>
      <c r="T21" s="594"/>
      <c r="U21" s="594"/>
      <c r="V21" s="594"/>
      <c r="W21" s="594"/>
      <c r="X21" s="594"/>
      <c r="Y21" s="594"/>
      <c r="Z21" s="594"/>
      <c r="AA21" s="594" t="s">
        <v>313</v>
      </c>
      <c r="AB21" s="594" t="s">
        <v>314</v>
      </c>
      <c r="AC21" s="594"/>
      <c r="AD21" s="612" t="s">
        <v>14</v>
      </c>
    </row>
    <row r="22" spans="2:30" ht="26" x14ac:dyDescent="0.35">
      <c r="B22" s="627"/>
      <c r="C22" s="630"/>
      <c r="D22" s="668"/>
      <c r="E22" s="669"/>
      <c r="F22" s="144" t="s">
        <v>315</v>
      </c>
      <c r="G22" s="145" t="s">
        <v>316</v>
      </c>
      <c r="H22" s="144" t="s">
        <v>317</v>
      </c>
      <c r="I22" s="145" t="s">
        <v>316</v>
      </c>
      <c r="J22" s="144" t="s">
        <v>317</v>
      </c>
      <c r="K22" s="632"/>
      <c r="L22" s="632"/>
      <c r="M22" s="632"/>
      <c r="N22" s="632"/>
      <c r="O22" s="144" t="s">
        <v>196</v>
      </c>
      <c r="P22" s="144" t="s">
        <v>51</v>
      </c>
      <c r="Q22" s="144" t="s">
        <v>197</v>
      </c>
      <c r="R22" s="144" t="s">
        <v>198</v>
      </c>
      <c r="S22" s="144" t="s">
        <v>199</v>
      </c>
      <c r="T22" s="144" t="s">
        <v>319</v>
      </c>
      <c r="U22" s="144" t="s">
        <v>320</v>
      </c>
      <c r="V22" s="144" t="s">
        <v>52</v>
      </c>
      <c r="W22" s="144" t="s">
        <v>53</v>
      </c>
      <c r="X22" s="144" t="s">
        <v>54</v>
      </c>
      <c r="Y22" s="144" t="s">
        <v>200</v>
      </c>
      <c r="Z22" s="144" t="s">
        <v>344</v>
      </c>
      <c r="AA22" s="632"/>
      <c r="AB22" s="144" t="s">
        <v>345</v>
      </c>
      <c r="AC22" s="144" t="s">
        <v>323</v>
      </c>
      <c r="AD22" s="613"/>
    </row>
    <row r="23" spans="2:30" ht="39" x14ac:dyDescent="0.35">
      <c r="B23" s="627"/>
      <c r="C23" s="146">
        <v>1</v>
      </c>
      <c r="D23" s="660" t="s">
        <v>346</v>
      </c>
      <c r="E23" s="123" t="s">
        <v>347</v>
      </c>
      <c r="F23" s="124">
        <v>12</v>
      </c>
      <c r="G23" s="147">
        <v>2</v>
      </c>
      <c r="H23" s="147">
        <v>1</v>
      </c>
      <c r="I23" s="620">
        <v>1</v>
      </c>
      <c r="J23" s="661">
        <v>3</v>
      </c>
      <c r="K23" s="623">
        <v>1</v>
      </c>
      <c r="L23" s="620">
        <v>1</v>
      </c>
      <c r="M23" s="663">
        <v>1</v>
      </c>
      <c r="N23" s="663" t="s">
        <v>325</v>
      </c>
      <c r="O23" s="617">
        <v>5</v>
      </c>
      <c r="P23" s="618">
        <v>2</v>
      </c>
      <c r="Q23" s="617">
        <v>5</v>
      </c>
      <c r="R23" s="147"/>
      <c r="S23" s="147"/>
      <c r="T23" s="617">
        <v>2</v>
      </c>
      <c r="U23" s="617">
        <v>4</v>
      </c>
      <c r="V23" s="617">
        <v>3</v>
      </c>
      <c r="W23" s="147"/>
      <c r="X23" s="617">
        <v>2</v>
      </c>
      <c r="Y23" s="623">
        <v>1</v>
      </c>
      <c r="Z23" s="623">
        <v>1</v>
      </c>
      <c r="AA23" s="623" t="s">
        <v>326</v>
      </c>
      <c r="AB23" s="620">
        <v>3</v>
      </c>
      <c r="AC23" s="614">
        <v>1</v>
      </c>
      <c r="AD23" s="148"/>
    </row>
    <row r="24" spans="2:30" ht="39" x14ac:dyDescent="0.35">
      <c r="B24" s="627"/>
      <c r="C24" s="146">
        <v>2</v>
      </c>
      <c r="D24" s="660"/>
      <c r="E24" s="123" t="s">
        <v>348</v>
      </c>
      <c r="F24" s="124">
        <v>12</v>
      </c>
      <c r="G24" s="126">
        <v>1</v>
      </c>
      <c r="H24" s="126">
        <v>1</v>
      </c>
      <c r="I24" s="620"/>
      <c r="J24" s="661"/>
      <c r="K24" s="624"/>
      <c r="L24" s="620"/>
      <c r="M24" s="663"/>
      <c r="N24" s="663"/>
      <c r="O24" s="617"/>
      <c r="P24" s="618"/>
      <c r="Q24" s="617"/>
      <c r="R24" s="147"/>
      <c r="S24" s="147"/>
      <c r="T24" s="617"/>
      <c r="U24" s="617"/>
      <c r="V24" s="617"/>
      <c r="W24" s="147"/>
      <c r="X24" s="617"/>
      <c r="Y24" s="624"/>
      <c r="Z24" s="624"/>
      <c r="AA24" s="624"/>
      <c r="AB24" s="620"/>
      <c r="AC24" s="615"/>
      <c r="AD24" s="148"/>
    </row>
    <row r="25" spans="2:30" ht="26" x14ac:dyDescent="0.35">
      <c r="B25" s="627"/>
      <c r="C25" s="146">
        <v>3</v>
      </c>
      <c r="D25" s="660"/>
      <c r="E25" s="123" t="s">
        <v>349</v>
      </c>
      <c r="F25" s="124">
        <v>12</v>
      </c>
      <c r="G25" s="124">
        <v>2</v>
      </c>
      <c r="H25" s="124">
        <v>1</v>
      </c>
      <c r="I25" s="620"/>
      <c r="J25" s="661"/>
      <c r="K25" s="624"/>
      <c r="L25" s="620"/>
      <c r="M25" s="663"/>
      <c r="N25" s="663"/>
      <c r="O25" s="617"/>
      <c r="P25" s="618"/>
      <c r="Q25" s="617"/>
      <c r="R25" s="147"/>
      <c r="S25" s="147"/>
      <c r="T25" s="617"/>
      <c r="U25" s="617"/>
      <c r="V25" s="617"/>
      <c r="W25" s="147"/>
      <c r="X25" s="617"/>
      <c r="Y25" s="624"/>
      <c r="Z25" s="624"/>
      <c r="AA25" s="624"/>
      <c r="AB25" s="620"/>
      <c r="AC25" s="615"/>
      <c r="AD25" s="148"/>
    </row>
    <row r="26" spans="2:30" ht="39" x14ac:dyDescent="0.35">
      <c r="B26" s="627"/>
      <c r="C26" s="146">
        <v>4</v>
      </c>
      <c r="D26" s="149" t="s">
        <v>146</v>
      </c>
      <c r="E26" s="123" t="s">
        <v>350</v>
      </c>
      <c r="F26" s="124">
        <v>12</v>
      </c>
      <c r="G26" s="147">
        <v>2</v>
      </c>
      <c r="H26" s="147">
        <v>1</v>
      </c>
      <c r="I26" s="620"/>
      <c r="J26" s="661"/>
      <c r="K26" s="624"/>
      <c r="L26" s="620"/>
      <c r="M26" s="663"/>
      <c r="N26" s="663"/>
      <c r="O26" s="617"/>
      <c r="P26" s="618"/>
      <c r="Q26" s="617"/>
      <c r="R26" s="147"/>
      <c r="S26" s="147"/>
      <c r="T26" s="150">
        <v>1</v>
      </c>
      <c r="U26" s="126">
        <v>2</v>
      </c>
      <c r="V26" s="126">
        <v>1</v>
      </c>
      <c r="W26" s="147"/>
      <c r="X26" s="126">
        <v>1</v>
      </c>
      <c r="Y26" s="624"/>
      <c r="Z26" s="624"/>
      <c r="AA26" s="624"/>
      <c r="AB26" s="620"/>
      <c r="AC26" s="615"/>
      <c r="AD26" s="148"/>
    </row>
    <row r="27" spans="2:30" ht="39" x14ac:dyDescent="0.35">
      <c r="B27" s="627"/>
      <c r="C27" s="146">
        <v>5</v>
      </c>
      <c r="D27" s="149" t="s">
        <v>147</v>
      </c>
      <c r="E27" s="123" t="s">
        <v>351</v>
      </c>
      <c r="F27" s="124">
        <v>12</v>
      </c>
      <c r="G27" s="147">
        <v>3</v>
      </c>
      <c r="H27" s="147">
        <v>1</v>
      </c>
      <c r="I27" s="620">
        <v>1</v>
      </c>
      <c r="J27" s="661"/>
      <c r="K27" s="624"/>
      <c r="L27" s="620"/>
      <c r="M27" s="663"/>
      <c r="N27" s="663"/>
      <c r="O27" s="617"/>
      <c r="P27" s="618"/>
      <c r="Q27" s="617"/>
      <c r="R27" s="147"/>
      <c r="S27" s="147"/>
      <c r="T27" s="126">
        <v>1</v>
      </c>
      <c r="U27" s="126">
        <v>2</v>
      </c>
      <c r="V27" s="126">
        <v>1</v>
      </c>
      <c r="W27" s="147"/>
      <c r="X27" s="126">
        <v>1</v>
      </c>
      <c r="Y27" s="624"/>
      <c r="Z27" s="624"/>
      <c r="AA27" s="624"/>
      <c r="AB27" s="620"/>
      <c r="AC27" s="615"/>
      <c r="AD27" s="148"/>
    </row>
    <row r="28" spans="2:30" ht="39" x14ac:dyDescent="0.35">
      <c r="B28" s="627"/>
      <c r="C28" s="146">
        <v>6</v>
      </c>
      <c r="D28" s="149" t="s">
        <v>150</v>
      </c>
      <c r="E28" s="123" t="s">
        <v>352</v>
      </c>
      <c r="F28" s="124">
        <v>12</v>
      </c>
      <c r="G28" s="147">
        <v>2</v>
      </c>
      <c r="H28" s="147">
        <v>1</v>
      </c>
      <c r="I28" s="620"/>
      <c r="J28" s="661"/>
      <c r="K28" s="624"/>
      <c r="L28" s="620"/>
      <c r="M28" s="663"/>
      <c r="N28" s="663"/>
      <c r="O28" s="617"/>
      <c r="P28" s="618"/>
      <c r="Q28" s="617"/>
      <c r="R28" s="147"/>
      <c r="S28" s="147"/>
      <c r="T28" s="126">
        <v>1</v>
      </c>
      <c r="U28" s="126">
        <v>2</v>
      </c>
      <c r="V28" s="126">
        <v>2</v>
      </c>
      <c r="W28" s="147"/>
      <c r="X28" s="126">
        <v>1</v>
      </c>
      <c r="Y28" s="624"/>
      <c r="Z28" s="624"/>
      <c r="AA28" s="624"/>
      <c r="AB28" s="620"/>
      <c r="AC28" s="615"/>
      <c r="AD28" s="148"/>
    </row>
    <row r="29" spans="2:30" ht="39" x14ac:dyDescent="0.35">
      <c r="B29" s="627"/>
      <c r="C29" s="146">
        <v>7</v>
      </c>
      <c r="D29" s="149" t="s">
        <v>151</v>
      </c>
      <c r="E29" s="123" t="s">
        <v>353</v>
      </c>
      <c r="F29" s="124">
        <v>12</v>
      </c>
      <c r="G29" s="147">
        <v>2</v>
      </c>
      <c r="H29" s="147">
        <v>1</v>
      </c>
      <c r="I29" s="620"/>
      <c r="J29" s="661"/>
      <c r="K29" s="624"/>
      <c r="L29" s="620"/>
      <c r="M29" s="663"/>
      <c r="N29" s="663"/>
      <c r="O29" s="617"/>
      <c r="P29" s="618"/>
      <c r="Q29" s="617"/>
      <c r="R29" s="147"/>
      <c r="S29" s="147"/>
      <c r="T29" s="126">
        <v>1</v>
      </c>
      <c r="U29" s="126">
        <v>2</v>
      </c>
      <c r="V29" s="126">
        <v>1</v>
      </c>
      <c r="W29" s="147"/>
      <c r="X29" s="126">
        <v>1</v>
      </c>
      <c r="Y29" s="624"/>
      <c r="Z29" s="624"/>
      <c r="AA29" s="624"/>
      <c r="AB29" s="620"/>
      <c r="AC29" s="615"/>
      <c r="AD29" s="148"/>
    </row>
    <row r="30" spans="2:30" ht="39" x14ac:dyDescent="0.35">
      <c r="B30" s="627"/>
      <c r="C30" s="146">
        <v>8</v>
      </c>
      <c r="D30" s="149" t="s">
        <v>149</v>
      </c>
      <c r="E30" s="123" t="s">
        <v>354</v>
      </c>
      <c r="F30" s="124">
        <v>12</v>
      </c>
      <c r="G30" s="147">
        <v>3</v>
      </c>
      <c r="H30" s="147">
        <v>1</v>
      </c>
      <c r="I30" s="665">
        <v>1</v>
      </c>
      <c r="J30" s="661"/>
      <c r="K30" s="624"/>
      <c r="L30" s="620"/>
      <c r="M30" s="663"/>
      <c r="N30" s="663"/>
      <c r="O30" s="617"/>
      <c r="P30" s="618"/>
      <c r="Q30" s="617"/>
      <c r="R30" s="147"/>
      <c r="S30" s="147"/>
      <c r="T30" s="126">
        <v>1</v>
      </c>
      <c r="U30" s="126">
        <v>2</v>
      </c>
      <c r="V30" s="126">
        <v>1</v>
      </c>
      <c r="W30" s="147"/>
      <c r="X30" s="126">
        <v>1</v>
      </c>
      <c r="Y30" s="624"/>
      <c r="Z30" s="624"/>
      <c r="AA30" s="624"/>
      <c r="AB30" s="620"/>
      <c r="AC30" s="615"/>
      <c r="AD30" s="148"/>
    </row>
    <row r="31" spans="2:30" ht="39" x14ac:dyDescent="0.35">
      <c r="B31" s="627"/>
      <c r="C31" s="146">
        <v>9</v>
      </c>
      <c r="D31" s="149" t="s">
        <v>355</v>
      </c>
      <c r="E31" s="123" t="s">
        <v>356</v>
      </c>
      <c r="F31" s="124">
        <v>12</v>
      </c>
      <c r="G31" s="147">
        <v>2</v>
      </c>
      <c r="H31" s="147">
        <v>1</v>
      </c>
      <c r="I31" s="665"/>
      <c r="J31" s="661"/>
      <c r="K31" s="624"/>
      <c r="L31" s="620"/>
      <c r="M31" s="663"/>
      <c r="N31" s="663"/>
      <c r="O31" s="617"/>
      <c r="P31" s="618"/>
      <c r="Q31" s="617"/>
      <c r="R31" s="147"/>
      <c r="S31" s="147"/>
      <c r="T31" s="126">
        <v>1</v>
      </c>
      <c r="U31" s="126">
        <v>2</v>
      </c>
      <c r="V31" s="126">
        <v>1</v>
      </c>
      <c r="W31" s="147"/>
      <c r="X31" s="126">
        <v>1</v>
      </c>
      <c r="Y31" s="624"/>
      <c r="Z31" s="624"/>
      <c r="AA31" s="624"/>
      <c r="AB31" s="620"/>
      <c r="AC31" s="615"/>
      <c r="AD31" s="148"/>
    </row>
    <row r="32" spans="2:30" ht="39" x14ac:dyDescent="0.35">
      <c r="B32" s="627"/>
      <c r="C32" s="146">
        <v>10</v>
      </c>
      <c r="D32" s="122" t="s">
        <v>357</v>
      </c>
      <c r="E32" s="123" t="s">
        <v>358</v>
      </c>
      <c r="F32" s="124">
        <v>12</v>
      </c>
      <c r="G32" s="147">
        <v>3</v>
      </c>
      <c r="H32" s="147">
        <v>2</v>
      </c>
      <c r="I32" s="665"/>
      <c r="J32" s="661"/>
      <c r="K32" s="624"/>
      <c r="L32" s="620"/>
      <c r="M32" s="663"/>
      <c r="N32" s="663"/>
      <c r="O32" s="617"/>
      <c r="P32" s="618"/>
      <c r="Q32" s="617"/>
      <c r="R32" s="147"/>
      <c r="S32" s="147"/>
      <c r="T32" s="126">
        <v>1</v>
      </c>
      <c r="U32" s="126">
        <v>2</v>
      </c>
      <c r="V32" s="126">
        <v>1</v>
      </c>
      <c r="W32" s="147"/>
      <c r="X32" s="126">
        <v>1</v>
      </c>
      <c r="Y32" s="624"/>
      <c r="Z32" s="624"/>
      <c r="AA32" s="624"/>
      <c r="AB32" s="620"/>
      <c r="AC32" s="615"/>
      <c r="AD32" s="148"/>
    </row>
    <row r="33" spans="2:30" ht="39" x14ac:dyDescent="0.35">
      <c r="B33" s="627"/>
      <c r="C33" s="146">
        <v>11</v>
      </c>
      <c r="D33" s="660" t="s">
        <v>359</v>
      </c>
      <c r="E33" s="123" t="s">
        <v>360</v>
      </c>
      <c r="F33" s="124">
        <v>12</v>
      </c>
      <c r="G33" s="147">
        <v>2</v>
      </c>
      <c r="H33" s="623">
        <v>1</v>
      </c>
      <c r="I33" s="620">
        <v>2</v>
      </c>
      <c r="J33" s="661"/>
      <c r="K33" s="624"/>
      <c r="L33" s="620"/>
      <c r="M33" s="663"/>
      <c r="N33" s="663"/>
      <c r="O33" s="617"/>
      <c r="P33" s="618"/>
      <c r="Q33" s="617"/>
      <c r="R33" s="147"/>
      <c r="S33" s="147"/>
      <c r="T33" s="617">
        <v>1</v>
      </c>
      <c r="U33" s="617">
        <v>2</v>
      </c>
      <c r="V33" s="617">
        <v>1</v>
      </c>
      <c r="W33" s="147"/>
      <c r="X33" s="617">
        <v>2</v>
      </c>
      <c r="Y33" s="624"/>
      <c r="Z33" s="624"/>
      <c r="AA33" s="624"/>
      <c r="AB33" s="620"/>
      <c r="AC33" s="615"/>
      <c r="AD33" s="148"/>
    </row>
    <row r="34" spans="2:30" ht="26" x14ac:dyDescent="0.35">
      <c r="B34" s="627"/>
      <c r="C34" s="146">
        <v>12</v>
      </c>
      <c r="D34" s="660"/>
      <c r="E34" s="123" t="s">
        <v>361</v>
      </c>
      <c r="F34" s="124">
        <v>12</v>
      </c>
      <c r="G34" s="124">
        <v>1</v>
      </c>
      <c r="H34" s="662"/>
      <c r="I34" s="620"/>
      <c r="J34" s="661"/>
      <c r="K34" s="624"/>
      <c r="L34" s="620"/>
      <c r="M34" s="663"/>
      <c r="N34" s="663"/>
      <c r="O34" s="617"/>
      <c r="P34" s="618"/>
      <c r="Q34" s="617"/>
      <c r="R34" s="147"/>
      <c r="S34" s="147"/>
      <c r="T34" s="617"/>
      <c r="U34" s="617"/>
      <c r="V34" s="617"/>
      <c r="W34" s="147"/>
      <c r="X34" s="617"/>
      <c r="Y34" s="624"/>
      <c r="Z34" s="624"/>
      <c r="AA34" s="624"/>
      <c r="AB34" s="620"/>
      <c r="AC34" s="615"/>
      <c r="AD34" s="148"/>
    </row>
    <row r="35" spans="2:30" ht="39" x14ac:dyDescent="0.35">
      <c r="B35" s="627"/>
      <c r="C35" s="146">
        <v>13</v>
      </c>
      <c r="D35" s="149" t="s">
        <v>362</v>
      </c>
      <c r="E35" s="123" t="s">
        <v>363</v>
      </c>
      <c r="F35" s="124">
        <v>12</v>
      </c>
      <c r="G35" s="147">
        <v>1</v>
      </c>
      <c r="H35" s="147">
        <v>1</v>
      </c>
      <c r="I35" s="620"/>
      <c r="J35" s="661"/>
      <c r="K35" s="624"/>
      <c r="L35" s="620"/>
      <c r="M35" s="663"/>
      <c r="N35" s="663"/>
      <c r="O35" s="617"/>
      <c r="P35" s="618"/>
      <c r="Q35" s="617"/>
      <c r="R35" s="147"/>
      <c r="S35" s="147"/>
      <c r="T35" s="126">
        <v>1</v>
      </c>
      <c r="U35" s="126">
        <v>2</v>
      </c>
      <c r="V35" s="126">
        <v>1</v>
      </c>
      <c r="W35" s="147"/>
      <c r="X35" s="126">
        <v>1</v>
      </c>
      <c r="Y35" s="624"/>
      <c r="Z35" s="624"/>
      <c r="AA35" s="624"/>
      <c r="AB35" s="620"/>
      <c r="AC35" s="615"/>
      <c r="AD35" s="148"/>
    </row>
    <row r="36" spans="2:30" ht="39" x14ac:dyDescent="0.35">
      <c r="B36" s="627"/>
      <c r="C36" s="146">
        <v>14</v>
      </c>
      <c r="D36" s="149" t="s">
        <v>364</v>
      </c>
      <c r="E36" s="123" t="s">
        <v>365</v>
      </c>
      <c r="F36" s="124">
        <v>12</v>
      </c>
      <c r="G36" s="147">
        <v>2</v>
      </c>
      <c r="H36" s="147">
        <v>1</v>
      </c>
      <c r="I36" s="620"/>
      <c r="J36" s="661"/>
      <c r="K36" s="624"/>
      <c r="L36" s="620"/>
      <c r="M36" s="663"/>
      <c r="N36" s="663"/>
      <c r="O36" s="617"/>
      <c r="P36" s="618"/>
      <c r="Q36" s="617"/>
      <c r="R36" s="147"/>
      <c r="S36" s="147"/>
      <c r="T36" s="126">
        <v>1</v>
      </c>
      <c r="U36" s="126">
        <v>2</v>
      </c>
      <c r="V36" s="126">
        <v>1</v>
      </c>
      <c r="W36" s="147"/>
      <c r="X36" s="126">
        <v>1</v>
      </c>
      <c r="Y36" s="624"/>
      <c r="Z36" s="624"/>
      <c r="AA36" s="624"/>
      <c r="AB36" s="620"/>
      <c r="AC36" s="615"/>
      <c r="AD36" s="148"/>
    </row>
    <row r="37" spans="2:30" ht="39" x14ac:dyDescent="0.35">
      <c r="B37" s="627"/>
      <c r="C37" s="146">
        <v>15</v>
      </c>
      <c r="D37" s="149" t="s">
        <v>366</v>
      </c>
      <c r="E37" s="123" t="s">
        <v>367</v>
      </c>
      <c r="F37" s="124">
        <v>12</v>
      </c>
      <c r="G37" s="147">
        <v>3</v>
      </c>
      <c r="H37" s="149">
        <v>2</v>
      </c>
      <c r="I37" s="620"/>
      <c r="J37" s="661"/>
      <c r="K37" s="624"/>
      <c r="L37" s="620"/>
      <c r="M37" s="663"/>
      <c r="N37" s="663"/>
      <c r="O37" s="126">
        <v>1</v>
      </c>
      <c r="P37" s="618"/>
      <c r="Q37" s="126">
        <v>1</v>
      </c>
      <c r="R37" s="147"/>
      <c r="S37" s="126">
        <v>1</v>
      </c>
      <c r="T37" s="126">
        <v>1</v>
      </c>
      <c r="U37" s="126">
        <v>2</v>
      </c>
      <c r="V37" s="126">
        <v>2</v>
      </c>
      <c r="W37" s="147"/>
      <c r="X37" s="126">
        <v>1</v>
      </c>
      <c r="Y37" s="624"/>
      <c r="Z37" s="624"/>
      <c r="AA37" s="624"/>
      <c r="AB37" s="620"/>
      <c r="AC37" s="615"/>
      <c r="AD37" s="148"/>
    </row>
    <row r="38" spans="2:30" ht="26" x14ac:dyDescent="0.35">
      <c r="B38" s="627"/>
      <c r="C38" s="146">
        <v>16</v>
      </c>
      <c r="D38" s="122" t="s">
        <v>159</v>
      </c>
      <c r="E38" s="123" t="s">
        <v>368</v>
      </c>
      <c r="F38" s="124">
        <v>12</v>
      </c>
      <c r="G38" s="147">
        <v>4</v>
      </c>
      <c r="H38" s="147">
        <v>3</v>
      </c>
      <c r="I38" s="620">
        <v>1</v>
      </c>
      <c r="J38" s="661">
        <v>1</v>
      </c>
      <c r="K38" s="624"/>
      <c r="L38" s="620"/>
      <c r="M38" s="663"/>
      <c r="N38" s="663"/>
      <c r="O38" s="617">
        <v>2</v>
      </c>
      <c r="P38" s="618"/>
      <c r="Q38" s="617">
        <v>2</v>
      </c>
      <c r="R38" s="617">
        <v>2</v>
      </c>
      <c r="S38" s="126">
        <v>1</v>
      </c>
      <c r="T38" s="126">
        <v>1</v>
      </c>
      <c r="U38" s="126">
        <v>2</v>
      </c>
      <c r="V38" s="126">
        <v>2</v>
      </c>
      <c r="W38" s="126">
        <v>1</v>
      </c>
      <c r="X38" s="126">
        <v>1</v>
      </c>
      <c r="Y38" s="624"/>
      <c r="Z38" s="624"/>
      <c r="AA38" s="624"/>
      <c r="AB38" s="620"/>
      <c r="AC38" s="615"/>
      <c r="AD38" s="151"/>
    </row>
    <row r="39" spans="2:30" ht="26" x14ac:dyDescent="0.35">
      <c r="B39" s="627"/>
      <c r="C39" s="146">
        <v>17</v>
      </c>
      <c r="D39" s="122" t="s">
        <v>161</v>
      </c>
      <c r="E39" s="123" t="s">
        <v>369</v>
      </c>
      <c r="F39" s="124">
        <v>12</v>
      </c>
      <c r="G39" s="147">
        <v>5</v>
      </c>
      <c r="H39" s="147">
        <v>3</v>
      </c>
      <c r="I39" s="620"/>
      <c r="J39" s="661"/>
      <c r="K39" s="624"/>
      <c r="L39" s="620"/>
      <c r="M39" s="663"/>
      <c r="N39" s="663"/>
      <c r="O39" s="617"/>
      <c r="P39" s="618"/>
      <c r="Q39" s="617"/>
      <c r="R39" s="617"/>
      <c r="S39" s="126">
        <v>1</v>
      </c>
      <c r="T39" s="126">
        <v>1</v>
      </c>
      <c r="U39" s="126">
        <v>2</v>
      </c>
      <c r="V39" s="126">
        <v>2</v>
      </c>
      <c r="W39" s="126">
        <v>1</v>
      </c>
      <c r="X39" s="126">
        <v>1</v>
      </c>
      <c r="Y39" s="624"/>
      <c r="Z39" s="624"/>
      <c r="AA39" s="624"/>
      <c r="AB39" s="620"/>
      <c r="AC39" s="615"/>
      <c r="AD39" s="151"/>
    </row>
    <row r="40" spans="2:30" ht="26" x14ac:dyDescent="0.35">
      <c r="B40" s="627"/>
      <c r="C40" s="146">
        <v>18</v>
      </c>
      <c r="D40" s="152" t="s">
        <v>160</v>
      </c>
      <c r="E40" s="153" t="s">
        <v>370</v>
      </c>
      <c r="F40" s="154">
        <v>12</v>
      </c>
      <c r="G40" s="154">
        <v>5</v>
      </c>
      <c r="H40" s="154">
        <v>5</v>
      </c>
      <c r="I40" s="623"/>
      <c r="J40" s="653"/>
      <c r="K40" s="662"/>
      <c r="L40" s="623"/>
      <c r="M40" s="664"/>
      <c r="N40" s="664"/>
      <c r="O40" s="609"/>
      <c r="P40" s="619"/>
      <c r="Q40" s="609"/>
      <c r="R40" s="609"/>
      <c r="S40" s="128">
        <v>1</v>
      </c>
      <c r="T40" s="128">
        <v>2</v>
      </c>
      <c r="U40" s="128">
        <v>2</v>
      </c>
      <c r="V40" s="128">
        <v>2</v>
      </c>
      <c r="W40" s="128">
        <v>1</v>
      </c>
      <c r="X40" s="128">
        <v>1</v>
      </c>
      <c r="Y40" s="624"/>
      <c r="Z40" s="624"/>
      <c r="AA40" s="624"/>
      <c r="AB40" s="620"/>
      <c r="AC40" s="615"/>
      <c r="AD40" s="155"/>
    </row>
    <row r="41" spans="2:30" ht="26" x14ac:dyDescent="0.35">
      <c r="B41" s="627"/>
      <c r="C41" s="156">
        <v>19</v>
      </c>
      <c r="D41" s="157" t="s">
        <v>371</v>
      </c>
      <c r="E41" s="153" t="s">
        <v>372</v>
      </c>
      <c r="F41" s="128">
        <v>12</v>
      </c>
      <c r="G41" s="128">
        <v>9</v>
      </c>
      <c r="H41" s="126">
        <v>5</v>
      </c>
      <c r="I41" s="147">
        <v>1</v>
      </c>
      <c r="J41" s="126">
        <v>1</v>
      </c>
      <c r="K41" s="147"/>
      <c r="L41" s="147"/>
      <c r="M41" s="158"/>
      <c r="N41" s="158"/>
      <c r="O41" s="126">
        <v>1</v>
      </c>
      <c r="P41" s="159"/>
      <c r="Q41" s="126">
        <v>1</v>
      </c>
      <c r="R41" s="126"/>
      <c r="S41" s="128">
        <v>2</v>
      </c>
      <c r="T41" s="128">
        <v>2</v>
      </c>
      <c r="U41" s="128">
        <v>2</v>
      </c>
      <c r="V41" s="128">
        <v>2</v>
      </c>
      <c r="W41" s="128">
        <v>1</v>
      </c>
      <c r="X41" s="128">
        <v>1</v>
      </c>
      <c r="Y41" s="624"/>
      <c r="Z41" s="624"/>
      <c r="AA41" s="624"/>
      <c r="AB41" s="620">
        <v>1</v>
      </c>
      <c r="AC41" s="615"/>
      <c r="AD41" s="160"/>
    </row>
    <row r="42" spans="2:30" ht="26" x14ac:dyDescent="0.35">
      <c r="B42" s="627"/>
      <c r="C42" s="156">
        <v>20</v>
      </c>
      <c r="D42" s="157" t="s">
        <v>373</v>
      </c>
      <c r="E42" s="123" t="s">
        <v>374</v>
      </c>
      <c r="F42" s="128">
        <v>12</v>
      </c>
      <c r="G42" s="128">
        <v>6</v>
      </c>
      <c r="H42" s="126"/>
      <c r="I42" s="623">
        <v>1</v>
      </c>
      <c r="J42" s="126"/>
      <c r="K42" s="147"/>
      <c r="L42" s="147"/>
      <c r="M42" s="158"/>
      <c r="N42" s="158"/>
      <c r="O42" s="126"/>
      <c r="P42" s="159"/>
      <c r="Q42" s="126"/>
      <c r="R42" s="126">
        <v>1</v>
      </c>
      <c r="S42" s="128">
        <v>2</v>
      </c>
      <c r="T42" s="128">
        <v>2</v>
      </c>
      <c r="U42" s="128">
        <v>2</v>
      </c>
      <c r="V42" s="128">
        <v>2</v>
      </c>
      <c r="W42" s="128">
        <v>1</v>
      </c>
      <c r="X42" s="128">
        <v>1</v>
      </c>
      <c r="Y42" s="624"/>
      <c r="Z42" s="624"/>
      <c r="AA42" s="624"/>
      <c r="AB42" s="620"/>
      <c r="AC42" s="615"/>
      <c r="AD42" s="160"/>
    </row>
    <row r="43" spans="2:30" ht="39" x14ac:dyDescent="0.35">
      <c r="B43" s="627"/>
      <c r="C43" s="156">
        <v>21</v>
      </c>
      <c r="D43" s="147" t="s">
        <v>373</v>
      </c>
      <c r="E43" s="123" t="s">
        <v>375</v>
      </c>
      <c r="F43" s="128">
        <v>12</v>
      </c>
      <c r="G43" s="128">
        <v>2</v>
      </c>
      <c r="H43" s="126">
        <v>2</v>
      </c>
      <c r="I43" s="662"/>
      <c r="J43" s="126"/>
      <c r="K43" s="147"/>
      <c r="L43" s="147"/>
      <c r="M43" s="158"/>
      <c r="N43" s="158"/>
      <c r="O43" s="126">
        <v>1</v>
      </c>
      <c r="P43" s="159"/>
      <c r="Q43" s="126">
        <v>1</v>
      </c>
      <c r="R43" s="126"/>
      <c r="S43" s="128"/>
      <c r="T43" s="128">
        <v>1</v>
      </c>
      <c r="U43" s="128">
        <v>3</v>
      </c>
      <c r="V43" s="128">
        <v>1</v>
      </c>
      <c r="W43" s="128">
        <v>1</v>
      </c>
      <c r="X43" s="128">
        <v>1</v>
      </c>
      <c r="Y43" s="624"/>
      <c r="Z43" s="624"/>
      <c r="AA43" s="624"/>
      <c r="AB43" s="620"/>
      <c r="AC43" s="615"/>
      <c r="AD43" s="160"/>
    </row>
    <row r="44" spans="2:30" ht="15" thickBot="1" x14ac:dyDescent="0.4">
      <c r="B44" s="628"/>
      <c r="C44" s="156">
        <v>22</v>
      </c>
      <c r="D44" s="157" t="s">
        <v>376</v>
      </c>
      <c r="E44" s="153"/>
      <c r="F44" s="128">
        <v>12</v>
      </c>
      <c r="G44" s="128">
        <v>5</v>
      </c>
      <c r="H44" s="126">
        <v>5</v>
      </c>
      <c r="I44" s="147">
        <v>1</v>
      </c>
      <c r="J44" s="126">
        <v>1</v>
      </c>
      <c r="K44" s="147"/>
      <c r="L44" s="147"/>
      <c r="M44" s="158"/>
      <c r="N44" s="158"/>
      <c r="O44" s="126">
        <v>1</v>
      </c>
      <c r="P44" s="159"/>
      <c r="Q44" s="126">
        <v>1</v>
      </c>
      <c r="R44" s="126"/>
      <c r="S44" s="128">
        <v>1</v>
      </c>
      <c r="T44" s="128">
        <v>2</v>
      </c>
      <c r="U44" s="128">
        <v>2</v>
      </c>
      <c r="V44" s="128">
        <v>2</v>
      </c>
      <c r="W44" s="128">
        <v>1</v>
      </c>
      <c r="X44" s="128">
        <v>1</v>
      </c>
      <c r="Y44" s="625"/>
      <c r="Z44" s="625"/>
      <c r="AA44" s="625"/>
      <c r="AB44" s="620"/>
      <c r="AC44" s="616"/>
      <c r="AD44" s="160"/>
    </row>
    <row r="45" spans="2:30" ht="15" thickBot="1" x14ac:dyDescent="0.4">
      <c r="B45" s="666" t="s">
        <v>240</v>
      </c>
      <c r="C45" s="667"/>
      <c r="D45" s="667"/>
      <c r="E45" s="667"/>
      <c r="F45" s="667"/>
      <c r="G45" s="161">
        <f>SUM(G23:G44)</f>
        <v>67</v>
      </c>
      <c r="H45" s="161">
        <f t="shared" ref="H45:AC45" si="3">SUM(H23:H44)</f>
        <v>39</v>
      </c>
      <c r="I45" s="161">
        <f t="shared" si="3"/>
        <v>9</v>
      </c>
      <c r="J45" s="161">
        <f t="shared" si="3"/>
        <v>6</v>
      </c>
      <c r="K45" s="161">
        <f t="shared" si="3"/>
        <v>1</v>
      </c>
      <c r="L45" s="161">
        <f t="shared" si="3"/>
        <v>1</v>
      </c>
      <c r="M45" s="161">
        <f t="shared" si="3"/>
        <v>1</v>
      </c>
      <c r="N45" s="161">
        <f t="shared" si="3"/>
        <v>0</v>
      </c>
      <c r="O45" s="161">
        <f t="shared" si="3"/>
        <v>11</v>
      </c>
      <c r="P45" s="161">
        <f t="shared" si="3"/>
        <v>2</v>
      </c>
      <c r="Q45" s="161">
        <f t="shared" si="3"/>
        <v>11</v>
      </c>
      <c r="R45" s="161">
        <f t="shared" si="3"/>
        <v>3</v>
      </c>
      <c r="S45" s="161">
        <f t="shared" si="3"/>
        <v>9</v>
      </c>
      <c r="T45" s="161">
        <f t="shared" si="3"/>
        <v>24</v>
      </c>
      <c r="U45" s="161">
        <f t="shared" si="3"/>
        <v>41</v>
      </c>
      <c r="V45" s="161">
        <f t="shared" si="3"/>
        <v>29</v>
      </c>
      <c r="W45" s="161">
        <f t="shared" si="3"/>
        <v>7</v>
      </c>
      <c r="X45" s="161">
        <f t="shared" si="3"/>
        <v>21</v>
      </c>
      <c r="Y45" s="161">
        <f t="shared" si="3"/>
        <v>1</v>
      </c>
      <c r="Z45" s="161">
        <f t="shared" si="3"/>
        <v>1</v>
      </c>
      <c r="AA45" s="161">
        <f t="shared" si="3"/>
        <v>0</v>
      </c>
      <c r="AB45" s="162">
        <f>SUM(AB23:AB44)</f>
        <v>4</v>
      </c>
      <c r="AC45" s="161">
        <f t="shared" si="3"/>
        <v>1</v>
      </c>
      <c r="AD45" s="161"/>
    </row>
    <row r="49" spans="3:6" ht="15" thickBot="1" x14ac:dyDescent="0.4">
      <c r="C49" s="105"/>
      <c r="D49" s="106"/>
      <c r="E49" s="105"/>
      <c r="F49" s="105"/>
    </row>
    <row r="50" spans="3:6" x14ac:dyDescent="0.35">
      <c r="C50" s="105"/>
      <c r="D50" s="163" t="s">
        <v>12</v>
      </c>
      <c r="E50" s="163" t="s">
        <v>377</v>
      </c>
      <c r="F50" s="164" t="s">
        <v>14</v>
      </c>
    </row>
    <row r="51" spans="3:6" x14ac:dyDescent="0.35">
      <c r="C51" s="105"/>
      <c r="D51" s="104">
        <v>1</v>
      </c>
      <c r="E51" s="165" t="s">
        <v>16</v>
      </c>
      <c r="F51" s="166"/>
    </row>
    <row r="52" spans="3:6" x14ac:dyDescent="0.35">
      <c r="C52" s="105"/>
      <c r="D52" s="104">
        <v>2</v>
      </c>
      <c r="E52" s="165" t="s">
        <v>17</v>
      </c>
      <c r="F52" s="166"/>
    </row>
    <row r="53" spans="3:6" x14ac:dyDescent="0.35">
      <c r="C53" s="105"/>
      <c r="D53" s="104">
        <v>3</v>
      </c>
      <c r="E53" s="167" t="s">
        <v>18</v>
      </c>
      <c r="F53" s="168"/>
    </row>
    <row r="54" spans="3:6" x14ac:dyDescent="0.35">
      <c r="C54" s="105"/>
      <c r="D54" s="104">
        <v>4</v>
      </c>
      <c r="E54" s="167" t="s">
        <v>19</v>
      </c>
      <c r="F54" s="168"/>
    </row>
    <row r="55" spans="3:6" x14ac:dyDescent="0.35">
      <c r="C55" s="105"/>
      <c r="D55" s="104">
        <v>5</v>
      </c>
      <c r="E55" s="167" t="s">
        <v>20</v>
      </c>
      <c r="F55" s="168"/>
    </row>
    <row r="56" spans="3:6" x14ac:dyDescent="0.35">
      <c r="C56" s="105"/>
      <c r="D56" s="104">
        <v>6</v>
      </c>
      <c r="E56" s="167" t="s">
        <v>21</v>
      </c>
      <c r="F56" s="168"/>
    </row>
    <row r="57" spans="3:6" x14ac:dyDescent="0.35">
      <c r="C57" s="105"/>
      <c r="D57" s="104">
        <v>7</v>
      </c>
      <c r="E57" s="167" t="s">
        <v>22</v>
      </c>
      <c r="F57" s="168"/>
    </row>
    <row r="58" spans="3:6" x14ac:dyDescent="0.35">
      <c r="C58" s="105"/>
      <c r="D58" s="104">
        <v>8</v>
      </c>
      <c r="E58" s="167" t="s">
        <v>23</v>
      </c>
      <c r="F58" s="168"/>
    </row>
    <row r="59" spans="3:6" x14ac:dyDescent="0.35">
      <c r="C59" s="105"/>
      <c r="D59" s="104">
        <v>9</v>
      </c>
      <c r="E59" s="165" t="s">
        <v>24</v>
      </c>
      <c r="F59" s="166"/>
    </row>
    <row r="60" spans="3:6" x14ac:dyDescent="0.35">
      <c r="C60" s="105"/>
      <c r="D60" s="104">
        <v>10</v>
      </c>
      <c r="E60" s="165" t="s">
        <v>25</v>
      </c>
      <c r="F60" s="166"/>
    </row>
    <row r="61" spans="3:6" x14ac:dyDescent="0.35">
      <c r="C61" s="105"/>
      <c r="D61" s="104">
        <v>11</v>
      </c>
      <c r="E61" s="165" t="s">
        <v>378</v>
      </c>
      <c r="F61" s="166"/>
    </row>
    <row r="62" spans="3:6" x14ac:dyDescent="0.35">
      <c r="C62" s="105"/>
      <c r="D62" s="104">
        <v>12</v>
      </c>
      <c r="E62" s="167" t="s">
        <v>26</v>
      </c>
      <c r="F62" s="168"/>
    </row>
    <row r="63" spans="3:6" x14ac:dyDescent="0.35">
      <c r="C63" s="105"/>
      <c r="D63" s="104">
        <v>13</v>
      </c>
      <c r="E63" s="169" t="s">
        <v>379</v>
      </c>
      <c r="F63" s="170"/>
    </row>
    <row r="64" spans="3:6" x14ac:dyDescent="0.35">
      <c r="C64" s="105"/>
      <c r="D64" s="171">
        <v>14</v>
      </c>
      <c r="E64" s="169" t="s">
        <v>27</v>
      </c>
      <c r="F64" s="170"/>
    </row>
    <row r="65" spans="3:6" x14ac:dyDescent="0.35">
      <c r="C65" s="105"/>
      <c r="D65" s="171">
        <v>15</v>
      </c>
      <c r="E65" s="169" t="s">
        <v>28</v>
      </c>
      <c r="F65" s="170"/>
    </row>
    <row r="66" spans="3:6" x14ac:dyDescent="0.35">
      <c r="C66" s="105"/>
      <c r="D66" s="171">
        <v>16</v>
      </c>
      <c r="E66" s="169" t="s">
        <v>29</v>
      </c>
      <c r="F66" s="170"/>
    </row>
    <row r="67" spans="3:6" ht="15" thickBot="1" x14ac:dyDescent="0.4">
      <c r="C67" s="105"/>
      <c r="D67" s="172">
        <v>17</v>
      </c>
      <c r="E67" s="173" t="s">
        <v>380</v>
      </c>
      <c r="F67" s="174"/>
    </row>
    <row r="68" spans="3:6" x14ac:dyDescent="0.35">
      <c r="C68" s="105"/>
      <c r="D68" s="163" t="s">
        <v>12</v>
      </c>
      <c r="E68" s="163" t="s">
        <v>381</v>
      </c>
      <c r="F68" s="164" t="s">
        <v>14</v>
      </c>
    </row>
    <row r="69" spans="3:6" x14ac:dyDescent="0.35">
      <c r="C69" s="105"/>
      <c r="D69" s="104">
        <v>1</v>
      </c>
      <c r="E69" s="169" t="s">
        <v>32</v>
      </c>
      <c r="F69" s="671" t="s">
        <v>33</v>
      </c>
    </row>
    <row r="70" spans="3:6" x14ac:dyDescent="0.35">
      <c r="C70" s="105"/>
      <c r="D70" s="104">
        <v>2</v>
      </c>
      <c r="E70" s="169" t="s">
        <v>34</v>
      </c>
      <c r="F70" s="672"/>
    </row>
    <row r="71" spans="3:6" x14ac:dyDescent="0.35">
      <c r="C71" s="105"/>
      <c r="D71" s="104">
        <v>3</v>
      </c>
      <c r="E71" s="169" t="s">
        <v>35</v>
      </c>
      <c r="F71" s="672"/>
    </row>
    <row r="72" spans="3:6" x14ac:dyDescent="0.35">
      <c r="C72" s="105"/>
      <c r="D72" s="104">
        <v>4</v>
      </c>
      <c r="E72" s="169" t="s">
        <v>36</v>
      </c>
      <c r="F72" s="672"/>
    </row>
    <row r="73" spans="3:6" x14ac:dyDescent="0.35">
      <c r="C73" s="105"/>
      <c r="D73" s="104">
        <v>5</v>
      </c>
      <c r="E73" s="169" t="s">
        <v>37</v>
      </c>
      <c r="F73" s="672"/>
    </row>
    <row r="74" spans="3:6" x14ac:dyDescent="0.35">
      <c r="C74" s="105"/>
      <c r="D74" s="104">
        <v>6</v>
      </c>
      <c r="E74" s="169" t="s">
        <v>38</v>
      </c>
      <c r="F74" s="672"/>
    </row>
    <row r="75" spans="3:6" ht="15" thickBot="1" x14ac:dyDescent="0.4">
      <c r="C75" s="105"/>
      <c r="D75" s="172">
        <v>7</v>
      </c>
      <c r="E75" s="173" t="s">
        <v>39</v>
      </c>
      <c r="F75" s="673"/>
    </row>
    <row r="76" spans="3:6" x14ac:dyDescent="0.35">
      <c r="C76" s="105"/>
      <c r="D76" s="175">
        <v>8</v>
      </c>
      <c r="E76" s="176" t="s">
        <v>32</v>
      </c>
      <c r="F76" s="674" t="s">
        <v>40</v>
      </c>
    </row>
    <row r="77" spans="3:6" x14ac:dyDescent="0.35">
      <c r="C77" s="105"/>
      <c r="D77" s="104">
        <v>9</v>
      </c>
      <c r="E77" s="169" t="s">
        <v>34</v>
      </c>
      <c r="F77" s="672"/>
    </row>
    <row r="78" spans="3:6" x14ac:dyDescent="0.35">
      <c r="C78" s="105"/>
      <c r="D78" s="104">
        <v>10</v>
      </c>
      <c r="E78" s="169" t="s">
        <v>35</v>
      </c>
      <c r="F78" s="672"/>
    </row>
    <row r="79" spans="3:6" x14ac:dyDescent="0.35">
      <c r="C79" s="105"/>
      <c r="D79" s="104">
        <v>11</v>
      </c>
      <c r="E79" s="169" t="s">
        <v>36</v>
      </c>
      <c r="F79" s="672"/>
    </row>
    <row r="80" spans="3:6" x14ac:dyDescent="0.35">
      <c r="C80" s="105"/>
      <c r="D80" s="104">
        <v>12</v>
      </c>
      <c r="E80" s="169" t="s">
        <v>37</v>
      </c>
      <c r="F80" s="672"/>
    </row>
    <row r="81" spans="3:6" x14ac:dyDescent="0.35">
      <c r="C81" s="105"/>
      <c r="D81" s="104">
        <v>13</v>
      </c>
      <c r="E81" s="169" t="s">
        <v>38</v>
      </c>
      <c r="F81" s="672"/>
    </row>
    <row r="82" spans="3:6" ht="15" thickBot="1" x14ac:dyDescent="0.4">
      <c r="C82" s="105"/>
      <c r="D82" s="172">
        <v>14</v>
      </c>
      <c r="E82" s="173" t="s">
        <v>39</v>
      </c>
      <c r="F82" s="673"/>
    </row>
    <row r="83" spans="3:6" x14ac:dyDescent="0.35">
      <c r="C83" s="105"/>
      <c r="D83" s="107"/>
      <c r="E83" s="177"/>
      <c r="F83" s="178"/>
    </row>
    <row r="84" spans="3:6" ht="15" thickBot="1" x14ac:dyDescent="0.4">
      <c r="C84" s="105"/>
      <c r="D84" s="107"/>
      <c r="E84" s="177"/>
      <c r="F84" s="178"/>
    </row>
    <row r="85" spans="3:6" x14ac:dyDescent="0.35">
      <c r="C85" s="105"/>
      <c r="D85" s="179" t="s">
        <v>12</v>
      </c>
      <c r="E85" s="163" t="s">
        <v>382</v>
      </c>
      <c r="F85" s="163"/>
    </row>
    <row r="86" spans="3:6" x14ac:dyDescent="0.35">
      <c r="C86" s="105"/>
      <c r="D86" s="104">
        <v>1</v>
      </c>
      <c r="E86" s="169" t="s">
        <v>383</v>
      </c>
      <c r="F86" s="180"/>
    </row>
    <row r="87" spans="3:6" x14ac:dyDescent="0.35">
      <c r="C87" s="105"/>
      <c r="D87" s="104">
        <v>2</v>
      </c>
      <c r="E87" s="169" t="s">
        <v>384</v>
      </c>
      <c r="F87" s="180"/>
    </row>
    <row r="88" spans="3:6" ht="15" thickBot="1" x14ac:dyDescent="0.4">
      <c r="C88" s="105"/>
      <c r="D88" s="172">
        <v>3</v>
      </c>
      <c r="E88" s="173" t="s">
        <v>385</v>
      </c>
      <c r="F88" s="181"/>
    </row>
    <row r="89" spans="3:6" x14ac:dyDescent="0.35">
      <c r="C89" s="105"/>
      <c r="D89" s="104">
        <v>3</v>
      </c>
      <c r="E89" s="182"/>
      <c r="F89" s="182"/>
    </row>
    <row r="90" spans="3:6" x14ac:dyDescent="0.35">
      <c r="C90" s="105"/>
      <c r="D90" s="104"/>
      <c r="E90" s="182"/>
      <c r="F90" s="182"/>
    </row>
    <row r="91" spans="3:6" x14ac:dyDescent="0.35">
      <c r="C91" s="105"/>
      <c r="D91" s="104"/>
      <c r="E91" s="182"/>
      <c r="F91" s="182"/>
    </row>
    <row r="92" spans="3:6" ht="15" thickBot="1" x14ac:dyDescent="0.4">
      <c r="C92" s="105"/>
      <c r="D92" s="172"/>
      <c r="E92" s="183"/>
      <c r="F92" s="183"/>
    </row>
  </sheetData>
  <mergeCells count="81">
    <mergeCell ref="F69:F75"/>
    <mergeCell ref="F76:F82"/>
    <mergeCell ref="O38:O40"/>
    <mergeCell ref="Q38:Q40"/>
    <mergeCell ref="R38:R40"/>
    <mergeCell ref="AB41:AB44"/>
    <mergeCell ref="I42:I43"/>
    <mergeCell ref="B45:F45"/>
    <mergeCell ref="Y23:Y44"/>
    <mergeCell ref="Z23:Z44"/>
    <mergeCell ref="AA23:AA44"/>
    <mergeCell ref="AB23:AB40"/>
    <mergeCell ref="B21:B44"/>
    <mergeCell ref="C21:C22"/>
    <mergeCell ref="D21:D22"/>
    <mergeCell ref="E21:E22"/>
    <mergeCell ref="G21:H21"/>
    <mergeCell ref="I21:J21"/>
    <mergeCell ref="D33:D34"/>
    <mergeCell ref="H33:H34"/>
    <mergeCell ref="AB21:AC21"/>
    <mergeCell ref="V23:V25"/>
    <mergeCell ref="X23:X25"/>
    <mergeCell ref="V33:V34"/>
    <mergeCell ref="X33:X34"/>
    <mergeCell ref="I38:I40"/>
    <mergeCell ref="J38:J40"/>
    <mergeCell ref="I27:I29"/>
    <mergeCell ref="I30:I32"/>
    <mergeCell ref="I33:I37"/>
    <mergeCell ref="T33:T34"/>
    <mergeCell ref="U33:U34"/>
    <mergeCell ref="P23:P40"/>
    <mergeCell ref="Q23:Q36"/>
    <mergeCell ref="T23:T25"/>
    <mergeCell ref="U23:U25"/>
    <mergeCell ref="AD21:AD22"/>
    <mergeCell ref="D23:D25"/>
    <mergeCell ref="I23:I26"/>
    <mergeCell ref="J23:J37"/>
    <mergeCell ref="K23:K40"/>
    <mergeCell ref="L23:L40"/>
    <mergeCell ref="M23:M40"/>
    <mergeCell ref="N23:N40"/>
    <mergeCell ref="O23:O36"/>
    <mergeCell ref="K21:K22"/>
    <mergeCell ref="L21:L22"/>
    <mergeCell ref="M21:M22"/>
    <mergeCell ref="N21:N22"/>
    <mergeCell ref="O21:Z21"/>
    <mergeCell ref="AA21:AA22"/>
    <mergeCell ref="AC23:AC44"/>
    <mergeCell ref="AC5:AC18"/>
    <mergeCell ref="AD5:AD18"/>
    <mergeCell ref="Q9:Q13"/>
    <mergeCell ref="I10:I11"/>
    <mergeCell ref="M5:M18"/>
    <mergeCell ref="N5:N18"/>
    <mergeCell ref="Z5:Z18"/>
    <mergeCell ref="AA5:AA18"/>
    <mergeCell ref="I12:I13"/>
    <mergeCell ref="I15:I17"/>
    <mergeCell ref="K5:K18"/>
    <mergeCell ref="L5:L17"/>
    <mergeCell ref="AB5:AB18"/>
    <mergeCell ref="AC3:AC4"/>
    <mergeCell ref="B3:B19"/>
    <mergeCell ref="C3:C4"/>
    <mergeCell ref="D3:D4"/>
    <mergeCell ref="E3:E4"/>
    <mergeCell ref="G3:H3"/>
    <mergeCell ref="I3:J3"/>
    <mergeCell ref="H5:H8"/>
    <mergeCell ref="J5:J8"/>
    <mergeCell ref="C19:F19"/>
    <mergeCell ref="K3:K4"/>
    <mergeCell ref="L3:L4"/>
    <mergeCell ref="M3:M4"/>
    <mergeCell ref="N3:N4"/>
    <mergeCell ref="O3:AB3"/>
    <mergeCell ref="G12:G1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5130-CEC2-43B3-A041-A6617E8B18EC}">
  <dimension ref="B3:F59"/>
  <sheetViews>
    <sheetView workbookViewId="0">
      <selection activeCell="K16" sqref="K16"/>
    </sheetView>
  </sheetViews>
  <sheetFormatPr defaultColWidth="8.90625" defaultRowHeight="14.5" x14ac:dyDescent="0.35"/>
  <cols>
    <col min="1" max="1" width="1.54296875" style="72" customWidth="1"/>
    <col min="2" max="2" width="42.6328125" style="73" bestFit="1" customWidth="1"/>
    <col min="3" max="4" width="8.90625" style="74"/>
    <col min="5" max="5" width="13" style="74" customWidth="1"/>
    <col min="6" max="6" width="11.6328125" style="74" customWidth="1"/>
    <col min="7" max="16384" width="8.90625" style="72"/>
  </cols>
  <sheetData>
    <row r="3" spans="2:6" x14ac:dyDescent="0.35">
      <c r="B3" s="63" t="s">
        <v>242</v>
      </c>
      <c r="C3" s="78"/>
      <c r="D3" s="78"/>
      <c r="E3" s="78"/>
      <c r="F3" s="78"/>
    </row>
    <row r="4" spans="2:6" ht="29" x14ac:dyDescent="0.35">
      <c r="B4" s="76" t="s">
        <v>243</v>
      </c>
      <c r="C4" s="79" t="s">
        <v>41</v>
      </c>
      <c r="D4" s="75" t="s">
        <v>244</v>
      </c>
      <c r="E4" s="80" t="s">
        <v>245</v>
      </c>
      <c r="F4" s="75" t="s">
        <v>246</v>
      </c>
    </row>
    <row r="5" spans="2:6" x14ac:dyDescent="0.35">
      <c r="B5" s="70" t="s">
        <v>16</v>
      </c>
      <c r="C5" s="66" t="s">
        <v>75</v>
      </c>
      <c r="D5" s="66"/>
      <c r="E5" s="67">
        <v>24</v>
      </c>
      <c r="F5" s="68"/>
    </row>
    <row r="6" spans="2:6" x14ac:dyDescent="0.35">
      <c r="B6" s="70" t="s">
        <v>17</v>
      </c>
      <c r="C6" s="66" t="s">
        <v>75</v>
      </c>
      <c r="D6" s="66"/>
      <c r="E6" s="67">
        <v>24</v>
      </c>
      <c r="F6" s="68"/>
    </row>
    <row r="7" spans="2:6" x14ac:dyDescent="0.35">
      <c r="B7" s="71" t="s">
        <v>18</v>
      </c>
      <c r="C7" s="66" t="s">
        <v>75</v>
      </c>
      <c r="D7" s="66"/>
      <c r="E7" s="67">
        <v>24</v>
      </c>
      <c r="F7" s="68"/>
    </row>
    <row r="8" spans="2:6" x14ac:dyDescent="0.35">
      <c r="B8" s="71" t="s">
        <v>19</v>
      </c>
      <c r="C8" s="66" t="s">
        <v>75</v>
      </c>
      <c r="D8" s="66"/>
      <c r="E8" s="67">
        <v>12</v>
      </c>
      <c r="F8" s="68"/>
    </row>
    <row r="9" spans="2:6" ht="29" x14ac:dyDescent="0.35">
      <c r="B9" s="71" t="s">
        <v>20</v>
      </c>
      <c r="C9" s="66" t="s">
        <v>75</v>
      </c>
      <c r="D9" s="66"/>
      <c r="E9" s="67">
        <v>12</v>
      </c>
      <c r="F9" s="68"/>
    </row>
    <row r="10" spans="2:6" ht="29" x14ac:dyDescent="0.35">
      <c r="B10" s="71" t="s">
        <v>21</v>
      </c>
      <c r="C10" s="66" t="s">
        <v>75</v>
      </c>
      <c r="D10" s="66"/>
      <c r="E10" s="67">
        <v>12</v>
      </c>
      <c r="F10" s="68"/>
    </row>
    <row r="11" spans="2:6" x14ac:dyDescent="0.35">
      <c r="B11" s="71" t="s">
        <v>61</v>
      </c>
      <c r="C11" s="66" t="s">
        <v>75</v>
      </c>
      <c r="D11" s="66"/>
      <c r="E11" s="67">
        <v>12</v>
      </c>
      <c r="F11" s="68"/>
    </row>
    <row r="12" spans="2:6" x14ac:dyDescent="0.35">
      <c r="B12" s="71" t="s">
        <v>22</v>
      </c>
      <c r="C12" s="66" t="s">
        <v>75</v>
      </c>
      <c r="D12" s="66"/>
      <c r="E12" s="67">
        <v>12</v>
      </c>
      <c r="F12" s="68"/>
    </row>
    <row r="13" spans="2:6" x14ac:dyDescent="0.35">
      <c r="B13" s="71" t="s">
        <v>23</v>
      </c>
      <c r="C13" s="66" t="s">
        <v>75</v>
      </c>
      <c r="D13" s="66"/>
      <c r="E13" s="67">
        <v>1</v>
      </c>
      <c r="F13" s="68"/>
    </row>
    <row r="14" spans="2:6" x14ac:dyDescent="0.35">
      <c r="B14" s="70" t="s">
        <v>58</v>
      </c>
      <c r="C14" s="66" t="s">
        <v>75</v>
      </c>
      <c r="D14" s="66"/>
      <c r="E14" s="67">
        <v>12</v>
      </c>
      <c r="F14" s="68"/>
    </row>
    <row r="15" spans="2:6" x14ac:dyDescent="0.35">
      <c r="B15" s="71" t="s">
        <v>26</v>
      </c>
      <c r="C15" s="66" t="s">
        <v>75</v>
      </c>
      <c r="D15" s="66"/>
      <c r="E15" s="67">
        <v>1</v>
      </c>
      <c r="F15" s="68"/>
    </row>
    <row r="16" spans="2:6" ht="29" x14ac:dyDescent="0.35">
      <c r="B16" s="71" t="s">
        <v>59</v>
      </c>
      <c r="C16" s="66"/>
      <c r="D16" s="66"/>
      <c r="E16" s="67">
        <v>2</v>
      </c>
      <c r="F16" s="68"/>
    </row>
    <row r="17" spans="2:6" x14ac:dyDescent="0.35">
      <c r="B17" s="71" t="s">
        <v>27</v>
      </c>
      <c r="C17" s="66" t="s">
        <v>75</v>
      </c>
      <c r="D17" s="66"/>
      <c r="E17" s="67">
        <v>1</v>
      </c>
      <c r="F17" s="68"/>
    </row>
    <row r="18" spans="2:6" x14ac:dyDescent="0.35">
      <c r="B18" s="71" t="s">
        <v>28</v>
      </c>
      <c r="C18" s="66" t="s">
        <v>75</v>
      </c>
      <c r="D18" s="66"/>
      <c r="E18" s="67">
        <v>1</v>
      </c>
      <c r="F18" s="68"/>
    </row>
    <row r="19" spans="2:6" x14ac:dyDescent="0.35">
      <c r="B19" s="71" t="s">
        <v>29</v>
      </c>
      <c r="C19" s="69" t="s">
        <v>75</v>
      </c>
      <c r="D19" s="69"/>
      <c r="E19" s="67">
        <v>2</v>
      </c>
      <c r="F19" s="68"/>
    </row>
    <row r="20" spans="2:6" x14ac:dyDescent="0.35">
      <c r="B20" s="71" t="s">
        <v>57</v>
      </c>
      <c r="C20" s="66" t="s">
        <v>75</v>
      </c>
      <c r="D20" s="66"/>
      <c r="E20" s="67">
        <v>2</v>
      </c>
      <c r="F20" s="68"/>
    </row>
    <row r="21" spans="2:6" x14ac:dyDescent="0.35">
      <c r="B21" s="71" t="s">
        <v>56</v>
      </c>
      <c r="C21" s="66" t="s">
        <v>75</v>
      </c>
      <c r="D21" s="66"/>
      <c r="E21" s="67">
        <v>1</v>
      </c>
      <c r="F21" s="68"/>
    </row>
    <row r="22" spans="2:6" x14ac:dyDescent="0.35">
      <c r="B22" s="71" t="s">
        <v>52</v>
      </c>
      <c r="C22" s="66" t="s">
        <v>75</v>
      </c>
      <c r="D22" s="66"/>
      <c r="E22" s="67">
        <v>1</v>
      </c>
      <c r="F22" s="68"/>
    </row>
    <row r="23" spans="2:6" x14ac:dyDescent="0.35">
      <c r="B23" s="71" t="s">
        <v>53</v>
      </c>
      <c r="C23" s="66" t="s">
        <v>75</v>
      </c>
      <c r="D23" s="66"/>
      <c r="E23" s="67">
        <v>1</v>
      </c>
      <c r="F23" s="68"/>
    </row>
    <row r="24" spans="2:6" x14ac:dyDescent="0.35">
      <c r="B24" s="71" t="s">
        <v>60</v>
      </c>
      <c r="C24" s="66" t="s">
        <v>75</v>
      </c>
      <c r="D24" s="66"/>
      <c r="E24" s="67">
        <v>1</v>
      </c>
      <c r="F24" s="68"/>
    </row>
    <row r="25" spans="2:6" x14ac:dyDescent="0.35">
      <c r="B25" s="71" t="s">
        <v>51</v>
      </c>
      <c r="C25" s="66" t="s">
        <v>75</v>
      </c>
      <c r="D25" s="66"/>
      <c r="E25" s="67">
        <v>4</v>
      </c>
      <c r="F25" s="68"/>
    </row>
    <row r="26" spans="2:6" x14ac:dyDescent="0.35">
      <c r="B26" s="71" t="s">
        <v>54</v>
      </c>
      <c r="C26" s="66" t="s">
        <v>75</v>
      </c>
      <c r="D26" s="66"/>
      <c r="E26" s="67">
        <v>1</v>
      </c>
      <c r="F26" s="68"/>
    </row>
    <row r="27" spans="2:6" x14ac:dyDescent="0.35">
      <c r="B27" s="59" t="s">
        <v>247</v>
      </c>
      <c r="C27" s="66" t="s">
        <v>75</v>
      </c>
      <c r="D27" s="66"/>
      <c r="E27" s="67">
        <v>1</v>
      </c>
      <c r="F27" s="60">
        <v>2800</v>
      </c>
    </row>
    <row r="28" spans="2:6" x14ac:dyDescent="0.35">
      <c r="B28" s="59" t="s">
        <v>248</v>
      </c>
      <c r="C28" s="66" t="s">
        <v>75</v>
      </c>
      <c r="D28" s="66"/>
      <c r="E28" s="67">
        <v>3</v>
      </c>
      <c r="F28" s="60">
        <v>4000</v>
      </c>
    </row>
    <row r="29" spans="2:6" x14ac:dyDescent="0.35">
      <c r="B29" s="59" t="s">
        <v>249</v>
      </c>
      <c r="C29" s="66" t="s">
        <v>75</v>
      </c>
      <c r="D29" s="66"/>
      <c r="E29" s="67">
        <v>1</v>
      </c>
      <c r="F29" s="60">
        <v>8500</v>
      </c>
    </row>
    <row r="30" spans="2:6" x14ac:dyDescent="0.35">
      <c r="B30" s="59" t="s">
        <v>250</v>
      </c>
      <c r="C30" s="66" t="s">
        <v>75</v>
      </c>
      <c r="D30" s="66"/>
      <c r="E30" s="67">
        <v>3</v>
      </c>
      <c r="F30" s="60">
        <v>220</v>
      </c>
    </row>
    <row r="31" spans="2:6" x14ac:dyDescent="0.35">
      <c r="B31" s="59" t="s">
        <v>251</v>
      </c>
      <c r="C31" s="66" t="s">
        <v>75</v>
      </c>
      <c r="D31" s="66"/>
      <c r="E31" s="67">
        <v>1</v>
      </c>
      <c r="F31" s="60">
        <v>1200</v>
      </c>
    </row>
    <row r="32" spans="2:6" x14ac:dyDescent="0.35">
      <c r="B32" s="61" t="s">
        <v>252</v>
      </c>
      <c r="C32" s="66" t="s">
        <v>75</v>
      </c>
      <c r="D32" s="66"/>
      <c r="E32" s="67">
        <v>1</v>
      </c>
      <c r="F32" s="60">
        <v>220</v>
      </c>
    </row>
    <row r="33" spans="2:6" x14ac:dyDescent="0.35">
      <c r="B33" s="59" t="s">
        <v>253</v>
      </c>
      <c r="C33" s="66" t="s">
        <v>75</v>
      </c>
      <c r="D33" s="66"/>
      <c r="E33" s="67">
        <v>1</v>
      </c>
      <c r="F33" s="60">
        <v>1100</v>
      </c>
    </row>
    <row r="34" spans="2:6" x14ac:dyDescent="0.35">
      <c r="B34" s="59" t="s">
        <v>254</v>
      </c>
      <c r="C34" s="66" t="s">
        <v>75</v>
      </c>
      <c r="D34" s="66"/>
      <c r="E34" s="67">
        <v>1</v>
      </c>
      <c r="F34" s="60">
        <v>145</v>
      </c>
    </row>
    <row r="35" spans="2:6" x14ac:dyDescent="0.35">
      <c r="B35" s="59" t="s">
        <v>255</v>
      </c>
      <c r="C35" s="66" t="s">
        <v>75</v>
      </c>
      <c r="D35" s="66"/>
      <c r="E35" s="67">
        <v>1</v>
      </c>
      <c r="F35" s="60">
        <v>245</v>
      </c>
    </row>
    <row r="36" spans="2:6" x14ac:dyDescent="0.35">
      <c r="B36" s="59" t="s">
        <v>256</v>
      </c>
      <c r="C36" s="66" t="s">
        <v>75</v>
      </c>
      <c r="D36" s="66"/>
      <c r="E36" s="67">
        <v>24</v>
      </c>
      <c r="F36" s="60">
        <v>125</v>
      </c>
    </row>
    <row r="37" spans="2:6" x14ac:dyDescent="0.35">
      <c r="B37" s="59" t="s">
        <v>257</v>
      </c>
      <c r="C37" s="66" t="s">
        <v>75</v>
      </c>
      <c r="D37" s="66"/>
      <c r="E37" s="67">
        <v>3</v>
      </c>
      <c r="F37" s="60">
        <v>260</v>
      </c>
    </row>
    <row r="38" spans="2:6" x14ac:dyDescent="0.35">
      <c r="B38" s="59" t="s">
        <v>258</v>
      </c>
      <c r="F38" s="60">
        <v>50</v>
      </c>
    </row>
    <row r="39" spans="2:6" x14ac:dyDescent="0.35">
      <c r="B39" s="61" t="s">
        <v>259</v>
      </c>
      <c r="F39" s="60">
        <v>50</v>
      </c>
    </row>
    <row r="40" spans="2:6" x14ac:dyDescent="0.35">
      <c r="B40" s="61" t="s">
        <v>260</v>
      </c>
      <c r="F40" s="60">
        <v>135</v>
      </c>
    </row>
    <row r="41" spans="2:6" x14ac:dyDescent="0.35">
      <c r="B41" s="59" t="s">
        <v>261</v>
      </c>
      <c r="F41" s="60">
        <v>65</v>
      </c>
    </row>
    <row r="42" spans="2:6" x14ac:dyDescent="0.35">
      <c r="B42" s="62" t="s">
        <v>262</v>
      </c>
      <c r="F42" s="60">
        <v>55</v>
      </c>
    </row>
    <row r="43" spans="2:6" x14ac:dyDescent="0.35">
      <c r="B43" s="59" t="s">
        <v>263</v>
      </c>
      <c r="F43" s="60">
        <v>25</v>
      </c>
    </row>
    <row r="44" spans="2:6" x14ac:dyDescent="0.35">
      <c r="B44" s="59" t="s">
        <v>264</v>
      </c>
      <c r="F44" s="60">
        <v>55</v>
      </c>
    </row>
    <row r="45" spans="2:6" x14ac:dyDescent="0.35">
      <c r="B45" s="59" t="s">
        <v>265</v>
      </c>
      <c r="F45" s="60">
        <v>22</v>
      </c>
    </row>
    <row r="46" spans="2:6" x14ac:dyDescent="0.35">
      <c r="B46" s="59" t="s">
        <v>266</v>
      </c>
      <c r="F46" s="60">
        <v>600</v>
      </c>
    </row>
    <row r="47" spans="2:6" x14ac:dyDescent="0.35">
      <c r="B47" s="59" t="s">
        <v>267</v>
      </c>
      <c r="F47" s="60">
        <v>120</v>
      </c>
    </row>
    <row r="48" spans="2:6" x14ac:dyDescent="0.35">
      <c r="B48" s="59" t="s">
        <v>268</v>
      </c>
      <c r="F48" s="60">
        <v>50</v>
      </c>
    </row>
    <row r="49" spans="2:6" x14ac:dyDescent="0.35">
      <c r="B49" s="59" t="s">
        <v>269</v>
      </c>
      <c r="F49" s="60">
        <v>65</v>
      </c>
    </row>
    <row r="50" spans="2:6" x14ac:dyDescent="0.35">
      <c r="B50" s="59" t="s">
        <v>270</v>
      </c>
      <c r="F50" s="60">
        <v>15</v>
      </c>
    </row>
    <row r="51" spans="2:6" x14ac:dyDescent="0.35">
      <c r="B51" s="59" t="s">
        <v>271</v>
      </c>
      <c r="F51" s="60">
        <v>125</v>
      </c>
    </row>
    <row r="52" spans="2:6" x14ac:dyDescent="0.35">
      <c r="B52" s="59" t="s">
        <v>272</v>
      </c>
      <c r="F52" s="60">
        <v>135</v>
      </c>
    </row>
    <row r="53" spans="2:6" x14ac:dyDescent="0.35">
      <c r="B53" s="59" t="s">
        <v>273</v>
      </c>
      <c r="F53" s="60">
        <v>45</v>
      </c>
    </row>
    <row r="54" spans="2:6" x14ac:dyDescent="0.35">
      <c r="B54" s="59" t="s">
        <v>274</v>
      </c>
      <c r="F54" s="60">
        <v>45</v>
      </c>
    </row>
    <row r="55" spans="2:6" x14ac:dyDescent="0.35">
      <c r="B55" s="59" t="s">
        <v>275</v>
      </c>
      <c r="F55" s="60">
        <v>400</v>
      </c>
    </row>
    <row r="56" spans="2:6" x14ac:dyDescent="0.35">
      <c r="B56" s="59" t="s">
        <v>276</v>
      </c>
      <c r="F56" s="60">
        <v>400</v>
      </c>
    </row>
    <row r="57" spans="2:6" x14ac:dyDescent="0.35">
      <c r="B57" s="59" t="s">
        <v>277</v>
      </c>
      <c r="F57" s="60">
        <v>400</v>
      </c>
    </row>
    <row r="58" spans="2:6" x14ac:dyDescent="0.35">
      <c r="B58" s="59" t="s">
        <v>278</v>
      </c>
      <c r="F58" s="60">
        <v>1850</v>
      </c>
    </row>
    <row r="59" spans="2:6" x14ac:dyDescent="0.35">
      <c r="B59" s="59" t="s">
        <v>279</v>
      </c>
      <c r="F59" s="60">
        <v>970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HK Budget (2)</vt:lpstr>
      <vt:lpstr>BOQ Basic -Residential (2)</vt:lpstr>
      <vt:lpstr>BOQ A (2)</vt:lpstr>
      <vt:lpstr>Sheet1</vt:lpstr>
      <vt:lpstr>BOQ Basic -Residential</vt:lpstr>
      <vt:lpstr>BOQ A</vt:lpstr>
      <vt:lpstr>Manpower Cost</vt:lpstr>
      <vt:lpstr>Equipment &amp; Tools Cost</vt:lpstr>
      <vt:lpstr>Consumables Cost </vt:lpstr>
      <vt:lpstr>Per Zone</vt:lpstr>
      <vt:lpstr>Items Pricelist</vt:lpstr>
      <vt:lpstr>Unit rates</vt:lpstr>
      <vt:lpstr>Summery</vt:lpstr>
      <vt:lpstr>Facades Cleaning Cost</vt:lpstr>
      <vt:lpstr>Pricing Cost</vt:lpstr>
      <vt:lpstr>Paid Services</vt:lpstr>
      <vt:lpstr>Transportation Cost</vt:lpstr>
      <vt:lpstr>Others Cost </vt:lpstr>
      <vt:lpstr>Mobilization &amp; Over Head Cost</vt:lpstr>
      <vt:lpstr>BOQ Zone A Equipment</vt:lpstr>
      <vt:lpstr>Manpower CTC</vt:lpstr>
      <vt:lpstr>Maning</vt:lpstr>
      <vt:lpstr>BOQ Zone A Manpower</vt:lpstr>
      <vt:lpstr>BOQ Zone A</vt:lpstr>
      <vt:lpstr>Equipment&amp;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Badr</dc:creator>
  <cp:lastModifiedBy>el mostawred AH</cp:lastModifiedBy>
  <dcterms:created xsi:type="dcterms:W3CDTF">2015-06-05T18:17:20Z</dcterms:created>
  <dcterms:modified xsi:type="dcterms:W3CDTF">2026-05-03T12:39:21Z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2024-12-01T08:47:12Z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388d7979-5e16-46ce-a626-36b6a9df4df7</vt:lpwstr>
  </property>
  <property fmtid="{D5CDD505-2E9C-101B-9397-08002B2CF9AE}" pid="7" name="MSIP_Label_defa4170-0d19-0005-0004-bc88714345d2_ActionId">
    <vt:lpwstr>883b9273-7815-4286-9f83-8fa573d56250</vt:lpwstr>
  </property>
  <property fmtid="{D5CDD505-2E9C-101B-9397-08002B2CF9AE}" pid="8" name="MSIP_Label_defa4170-0d19-0005-0004-bc88714345d2_ContentBits">
    <vt:lpwstr>0</vt:lpwstr>
  </property>
</Properties>
</file>