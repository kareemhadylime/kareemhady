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EL Mostawryd AA\OneDrive\Desktop\New folder (5)\"/>
    </mc:Choice>
  </mc:AlternateContent>
  <xr:revisionPtr revIDLastSave="0" documentId="8_{4E60913D-17DA-4D24-A7B2-203C79ACE124}" xr6:coauthVersionLast="47" xr6:coauthVersionMax="47" xr10:uidLastSave="{00000000-0000-0000-0000-000000000000}"/>
  <bookViews>
    <workbookView xWindow="-28920" yWindow="-120" windowWidth="29040" windowHeight="17520" firstSheet="2" activeTab="8" xr2:uid="{00000000-000D-0000-FFFF-FFFF00000000}"/>
  </bookViews>
  <sheets>
    <sheet name="General Notes &amp; SOW Summary" sheetId="7" r:id="rId1"/>
    <sheet name="Budget Summary" sheetId="20" r:id="rId2"/>
    <sheet name="Housekeeping Scope BOQ" sheetId="9" r:id="rId3"/>
    <sheet name="HK Budget" sheetId="14" r:id="rId4"/>
    <sheet name="HK - Light Tools &amp; Cons" sheetId="15" r:id="rId5"/>
    <sheet name="MEP Scope BOQ " sheetId="10" r:id="rId6"/>
    <sheet name="MEP Budget" sheetId="16" r:id="rId7"/>
    <sheet name="Landscape BOQ" sheetId="11" r:id="rId8"/>
    <sheet name="LS Budget" sheetId="17" r:id="rId9"/>
    <sheet name="Pest Control BOQ" sheetId="12" r:id="rId10"/>
    <sheet name="Pest Control Budget" sheetId="18" r:id="rId11"/>
    <sheet name="Backoffice &amp; Admin BOQ" sheetId="13" r:id="rId12"/>
    <sheet name="Back Office Budget" sheetId="19" r:id="rId13"/>
  </sheets>
  <externalReferences>
    <externalReference r:id="rId1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01" i="16" l="1"/>
  <c r="F9" i="20"/>
  <c r="I45" i="14"/>
  <c r="I46" i="14"/>
  <c r="I47" i="14"/>
  <c r="I48" i="14"/>
  <c r="I49" i="14"/>
  <c r="I50" i="14"/>
  <c r="I51" i="14"/>
  <c r="I52" i="14"/>
  <c r="I53" i="14"/>
  <c r="I54" i="14"/>
  <c r="I55" i="14"/>
  <c r="I56" i="14"/>
  <c r="I57" i="14"/>
  <c r="I58" i="14"/>
  <c r="I59" i="14"/>
  <c r="I60" i="14"/>
  <c r="I61" i="14"/>
  <c r="I62" i="14"/>
  <c r="I44" i="14"/>
  <c r="F92" i="17" l="1"/>
  <c r="F93" i="17"/>
  <c r="F94" i="17"/>
  <c r="F91" i="17"/>
  <c r="F24" i="19" l="1"/>
  <c r="F22" i="19"/>
  <c r="F21" i="19"/>
  <c r="F20" i="19"/>
  <c r="F19" i="19"/>
  <c r="F18" i="19"/>
  <c r="G10" i="19"/>
  <c r="F10" i="19"/>
  <c r="I10" i="19" s="1"/>
  <c r="C10" i="19"/>
  <c r="F9" i="19"/>
  <c r="I9" i="19" s="1"/>
  <c r="C9" i="19"/>
  <c r="G8" i="19"/>
  <c r="F8" i="19"/>
  <c r="I8" i="19" s="1"/>
  <c r="C8" i="19"/>
  <c r="G7" i="19"/>
  <c r="F7" i="19"/>
  <c r="I7" i="19" s="1"/>
  <c r="C7" i="19"/>
  <c r="G6" i="19"/>
  <c r="F6" i="19"/>
  <c r="I6" i="19" s="1"/>
  <c r="C6" i="19"/>
  <c r="G5" i="19"/>
  <c r="F5" i="19"/>
  <c r="I5" i="19" s="1"/>
  <c r="C5" i="19"/>
  <c r="F20" i="18"/>
  <c r="D19" i="18"/>
  <c r="F19" i="18" s="1"/>
  <c r="F18" i="18"/>
  <c r="F17" i="18"/>
  <c r="F16" i="18"/>
  <c r="F15" i="18"/>
  <c r="F14" i="18"/>
  <c r="F6" i="18"/>
  <c r="I6" i="18" s="1"/>
  <c r="H5" i="18"/>
  <c r="F5" i="18"/>
  <c r="I5" i="18" s="1"/>
  <c r="E54" i="17"/>
  <c r="F54" i="17" s="1"/>
  <c r="I54" i="17" s="1"/>
  <c r="E55" i="17"/>
  <c r="F55" i="17" s="1"/>
  <c r="I55" i="17" s="1"/>
  <c r="E53" i="17"/>
  <c r="F53" i="17" s="1"/>
  <c r="G94" i="17"/>
  <c r="H94" i="17" s="1"/>
  <c r="G31" i="11" s="1"/>
  <c r="H31" i="11" s="1"/>
  <c r="I31" i="11" s="1"/>
  <c r="D94" i="17"/>
  <c r="C94" i="17"/>
  <c r="G93" i="17"/>
  <c r="H93" i="17" s="1"/>
  <c r="G30" i="11" s="1"/>
  <c r="H30" i="11" s="1"/>
  <c r="I30" i="11" s="1"/>
  <c r="D93" i="17"/>
  <c r="C93" i="17"/>
  <c r="G92" i="17"/>
  <c r="H92" i="17" s="1"/>
  <c r="G29" i="11" s="1"/>
  <c r="H29" i="11" s="1"/>
  <c r="I29" i="11" s="1"/>
  <c r="D92" i="17"/>
  <c r="C92" i="17"/>
  <c r="G91" i="17"/>
  <c r="H91" i="17" s="1"/>
  <c r="G28" i="11" s="1"/>
  <c r="H28" i="11" s="1"/>
  <c r="I28" i="11" s="1"/>
  <c r="D91" i="17"/>
  <c r="C91" i="17"/>
  <c r="F71" i="17"/>
  <c r="F69" i="17"/>
  <c r="F68" i="17"/>
  <c r="F67" i="17"/>
  <c r="F66" i="17"/>
  <c r="G57" i="17"/>
  <c r="F57" i="17"/>
  <c r="I57" i="17" s="1"/>
  <c r="C57" i="17"/>
  <c r="G56" i="17"/>
  <c r="F56" i="17"/>
  <c r="C56" i="17"/>
  <c r="G55" i="17"/>
  <c r="C55" i="17"/>
  <c r="G54" i="17"/>
  <c r="C54" i="17"/>
  <c r="G53" i="17"/>
  <c r="H53" i="17" s="1"/>
  <c r="C53" i="17"/>
  <c r="F47" i="17"/>
  <c r="G47" i="17" s="1"/>
  <c r="H47" i="17" s="1"/>
  <c r="G17" i="11" s="1"/>
  <c r="H17" i="11" s="1"/>
  <c r="I17" i="11" s="1"/>
  <c r="D47" i="17"/>
  <c r="C47" i="17"/>
  <c r="F46" i="17"/>
  <c r="G46" i="17" s="1"/>
  <c r="H46" i="17" s="1"/>
  <c r="G16" i="11" s="1"/>
  <c r="H16" i="11" s="1"/>
  <c r="I16" i="11" s="1"/>
  <c r="D46" i="17"/>
  <c r="C46" i="17"/>
  <c r="F45" i="17"/>
  <c r="G45" i="17" s="1"/>
  <c r="H45" i="17" s="1"/>
  <c r="G15" i="11" s="1"/>
  <c r="H15" i="11" s="1"/>
  <c r="I15" i="11" s="1"/>
  <c r="D45" i="17"/>
  <c r="C45" i="17"/>
  <c r="F44" i="17"/>
  <c r="G44" i="17" s="1"/>
  <c r="H44" i="17" s="1"/>
  <c r="G14" i="11" s="1"/>
  <c r="H14" i="11" s="1"/>
  <c r="I14" i="11" s="1"/>
  <c r="D44" i="17"/>
  <c r="C44" i="17"/>
  <c r="F43" i="17"/>
  <c r="G43" i="17" s="1"/>
  <c r="H43" i="17" s="1"/>
  <c r="G13" i="11" s="1"/>
  <c r="H13" i="11" s="1"/>
  <c r="I13" i="11" s="1"/>
  <c r="D43" i="17"/>
  <c r="C43" i="17"/>
  <c r="F23" i="17"/>
  <c r="F21" i="17"/>
  <c r="F20" i="17"/>
  <c r="F19" i="17"/>
  <c r="F18" i="17"/>
  <c r="G9" i="17"/>
  <c r="F9" i="17"/>
  <c r="I9" i="17" s="1"/>
  <c r="C9" i="17"/>
  <c r="G8" i="17"/>
  <c r="F8" i="17"/>
  <c r="C8" i="17"/>
  <c r="G7" i="17"/>
  <c r="F7" i="17"/>
  <c r="I7" i="17" s="1"/>
  <c r="C7" i="17"/>
  <c r="G6" i="17"/>
  <c r="F6" i="17"/>
  <c r="I6" i="17" s="1"/>
  <c r="C6" i="17"/>
  <c r="G5" i="17"/>
  <c r="H5" i="17" s="1"/>
  <c r="F5" i="17"/>
  <c r="C5" i="17"/>
  <c r="H103" i="16"/>
  <c r="H104" i="16"/>
  <c r="H105" i="16"/>
  <c r="H106" i="16"/>
  <c r="H107" i="16"/>
  <c r="H108" i="16"/>
  <c r="H109" i="16"/>
  <c r="H110" i="16"/>
  <c r="H111" i="16"/>
  <c r="H112" i="16"/>
  <c r="H113" i="16"/>
  <c r="H114" i="16"/>
  <c r="H102" i="16"/>
  <c r="G102" i="16"/>
  <c r="G103" i="16"/>
  <c r="G104" i="16"/>
  <c r="G105" i="16"/>
  <c r="G106" i="16"/>
  <c r="G107" i="16"/>
  <c r="G108" i="16"/>
  <c r="G109" i="16"/>
  <c r="D127" i="16" s="1"/>
  <c r="F127" i="16" s="1"/>
  <c r="G110" i="16"/>
  <c r="G111" i="16"/>
  <c r="G112" i="16"/>
  <c r="G113" i="16"/>
  <c r="G114" i="16"/>
  <c r="G101" i="16"/>
  <c r="H101" i="16" s="1"/>
  <c r="C8" i="16"/>
  <c r="C9" i="16"/>
  <c r="C10" i="16"/>
  <c r="C11" i="16"/>
  <c r="C12" i="16"/>
  <c r="C13" i="16"/>
  <c r="C14" i="16"/>
  <c r="C15" i="16"/>
  <c r="C16" i="16"/>
  <c r="C17" i="16"/>
  <c r="C18" i="16"/>
  <c r="C19" i="16"/>
  <c r="C20" i="16"/>
  <c r="C21" i="16"/>
  <c r="C22" i="16"/>
  <c r="C23" i="16"/>
  <c r="C24" i="16"/>
  <c r="C25" i="16"/>
  <c r="C26" i="16"/>
  <c r="C27" i="16"/>
  <c r="C28" i="16"/>
  <c r="C7" i="16"/>
  <c r="G8" i="16"/>
  <c r="G9" i="16"/>
  <c r="G10" i="16"/>
  <c r="G11" i="16"/>
  <c r="G12" i="16"/>
  <c r="G13" i="16"/>
  <c r="G14" i="16"/>
  <c r="G15" i="16"/>
  <c r="H15" i="16" s="1"/>
  <c r="G16" i="16"/>
  <c r="G17" i="16"/>
  <c r="G18" i="16"/>
  <c r="G19" i="16"/>
  <c r="G20" i="16"/>
  <c r="G21" i="16"/>
  <c r="G22" i="16"/>
  <c r="G23" i="16"/>
  <c r="G24" i="16"/>
  <c r="G25" i="16"/>
  <c r="G26" i="16"/>
  <c r="G27" i="16"/>
  <c r="G28" i="16"/>
  <c r="G7" i="16"/>
  <c r="F128" i="16"/>
  <c r="F126" i="16"/>
  <c r="F125" i="16"/>
  <c r="F124" i="16"/>
  <c r="F123" i="16"/>
  <c r="C114" i="16"/>
  <c r="C113" i="16"/>
  <c r="C112" i="16"/>
  <c r="F111" i="16"/>
  <c r="I111" i="16" s="1"/>
  <c r="C111" i="16"/>
  <c r="E110" i="16"/>
  <c r="F110" i="16" s="1"/>
  <c r="C110" i="16"/>
  <c r="E109" i="16"/>
  <c r="F109" i="16" s="1"/>
  <c r="C109" i="16"/>
  <c r="F108" i="16"/>
  <c r="I108" i="16" s="1"/>
  <c r="C108" i="16"/>
  <c r="E107" i="16"/>
  <c r="F107" i="16" s="1"/>
  <c r="I107" i="16" s="1"/>
  <c r="C107" i="16"/>
  <c r="F106" i="16"/>
  <c r="C106" i="16"/>
  <c r="F105" i="16"/>
  <c r="C105" i="16"/>
  <c r="F104" i="16"/>
  <c r="C104" i="16"/>
  <c r="F103" i="16"/>
  <c r="I103" i="16" s="1"/>
  <c r="C103" i="16"/>
  <c r="F102" i="16"/>
  <c r="C102" i="16"/>
  <c r="C101" i="16"/>
  <c r="F81" i="16"/>
  <c r="F79" i="16"/>
  <c r="F78" i="16"/>
  <c r="F77" i="16"/>
  <c r="F76" i="16"/>
  <c r="D75" i="16"/>
  <c r="F75" i="16" s="1"/>
  <c r="G67" i="16"/>
  <c r="E67" i="16"/>
  <c r="F67" i="16" s="1"/>
  <c r="I67" i="16" s="1"/>
  <c r="C67" i="16"/>
  <c r="G66" i="16"/>
  <c r="C66" i="16"/>
  <c r="G65" i="16"/>
  <c r="E65" i="16"/>
  <c r="F65" i="16" s="1"/>
  <c r="I65" i="16" s="1"/>
  <c r="C65" i="16"/>
  <c r="G64" i="16"/>
  <c r="E64" i="16"/>
  <c r="E66" i="16" s="1"/>
  <c r="F66" i="16" s="1"/>
  <c r="I66" i="16" s="1"/>
  <c r="C64" i="16"/>
  <c r="G63" i="16"/>
  <c r="E63" i="16"/>
  <c r="F63" i="16" s="1"/>
  <c r="I63" i="16" s="1"/>
  <c r="C63" i="16"/>
  <c r="G62" i="16"/>
  <c r="E62" i="16"/>
  <c r="F62" i="16" s="1"/>
  <c r="I62" i="16" s="1"/>
  <c r="C62" i="16"/>
  <c r="F42" i="16"/>
  <c r="F40" i="16"/>
  <c r="F39" i="16"/>
  <c r="F38" i="16"/>
  <c r="F37" i="16"/>
  <c r="H28" i="16"/>
  <c r="F28" i="16"/>
  <c r="H27" i="16"/>
  <c r="I27" i="16" s="1"/>
  <c r="F27" i="16"/>
  <c r="F26" i="16"/>
  <c r="F25" i="16"/>
  <c r="H24" i="16"/>
  <c r="I24" i="16" s="1"/>
  <c r="F24" i="16"/>
  <c r="F23" i="16"/>
  <c r="H22" i="16"/>
  <c r="F22" i="16"/>
  <c r="H21" i="16"/>
  <c r="I21" i="16" s="1"/>
  <c r="F21" i="16"/>
  <c r="H20" i="16"/>
  <c r="I20" i="16" s="1"/>
  <c r="F20" i="16"/>
  <c r="H19" i="16"/>
  <c r="F19" i="16"/>
  <c r="F18" i="16"/>
  <c r="H17" i="16"/>
  <c r="F17" i="16"/>
  <c r="H16" i="16"/>
  <c r="F16" i="16"/>
  <c r="F15" i="16"/>
  <c r="H14" i="16"/>
  <c r="I14" i="16" s="1"/>
  <c r="F14" i="16"/>
  <c r="H13" i="16"/>
  <c r="F13" i="16"/>
  <c r="F12" i="16"/>
  <c r="H11" i="16"/>
  <c r="F11" i="16"/>
  <c r="H10" i="16"/>
  <c r="I10" i="16" s="1"/>
  <c r="F10" i="16"/>
  <c r="F9" i="16"/>
  <c r="F8" i="16"/>
  <c r="I8" i="16" s="1"/>
  <c r="D8" i="16"/>
  <c r="H7" i="16"/>
  <c r="F7" i="16"/>
  <c r="D7" i="16"/>
  <c r="G16" i="9"/>
  <c r="H16" i="9" s="1"/>
  <c r="I16" i="9" s="1"/>
  <c r="G17" i="9"/>
  <c r="H17" i="9" s="1"/>
  <c r="I17" i="9" s="1"/>
  <c r="G59" i="14"/>
  <c r="F49" i="14"/>
  <c r="G49" i="14" s="1"/>
  <c r="F50" i="14"/>
  <c r="G50" i="14" s="1"/>
  <c r="F51" i="14"/>
  <c r="G51" i="14" s="1"/>
  <c r="F52" i="14"/>
  <c r="G52" i="14" s="1"/>
  <c r="F53" i="14"/>
  <c r="G53" i="14" s="1"/>
  <c r="F54" i="14"/>
  <c r="G54" i="14" s="1"/>
  <c r="H54" i="14" s="1"/>
  <c r="G24" i="9" s="1"/>
  <c r="H24" i="9" s="1"/>
  <c r="I24" i="9" s="1"/>
  <c r="F55" i="14"/>
  <c r="G55" i="14" s="1"/>
  <c r="F56" i="14"/>
  <c r="G56" i="14" s="1"/>
  <c r="F57" i="14"/>
  <c r="G57" i="14" s="1"/>
  <c r="F58" i="14"/>
  <c r="G58" i="14" s="1"/>
  <c r="F59" i="14"/>
  <c r="F60" i="14"/>
  <c r="G60" i="14" s="1"/>
  <c r="F61" i="14"/>
  <c r="G61" i="14" s="1"/>
  <c r="F62" i="14"/>
  <c r="G62" i="14" s="1"/>
  <c r="F48" i="14"/>
  <c r="G48" i="14" s="1"/>
  <c r="H48" i="14" s="1"/>
  <c r="G18" i="9" s="1"/>
  <c r="H18" i="9" s="1"/>
  <c r="I18" i="9" s="1"/>
  <c r="I28" i="16" l="1"/>
  <c r="I17" i="16"/>
  <c r="I16" i="16"/>
  <c r="I15" i="16"/>
  <c r="I13" i="16"/>
  <c r="D22" i="17"/>
  <c r="F22" i="17" s="1"/>
  <c r="I101" i="16"/>
  <c r="I53" i="17"/>
  <c r="D70" i="17"/>
  <c r="F70" i="17" s="1"/>
  <c r="D23" i="19"/>
  <c r="F23" i="19" s="1"/>
  <c r="F26" i="19" s="1"/>
  <c r="D80" i="16"/>
  <c r="F80" i="16" s="1"/>
  <c r="F83" i="16" s="1"/>
  <c r="I12" i="19"/>
  <c r="F22" i="18"/>
  <c r="I8" i="18"/>
  <c r="I5" i="17"/>
  <c r="I8" i="17"/>
  <c r="D17" i="17"/>
  <c r="F17" i="17" s="1"/>
  <c r="H56" i="17"/>
  <c r="I109" i="16"/>
  <c r="I19" i="16"/>
  <c r="I11" i="16"/>
  <c r="I22" i="16"/>
  <c r="I25" i="16"/>
  <c r="I23" i="16"/>
  <c r="I7" i="16"/>
  <c r="I12" i="16"/>
  <c r="I26" i="16"/>
  <c r="I18" i="16"/>
  <c r="D41" i="16"/>
  <c r="F41" i="16" s="1"/>
  <c r="I110" i="16"/>
  <c r="I105" i="16"/>
  <c r="I9" i="16"/>
  <c r="D36" i="16"/>
  <c r="F36" i="16" s="1"/>
  <c r="I106" i="16"/>
  <c r="I104" i="16"/>
  <c r="F64" i="16"/>
  <c r="I64" i="16" s="1"/>
  <c r="E112" i="16"/>
  <c r="F112" i="16" s="1"/>
  <c r="I112" i="16" s="1"/>
  <c r="E113" i="16"/>
  <c r="F113" i="16" s="1"/>
  <c r="I113" i="16" s="1"/>
  <c r="E114" i="16"/>
  <c r="F114" i="16" s="1"/>
  <c r="I114" i="16" s="1"/>
  <c r="H62" i="14"/>
  <c r="G32" i="9" s="1"/>
  <c r="H32" i="9" s="1"/>
  <c r="I32" i="9" s="1"/>
  <c r="D45" i="14"/>
  <c r="D46" i="14"/>
  <c r="D47" i="14"/>
  <c r="D48" i="14"/>
  <c r="D49" i="14"/>
  <c r="D50" i="14"/>
  <c r="D51" i="14"/>
  <c r="D52" i="14"/>
  <c r="D53" i="14"/>
  <c r="D54" i="14"/>
  <c r="D55" i="14"/>
  <c r="D56" i="14"/>
  <c r="D57" i="14"/>
  <c r="D58" i="14"/>
  <c r="D59" i="14"/>
  <c r="D60" i="14"/>
  <c r="D61" i="14"/>
  <c r="D62" i="14"/>
  <c r="D44" i="14"/>
  <c r="C62" i="14"/>
  <c r="C45" i="14"/>
  <c r="C46" i="14"/>
  <c r="C47" i="14"/>
  <c r="C48" i="14"/>
  <c r="C49" i="14"/>
  <c r="C50" i="14"/>
  <c r="C51" i="14"/>
  <c r="C52" i="14"/>
  <c r="C53" i="14"/>
  <c r="C54" i="14"/>
  <c r="C55" i="14"/>
  <c r="C56" i="14"/>
  <c r="C57" i="14"/>
  <c r="C58" i="14"/>
  <c r="C59" i="14"/>
  <c r="C60" i="14"/>
  <c r="C61" i="14"/>
  <c r="C44" i="14"/>
  <c r="G6" i="14"/>
  <c r="H6" i="14" s="1"/>
  <c r="G7" i="14"/>
  <c r="G8" i="14"/>
  <c r="H8" i="14" s="1"/>
  <c r="G9" i="14"/>
  <c r="G10" i="14"/>
  <c r="G5" i="14"/>
  <c r="H5" i="14" s="1"/>
  <c r="D6" i="14"/>
  <c r="D7" i="14"/>
  <c r="D8" i="14"/>
  <c r="D9" i="14"/>
  <c r="D5" i="14"/>
  <c r="C7" i="14"/>
  <c r="C8" i="14"/>
  <c r="C9" i="14"/>
  <c r="C6" i="14"/>
  <c r="C10" i="14"/>
  <c r="C5" i="14"/>
  <c r="E45" i="15"/>
  <c r="E44" i="15"/>
  <c r="E43" i="15"/>
  <c r="E42" i="15"/>
  <c r="E41" i="15"/>
  <c r="E40" i="15"/>
  <c r="E39" i="15"/>
  <c r="E38" i="15"/>
  <c r="E37" i="15"/>
  <c r="E36" i="15"/>
  <c r="E35" i="15"/>
  <c r="E34" i="15"/>
  <c r="E33" i="15"/>
  <c r="E32" i="15"/>
  <c r="E31" i="15"/>
  <c r="E30" i="15"/>
  <c r="E29" i="15"/>
  <c r="E28" i="15"/>
  <c r="E27" i="15"/>
  <c r="E26" i="15"/>
  <c r="E25" i="15"/>
  <c r="E17" i="15"/>
  <c r="E16" i="15"/>
  <c r="E15" i="15"/>
  <c r="E14" i="15"/>
  <c r="E13" i="15"/>
  <c r="E12" i="15"/>
  <c r="E11" i="15"/>
  <c r="E10" i="15"/>
  <c r="E9" i="15"/>
  <c r="E8" i="15"/>
  <c r="E7" i="15"/>
  <c r="E6" i="15"/>
  <c r="E5" i="15"/>
  <c r="H61" i="14"/>
  <c r="G31" i="9" s="1"/>
  <c r="H31" i="9" s="1"/>
  <c r="I31" i="9" s="1"/>
  <c r="H60" i="14"/>
  <c r="G30" i="9" s="1"/>
  <c r="H30" i="9" s="1"/>
  <c r="I30" i="9" s="1"/>
  <c r="H59" i="14"/>
  <c r="G29" i="9" s="1"/>
  <c r="H29" i="9" s="1"/>
  <c r="I29" i="9" s="1"/>
  <c r="H58" i="14"/>
  <c r="G28" i="9" s="1"/>
  <c r="H28" i="9" s="1"/>
  <c r="I28" i="9" s="1"/>
  <c r="H57" i="14"/>
  <c r="G27" i="9" s="1"/>
  <c r="H27" i="9" s="1"/>
  <c r="I27" i="9" s="1"/>
  <c r="H56" i="14"/>
  <c r="G26" i="9" s="1"/>
  <c r="H26" i="9" s="1"/>
  <c r="I26" i="9" s="1"/>
  <c r="H55" i="14"/>
  <c r="G25" i="9" s="1"/>
  <c r="H25" i="9" s="1"/>
  <c r="I25" i="9" s="1"/>
  <c r="H53" i="14"/>
  <c r="G23" i="9" s="1"/>
  <c r="H23" i="9" s="1"/>
  <c r="I23" i="9" s="1"/>
  <c r="H52" i="14"/>
  <c r="G22" i="9" s="1"/>
  <c r="H22" i="9" s="1"/>
  <c r="I22" i="9" s="1"/>
  <c r="H51" i="14"/>
  <c r="G21" i="9" s="1"/>
  <c r="H21" i="9" s="1"/>
  <c r="I21" i="9" s="1"/>
  <c r="H50" i="14"/>
  <c r="G20" i="9" s="1"/>
  <c r="H20" i="9" s="1"/>
  <c r="I20" i="9" s="1"/>
  <c r="H49" i="14"/>
  <c r="G19" i="9" s="1"/>
  <c r="H19" i="9" s="1"/>
  <c r="I19" i="9" s="1"/>
  <c r="F47" i="14"/>
  <c r="G47" i="14" s="1"/>
  <c r="E46" i="14"/>
  <c r="F46" i="14" s="1"/>
  <c r="G46" i="14" s="1"/>
  <c r="F45" i="14"/>
  <c r="G45" i="14" s="1"/>
  <c r="H45" i="14" s="1"/>
  <c r="G15" i="9" s="1"/>
  <c r="H15" i="9" s="1"/>
  <c r="I15" i="9" s="1"/>
  <c r="F44" i="14"/>
  <c r="G44" i="14" s="1"/>
  <c r="H44" i="14" s="1"/>
  <c r="G14" i="9" s="1"/>
  <c r="H14" i="9" s="1"/>
  <c r="I14" i="9" s="1"/>
  <c r="F24" i="14"/>
  <c r="F22" i="14"/>
  <c r="F21" i="14"/>
  <c r="H10" i="14"/>
  <c r="I10" i="14" s="1"/>
  <c r="F10" i="14"/>
  <c r="F9" i="14"/>
  <c r="F6" i="14"/>
  <c r="F5" i="14"/>
  <c r="F44" i="16" l="1"/>
  <c r="F25" i="17"/>
  <c r="I30" i="16"/>
  <c r="E31" i="19"/>
  <c r="E32" i="19" s="1"/>
  <c r="F32" i="19" s="1"/>
  <c r="E46" i="15"/>
  <c r="E20" i="14" s="1"/>
  <c r="F20" i="14" s="1"/>
  <c r="D23" i="14"/>
  <c r="F23" i="14" s="1"/>
  <c r="E27" i="18"/>
  <c r="E28" i="18" s="1"/>
  <c r="F28" i="18" s="1"/>
  <c r="D65" i="17"/>
  <c r="F65" i="17" s="1"/>
  <c r="F73" i="17" s="1"/>
  <c r="I56" i="17"/>
  <c r="I11" i="17"/>
  <c r="D122" i="16"/>
  <c r="F122" i="16" s="1"/>
  <c r="F130" i="16" s="1"/>
  <c r="I102" i="16"/>
  <c r="I69" i="16"/>
  <c r="E88" i="16" s="1"/>
  <c r="E89" i="16" s="1"/>
  <c r="E18" i="15"/>
  <c r="E19" i="14" s="1"/>
  <c r="F19" i="14" s="1"/>
  <c r="I8" i="14"/>
  <c r="I9" i="14"/>
  <c r="I5" i="14"/>
  <c r="I6" i="14"/>
  <c r="I7" i="14"/>
  <c r="D18" i="14"/>
  <c r="F18" i="14" s="1"/>
  <c r="E30" i="17" l="1"/>
  <c r="E49" i="16"/>
  <c r="E50" i="16" s="1"/>
  <c r="F50" i="16" s="1"/>
  <c r="F31" i="19"/>
  <c r="F34" i="19" s="1"/>
  <c r="F38" i="19" s="1"/>
  <c r="F27" i="18"/>
  <c r="F30" i="18"/>
  <c r="F32" i="18" s="1"/>
  <c r="F34" i="18"/>
  <c r="E31" i="17"/>
  <c r="F31" i="17" s="1"/>
  <c r="F30" i="17"/>
  <c r="I59" i="17"/>
  <c r="E78" i="17" s="1"/>
  <c r="F49" i="16"/>
  <c r="I116" i="16"/>
  <c r="E135" i="16" s="1"/>
  <c r="F89" i="16"/>
  <c r="F88" i="16"/>
  <c r="F26" i="14"/>
  <c r="I12" i="14"/>
  <c r="F91" i="16" l="1"/>
  <c r="F95" i="16" s="1"/>
  <c r="F36" i="19"/>
  <c r="K10" i="19" s="1"/>
  <c r="K5" i="18"/>
  <c r="M5" i="18" s="1"/>
  <c r="K6" i="18"/>
  <c r="F33" i="17"/>
  <c r="F37" i="17" s="1"/>
  <c r="F78" i="17"/>
  <c r="E79" i="17"/>
  <c r="F79" i="17" s="1"/>
  <c r="F52" i="16"/>
  <c r="F56" i="16" s="1"/>
  <c r="E136" i="16"/>
  <c r="F136" i="16" s="1"/>
  <c r="F135" i="16"/>
  <c r="E31" i="14"/>
  <c r="E32" i="14" s="1"/>
  <c r="F32" i="14" s="1"/>
  <c r="K8" i="19" l="1"/>
  <c r="M8" i="19" s="1"/>
  <c r="K5" i="19"/>
  <c r="M5" i="19" s="1"/>
  <c r="K9" i="19"/>
  <c r="M9" i="19" s="1"/>
  <c r="K6" i="19"/>
  <c r="M6" i="19" s="1"/>
  <c r="K7" i="19"/>
  <c r="G10" i="13" s="1"/>
  <c r="H10" i="13" s="1"/>
  <c r="I10" i="13" s="1"/>
  <c r="F93" i="16"/>
  <c r="K64" i="16" s="1"/>
  <c r="M10" i="19"/>
  <c r="G13" i="13"/>
  <c r="H13" i="13" s="1"/>
  <c r="I13" i="13" s="1"/>
  <c r="M6" i="18"/>
  <c r="G8" i="12"/>
  <c r="H8" i="12" s="1"/>
  <c r="I8" i="12" s="1"/>
  <c r="G4" i="12" s="1"/>
  <c r="M8" i="18"/>
  <c r="F81" i="17"/>
  <c r="F85" i="17" s="1"/>
  <c r="F35" i="17"/>
  <c r="K6" i="17" s="1"/>
  <c r="F138" i="16"/>
  <c r="F142" i="16" s="1"/>
  <c r="F54" i="16"/>
  <c r="K28" i="16" s="1"/>
  <c r="F31" i="14"/>
  <c r="F34" i="14" s="1"/>
  <c r="F36" i="14" s="1"/>
  <c r="K10" i="14" s="1"/>
  <c r="G11" i="13" l="1"/>
  <c r="H11" i="13" s="1"/>
  <c r="I11" i="13" s="1"/>
  <c r="G3" i="12"/>
  <c r="G2" i="12" s="1"/>
  <c r="B7" i="20" a="1"/>
  <c r="B7" i="20" s="1"/>
  <c r="M7" i="19"/>
  <c r="M12" i="19" s="1"/>
  <c r="G9" i="13"/>
  <c r="H9" i="13" s="1"/>
  <c r="I9" i="13" s="1"/>
  <c r="G8" i="13"/>
  <c r="H8" i="13" s="1"/>
  <c r="I8" i="13" s="1"/>
  <c r="G12" i="13"/>
  <c r="H12" i="13" s="1"/>
  <c r="I12" i="13" s="1"/>
  <c r="K66" i="16"/>
  <c r="M66" i="16" s="1"/>
  <c r="K65" i="16"/>
  <c r="M65" i="16" s="1"/>
  <c r="K63" i="16"/>
  <c r="G32" i="10" s="1"/>
  <c r="H32" i="10" s="1"/>
  <c r="I32" i="10" s="1"/>
  <c r="K62" i="16"/>
  <c r="M62" i="16" s="1"/>
  <c r="K67" i="16"/>
  <c r="G36" i="10" s="1"/>
  <c r="H36" i="10" s="1"/>
  <c r="I36" i="10" s="1"/>
  <c r="M6" i="17"/>
  <c r="G8" i="11"/>
  <c r="H8" i="11" s="1"/>
  <c r="I8" i="11" s="1"/>
  <c r="F83" i="17"/>
  <c r="K56" i="17" s="1"/>
  <c r="K5" i="17"/>
  <c r="K8" i="17"/>
  <c r="K7" i="17"/>
  <c r="K9" i="17"/>
  <c r="M28" i="16"/>
  <c r="G29" i="10"/>
  <c r="H29" i="10" s="1"/>
  <c r="I29" i="10" s="1"/>
  <c r="M64" i="16"/>
  <c r="G33" i="10"/>
  <c r="H33" i="10" s="1"/>
  <c r="I33" i="10" s="1"/>
  <c r="F140" i="16"/>
  <c r="K109" i="16" s="1"/>
  <c r="K7" i="16"/>
  <c r="K18" i="16"/>
  <c r="K23" i="16"/>
  <c r="K8" i="16"/>
  <c r="K14" i="16"/>
  <c r="K17" i="16"/>
  <c r="K11" i="16"/>
  <c r="K22" i="16"/>
  <c r="K9" i="16"/>
  <c r="K19" i="16"/>
  <c r="K24" i="16"/>
  <c r="K20" i="16"/>
  <c r="K26" i="16"/>
  <c r="K25" i="16"/>
  <c r="K21" i="16"/>
  <c r="K12" i="16"/>
  <c r="K13" i="16"/>
  <c r="K27" i="16"/>
  <c r="K15" i="16"/>
  <c r="K16" i="16"/>
  <c r="K10" i="16"/>
  <c r="F38" i="14"/>
  <c r="K9" i="14"/>
  <c r="K6" i="14"/>
  <c r="K5" i="14"/>
  <c r="M10" i="14"/>
  <c r="K7" i="14"/>
  <c r="K8" i="14" s="1"/>
  <c r="M67" i="16" l="1"/>
  <c r="G4" i="13"/>
  <c r="M63" i="16"/>
  <c r="G31" i="10"/>
  <c r="H31" i="10" s="1"/>
  <c r="I31" i="10" s="1"/>
  <c r="G35" i="10"/>
  <c r="H35" i="10" s="1"/>
  <c r="I35" i="10" s="1"/>
  <c r="G34" i="10"/>
  <c r="H34" i="10" s="1"/>
  <c r="I34" i="10" s="1"/>
  <c r="K111" i="16"/>
  <c r="M111" i="16" s="1"/>
  <c r="K113" i="16"/>
  <c r="G50" i="10" s="1"/>
  <c r="H50" i="10" s="1"/>
  <c r="I50" i="10" s="1"/>
  <c r="M56" i="17"/>
  <c r="G25" i="11"/>
  <c r="H25" i="11" s="1"/>
  <c r="I25" i="11" s="1"/>
  <c r="M9" i="17"/>
  <c r="G11" i="11"/>
  <c r="H11" i="11" s="1"/>
  <c r="I11" i="11" s="1"/>
  <c r="M7" i="17"/>
  <c r="G9" i="11"/>
  <c r="H9" i="11" s="1"/>
  <c r="I9" i="11" s="1"/>
  <c r="M8" i="17"/>
  <c r="G10" i="11"/>
  <c r="H10" i="11" s="1"/>
  <c r="I10" i="11" s="1"/>
  <c r="M5" i="17"/>
  <c r="G7" i="11"/>
  <c r="H7" i="11" s="1"/>
  <c r="I7" i="11" s="1"/>
  <c r="K54" i="17"/>
  <c r="K57" i="17"/>
  <c r="K53" i="17"/>
  <c r="K55" i="17"/>
  <c r="M25" i="16"/>
  <c r="G26" i="10"/>
  <c r="H26" i="10" s="1"/>
  <c r="I26" i="10" s="1"/>
  <c r="M17" i="16"/>
  <c r="G18" i="10"/>
  <c r="H18" i="10" s="1"/>
  <c r="I18" i="10" s="1"/>
  <c r="M10" i="16"/>
  <c r="G11" i="10"/>
  <c r="H11" i="10" s="1"/>
  <c r="I11" i="10" s="1"/>
  <c r="M14" i="16"/>
  <c r="G15" i="10"/>
  <c r="H15" i="10" s="1"/>
  <c r="I15" i="10" s="1"/>
  <c r="M11" i="16"/>
  <c r="G12" i="10"/>
  <c r="H12" i="10" s="1"/>
  <c r="I12" i="10" s="1"/>
  <c r="M26" i="16"/>
  <c r="G27" i="10"/>
  <c r="H27" i="10" s="1"/>
  <c r="I27" i="10" s="1"/>
  <c r="M16" i="16"/>
  <c r="G17" i="10"/>
  <c r="H17" i="10" s="1"/>
  <c r="I17" i="10" s="1"/>
  <c r="M20" i="16"/>
  <c r="G21" i="10"/>
  <c r="H21" i="10" s="1"/>
  <c r="I21" i="10" s="1"/>
  <c r="M8" i="16"/>
  <c r="G9" i="10"/>
  <c r="H9" i="10" s="1"/>
  <c r="I9" i="10" s="1"/>
  <c r="M15" i="16"/>
  <c r="G16" i="10"/>
  <c r="H16" i="10" s="1"/>
  <c r="I16" i="10" s="1"/>
  <c r="M24" i="16"/>
  <c r="G25" i="10"/>
  <c r="H25" i="10" s="1"/>
  <c r="I25" i="10" s="1"/>
  <c r="M23" i="16"/>
  <c r="G24" i="10"/>
  <c r="H24" i="10" s="1"/>
  <c r="I24" i="10" s="1"/>
  <c r="M27" i="16"/>
  <c r="G28" i="10"/>
  <c r="H28" i="10" s="1"/>
  <c r="I28" i="10" s="1"/>
  <c r="M19" i="16"/>
  <c r="G20" i="10"/>
  <c r="H20" i="10" s="1"/>
  <c r="I20" i="10" s="1"/>
  <c r="M18" i="16"/>
  <c r="G19" i="10"/>
  <c r="H19" i="10" s="1"/>
  <c r="I19" i="10" s="1"/>
  <c r="M21" i="16"/>
  <c r="G22" i="10"/>
  <c r="H22" i="10" s="1"/>
  <c r="I22" i="10" s="1"/>
  <c r="M13" i="16"/>
  <c r="G14" i="10"/>
  <c r="H14" i="10" s="1"/>
  <c r="I14" i="10" s="1"/>
  <c r="M9" i="16"/>
  <c r="G10" i="10"/>
  <c r="H10" i="10" s="1"/>
  <c r="I10" i="10" s="1"/>
  <c r="M7" i="16"/>
  <c r="G8" i="10"/>
  <c r="H8" i="10" s="1"/>
  <c r="I8" i="10" s="1"/>
  <c r="M12" i="16"/>
  <c r="G13" i="10"/>
  <c r="H13" i="10" s="1"/>
  <c r="I13" i="10" s="1"/>
  <c r="M22" i="16"/>
  <c r="G23" i="10"/>
  <c r="H23" i="10" s="1"/>
  <c r="I23" i="10" s="1"/>
  <c r="K114" i="16"/>
  <c r="M109" i="16"/>
  <c r="G46" i="10"/>
  <c r="H46" i="10" s="1"/>
  <c r="I46" i="10" s="1"/>
  <c r="M8" i="14"/>
  <c r="G11" i="9"/>
  <c r="H11" i="9" s="1"/>
  <c r="I11" i="9" s="1"/>
  <c r="M6" i="14"/>
  <c r="G9" i="9"/>
  <c r="H9" i="9" s="1"/>
  <c r="I9" i="9" s="1"/>
  <c r="M9" i="14"/>
  <c r="G12" i="9"/>
  <c r="H12" i="9" s="1"/>
  <c r="I12" i="9" s="1"/>
  <c r="M5" i="14"/>
  <c r="G8" i="9"/>
  <c r="H8" i="9" s="1"/>
  <c r="I8" i="9" s="1"/>
  <c r="M7" i="14"/>
  <c r="G10" i="9"/>
  <c r="H10" i="9" s="1"/>
  <c r="I10" i="9" s="1"/>
  <c r="K112" i="16"/>
  <c r="K104" i="16"/>
  <c r="K103" i="16"/>
  <c r="K108" i="16"/>
  <c r="K110" i="16"/>
  <c r="K107" i="16"/>
  <c r="K102" i="16"/>
  <c r="K106" i="16"/>
  <c r="K101" i="16"/>
  <c r="K105" i="16"/>
  <c r="M69" i="16" l="1"/>
  <c r="G3" i="13"/>
  <c r="G2" i="13" s="1"/>
  <c r="B8" i="20" a="1"/>
  <c r="B8" i="20" s="1"/>
  <c r="M113" i="16"/>
  <c r="G48" i="10"/>
  <c r="H48" i="10" s="1"/>
  <c r="I48" i="10" s="1"/>
  <c r="M11" i="17"/>
  <c r="M12" i="14"/>
  <c r="M55" i="17"/>
  <c r="G24" i="11"/>
  <c r="H24" i="11" s="1"/>
  <c r="I24" i="11" s="1"/>
  <c r="M53" i="17"/>
  <c r="G22" i="11"/>
  <c r="H22" i="11" s="1"/>
  <c r="I22" i="11" s="1"/>
  <c r="M57" i="17"/>
  <c r="G26" i="11"/>
  <c r="H26" i="11" s="1"/>
  <c r="I26" i="11" s="1"/>
  <c r="M54" i="17"/>
  <c r="G23" i="11"/>
  <c r="H23" i="11" s="1"/>
  <c r="I23" i="11" s="1"/>
  <c r="M30" i="16"/>
  <c r="G4" i="9"/>
  <c r="J4" i="9" s="1"/>
  <c r="L4" i="9" s="1"/>
  <c r="M110" i="16"/>
  <c r="G47" i="10"/>
  <c r="H47" i="10" s="1"/>
  <c r="I47" i="10" s="1"/>
  <c r="M108" i="16"/>
  <c r="G45" i="10"/>
  <c r="H45" i="10" s="1"/>
  <c r="I45" i="10" s="1"/>
  <c r="M107" i="16"/>
  <c r="G44" i="10"/>
  <c r="H44" i="10" s="1"/>
  <c r="I44" i="10" s="1"/>
  <c r="M103" i="16"/>
  <c r="G40" i="10"/>
  <c r="H40" i="10" s="1"/>
  <c r="I40" i="10" s="1"/>
  <c r="M105" i="16"/>
  <c r="G42" i="10"/>
  <c r="H42" i="10" s="1"/>
  <c r="I42" i="10" s="1"/>
  <c r="M104" i="16"/>
  <c r="G41" i="10"/>
  <c r="H41" i="10" s="1"/>
  <c r="I41" i="10" s="1"/>
  <c r="M114" i="16"/>
  <c r="G51" i="10"/>
  <c r="H51" i="10" s="1"/>
  <c r="I51" i="10" s="1"/>
  <c r="M102" i="16"/>
  <c r="G39" i="10"/>
  <c r="H39" i="10" s="1"/>
  <c r="I39" i="10" s="1"/>
  <c r="M101" i="16"/>
  <c r="G38" i="10"/>
  <c r="H38" i="10" s="1"/>
  <c r="I38" i="10" s="1"/>
  <c r="M112" i="16"/>
  <c r="G49" i="10"/>
  <c r="H49" i="10" s="1"/>
  <c r="I49" i="10" s="1"/>
  <c r="M106" i="16"/>
  <c r="G43" i="10"/>
  <c r="H43" i="10" s="1"/>
  <c r="I43" i="10" s="1"/>
  <c r="G3" i="9" l="1"/>
  <c r="G2" i="9" s="1"/>
  <c r="B4" i="20" a="1"/>
  <c r="B4" i="20" s="1"/>
  <c r="M116" i="16"/>
  <c r="G4" i="10"/>
  <c r="B5" i="20" s="1" a="1"/>
  <c r="B5" i="20" s="1"/>
  <c r="G4" i="11"/>
  <c r="M59" i="17"/>
  <c r="G3" i="11" l="1"/>
  <c r="G2" i="11" s="1"/>
  <c r="B6" i="20" a="1"/>
  <c r="B6" i="20" s="1"/>
  <c r="B9" i="20" s="1"/>
  <c r="G3" i="10"/>
  <c r="G2" i="10" s="1"/>
  <c r="G9" i="20" l="1"/>
  <c r="B10" i="20"/>
  <c r="C10" i="20" s="1"/>
  <c r="B12" i="20" l="1"/>
  <c r="B13" i="20" s="1"/>
  <c r="B15" i="20" s="1"/>
  <c r="H9" i="20" s="1"/>
  <c r="H10" i="20" s="1"/>
  <c r="H5" i="20" l="1"/>
  <c r="I5" i="20" s="1"/>
  <c r="J5" i="20" s="1"/>
  <c r="H4" i="20"/>
  <c r="I4" i="20" s="1"/>
  <c r="J4" i="20" s="1"/>
  <c r="H8" i="20"/>
  <c r="I8" i="20" s="1"/>
  <c r="J8" i="20" s="1"/>
  <c r="H7" i="20"/>
  <c r="I7" i="20" s="1"/>
  <c r="J7" i="20" s="1"/>
  <c r="H6" i="20"/>
  <c r="I6" i="20" s="1"/>
  <c r="J6" i="20" s="1"/>
  <c r="H11" i="20"/>
  <c r="I9" i="20"/>
  <c r="J9" i="2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<sst xmlns="http://schemas.openxmlformats.org/spreadsheetml/2006/main" count="674" uniqueCount="289">
  <si>
    <t>Total</t>
  </si>
  <si>
    <t>Pest Control</t>
  </si>
  <si>
    <t>House Keeping</t>
  </si>
  <si>
    <t>Back Office &amp; Helpdesk</t>
  </si>
  <si>
    <t>VAT</t>
  </si>
  <si>
    <t>1- Scope</t>
  </si>
  <si>
    <t xml:space="preserve">Total Janitors = 75 
(69 Morning shift + 6 Night Shift)
Total Supervisors = 3 
(2 Morning shift + 1 Night Shift)
Morning Shift (8 AM to 5 PM)
(Including 1 Hour Break from 12pm to 1pm)
Night shift (5 PM to 12 AM)
</t>
  </si>
  <si>
    <t xml:space="preserve">3- General HK Notes </t>
  </si>
  <si>
    <t xml:space="preserve">            MEP + Civil + Pump Station (Public)</t>
  </si>
  <si>
    <t>Total HK</t>
  </si>
  <si>
    <t>2- Manpower &amp;
Working Shift</t>
  </si>
  <si>
    <t>Plumber</t>
  </si>
  <si>
    <t>Mechanical</t>
  </si>
  <si>
    <t>Swimming pools</t>
  </si>
  <si>
    <t xml:space="preserve">Electrcian </t>
  </si>
  <si>
    <t>Light Current</t>
  </si>
  <si>
    <t>Control</t>
  </si>
  <si>
    <t>Generators Tech.</t>
  </si>
  <si>
    <t>Painters</t>
  </si>
  <si>
    <t>Carpenter</t>
  </si>
  <si>
    <t>Civil Workers</t>
  </si>
  <si>
    <t>Labors</t>
  </si>
  <si>
    <t>Aluminum</t>
  </si>
  <si>
    <t>Marble &amp; Ceramics</t>
  </si>
  <si>
    <r>
      <t xml:space="preserve">The service provider shall be responsible for the operation, preventive and corrective maintenance of all MEP and Civil systems within the compound’s public and common areas. 
Detailed SOW attached with other files in Annex (F) and below is the summary of the scope covers the following disciplines:
</t>
    </r>
    <r>
      <rPr>
        <b/>
        <u/>
        <sz val="11"/>
        <color theme="4"/>
        <rFont val="Calibri"/>
        <family val="2"/>
        <scheme val="minor"/>
      </rPr>
      <t>1. MEP (Mechanical, Electrical, Plumbing &amp; Fire)</t>
    </r>
    <r>
      <rPr>
        <b/>
        <sz val="11"/>
        <color theme="4"/>
        <rFont val="Calibri"/>
        <family val="2"/>
        <scheme val="minor"/>
      </rPr>
      <t xml:space="preserve">
</t>
    </r>
    <r>
      <rPr>
        <b/>
        <sz val="11"/>
        <color theme="1"/>
        <rFont val="Calibri"/>
        <family val="2"/>
        <scheme val="minor"/>
      </rPr>
      <t xml:space="preserve">
</t>
    </r>
    <r>
      <rPr>
        <b/>
        <sz val="11"/>
        <color theme="5"/>
        <rFont val="Calibri"/>
        <family val="2"/>
        <scheme val="minor"/>
      </rPr>
      <t xml:space="preserve">a- Mechanical (HVAC &amp; General)
</t>
    </r>
    <r>
      <rPr>
        <b/>
        <sz val="11"/>
        <color theme="1"/>
        <rFont val="Calibri"/>
        <family val="2"/>
        <scheme val="minor"/>
      </rPr>
      <t xml:space="preserve">•	Ensuring proper operation of all mechanical systems in accordance with maintenance schedules.
•	Preventive maintenance for all HVAC units (ACs in gym, offices, gates, etc.)
•	Maintenance of pumps &amp; Mechanical parts: pool, Domestic, fire pumps, irrigation, fountains, ventilation fans, sump pumps, Garbage chute, etc.
•	Generator fluid checks (oil, water, fuel), inspection &amp; cleaning.
•	Firefighting checks including (Extinguishers, sprinklers, cabins, etc.)
•	Daily reporting and coordination with multi-disciplinary team.
</t>
    </r>
    <r>
      <rPr>
        <b/>
        <sz val="11"/>
        <color theme="5"/>
        <rFont val="Calibri"/>
        <family val="2"/>
        <scheme val="minor"/>
      </rPr>
      <t xml:space="preserve">b- Electrical &amp; Light Current
</t>
    </r>
    <r>
      <rPr>
        <b/>
        <sz val="11"/>
        <color theme="1"/>
        <rFont val="Calibri"/>
        <family val="2"/>
        <scheme val="minor"/>
      </rPr>
      <t xml:space="preserve">•	Daily inspection of transformers, MDBs and distribution panels.
•	Monitoring and logging of generator operation and loads.
•	Maintenance of lighting: landscape, staircases, ramps and common areas.
•	Elevators, intercom, access control, CCTV and automation systems.
•	Monthly preventive maintenance for panels and backup systems.
•	Fire alarm system checks (panels, detectors, sounders, etc.).
</t>
    </r>
    <r>
      <rPr>
        <b/>
        <sz val="11"/>
        <color theme="5"/>
        <rFont val="Calibri"/>
        <family val="2"/>
        <scheme val="minor"/>
      </rPr>
      <t>c- Plumbing</t>
    </r>
    <r>
      <rPr>
        <b/>
        <sz val="11"/>
        <color theme="1"/>
        <rFont val="Calibri"/>
        <family val="2"/>
        <scheme val="minor"/>
      </rPr>
      <t xml:space="preserve">
•	Inspection and maintenance of stormwater and all drainage networks.
•	Inspection and maintenance of Submersible pumps.
•	Daily inspection of all water valves. 
•	ensuring leak-free operation of water supply, irrigation, and sewage systems.
•	Water tank disinfection and filter cleaning.
•	Fire plumbing systems: hydrants, cabinets, sprinklers, etc.
•	Maintenance of sanitary systems in gym, offices, Mockup and public toilets.
</t>
    </r>
    <r>
      <rPr>
        <b/>
        <sz val="11"/>
        <color theme="5"/>
        <rFont val="Calibri"/>
        <family val="2"/>
        <scheme val="minor"/>
      </rPr>
      <t>d- Fire System</t>
    </r>
    <r>
      <rPr>
        <b/>
        <sz val="11"/>
        <color theme="1"/>
        <rFont val="Calibri"/>
        <family val="2"/>
        <scheme val="minor"/>
      </rPr>
      <t xml:space="preserve">
•	Back-to-back contract with fire system specialist (Bavaria).
•	Monthly drills and staff training.
•	Full inspection of fire valves, fire cabinets, extinguishers, sprinklers, CO sensors and alarm systems.
•	Testing of control panels, pressure and emergency systems.
</t>
    </r>
    <r>
      <rPr>
        <b/>
        <sz val="11"/>
        <color theme="5"/>
        <rFont val="Calibri"/>
        <family val="2"/>
        <scheme val="minor"/>
      </rPr>
      <t>e- Swimming Pools &amp; Fountains</t>
    </r>
    <r>
      <rPr>
        <b/>
        <sz val="11"/>
        <color theme="1"/>
        <rFont val="Calibri"/>
        <family val="2"/>
        <scheme val="minor"/>
      </rPr>
      <t xml:space="preserve">
•	Daily cleaning and chemical treatment with PH &amp; Chlorine level checks of ~150 private pools + 3 fountains.
•	Daily inspection and reporting for Electrical panel/Timer operation, lighting, skimmers, motor and room leakage with weekly and monthly reports.
________________________________________
</t>
    </r>
    <r>
      <rPr>
        <b/>
        <sz val="11"/>
        <color theme="4"/>
        <rFont val="Calibri"/>
        <family val="2"/>
        <scheme val="minor"/>
      </rPr>
      <t xml:space="preserve"> </t>
    </r>
    <r>
      <rPr>
        <b/>
        <u/>
        <sz val="11"/>
        <color theme="4"/>
        <rFont val="Calibri"/>
        <family val="2"/>
        <scheme val="minor"/>
      </rPr>
      <t>2. Civil (Public Area Maintenance)</t>
    </r>
    <r>
      <rPr>
        <b/>
        <sz val="11"/>
        <color theme="1"/>
        <rFont val="Calibri"/>
        <family val="2"/>
        <scheme val="minor"/>
      </rPr>
      <t xml:space="preserve">
•	Inspection and maintenance of doors (fire cabinets, rubbish rooms, etc.).
•	Checking and fixing signage (EXIT signs, directional boards).
•	Inspection of interlock tiles, Façades, marble, gypsum, aluminum and paint finishes across common areas.
•	Repairs to woodworks, pergolas, and decorative elements in landscape.
•	Maintenance of ramps, manhole covers, drainage grates, mirrors, and stair railings.
•	Reporting structural damages, cracked floors, loose elements, etc.
•	Ensuring secure fixing of electrical/communication panels and systems in public areas.
________________________________________
 </t>
    </r>
    <r>
      <rPr>
        <b/>
        <u/>
        <sz val="11"/>
        <color theme="4"/>
        <rFont val="Calibri"/>
        <family val="2"/>
        <scheme val="minor"/>
      </rPr>
      <t>3. Water Pump Station</t>
    </r>
    <r>
      <rPr>
        <b/>
        <sz val="11"/>
        <color theme="1"/>
        <rFont val="Calibri"/>
        <family val="2"/>
        <scheme val="minor"/>
      </rPr>
      <t xml:space="preserve">
•	Full-time operation and monitoring of potable, irrigation and fire water pumping stations.
•	Scheduled preventive maintenance for all pumps and electrical panels.
•	Monitoring pump performance, pressures and motor temperatures.
•	Leak detection and valve operation checks.
•	Float valve and ultrasonic level control inspections.
•	Coordination with external vendors for disinfection every 3 months.
•	Emergency generator support, panel inspection and safety system maintenance.
•	Safety measures: locked panels, no unauthorized access, air vent and vent mesh checks.
</t>
    </r>
  </si>
  <si>
    <t>Detailed SOW is attached in files Annex (C) while the below is the summary for the general scope:-
a- Daily cleaning of streets, walkways, landscaped areas and waste collection across phase one.
b- Daily cleaning and polishing of building entrances, lobbies, staircases, elevators and common areas will be carried out.
c-Basements and gates to be maintained through sweeping, mopping, polishing and high-pressure washing.
d-Weekly and monthly tasks include façade cleaning, deep cleaning of floors, glass and grills.
e-Public facilities such as Community Center, padel courts, commercial areas and offices will be cleaned, sanitized and polished regularly.
f-Garbage collection, Litter control, segregation and transfer to designated disposal points will be ensured on a daily basis.</t>
  </si>
  <si>
    <t xml:space="preserve">1- Scope will be including staff uniform with logo Msquared and Service provider, tools, machines and monthly consumables (for quantities please refer to the HK BOQ Annex (C) attached) and performed by well-trained and appropriately dressed staff mentioned above.
2-Grabage pin will be supplied by M Squared, However the garbage bags will be supplied by the service provider (for quantities please refer to the HK BOQ Annex (C)
3-Disposing watse outside the project is the service provider reponsability, also the same for the agricultural waste.
4-There will be periodicaly facade cleaning as mentioned in detailed in the HK BOQ Annex (C) (When and How to perform it) 
5-Supplying tissues mentioned in the zones mentioned in the HK BOQ Annex (C) consumables file only monthly will be in service provider scope
6-HK orders inside the tenants units will be included in the offer and will be performed by the staff requested and mentioned above by Msquared using the tools and Consumables required mentioned in details in the HK BOQ in Annex (C) and to included in the offer.  
7-Cleaning bed, mattress, curtains sheets in the project mockup will be service provider scope and will be performed twice monthly as mentioned in the HK BOQ.
8- Plantings and agricultural wastes collecting will be performed by the service provider through LS workers, However collecting litter from landscape areas will be included in HK scope.
9-Implement zone coding for efficient management and tracking, In addition to providing weekly and monthly reports on cleaning performance and maintenance
</t>
  </si>
  <si>
    <t>Mechanical Supervisor</t>
  </si>
  <si>
    <t>Electrical Supervisor</t>
  </si>
  <si>
    <t>2- General MEP + Civil Public Notes</t>
  </si>
  <si>
    <t xml:space="preserve">*Diesel supply will be provided through msquared.
*Diesel Filling will be done through the service provider.
*For refilling fire extinguishers, within Service provider scope (refer to Annex (F)
*Service provider will responsible for the disinfection of water tanks and swimming pools ( 3 Fountains and around 113 private swimming pools 12 m3 each)
*The cleaning and disinfection of the water tanks (Pump room or Temperoray tanks) are within the service provider scope each quarter
*Service provider will responsible for RO system, sewage, water supply and pump station
*Electricity will be provided by owned and rented generators (service provider operation and maintenance responsibility) while the solar will be provided by Msquared and filled by service provider while water will be provided from both goverement main line and arabs.
*Maintenance visits for the specialized systems like (Kone, fire system, shira, Smart Home Automation System) will be within service provider scope by Back-to-Back contract, while supplying the required spare parts if needed and agreed by Msquared will be with additional price with the agreed markup%
*Providing Scaffoldings and spider equipment to be approved by service provider safety manager and will be supplied by service provider refer to Annex (F)
*Back to back contract will be done by service provider with Fire system and Safety company and to be revised by Msquared including all fire system with specialezed company to provide 1 technician with the tools needed for morning and night shift (12 hours) to be with direct audit from service provider, any additional parts or consumables will be as a variation quotation to be paid by msquared.
*Back to back elevators contract with kone to be revised by Msquared for monthly maintenance of 30 elevators in all phase one + providing a technician available on site from kone morning and night shift (12 hours), any additional parts or consumables will be as a variation quotation to be paid by msquared.
*Back to back generators contract with Elreyada and Taka companies to be revised by Msquared for monthly maintenance including oil and filters of owned and rented generators + providing one technician from each company  available on site from  morning and night shift (12 hours), any additional parts or consumables will be as a variation quotation to be paid by msquared.
</t>
  </si>
  <si>
    <t>Total MEP + Civil + Pump Station (Public)</t>
  </si>
  <si>
    <t>Total Inside Units (MEP + Civil)</t>
  </si>
  <si>
    <t xml:space="preserve">            Inside Units MEP + Civil</t>
  </si>
  <si>
    <t xml:space="preserve">
Detailed SOW attached with other files in Annex (G) and below is the summary of the scope covers the following disciplines
A. Maintenance Services (Civil, MEP, Pools, Gardening)
•	Handle all internal client maintenance requests for Civil, MEP, Swimming Pools, and Gardening including (painting, carpentry, plumbing, electrical, aluminum works, marble, ceramics, grouting, AC servicing, etc.)
•	Service response and closure to follow attached SLA timelines, with documented client satisfaction survey and to be compiled and submitted (signed).
•	Technicians to be equipped with necessary consumables, hand tools, and machines (e.g., drill machine, compressor, disc cutter).
•	Paid services inside units to be collected by service provider and to be recorded with official receipts issued and amounts deducted from monthly invoice.
•	Daily, weekly and monthly maintenance reports to be submitted to M-squared Representative.
 B. Spare Parts &amp; Extra Work
•	All required spare parts and materials to be purchased by the service provider at market price within 24 hours.
•	Any work in public/common areas requires:
*A separate quotation.
*A Work Order issued by M-squared Representative.
*A separate invoice after technical and financial approval.
C. Technical &amp; Operational Requirements
•	Technicians and laborers must be qualified and trained, wearing unified, approved uniform (subject to M-squared approval) and follow safe working practices and procedures.
•	Transportation (to/from site and within site) and indirect overheads are provider’s responsibility. While accommodation for night shift is provided by M-squared in on-site caravans.
•	M-squared is responsible to provide Furnished storage area on site for tools and spare part and furnished caravans for offices while service provider to supply laptops and internet.
•	Staff must be:
*Qualified, experienced and fully trained to work inside residential units.
*Equipped with overshoes, plastic gloves and masks (included in offer).
•	No absenteeism or crew shortage allowed during crew changes.
•	Provider must:
*Manage vacations and relievers to maintain full operational staff year-round.
*Submit CVs of engineers, supervisors, and management for M-squared approval.
•	M-squared retains the right to:
*Adjust staffing and resource levels based on occupancy rates and cluster opening timelines.
</t>
  </si>
  <si>
    <t>AC</t>
  </si>
  <si>
    <t>Electrician</t>
  </si>
  <si>
    <t>Painter</t>
  </si>
  <si>
    <t>Tiler - Marble</t>
  </si>
  <si>
    <t>Gypsum Board</t>
  </si>
  <si>
    <t>Supervisor Internal</t>
  </si>
  <si>
    <t>Labor (Worker)</t>
  </si>
  <si>
    <t>2- General Inside Units MEP + Civil Notes</t>
  </si>
  <si>
    <t xml:space="preserve">*Inside units paid service requests is within the scope and the cost as per the price list that will be agreed by Msquared and shared with the clients will be collected by the service provider and then will be deducted from the monthly invoice
*Experienced staff and equipment and tools suitable for working inside units
*Overshoes + Plastic gloves + masks for technicians inside the units with clients included
*Back to Back contract with LS company to be revised by Msquared for smart home automation system to provide 1 techncian in a morning shift 8am to 8pm with the needed tools for operating and maintian inside units systems, any additional parts or consumables will be as a variation quotation to be paid by msquared.
*Back to Back contract with Shira company to be revised by Msquared for private gardens irrigation system to provide 1 techncian morning shift 8am to 8pm with the needed tools for operating and maintian inside units irrigation systems including batteries, valves, irrigation fittings and any devices from Hunter company in the gardens, any additional parts or consumables will be as a variation quotation to be paid by msquared.
*Scaffoldings and spider tools is included inside the scope under supervision of safety engineer included with service provider staff needded and applying safety rules. 
*Clients staisfaction forms and NPS is crutial and will be with a high score for evaluating service provider in the monthly KPI
</t>
  </si>
  <si>
    <t>Landscape (Public + Internal Gardens)</t>
  </si>
  <si>
    <t>زراعة Supervisor</t>
  </si>
  <si>
    <t>ري Supervisor</t>
  </si>
  <si>
    <t>عامل زراعة</t>
  </si>
  <si>
    <t>عامل ري</t>
  </si>
  <si>
    <t xml:space="preserve"> Landscape Public Engineer</t>
  </si>
  <si>
    <t>عامل اول زراعة</t>
  </si>
  <si>
    <t>Scope 
Landscape Public + Inside Gardens</t>
  </si>
  <si>
    <t xml:space="preserve">
1- Regarding detailed scope of work for Landscape public common areas, inside gardens and type of plants and areas please refer to files of Annex (E)
2- Detailed machines, tools and machines required for both public and inside units are mentioned in details in Annex (E)
3- Monthly and yearly consumables used for fertilization and pesticides are mentioned in details in Annex (E) consumables needed
4-Working Days for all the required manpower 6 days (All week Except Friday) morning shift only from 8am to 5pm </t>
  </si>
  <si>
    <t>Landscape Internal Supervisor</t>
  </si>
  <si>
    <t xml:space="preserve"> Landscape Internal Engineer</t>
  </si>
  <si>
    <t xml:space="preserve">HK Janitors
</t>
  </si>
  <si>
    <t>Safety Engineer</t>
  </si>
  <si>
    <t>Internal MEP Engineer</t>
  </si>
  <si>
    <t>Scope 
Pest Control</t>
  </si>
  <si>
    <t>1- Regarding detailed scope of work for pest control please refer to files of Annex (D)
2- Stray animal control should be provided when needed on site accoridng to regulation of Animal welfare association
3- Detailed machines, tools and machines required for both public and inside units are mentioned in details in Annex (D) tools and machines 
4- Monthly and needed consumables used for traps and pesticides are mentioned in details in Annex (D) consumables</t>
  </si>
  <si>
    <t>فني مكافحة</t>
  </si>
  <si>
    <t>Total Pest Control</t>
  </si>
  <si>
    <t>Total Landscape (Public + Internal)</t>
  </si>
  <si>
    <t>Helpdesk</t>
  </si>
  <si>
    <t>Admin</t>
  </si>
  <si>
    <t>Collecter</t>
  </si>
  <si>
    <t>Duty Manager (MEP Supervisor) Night Shift</t>
  </si>
  <si>
    <t>Dispatcher</t>
  </si>
  <si>
    <t>Helpdesk Night Shift</t>
  </si>
  <si>
    <t>1- Helpdesk with 2 hotline numbers available 24/7 will be responsible for recieving public and internal requests at morning and night shift
2- Requests to be dispatched by the dispatcher to the concerned trade public or internal with tickets, priorties and SLAs
3- Admin will be responsible for admin works, reports and dc files
4- Duty night shift manager will be responsible for all the site at night shift</t>
  </si>
  <si>
    <t>Scope
Back office &amp; Helpdesk</t>
  </si>
  <si>
    <t>Landscape Inside units</t>
  </si>
  <si>
    <r>
      <rPr>
        <b/>
        <u/>
        <sz val="10"/>
        <color rgb="FF00B050"/>
        <rFont val="Calibri"/>
        <family val="2"/>
        <scheme val="minor"/>
      </rPr>
      <t>General Notes:-</t>
    </r>
    <r>
      <rPr>
        <b/>
        <sz val="10"/>
        <color rgb="FF00B050"/>
        <rFont val="Calibri"/>
        <family val="2"/>
        <scheme val="minor"/>
      </rPr>
      <t xml:space="preserve">
</t>
    </r>
    <r>
      <rPr>
        <b/>
        <sz val="10"/>
        <color theme="1"/>
        <rFont val="Calibri"/>
        <family val="2"/>
        <scheme val="minor"/>
      </rPr>
      <t>1- Total Area of the tender of phase one 11 feddan with total 6 clusters ( 30 buildings ) and total number of units 398</t>
    </r>
    <r>
      <rPr>
        <b/>
        <sz val="10"/>
        <color rgb="FF00B050"/>
        <rFont val="Calibri"/>
        <family val="2"/>
        <scheme val="minor"/>
      </rPr>
      <t xml:space="preserve"> 
</t>
    </r>
    <r>
      <rPr>
        <b/>
        <sz val="10"/>
        <color theme="1"/>
        <rFont val="Calibri"/>
        <family val="2"/>
        <scheme val="minor"/>
      </rPr>
      <t>2-  Msquared will provide furnished offices and store and 2 caravans for night shift accomodation
3- Laptops and internet connections will be supplied by service provider
4- Offer includes staff insurance and transportation to site
5- Gate and the main road will be within service provider responsibilty 
6- CAFM system will be an optional item with separate price
7- Storage Cycle:- All trades spare parts mentioned in the attached files will be provided monthly by the service provider and to enter Msquared ready storage area by reciepts and direct approval for issuing, discharging and using by Msquared to be used by the service provider on site and automatically re-purchased each month as needed and mentioned in the BOQ
8- Any Additional Spare parts or consumbales will be sent from the service provider as a Separate invoice i=with markup
9- Check in and out machine will be provided by service provider for all staff to be shared daily with Msquared a full report for all service provider staff attendance
10- Data sheets, MSDS of the used materials and vendors lists to be shared by the service provider.
11- Payment terms to be within 60 days from invoice recieve by Msquared
12- Asset register, list and zone coding, action plans, weekly and monthly reports to be done by service provider upon starting, In addition to check lists and PPMs for all trades.</t>
    </r>
  </si>
  <si>
    <t>Total Incl VAT</t>
  </si>
  <si>
    <t>عربة كنس الشوارع Sweeper</t>
  </si>
  <si>
    <t>سلم هيدروليك كهرباء 10 او 12 متر</t>
  </si>
  <si>
    <t>manlift بارتفاع 20 الي 30 متر</t>
  </si>
  <si>
    <t>Single Disc</t>
  </si>
  <si>
    <t>لبادة حمراء شهريا</t>
  </si>
  <si>
    <t>لبادة بيضاء شهريا</t>
  </si>
  <si>
    <t>لبادة سوداء شهريا</t>
  </si>
  <si>
    <t>Hoover 6 Liter مكنسة</t>
  </si>
  <si>
    <t>بلاور</t>
  </si>
  <si>
    <t>High Pressure</t>
  </si>
  <si>
    <t>ترولي كبير public area لوضع العدة</t>
  </si>
  <si>
    <t xml:space="preserve">ترولي كبير 770 لتر </t>
  </si>
  <si>
    <t xml:space="preserve">ترولي صغير 240 لتر </t>
  </si>
  <si>
    <t xml:space="preserve">ترولي بجردلين و عصارة (الجردل 2 عين) بالشرشوبة او الموب </t>
  </si>
  <si>
    <t xml:space="preserve">سلم الومنيوم مجوز 2 متر </t>
  </si>
  <si>
    <t>سلم مجوز 2.5 متر الومنيوم</t>
  </si>
  <si>
    <t>ماكينة قص نجيله هوندا  دفع ذاتى موديل 216</t>
  </si>
  <si>
    <t xml:space="preserve">موتور رش 600 لتر </t>
  </si>
  <si>
    <t xml:space="preserve">ماكينة حدية للنجيلة  5*1 نوعية استيجا </t>
  </si>
  <si>
    <t xml:space="preserve">عدد مقص اسوار بنزين نوعية كراون </t>
  </si>
  <si>
    <t xml:space="preserve"> رشاشة ظهرية بالبطارية </t>
  </si>
  <si>
    <t>ماكينة قص كهرباء 220V (Stiga or Total)</t>
  </si>
  <si>
    <t>Trimmer منشار قص الورق</t>
  </si>
  <si>
    <t>موتور رش ظهري يعمل بالبطارية 20 لتر</t>
  </si>
  <si>
    <t xml:space="preserve">موتور رش 300 لتر يعمل بالجاز و يشمل مستلزمات الماكينات من زيت وبنزين </t>
  </si>
  <si>
    <t>Service Provider Manpower Resource</t>
  </si>
  <si>
    <t>Qty/month</t>
  </si>
  <si>
    <t xml:space="preserve">Monthly Total fees </t>
  </si>
  <si>
    <t>Annual Total Fees</t>
  </si>
  <si>
    <t>Shifts</t>
  </si>
  <si>
    <t>Morning 5 days aweek 8:00 AM - 4:00 PM</t>
  </si>
  <si>
    <t>Morning  (7 days aweek 8:00 AM - 5:00 PM (Break 12PM - 1PM)</t>
  </si>
  <si>
    <t xml:space="preserve">HK Janitors 
</t>
  </si>
  <si>
    <t>Monthly rate</t>
  </si>
  <si>
    <t>Months</t>
  </si>
  <si>
    <t xml:space="preserve">HK Supervisors 
</t>
  </si>
  <si>
    <t>Water pump station</t>
  </si>
  <si>
    <t>TFM Package for TRIO 2025 MEP Section</t>
  </si>
  <si>
    <t>TFM Package for TRIO 2025 housekeeping section</t>
  </si>
  <si>
    <t>Inside Units</t>
  </si>
  <si>
    <t>TFM Package for TRIO 2025 Landscape section</t>
  </si>
  <si>
    <t>Major Equipment, Tools (ANNEX 6)</t>
  </si>
  <si>
    <t>Major Equipment, Tools (ANNEX 10)</t>
  </si>
  <si>
    <r>
      <t>The fee includes the salaries, Taxes, internal transportation, external transportation, uniform, l</t>
    </r>
    <r>
      <rPr>
        <b/>
        <sz val="11"/>
        <color theme="1"/>
        <rFont val="Calibri"/>
        <family val="2"/>
        <scheme val="minor"/>
      </rPr>
      <t>ight tools (ANNEX 12) , light consumables.(ANNEX 11) Etc,</t>
    </r>
    <r>
      <rPr>
        <sz val="11"/>
        <color theme="1"/>
        <rFont val="Calibri"/>
        <family val="2"/>
        <scheme val="minor"/>
      </rPr>
      <t xml:space="preserve">
</t>
    </r>
  </si>
  <si>
    <t>TFM Package for TRIO 2025 Backoffice &amp; Admin section</t>
  </si>
  <si>
    <t>Morning 8AM - 5PM</t>
  </si>
  <si>
    <t>Morning 8AM - 8PM</t>
  </si>
  <si>
    <t>Night 8PM-8AM</t>
  </si>
  <si>
    <t>Morning 8AM-5PM</t>
  </si>
  <si>
    <t>8AM-4PM</t>
  </si>
  <si>
    <t>4PM-12AM</t>
  </si>
  <si>
    <t>12AM-8AM</t>
  </si>
  <si>
    <t>8AM-8PM</t>
  </si>
  <si>
    <t>8PM-8AM</t>
  </si>
  <si>
    <t>8AM-5PM</t>
  </si>
  <si>
    <t xml:space="preserve">8AM-5PM
</t>
  </si>
  <si>
    <r>
      <t>The fee includes the salaries, Taxes, internal transportation, external transportation, uniform, l</t>
    </r>
    <r>
      <rPr>
        <b/>
        <sz val="11"/>
        <color theme="1"/>
        <rFont val="Calibri"/>
        <family val="2"/>
        <scheme val="minor"/>
      </rPr>
      <t>ight tools (ANNEX 7) ,  Etc,</t>
    </r>
    <r>
      <rPr>
        <sz val="11"/>
        <color theme="1"/>
        <rFont val="Calibri"/>
        <family val="2"/>
        <scheme val="minor"/>
      </rPr>
      <t xml:space="preserve">
</t>
    </r>
  </si>
  <si>
    <r>
      <t>The fee includes the salaries, Taxes, internal transportation, external transportation, uniform, l</t>
    </r>
    <r>
      <rPr>
        <b/>
        <sz val="11"/>
        <color theme="1"/>
        <rFont val="Calibri"/>
        <family val="2"/>
        <scheme val="minor"/>
      </rPr>
      <t>ight tools (ANNEX 8) ,  Etc,</t>
    </r>
    <r>
      <rPr>
        <sz val="11"/>
        <color theme="1"/>
        <rFont val="Calibri"/>
        <family val="2"/>
        <scheme val="minor"/>
      </rPr>
      <t xml:space="preserve">
</t>
    </r>
  </si>
  <si>
    <t xml:space="preserve">The fee includes the salaries, Taxes, internal transportation, external transportation, uniform, laptop, 2 mobiles with sim cards
</t>
  </si>
  <si>
    <t>Overhead percentage on additional items invoices (consumables, back to back contracts. Emergencies)</t>
  </si>
  <si>
    <t>Annual Increasing Percentage</t>
  </si>
  <si>
    <r>
      <t xml:space="preserve">TFM Site Manager ( </t>
    </r>
    <r>
      <rPr>
        <sz val="11"/>
        <color rgb="FFFF0000"/>
        <rFont val="Calibri"/>
        <family val="2"/>
        <scheme val="minor"/>
      </rPr>
      <t>MEP Engineer with 5-7 Years Experience</t>
    </r>
    <r>
      <rPr>
        <sz val="11"/>
        <color theme="1"/>
        <rFont val="Calibri"/>
        <family val="2"/>
        <scheme val="minor"/>
      </rPr>
      <t xml:space="preserve"> ) </t>
    </r>
  </si>
  <si>
    <r>
      <t xml:space="preserve">HK Manager </t>
    </r>
    <r>
      <rPr>
        <sz val="11"/>
        <color rgb="FFFF0000"/>
        <rFont val="Calibri"/>
        <family val="2"/>
        <scheme val="minor"/>
      </rPr>
      <t>(4-6 years experience)</t>
    </r>
  </si>
  <si>
    <t xml:space="preserve">Morning  (6 days aweek 8:00 AM - 5:00 PM </t>
  </si>
  <si>
    <t>Morning (7 days aweek 8:00 AM - 4:00 PM</t>
  </si>
  <si>
    <t>Night (7 days aweek 4:00 PM - 12:00 PM</t>
  </si>
  <si>
    <t>Ride On</t>
  </si>
  <si>
    <t>سلم مجوز 6 متر الومنيوم</t>
  </si>
  <si>
    <r>
      <t>The fee includes the salaries, Taxes, internal transportation, external transportation, uniform, l</t>
    </r>
    <r>
      <rPr>
        <b/>
        <sz val="11"/>
        <color theme="1"/>
        <rFont val="Calibri"/>
        <family val="2"/>
        <scheme val="minor"/>
      </rPr>
      <t>ight tools (ANNEX 25) , light consumables.(ANNEX 23) Etc,</t>
    </r>
    <r>
      <rPr>
        <sz val="11"/>
        <color theme="1"/>
        <rFont val="Calibri"/>
        <family val="2"/>
        <scheme val="minor"/>
      </rPr>
      <t xml:space="preserve">
</t>
    </r>
  </si>
  <si>
    <t>MEP Engineer (2-4 Years experience)</t>
  </si>
  <si>
    <t>Gypsum Board (Instead of Interlock)</t>
  </si>
  <si>
    <t>5PM-1AM (Accomodation on Site Available)</t>
  </si>
  <si>
    <t xml:space="preserve">Major Equipment, Tools (ANNEX 3 For referance &amp;"Photos") RENTAL BASIS </t>
  </si>
  <si>
    <t>Markup percentage on Separate invoices (consumables"Annex 24 - Annex 26", back to back contracts. Emergencies)</t>
  </si>
  <si>
    <t>Markup percentage on Separate invoices (consumables "ANNEX 2", back to back contracts. Emergencies)</t>
  </si>
  <si>
    <t>Overhead percentage on additional items invoices (consumables "ANNEX 9", back to back contracts. Emergencies)</t>
  </si>
  <si>
    <t>Manpower</t>
  </si>
  <si>
    <t>#</t>
  </si>
  <si>
    <t>Position / Designation</t>
  </si>
  <si>
    <t>Working Hours</t>
  </si>
  <si>
    <t>Net Rate</t>
  </si>
  <si>
    <t>CTC Rate</t>
  </si>
  <si>
    <t>Head Count
(Required)</t>
  </si>
  <si>
    <t>Head Count
(Budget)</t>
  </si>
  <si>
    <t>Total CTC</t>
  </si>
  <si>
    <t>Offer Rate</t>
  </si>
  <si>
    <t>Totals</t>
  </si>
  <si>
    <t>Total Manpower</t>
  </si>
  <si>
    <t>List Of Indirects</t>
  </si>
  <si>
    <t>Item</t>
  </si>
  <si>
    <t>QTY</t>
  </si>
  <si>
    <t>Monthly Cost</t>
  </si>
  <si>
    <t>Total Costs</t>
  </si>
  <si>
    <t>Uniform</t>
  </si>
  <si>
    <t>HK Light Consumables</t>
  </si>
  <si>
    <t>HK Light Tools</t>
  </si>
  <si>
    <t>HK Equipment</t>
  </si>
  <si>
    <t>HK Transportation - Inside Site With Fuel</t>
  </si>
  <si>
    <t>HK Transportation - Outside Site</t>
  </si>
  <si>
    <t>HK IT, Laptop, Printers</t>
  </si>
  <si>
    <t>Total InD</t>
  </si>
  <si>
    <t>Project OVH &amp; GM</t>
  </si>
  <si>
    <t>%</t>
  </si>
  <si>
    <t>Costs</t>
  </si>
  <si>
    <t>OVH</t>
  </si>
  <si>
    <t>Gross Profit %</t>
  </si>
  <si>
    <t>OVH&amp;GM - Value</t>
  </si>
  <si>
    <t>InD %</t>
  </si>
  <si>
    <t>Total With Profit</t>
  </si>
  <si>
    <t>List Of Heavy Equipment</t>
  </si>
  <si>
    <t>Cost / Item</t>
  </si>
  <si>
    <t>Profit</t>
  </si>
  <si>
    <t>Selling Price / Unit</t>
  </si>
  <si>
    <t>Monthly Rate / Unit</t>
  </si>
  <si>
    <t xml:space="preserve">Monthly Consumables </t>
  </si>
  <si>
    <t>Light consumables included in the manpwer rate</t>
  </si>
  <si>
    <t>Consumables</t>
  </si>
  <si>
    <t>uom</t>
  </si>
  <si>
    <t>Quantity/Month</t>
  </si>
  <si>
    <t>Total / Month</t>
  </si>
  <si>
    <t>زجاجة جلانس ملمع</t>
  </si>
  <si>
    <t>زجاجة Techno Plus من شركة TCL</t>
  </si>
  <si>
    <t xml:space="preserve">زجاجة بليدج ملمع للخشب </t>
  </si>
  <si>
    <t>زجاجة ملمع ستيانليس ستيل من شركة TCL</t>
  </si>
  <si>
    <t>علبة جوانتيات طبية</t>
  </si>
  <si>
    <t>جيركن مزيل اسمنت</t>
  </si>
  <si>
    <t>زجاجة كلور ابيض Clorex</t>
  </si>
  <si>
    <t>ملح ليمون بالكيلو</t>
  </si>
  <si>
    <t>بخاخة معطر فريدة</t>
  </si>
  <si>
    <t>كور نفتالين بلي لقواعد الحمام</t>
  </si>
  <si>
    <t>زجاجة ديتول مطهر</t>
  </si>
  <si>
    <t>جيركن صابون</t>
  </si>
  <si>
    <t>علب جوانتيات بلاستيك</t>
  </si>
  <si>
    <t>Grand Total Consumables</t>
  </si>
  <si>
    <t>Monthly Tools</t>
  </si>
  <si>
    <t>light tools Included with Manpower prices</t>
  </si>
  <si>
    <t>Tools</t>
  </si>
  <si>
    <t>Quantity</t>
  </si>
  <si>
    <t>Unit Price</t>
  </si>
  <si>
    <t>مقشات سلك عريضة</t>
  </si>
  <si>
    <t>جاروف صاج</t>
  </si>
  <si>
    <t>فوطة (طرشونة)</t>
  </si>
  <si>
    <t>ماسك مخلفات (ملقاط)</t>
  </si>
  <si>
    <t>مساحات حديد عريضة</t>
  </si>
  <si>
    <t>سكينة معجون</t>
  </si>
  <si>
    <t>مقشة ناعمة</t>
  </si>
  <si>
    <t>جاروف بلاستيك بيد</t>
  </si>
  <si>
    <t>زعافة رأس العبد</t>
  </si>
  <si>
    <t>بلة واسكويزر</t>
  </si>
  <si>
    <t>موب</t>
  </si>
  <si>
    <t>فورشة بلاط بلاستيك</t>
  </si>
  <si>
    <t xml:space="preserve">مساحة عادية بلاستيك </t>
  </si>
  <si>
    <t>مساحة حديد كبيرة</t>
  </si>
  <si>
    <t>جاروف بلاستيك</t>
  </si>
  <si>
    <t>Dry Mop عريضة</t>
  </si>
  <si>
    <t>مساحة بلاستيك عادية</t>
  </si>
  <si>
    <t>جردل مع Dry Mop</t>
  </si>
  <si>
    <t>فورشة قاعدة حمام</t>
  </si>
  <si>
    <t>مقشة عادية + جاروف بلاستيك عادي</t>
  </si>
  <si>
    <t>Sponge</t>
  </si>
  <si>
    <t>Grand Total Tools</t>
  </si>
  <si>
    <t>FMPlus</t>
  </si>
  <si>
    <t>One Week / Month</t>
  </si>
  <si>
    <t>A</t>
  </si>
  <si>
    <t>Public</t>
  </si>
  <si>
    <t>Morning 8AM - 8 PM</t>
  </si>
  <si>
    <t>Night 8PM - 8 AM</t>
  </si>
  <si>
    <t>Equipment</t>
  </si>
  <si>
    <t>Transportation - Inside Site With Fuel</t>
  </si>
  <si>
    <t>Transportation - Outside Site</t>
  </si>
  <si>
    <t>IT, Laptop, Printers</t>
  </si>
  <si>
    <t>B</t>
  </si>
  <si>
    <t>Pump Stations</t>
  </si>
  <si>
    <t>8AM - 4 PM</t>
  </si>
  <si>
    <t>4 PM - 12 AM</t>
  </si>
  <si>
    <t>12 AM - 8 AM</t>
  </si>
  <si>
    <t>C</t>
  </si>
  <si>
    <t xml:space="preserve">Internal </t>
  </si>
  <si>
    <t>Morning 8AM - 5 PM</t>
  </si>
  <si>
    <t>Night 8 PM - 8 AM</t>
  </si>
  <si>
    <t>8:00 AM - 5:00 PM</t>
  </si>
  <si>
    <t>LS Light Consumables</t>
  </si>
  <si>
    <t>LS Light Tools</t>
  </si>
  <si>
    <t>LS Equipment Included</t>
  </si>
  <si>
    <t>LS Transportation - Inside Site With Fuel</t>
  </si>
  <si>
    <t>LS Transportation - Outside Site</t>
  </si>
  <si>
    <t>LS IT, Laptop, Printers</t>
  </si>
  <si>
    <t>Pest Control Engineer</t>
  </si>
  <si>
    <t>Pest Control Tech</t>
  </si>
  <si>
    <t>PC Light Consumables</t>
  </si>
  <si>
    <t>PC Light Tools</t>
  </si>
  <si>
    <t>PC Equipment Included</t>
  </si>
  <si>
    <t>PC Transportation - Inside Site With Fuel</t>
  </si>
  <si>
    <t>PC Transportation - Outside Site</t>
  </si>
  <si>
    <t>PC IT, Laptop, Printers</t>
  </si>
  <si>
    <t xml:space="preserve"> Light Consumables</t>
  </si>
  <si>
    <t xml:space="preserve"> Light Tools</t>
  </si>
  <si>
    <t xml:space="preserve"> Equipment Included</t>
  </si>
  <si>
    <t xml:space="preserve"> Transportation - Inside Site With Fuel</t>
  </si>
  <si>
    <t xml:space="preserve"> Transportation - Outside Site</t>
  </si>
  <si>
    <t xml:space="preserve"> IT, Laptop, Printers</t>
  </si>
  <si>
    <t>5:00 PM - 1:00 AM</t>
  </si>
  <si>
    <t>Service Line</t>
  </si>
  <si>
    <t>Annual Ex. VAT</t>
  </si>
  <si>
    <t>Houskeeping</t>
  </si>
  <si>
    <t>MEP</t>
  </si>
  <si>
    <t xml:space="preserve">Landscape </t>
  </si>
  <si>
    <t>Pest Conrol</t>
  </si>
  <si>
    <t>Backoffice &amp; Admin</t>
  </si>
  <si>
    <t>Annual Including VAT</t>
  </si>
  <si>
    <t>OLD</t>
  </si>
  <si>
    <r>
      <t>The fee includes the salaries, Taxes, internal transportation, external transportation, uniform, l</t>
    </r>
    <r>
      <rPr>
        <b/>
        <sz val="11"/>
        <color theme="1"/>
        <rFont val="Calibri"/>
        <family val="2"/>
        <scheme val="minor"/>
      </rPr>
      <t>ight tools (ANNEX 4) ,</t>
    </r>
  </si>
  <si>
    <t>Equation</t>
  </si>
  <si>
    <t>Target Annual</t>
  </si>
  <si>
    <t>Target Monthly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</si>
</sst>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
  </numFmts>
  <fonts count="23" x14ac:knownFonts="1">
    <font>
      <sz val="11"/>
      <color theme="1"/>
      <name val="Calibri"/>
      <family val="2"/>
      <scheme val="minor"/>
    </font>
    <font>
      <b/>
      <sz val="11"/>
      <color theme="1"/>
      <name val="Calibri"/>
      <family val="2"/>
      <scheme val="minor"/>
    </font>
    <font>
      <sz val="8"/>
      <name val="Calibri"/>
      <family val="2"/>
      <scheme val="minor"/>
    </font>
    <font>
      <b/>
      <u/>
      <sz val="16"/>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u/>
      <sz val="11"/>
      <color theme="4"/>
      <name val="Calibri"/>
      <family val="2"/>
      <scheme val="minor"/>
    </font>
    <font>
      <b/>
      <sz val="11"/>
      <color theme="4"/>
      <name val="Calibri"/>
      <family val="2"/>
      <scheme val="minor"/>
    </font>
    <font>
      <b/>
      <sz val="11"/>
      <color theme="5"/>
      <name val="Calibri"/>
      <family val="2"/>
      <scheme val="minor"/>
    </font>
    <font>
      <b/>
      <sz val="10"/>
      <color rgb="FF00B050"/>
      <name val="Calibri"/>
      <family val="2"/>
      <scheme val="minor"/>
    </font>
    <font>
      <b/>
      <sz val="10"/>
      <color theme="1"/>
      <name val="Calibri"/>
      <family val="2"/>
      <scheme val="minor"/>
    </font>
    <font>
      <sz val="10"/>
      <color rgb="FF00B050"/>
      <name val="Calibri"/>
      <family val="2"/>
      <scheme val="minor"/>
    </font>
    <font>
      <b/>
      <u/>
      <sz val="10"/>
      <color rgb="FF00B050"/>
      <name val="Calibri"/>
      <family val="2"/>
      <scheme val="minor"/>
    </font>
    <font>
      <b/>
      <sz val="11"/>
      <color theme="0"/>
      <name val="Calibri"/>
      <family val="2"/>
      <scheme val="minor"/>
    </font>
    <font>
      <sz val="11"/>
      <color rgb="FFFF0000"/>
      <name val="Calibri"/>
      <family val="2"/>
      <scheme val="minor"/>
    </font>
    <font>
      <b/>
      <sz val="11"/>
      <color rgb="FFFF0000"/>
      <name val="Calibri"/>
      <family val="2"/>
      <scheme val="minor"/>
    </font>
    <font>
      <sz val="11"/>
      <color theme="1"/>
      <name val="Calibri"/>
      <family val="2"/>
      <scheme val="minor"/>
    </font>
    <font>
      <b/>
      <sz val="12"/>
      <color theme="1"/>
      <name val="Arial"/>
      <family val="2"/>
    </font>
    <font>
      <b/>
      <sz val="14"/>
      <color theme="1"/>
      <name val="Arial"/>
      <family val="2"/>
    </font>
    <font>
      <b/>
      <sz val="11"/>
      <color theme="1"/>
      <name val="Arial"/>
      <family val="2"/>
    </font>
    <font>
      <b/>
      <sz val="11"/>
      <name val="Calibri"/>
      <family val="2"/>
      <scheme val="minor"/>
    </font>
  </fonts>
  <fills count="14">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bgColor indexed="64"/>
      </patternFill>
    </fill>
    <fill>
      <patternFill patternType="solid">
        <fgColor theme="6"/>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0000"/>
        <bgColor indexed="64"/>
      </patternFill>
    </fill>
  </fills>
  <borders count="5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right/>
      <top style="thin">
        <color indexed="64"/>
      </top>
      <bottom/>
      <diagonal/>
    </border>
    <border>
      <left/>
      <right style="medium">
        <color indexed="64"/>
      </right>
      <top/>
      <bottom style="thin">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s>
  <cellStyleXfs count="3">
    <xf numFmtId="0" fontId="0" fillId="0" borderId="0"/>
    <xf numFmtId="43" fontId="18" fillId="0" borderId="0" applyFont="0" applyFill="0" applyBorder="0" applyAlignment="0" applyProtection="0"/>
    <xf numFmtId="9" fontId="18" fillId="0" borderId="0" applyFont="0" applyFill="0" applyBorder="0" applyAlignment="0" applyProtection="0"/>
  </cellStyleXfs>
  <cellXfs count="227">
    <xf numFmtId="0" fontId="0" fillId="0" borderId="0" xfId="0"/>
    <xf numFmtId="0" fontId="1" fillId="0" borderId="0" xfId="0" applyFont="1" applyAlignment="1">
      <alignment horizontal="center" vertical="center"/>
    </xf>
    <xf numFmtId="0" fontId="4" fillId="5" borderId="8" xfId="0" applyFont="1" applyFill="1" applyBorder="1" applyAlignment="1">
      <alignment horizontal="center" vertical="center"/>
    </xf>
    <xf numFmtId="0" fontId="0" fillId="5" borderId="0" xfId="0" applyFill="1"/>
    <xf numFmtId="0" fontId="3" fillId="5" borderId="8" xfId="0" applyFont="1" applyFill="1" applyBorder="1" applyAlignment="1">
      <alignment horizontal="center" vertical="center" wrapText="1"/>
    </xf>
    <xf numFmtId="0" fontId="1" fillId="5" borderId="9" xfId="0" applyFont="1" applyFill="1" applyBorder="1" applyAlignment="1">
      <alignment horizontal="center" vertical="center"/>
    </xf>
    <xf numFmtId="0" fontId="7" fillId="2" borderId="6" xfId="0" applyFont="1" applyFill="1" applyBorder="1" applyAlignment="1">
      <alignment horizontal="center" vertical="center"/>
    </xf>
    <xf numFmtId="0" fontId="3" fillId="5" borderId="3" xfId="0" applyFont="1" applyFill="1" applyBorder="1" applyAlignment="1">
      <alignment horizontal="center" vertical="center" wrapText="1"/>
    </xf>
    <xf numFmtId="0" fontId="1" fillId="5" borderId="24" xfId="0" applyFont="1" applyFill="1" applyBorder="1" applyAlignment="1">
      <alignment horizontal="center" vertical="center" wrapText="1"/>
    </xf>
    <xf numFmtId="0" fontId="1" fillId="5" borderId="24" xfId="0" applyFont="1" applyFill="1" applyBorder="1" applyAlignment="1">
      <alignment horizontal="center" vertical="center"/>
    </xf>
    <xf numFmtId="0" fontId="0" fillId="0" borderId="9" xfId="0" applyBorder="1"/>
    <xf numFmtId="0" fontId="0" fillId="0" borderId="24" xfId="0" applyBorder="1"/>
    <xf numFmtId="0" fontId="1" fillId="0" borderId="15" xfId="0" applyFont="1" applyBorder="1" applyAlignment="1">
      <alignment horizontal="center"/>
    </xf>
    <xf numFmtId="0" fontId="7" fillId="0" borderId="27" xfId="0" applyFont="1" applyBorder="1" applyAlignment="1">
      <alignment horizontal="center" vertical="center"/>
    </xf>
    <xf numFmtId="0" fontId="1" fillId="5" borderId="3" xfId="0" applyFont="1" applyFill="1" applyBorder="1" applyAlignment="1">
      <alignment horizontal="left" vertical="center" wrapText="1"/>
    </xf>
    <xf numFmtId="0" fontId="4" fillId="5" borderId="20" xfId="0" applyFont="1" applyFill="1" applyBorder="1" applyAlignment="1">
      <alignment horizontal="center" vertical="center"/>
    </xf>
    <xf numFmtId="0" fontId="1" fillId="5" borderId="20" xfId="0" applyFont="1" applyFill="1" applyBorder="1" applyAlignment="1">
      <alignment horizontal="left" vertical="center" wrapText="1"/>
    </xf>
    <xf numFmtId="0" fontId="1" fillId="0" borderId="6" xfId="0" applyFont="1" applyBorder="1" applyAlignment="1">
      <alignment horizontal="center" vertical="center"/>
    </xf>
    <xf numFmtId="0" fontId="0" fillId="0" borderId="27" xfId="0" applyBorder="1"/>
    <xf numFmtId="0" fontId="1" fillId="5" borderId="10" xfId="0" applyFont="1" applyFill="1" applyBorder="1" applyAlignment="1">
      <alignment horizontal="center" vertical="center" wrapText="1"/>
    </xf>
    <xf numFmtId="0" fontId="1" fillId="0" borderId="2" xfId="0" applyFont="1" applyBorder="1" applyAlignment="1">
      <alignment horizontal="center"/>
    </xf>
    <xf numFmtId="0" fontId="1" fillId="5" borderId="9" xfId="0" applyFont="1" applyFill="1" applyBorder="1" applyAlignment="1">
      <alignment horizontal="center" vertical="center" wrapText="1"/>
    </xf>
    <xf numFmtId="0" fontId="0" fillId="0" borderId="17" xfId="0" applyBorder="1"/>
    <xf numFmtId="0" fontId="1" fillId="0" borderId="34" xfId="0" applyFont="1" applyBorder="1" applyAlignment="1">
      <alignment horizontal="center"/>
    </xf>
    <xf numFmtId="0" fontId="0" fillId="0" borderId="21" xfId="0" applyBorder="1"/>
    <xf numFmtId="0" fontId="0" fillId="8" borderId="17" xfId="0" applyFill="1" applyBorder="1" applyAlignment="1">
      <alignment vertical="top" wrapText="1"/>
    </xf>
    <xf numFmtId="0" fontId="0" fillId="8" borderId="17" xfId="0" applyFill="1" applyBorder="1"/>
    <xf numFmtId="0" fontId="0" fillId="5" borderId="11" xfId="0" applyFill="1" applyBorder="1" applyAlignment="1">
      <alignment horizontal="center" vertical="center"/>
    </xf>
    <xf numFmtId="0" fontId="0" fillId="5" borderId="9" xfId="0" applyFill="1" applyBorder="1" applyAlignment="1">
      <alignment horizontal="center" vertical="center"/>
    </xf>
    <xf numFmtId="0" fontId="0" fillId="0" borderId="9" xfId="0" applyBorder="1" applyAlignment="1">
      <alignment horizontal="center" vertical="center"/>
    </xf>
    <xf numFmtId="0" fontId="0" fillId="5" borderId="11" xfId="0" applyFill="1" applyBorder="1" applyAlignment="1">
      <alignment horizontal="center" vertical="center" wrapText="1"/>
    </xf>
    <xf numFmtId="0" fontId="0" fillId="0" borderId="17" xfId="0" applyBorder="1" applyAlignment="1">
      <alignment vertical="top"/>
    </xf>
    <xf numFmtId="0" fontId="0" fillId="8" borderId="9" xfId="0" applyFill="1" applyBorder="1"/>
    <xf numFmtId="0" fontId="1" fillId="8" borderId="9" xfId="0" applyFont="1" applyFill="1" applyBorder="1" applyAlignment="1">
      <alignment horizontal="center"/>
    </xf>
    <xf numFmtId="0" fontId="1" fillId="8" borderId="28" xfId="0" applyFont="1" applyFill="1" applyBorder="1" applyAlignment="1">
      <alignment horizontal="center"/>
    </xf>
    <xf numFmtId="0" fontId="1" fillId="8" borderId="17" xfId="0" applyFont="1" applyFill="1" applyBorder="1"/>
    <xf numFmtId="0" fontId="0" fillId="5" borderId="24" xfId="0" applyFill="1" applyBorder="1" applyAlignment="1">
      <alignment horizontal="left" vertical="center"/>
    </xf>
    <xf numFmtId="0" fontId="0" fillId="5" borderId="24" xfId="0" applyFill="1" applyBorder="1" applyAlignment="1">
      <alignment horizontal="left" vertical="center" wrapText="1"/>
    </xf>
    <xf numFmtId="0" fontId="0" fillId="5" borderId="9" xfId="0" applyFill="1" applyBorder="1"/>
    <xf numFmtId="0" fontId="0" fillId="3" borderId="9" xfId="0" applyFill="1" applyBorder="1"/>
    <xf numFmtId="0" fontId="0" fillId="3" borderId="9" xfId="0" applyFill="1" applyBorder="1" applyAlignment="1">
      <alignment horizontal="center" vertical="center"/>
    </xf>
    <xf numFmtId="0" fontId="1" fillId="3" borderId="9" xfId="0" applyFont="1" applyFill="1" applyBorder="1" applyAlignment="1">
      <alignment horizontal="center"/>
    </xf>
    <xf numFmtId="0" fontId="1" fillId="3" borderId="9" xfId="0" applyFont="1" applyFill="1" applyBorder="1" applyAlignment="1">
      <alignment horizontal="left" vertical="center"/>
    </xf>
    <xf numFmtId="0" fontId="1" fillId="5" borderId="12" xfId="0" applyFont="1" applyFill="1" applyBorder="1" applyAlignment="1">
      <alignment horizontal="left" vertical="center" wrapText="1"/>
    </xf>
    <xf numFmtId="0" fontId="1" fillId="0" borderId="9" xfId="0" applyFont="1" applyBorder="1" applyAlignment="1">
      <alignment horizontal="left" vertical="center"/>
    </xf>
    <xf numFmtId="0" fontId="1" fillId="8" borderId="9" xfId="0" applyFont="1" applyFill="1" applyBorder="1"/>
    <xf numFmtId="0" fontId="1" fillId="5" borderId="9" xfId="0" applyFont="1" applyFill="1" applyBorder="1" applyAlignment="1">
      <alignment horizontal="left" vertical="center" wrapText="1"/>
    </xf>
    <xf numFmtId="0" fontId="1" fillId="8" borderId="0" xfId="0" applyFont="1" applyFill="1" applyAlignment="1">
      <alignment horizontal="center"/>
    </xf>
    <xf numFmtId="0" fontId="0" fillId="8" borderId="25" xfId="0" applyFill="1" applyBorder="1" applyAlignment="1">
      <alignment vertical="top" wrapText="1"/>
    </xf>
    <xf numFmtId="0" fontId="0" fillId="8" borderId="25" xfId="0" applyFill="1" applyBorder="1"/>
    <xf numFmtId="0" fontId="16" fillId="9" borderId="24" xfId="0" applyFont="1" applyFill="1" applyBorder="1" applyAlignment="1">
      <alignment horizontal="left" vertical="center"/>
    </xf>
    <xf numFmtId="0" fontId="0" fillId="9" borderId="17" xfId="0" applyFill="1" applyBorder="1"/>
    <xf numFmtId="0" fontId="0" fillId="9" borderId="9" xfId="0" applyFill="1" applyBorder="1"/>
    <xf numFmtId="0" fontId="16" fillId="9" borderId="9" xfId="0" applyFont="1" applyFill="1" applyBorder="1" applyAlignment="1">
      <alignment horizontal="center" vertical="center"/>
    </xf>
    <xf numFmtId="0" fontId="0" fillId="9" borderId="17" xfId="0" applyFill="1" applyBorder="1" applyAlignment="1">
      <alignment vertical="top" wrapText="1"/>
    </xf>
    <xf numFmtId="0" fontId="0" fillId="9" borderId="11" xfId="0" applyFill="1" applyBorder="1" applyAlignment="1">
      <alignment horizontal="center" vertical="center" wrapText="1"/>
    </xf>
    <xf numFmtId="0" fontId="0" fillId="9" borderId="17" xfId="0" applyFill="1" applyBorder="1" applyAlignment="1">
      <alignment vertical="top"/>
    </xf>
    <xf numFmtId="0" fontId="0" fillId="9" borderId="24" xfId="0" applyFill="1" applyBorder="1" applyAlignment="1">
      <alignment horizontal="left" vertical="center" wrapText="1"/>
    </xf>
    <xf numFmtId="0" fontId="0" fillId="9" borderId="24" xfId="0" applyFill="1" applyBorder="1" applyAlignment="1">
      <alignment horizontal="left" vertical="center"/>
    </xf>
    <xf numFmtId="0" fontId="16" fillId="9" borderId="24" xfId="0" applyFont="1" applyFill="1" applyBorder="1" applyAlignment="1">
      <alignment horizontal="left" vertical="center" wrapText="1"/>
    </xf>
    <xf numFmtId="0" fontId="0" fillId="9" borderId="9" xfId="0" applyFill="1" applyBorder="1" applyAlignment="1">
      <alignment horizontal="center" vertical="center"/>
    </xf>
    <xf numFmtId="0" fontId="16" fillId="0" borderId="0" xfId="0" applyFont="1"/>
    <xf numFmtId="0" fontId="17" fillId="9" borderId="9" xfId="0" applyFont="1" applyFill="1" applyBorder="1" applyAlignment="1">
      <alignment horizontal="center" vertical="center" wrapText="1"/>
    </xf>
    <xf numFmtId="0" fontId="16" fillId="9" borderId="9" xfId="0" applyFont="1" applyFill="1" applyBorder="1"/>
    <xf numFmtId="0" fontId="1" fillId="9" borderId="24" xfId="0" applyFont="1" applyFill="1" applyBorder="1" applyAlignment="1">
      <alignment horizontal="center" vertical="center" wrapText="1"/>
    </xf>
    <xf numFmtId="0" fontId="17" fillId="9" borderId="24" xfId="0" applyFont="1" applyFill="1" applyBorder="1" applyAlignment="1">
      <alignment horizontal="center" vertical="center" wrapText="1"/>
    </xf>
    <xf numFmtId="0" fontId="17" fillId="9" borderId="9" xfId="0" applyFont="1" applyFill="1" applyBorder="1" applyAlignment="1">
      <alignment horizontal="center" vertical="center"/>
    </xf>
    <xf numFmtId="0" fontId="1" fillId="9" borderId="24" xfId="0" applyFont="1" applyFill="1" applyBorder="1" applyAlignment="1">
      <alignment horizontal="center" vertical="center"/>
    </xf>
    <xf numFmtId="0" fontId="1" fillId="9" borderId="9" xfId="0" applyFont="1" applyFill="1" applyBorder="1" applyAlignment="1">
      <alignment horizontal="center" vertical="center"/>
    </xf>
    <xf numFmtId="0" fontId="1" fillId="9" borderId="9" xfId="0" applyFont="1" applyFill="1" applyBorder="1" applyAlignment="1">
      <alignment horizontal="center" vertical="center" wrapText="1"/>
    </xf>
    <xf numFmtId="0" fontId="1" fillId="3" borderId="31" xfId="0" applyFont="1" applyFill="1" applyBorder="1" applyAlignment="1"/>
    <xf numFmtId="0" fontId="1" fillId="3" borderId="17" xfId="0" applyFont="1" applyFill="1" applyBorder="1" applyAlignment="1"/>
    <xf numFmtId="0" fontId="1" fillId="3" borderId="24" xfId="0" applyFont="1" applyFill="1" applyBorder="1" applyAlignment="1"/>
    <xf numFmtId="0" fontId="1" fillId="10" borderId="1" xfId="0" applyFont="1" applyFill="1" applyBorder="1" applyAlignment="1">
      <alignment horizontal="center" vertical="center"/>
    </xf>
    <xf numFmtId="164" fontId="1" fillId="9" borderId="36" xfId="0" applyNumberFormat="1" applyFont="1" applyFill="1" applyBorder="1" applyAlignment="1">
      <alignment horizontal="center" vertical="center"/>
    </xf>
    <xf numFmtId="0" fontId="0" fillId="0" borderId="0" xfId="0" applyAlignment="1">
      <alignment horizontal="center" vertical="center"/>
    </xf>
    <xf numFmtId="0" fontId="1" fillId="10" borderId="9" xfId="0" applyFont="1" applyFill="1" applyBorder="1" applyAlignment="1">
      <alignment horizontal="center" vertical="center"/>
    </xf>
    <xf numFmtId="0" fontId="1" fillId="10" borderId="9" xfId="0" applyFont="1" applyFill="1" applyBorder="1" applyAlignment="1">
      <alignment horizontal="center" vertical="center" wrapText="1"/>
    </xf>
    <xf numFmtId="0" fontId="0" fillId="0" borderId="9" xfId="0" applyBorder="1" applyAlignment="1">
      <alignment wrapText="1"/>
    </xf>
    <xf numFmtId="43" fontId="0" fillId="0" borderId="9" xfId="1" applyFont="1" applyBorder="1" applyAlignment="1">
      <alignment vertical="center"/>
    </xf>
    <xf numFmtId="43" fontId="0" fillId="0" borderId="9" xfId="0" applyNumberFormat="1" applyBorder="1" applyAlignment="1">
      <alignment horizontal="center" vertical="center"/>
    </xf>
    <xf numFmtId="43" fontId="0" fillId="0" borderId="9" xfId="0" applyNumberFormat="1" applyBorder="1" applyAlignment="1">
      <alignment vertical="center"/>
    </xf>
    <xf numFmtId="0" fontId="0" fillId="0" borderId="9" xfId="0" applyBorder="1" applyAlignment="1">
      <alignment horizontal="left" vertical="center"/>
    </xf>
    <xf numFmtId="0" fontId="1" fillId="10" borderId="37" xfId="0" applyFont="1" applyFill="1" applyBorder="1" applyAlignment="1">
      <alignment vertical="center"/>
    </xf>
    <xf numFmtId="43" fontId="5" fillId="0" borderId="16" xfId="0" applyNumberFormat="1" applyFont="1" applyBorder="1" applyAlignment="1">
      <alignment vertical="center"/>
    </xf>
    <xf numFmtId="43" fontId="5" fillId="10" borderId="9" xfId="0" applyNumberFormat="1" applyFont="1" applyFill="1" applyBorder="1" applyAlignment="1">
      <alignment horizontal="center" vertical="center"/>
    </xf>
    <xf numFmtId="0" fontId="0" fillId="0" borderId="9" xfId="0" applyBorder="1" applyAlignment="1">
      <alignment vertical="center"/>
    </xf>
    <xf numFmtId="9" fontId="0" fillId="0" borderId="9" xfId="1" applyNumberFormat="1" applyFont="1" applyBorder="1" applyAlignment="1">
      <alignment horizontal="center" vertical="center"/>
    </xf>
    <xf numFmtId="0" fontId="1" fillId="10" borderId="37" xfId="0" applyFont="1" applyFill="1" applyBorder="1" applyAlignment="1">
      <alignment horizontal="center" vertical="center"/>
    </xf>
    <xf numFmtId="164" fontId="1" fillId="0" borderId="16" xfId="2" applyNumberFormat="1" applyFont="1" applyBorder="1" applyAlignment="1">
      <alignment horizontal="center" vertical="center"/>
    </xf>
    <xf numFmtId="43" fontId="1" fillId="0" borderId="16" xfId="1" applyFont="1" applyBorder="1" applyAlignment="1">
      <alignment horizontal="center" vertical="center"/>
    </xf>
    <xf numFmtId="43" fontId="0" fillId="0" borderId="9" xfId="1" applyFont="1" applyFill="1" applyBorder="1" applyAlignment="1">
      <alignment vertical="center"/>
    </xf>
    <xf numFmtId="2" fontId="0" fillId="0" borderId="9" xfId="0" applyNumberFormat="1" applyBorder="1" applyAlignment="1">
      <alignment horizontal="left" vertical="center"/>
    </xf>
    <xf numFmtId="0" fontId="1" fillId="10" borderId="9" xfId="0" applyFont="1" applyFill="1" applyBorder="1"/>
    <xf numFmtId="0" fontId="20" fillId="11" borderId="37" xfId="0" applyFont="1" applyFill="1" applyBorder="1" applyAlignment="1">
      <alignment horizontal="center" vertical="center"/>
    </xf>
    <xf numFmtId="0" fontId="20" fillId="11" borderId="34" xfId="0" applyFont="1" applyFill="1" applyBorder="1" applyAlignment="1">
      <alignment horizontal="center" vertical="center"/>
    </xf>
    <xf numFmtId="0" fontId="21" fillId="11" borderId="40" xfId="0" applyFont="1" applyFill="1" applyBorder="1" applyAlignment="1">
      <alignment horizontal="center" vertical="center"/>
    </xf>
    <xf numFmtId="0" fontId="0" fillId="12" borderId="41" xfId="0" applyFill="1" applyBorder="1" applyAlignment="1">
      <alignment horizontal="center" vertical="center"/>
    </xf>
    <xf numFmtId="0" fontId="0" fillId="12" borderId="42" xfId="0" applyFill="1" applyBorder="1" applyAlignment="1">
      <alignment horizontal="center" vertical="center"/>
    </xf>
    <xf numFmtId="0" fontId="0" fillId="12" borderId="31" xfId="0" applyFill="1" applyBorder="1" applyAlignment="1">
      <alignment horizontal="center" vertical="center"/>
    </xf>
    <xf numFmtId="0" fontId="0" fillId="12" borderId="43" xfId="0" applyFill="1" applyBorder="1" applyAlignment="1">
      <alignment horizontal="center" vertical="center"/>
    </xf>
    <xf numFmtId="0" fontId="1" fillId="10" borderId="9" xfId="0" applyFont="1" applyFill="1" applyBorder="1" applyAlignment="1">
      <alignment horizontal="center"/>
    </xf>
    <xf numFmtId="43" fontId="1" fillId="10" borderId="9" xfId="1" applyFont="1" applyFill="1" applyBorder="1" applyAlignment="1">
      <alignment horizontal="center"/>
    </xf>
    <xf numFmtId="0" fontId="20" fillId="11" borderId="44" xfId="0" applyFont="1" applyFill="1" applyBorder="1" applyAlignment="1">
      <alignment horizontal="center" vertical="center"/>
    </xf>
    <xf numFmtId="0" fontId="20" fillId="11" borderId="10" xfId="0" applyFont="1" applyFill="1" applyBorder="1" applyAlignment="1">
      <alignment horizontal="center" vertical="center"/>
    </xf>
    <xf numFmtId="0" fontId="0" fillId="12" borderId="45" xfId="0" applyFill="1" applyBorder="1" applyAlignment="1">
      <alignment horizontal="center" vertical="center"/>
    </xf>
    <xf numFmtId="0" fontId="0" fillId="12" borderId="46" xfId="0" applyFill="1" applyBorder="1" applyAlignment="1">
      <alignment horizontal="center" vertical="center"/>
    </xf>
    <xf numFmtId="43" fontId="0" fillId="0" borderId="9" xfId="1" applyFont="1" applyBorder="1"/>
    <xf numFmtId="0" fontId="0" fillId="12" borderId="12" xfId="0" applyFill="1" applyBorder="1" applyAlignment="1">
      <alignment horizontal="center" vertical="center"/>
    </xf>
    <xf numFmtId="0" fontId="0" fillId="12" borderId="9" xfId="0" applyFill="1" applyBorder="1" applyAlignment="1">
      <alignment horizontal="center" vertical="center"/>
    </xf>
    <xf numFmtId="0" fontId="0" fillId="12" borderId="47" xfId="0" applyFill="1" applyBorder="1" applyAlignment="1">
      <alignment horizontal="center" vertical="center"/>
    </xf>
    <xf numFmtId="0" fontId="0" fillId="12" borderId="48" xfId="0" applyFill="1" applyBorder="1" applyAlignment="1">
      <alignment horizontal="center" vertical="center"/>
    </xf>
    <xf numFmtId="0" fontId="0" fillId="0" borderId="9" xfId="0" applyBorder="1" applyAlignment="1">
      <alignment horizontal="left" vertical="center" wrapText="1"/>
    </xf>
    <xf numFmtId="43" fontId="0" fillId="9" borderId="9" xfId="0" applyNumberFormat="1" applyFill="1" applyBorder="1" applyAlignment="1">
      <alignment vertical="center"/>
    </xf>
    <xf numFmtId="43" fontId="0" fillId="9" borderId="9" xfId="0" applyNumberFormat="1" applyFill="1" applyBorder="1" applyAlignment="1">
      <alignment horizontal="center" vertical="center"/>
    </xf>
    <xf numFmtId="43" fontId="1" fillId="0" borderId="9" xfId="0" applyNumberFormat="1" applyFont="1" applyBorder="1" applyAlignment="1">
      <alignment horizontal="center" vertical="center"/>
    </xf>
    <xf numFmtId="43" fontId="1" fillId="0" borderId="28" xfId="0" applyNumberFormat="1" applyFont="1" applyBorder="1" applyAlignment="1">
      <alignment horizontal="center" vertical="center"/>
    </xf>
    <xf numFmtId="43" fontId="1" fillId="0" borderId="9" xfId="0" applyNumberFormat="1" applyFont="1" applyBorder="1" applyAlignment="1">
      <alignment horizontal="center"/>
    </xf>
    <xf numFmtId="43" fontId="1" fillId="0" borderId="28" xfId="0" applyNumberFormat="1" applyFont="1" applyBorder="1" applyAlignment="1">
      <alignment horizontal="center"/>
    </xf>
    <xf numFmtId="43" fontId="1" fillId="0" borderId="30" xfId="0" applyNumberFormat="1" applyFont="1" applyBorder="1" applyAlignment="1">
      <alignment horizontal="center"/>
    </xf>
    <xf numFmtId="0" fontId="0" fillId="0" borderId="9" xfId="0" applyBorder="1" applyAlignment="1">
      <alignment vertical="center" wrapText="1"/>
    </xf>
    <xf numFmtId="165" fontId="0" fillId="0" borderId="9" xfId="0" applyNumberFormat="1" applyBorder="1" applyAlignment="1">
      <alignment horizontal="center" vertical="center"/>
    </xf>
    <xf numFmtId="2" fontId="0" fillId="0" borderId="9" xfId="0" applyNumberFormat="1" applyBorder="1" applyAlignment="1">
      <alignment horizontal="center" vertical="center"/>
    </xf>
    <xf numFmtId="164" fontId="1" fillId="9" borderId="36" xfId="2" applyNumberFormat="1" applyFont="1" applyFill="1" applyBorder="1" applyAlignment="1">
      <alignment horizontal="center" vertical="center"/>
    </xf>
    <xf numFmtId="43" fontId="1" fillId="0" borderId="9" xfId="0" applyNumberFormat="1" applyFont="1" applyBorder="1"/>
    <xf numFmtId="43" fontId="0" fillId="0" borderId="0" xfId="1" applyFont="1"/>
    <xf numFmtId="0" fontId="1" fillId="8" borderId="10" xfId="0" applyFont="1" applyFill="1" applyBorder="1" applyAlignment="1">
      <alignment horizontal="center"/>
    </xf>
    <xf numFmtId="43" fontId="1" fillId="5" borderId="9" xfId="0" applyNumberFormat="1" applyFont="1" applyFill="1" applyBorder="1" applyAlignment="1">
      <alignment horizontal="center" vertical="center"/>
    </xf>
    <xf numFmtId="0" fontId="1" fillId="0" borderId="24" xfId="0" applyFont="1" applyBorder="1"/>
    <xf numFmtId="0" fontId="1" fillId="0" borderId="21" xfId="0" applyFont="1" applyBorder="1"/>
    <xf numFmtId="0" fontId="1" fillId="8" borderId="17" xfId="0" applyFont="1" applyFill="1" applyBorder="1" applyAlignment="1">
      <alignment wrapText="1"/>
    </xf>
    <xf numFmtId="0" fontId="0" fillId="8" borderId="17" xfId="0" applyFill="1" applyBorder="1" applyAlignment="1">
      <alignment wrapText="1"/>
    </xf>
    <xf numFmtId="0" fontId="0" fillId="8" borderId="9" xfId="0" applyFill="1" applyBorder="1" applyAlignment="1">
      <alignment wrapText="1"/>
    </xf>
    <xf numFmtId="43" fontId="0" fillId="9" borderId="0" xfId="1" applyFont="1" applyFill="1"/>
    <xf numFmtId="43" fontId="0" fillId="0" borderId="0" xfId="0" applyNumberFormat="1"/>
    <xf numFmtId="43" fontId="0" fillId="9" borderId="0" xfId="0" applyNumberFormat="1" applyFill="1"/>
    <xf numFmtId="10" fontId="0" fillId="0" borderId="0" xfId="2" applyNumberFormat="1" applyFont="1"/>
    <xf numFmtId="43" fontId="0" fillId="13" borderId="0" xfId="0" applyNumberFormat="1" applyFill="1"/>
    <xf numFmtId="9" fontId="0" fillId="0" borderId="0" xfId="0" applyNumberFormat="1"/>
    <xf numFmtId="0" fontId="6" fillId="3" borderId="1" xfId="0" applyFont="1" applyFill="1" applyBorder="1" applyAlignment="1">
      <alignment horizontal="center" vertical="center"/>
    </xf>
    <xf numFmtId="0" fontId="6" fillId="0" borderId="16" xfId="0"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5" fillId="4" borderId="1" xfId="0" applyFont="1" applyFill="1" applyBorder="1" applyAlignment="1">
      <alignment horizontal="center" vertical="center"/>
    </xf>
    <xf numFmtId="0" fontId="5" fillId="4" borderId="16" xfId="0" applyFont="1" applyFill="1" applyBorder="1" applyAlignment="1">
      <alignment horizontal="center" vertical="center"/>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7" xfId="0" applyFont="1" applyBorder="1" applyAlignment="1">
      <alignment horizontal="left" vertical="center" wrapText="1"/>
    </xf>
    <xf numFmtId="0" fontId="5" fillId="4" borderId="20"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6" xfId="0" applyFont="1" applyFill="1" applyBorder="1" applyAlignment="1">
      <alignment horizontal="center" vertical="center"/>
    </xf>
    <xf numFmtId="0" fontId="5" fillId="0" borderId="19" xfId="0" applyFont="1" applyBorder="1" applyAlignment="1">
      <alignment horizontal="left" vertical="center" wrapText="1"/>
    </xf>
    <xf numFmtId="0" fontId="5" fillId="0" borderId="27" xfId="0" applyFont="1" applyBorder="1" applyAlignment="1">
      <alignment horizontal="left" vertical="center" wrapText="1"/>
    </xf>
    <xf numFmtId="0" fontId="5" fillId="0" borderId="26" xfId="0" applyFont="1" applyBorder="1" applyAlignment="1">
      <alignment horizontal="left" vertical="center" wrapText="1"/>
    </xf>
    <xf numFmtId="0" fontId="11" fillId="5" borderId="5" xfId="0" applyFont="1" applyFill="1" applyBorder="1" applyAlignment="1">
      <alignment horizontal="left" vertical="center" wrapText="1"/>
    </xf>
    <xf numFmtId="0" fontId="13" fillId="5" borderId="19" xfId="0" applyFont="1" applyFill="1" applyBorder="1" applyAlignment="1">
      <alignment horizontal="left" wrapText="1"/>
    </xf>
    <xf numFmtId="0" fontId="13" fillId="5" borderId="8" xfId="0" applyFont="1" applyFill="1" applyBorder="1" applyAlignment="1">
      <alignment horizontal="left" wrapText="1"/>
    </xf>
    <xf numFmtId="0" fontId="13" fillId="5" borderId="20" xfId="0" applyFont="1" applyFill="1" applyBorder="1" applyAlignment="1">
      <alignment horizontal="left" wrapText="1"/>
    </xf>
    <xf numFmtId="0" fontId="7" fillId="2" borderId="8" xfId="0" applyFont="1" applyFill="1" applyBorder="1" applyAlignment="1">
      <alignment horizontal="center" vertical="center"/>
    </xf>
    <xf numFmtId="0" fontId="7" fillId="0" borderId="20" xfId="0" applyFont="1" applyBorder="1" applyAlignment="1">
      <alignment horizontal="center" vertical="center"/>
    </xf>
    <xf numFmtId="0" fontId="3" fillId="5" borderId="3"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1" fillId="5" borderId="3" xfId="0" applyFont="1" applyFill="1" applyBorder="1" applyAlignment="1">
      <alignment horizontal="left" vertical="center" wrapText="1"/>
    </xf>
    <xf numFmtId="0" fontId="1" fillId="5" borderId="4" xfId="0" applyFont="1" applyFill="1" applyBorder="1" applyAlignment="1">
      <alignment horizontal="left" vertical="center" wrapText="1"/>
    </xf>
    <xf numFmtId="0" fontId="1" fillId="5" borderId="7" xfId="0" applyFont="1" applyFill="1" applyBorder="1" applyAlignment="1">
      <alignment horizontal="left" vertical="center" wrapText="1"/>
    </xf>
    <xf numFmtId="0" fontId="3" fillId="5" borderId="4" xfId="0" applyFont="1" applyFill="1" applyBorder="1" applyAlignment="1">
      <alignment horizontal="center" vertical="center" wrapText="1"/>
    </xf>
    <xf numFmtId="0" fontId="7" fillId="3" borderId="8" xfId="0" applyFont="1" applyFill="1" applyBorder="1" applyAlignment="1">
      <alignment horizontal="center" vertic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7" xfId="0" applyFont="1" applyBorder="1" applyAlignment="1">
      <alignment horizontal="center" vertical="center" wrapText="1"/>
    </xf>
    <xf numFmtId="0" fontId="1" fillId="8" borderId="29" xfId="0" applyFont="1" applyFill="1" applyBorder="1" applyAlignment="1">
      <alignment horizontal="center" vertical="center" wrapText="1"/>
    </xf>
    <xf numFmtId="0" fontId="1" fillId="8" borderId="14" xfId="0" applyFont="1" applyFill="1" applyBorder="1" applyAlignment="1">
      <alignment horizontal="center" vertical="center" wrapText="1"/>
    </xf>
    <xf numFmtId="0" fontId="6" fillId="7" borderId="5" xfId="0" applyFont="1" applyFill="1" applyBorder="1" applyAlignment="1">
      <alignment horizontal="center" vertical="center"/>
    </xf>
    <xf numFmtId="0" fontId="6" fillId="7" borderId="13" xfId="0" applyFont="1" applyFill="1" applyBorder="1" applyAlignment="1">
      <alignment horizontal="center" vertical="center"/>
    </xf>
    <xf numFmtId="0" fontId="6" fillId="7" borderId="19"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0" xfId="0" applyFont="1" applyFill="1" applyAlignment="1">
      <alignment horizontal="center" vertical="center"/>
    </xf>
    <xf numFmtId="0" fontId="6" fillId="7" borderId="27" xfId="0" applyFont="1" applyFill="1" applyBorder="1" applyAlignment="1">
      <alignment horizontal="center" vertical="center"/>
    </xf>
    <xf numFmtId="0" fontId="15" fillId="6" borderId="9" xfId="0" applyFont="1" applyFill="1" applyBorder="1" applyAlignment="1">
      <alignment horizontal="center"/>
    </xf>
    <xf numFmtId="43" fontId="1" fillId="0" borderId="31" xfId="1" applyFont="1" applyBorder="1"/>
    <xf numFmtId="43" fontId="1" fillId="0" borderId="17" xfId="1" applyFont="1" applyBorder="1"/>
    <xf numFmtId="43" fontId="1" fillId="0" borderId="24" xfId="1" applyFont="1" applyBorder="1"/>
    <xf numFmtId="43" fontId="1" fillId="0" borderId="32" xfId="0" applyNumberFormat="1" applyFont="1" applyBorder="1"/>
    <xf numFmtId="0" fontId="1" fillId="0" borderId="33" xfId="0" applyFont="1" applyBorder="1"/>
    <xf numFmtId="0" fontId="1" fillId="0" borderId="22" xfId="0" applyFont="1" applyBorder="1"/>
    <xf numFmtId="0" fontId="1" fillId="8" borderId="23" xfId="0" applyFont="1" applyFill="1" applyBorder="1" applyAlignment="1">
      <alignment horizontal="center" vertical="center" wrapText="1"/>
    </xf>
    <xf numFmtId="0" fontId="1" fillId="8" borderId="11" xfId="0" applyFont="1" applyFill="1" applyBorder="1" applyAlignment="1">
      <alignment horizontal="center" vertical="center" wrapText="1"/>
    </xf>
    <xf numFmtId="9" fontId="1" fillId="8" borderId="31" xfId="0" applyNumberFormat="1" applyFont="1" applyFill="1" applyBorder="1" applyAlignment="1">
      <alignment horizontal="right" vertical="center"/>
    </xf>
    <xf numFmtId="9" fontId="1" fillId="8" borderId="17" xfId="0" applyNumberFormat="1" applyFont="1" applyFill="1" applyBorder="1" applyAlignment="1">
      <alignment horizontal="right" vertical="center"/>
    </xf>
    <xf numFmtId="9" fontId="1" fillId="8" borderId="42" xfId="0" applyNumberFormat="1" applyFont="1" applyFill="1" applyBorder="1" applyAlignment="1">
      <alignment horizontal="right" vertical="center"/>
    </xf>
    <xf numFmtId="0" fontId="0" fillId="0" borderId="31" xfId="0" applyBorder="1" applyAlignment="1">
      <alignment horizontal="center"/>
    </xf>
    <xf numFmtId="0" fontId="0" fillId="0" borderId="24" xfId="0" applyBorder="1" applyAlignment="1">
      <alignment horizontal="center"/>
    </xf>
    <xf numFmtId="0" fontId="0" fillId="0" borderId="10" xfId="0" applyBorder="1" applyAlignment="1">
      <alignment horizontal="center" vertical="center"/>
    </xf>
    <xf numFmtId="0" fontId="0" fillId="0" borderId="11" xfId="0" applyBorder="1" applyAlignment="1">
      <alignment horizontal="center" vertical="center"/>
    </xf>
    <xf numFmtId="0" fontId="1" fillId="10" borderId="2" xfId="0" applyFont="1" applyFill="1" applyBorder="1" applyAlignment="1">
      <alignment horizontal="left" vertical="center"/>
    </xf>
    <xf numFmtId="0" fontId="1" fillId="10" borderId="16" xfId="0" applyFont="1" applyFill="1" applyBorder="1" applyAlignment="1">
      <alignment horizontal="left" vertical="center"/>
    </xf>
    <xf numFmtId="0" fontId="19" fillId="8" borderId="38" xfId="0" applyFont="1" applyFill="1" applyBorder="1" applyAlignment="1">
      <alignment horizontal="center"/>
    </xf>
    <xf numFmtId="0" fontId="19" fillId="8" borderId="39" xfId="0" applyFont="1" applyFill="1" applyBorder="1" applyAlignment="1">
      <alignment horizontal="center"/>
    </xf>
    <xf numFmtId="0" fontId="19" fillId="8" borderId="23" xfId="0" applyFont="1" applyFill="1" applyBorder="1" applyAlignment="1">
      <alignment horizontal="center"/>
    </xf>
    <xf numFmtId="0" fontId="20" fillId="8" borderId="6" xfId="0" applyFont="1" applyFill="1" applyBorder="1" applyAlignment="1">
      <alignment horizontal="center" vertical="center"/>
    </xf>
    <xf numFmtId="0" fontId="20" fillId="8" borderId="0" xfId="0" applyFont="1" applyFill="1" applyAlignment="1">
      <alignment horizontal="center" vertical="center"/>
    </xf>
    <xf numFmtId="0" fontId="1" fillId="5" borderId="10"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1" fillId="5" borderId="18" xfId="0" applyFont="1" applyFill="1" applyBorder="1" applyAlignment="1">
      <alignment horizontal="center" vertical="center" wrapText="1"/>
    </xf>
    <xf numFmtId="0" fontId="22" fillId="6" borderId="9" xfId="0" applyFont="1" applyFill="1" applyBorder="1" applyAlignment="1">
      <alignment horizontal="center"/>
    </xf>
    <xf numFmtId="43" fontId="1" fillId="0" borderId="32" xfId="1" applyFont="1" applyBorder="1"/>
    <xf numFmtId="43" fontId="1" fillId="0" borderId="33" xfId="1" applyFont="1" applyBorder="1"/>
    <xf numFmtId="43" fontId="1" fillId="0" borderId="22" xfId="1" applyFont="1" applyBorder="1"/>
    <xf numFmtId="9" fontId="1" fillId="8" borderId="31" xfId="0" applyNumberFormat="1" applyFont="1" applyFill="1" applyBorder="1" applyAlignment="1">
      <alignment horizontal="center" vertical="center"/>
    </xf>
    <xf numFmtId="9" fontId="1" fillId="8" borderId="17" xfId="0" applyNumberFormat="1" applyFont="1" applyFill="1" applyBorder="1" applyAlignment="1">
      <alignment horizontal="center" vertical="center"/>
    </xf>
    <xf numFmtId="9" fontId="1" fillId="8" borderId="42" xfId="0" applyNumberFormat="1" applyFont="1" applyFill="1" applyBorder="1" applyAlignment="1">
      <alignment horizontal="center" vertical="center"/>
    </xf>
    <xf numFmtId="0" fontId="1" fillId="10" borderId="49" xfId="0" applyFont="1" applyFill="1" applyBorder="1" applyAlignment="1">
      <alignment horizontal="center" vertical="center"/>
    </xf>
    <xf numFmtId="0" fontId="1" fillId="10" borderId="0" xfId="0" applyFont="1" applyFill="1" applyAlignment="1">
      <alignment horizontal="center" vertical="center"/>
    </xf>
    <xf numFmtId="0" fontId="1" fillId="10" borderId="9" xfId="0" applyFont="1" applyFill="1" applyBorder="1" applyAlignment="1">
      <alignment horizontal="center" vertical="center"/>
    </xf>
    <xf numFmtId="9" fontId="1" fillId="8" borderId="31" xfId="0" applyNumberFormat="1" applyFont="1" applyFill="1" applyBorder="1" applyAlignment="1">
      <alignment horizontal="center"/>
    </xf>
    <xf numFmtId="0" fontId="1" fillId="8" borderId="42" xfId="0" applyFont="1" applyFill="1" applyBorder="1" applyAlignment="1">
      <alignment horizontal="center"/>
    </xf>
    <xf numFmtId="0" fontId="1" fillId="8" borderId="35"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1" fillId="8" borderId="18" xfId="0" applyFont="1" applyFill="1" applyBorder="1" applyAlignment="1">
      <alignment horizontal="center" vertical="center" wrapText="1"/>
    </xf>
    <xf numFmtId="0" fontId="16" fillId="0" borderId="9" xfId="0" applyFont="1" applyBorder="1" applyAlignment="1">
      <alignment horizontal="center" vertical="center"/>
    </xf>
    <xf numFmtId="2" fontId="16" fillId="0" borderId="9" xfId="0" applyNumberFormat="1" applyFont="1" applyBorder="1" applyAlignment="1">
      <alignment horizontal="center" vertical="center"/>
    </xf>
    <xf numFmtId="165" fontId="16" fillId="0" borderId="9" xfId="0" applyNumberFormat="1" applyFont="1" applyBorder="1" applyAlignment="1">
      <alignment horizontal="center" vertic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FMPlus%20-%20Work\William%20-%20FMPlus\New%20Projects%20Study\2025\76-%20TRIO\Updated%20Files%2023-11-2025\TRIO%20Budget%20Rev.%2001%20Rev.%20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Notes &amp; SOW Summary"/>
      <sheetName val="Housekeeping Scope BOQ"/>
      <sheetName val="HK Budget"/>
      <sheetName val="HK - Light Tools &amp; Cons"/>
      <sheetName val="MEP Scope BOQ "/>
      <sheetName val="MEP Budget"/>
      <sheetName val="Landscape BOQ"/>
      <sheetName val="LS Budget"/>
      <sheetName val="Pest Control BOQ"/>
      <sheetName val="Pest Control Budget"/>
      <sheetName val="Backoffice &amp; Admin BOQ"/>
      <sheetName val="Back Office Budget"/>
    </sheetNames>
    <sheetDataSet>
      <sheetData sheetId="0"/>
      <sheetData sheetId="1">
        <row r="13">
          <cell r="A13" t="str">
            <v xml:space="preserve"> HK Supervisors 
</v>
          </cell>
        </row>
      </sheetData>
      <sheetData sheetId="2"/>
      <sheetData sheetId="3"/>
      <sheetData sheetId="4">
        <row r="8">
          <cell r="D8" t="str">
            <v>Morning 8AM - 5PM</v>
          </cell>
        </row>
        <row r="9">
          <cell r="D9" t="str">
            <v>Morning 8AM - 5PM</v>
          </cell>
        </row>
        <row r="31">
          <cell r="A31" t="str">
            <v xml:space="preserve">Electrcian </v>
          </cell>
          <cell r="E31">
            <v>1</v>
          </cell>
        </row>
        <row r="32">
          <cell r="A32" t="str">
            <v>Mechanical</v>
          </cell>
          <cell r="E32">
            <v>1</v>
          </cell>
        </row>
        <row r="33">
          <cell r="A33" t="str">
            <v>Control</v>
          </cell>
          <cell r="E33">
            <v>1</v>
          </cell>
        </row>
        <row r="34">
          <cell r="A34" t="str">
            <v>Mechanical</v>
          </cell>
          <cell r="E34">
            <v>1</v>
          </cell>
        </row>
        <row r="35">
          <cell r="A35" t="str">
            <v>Control</v>
          </cell>
          <cell r="E35">
            <v>1</v>
          </cell>
        </row>
        <row r="36">
          <cell r="A36" t="str">
            <v>Plumber</v>
          </cell>
          <cell r="E36">
            <v>1</v>
          </cell>
        </row>
        <row r="38">
          <cell r="A38" t="str">
            <v>Internal MEP Engineer</v>
          </cell>
        </row>
        <row r="39">
          <cell r="A39" t="str">
            <v>AC</v>
          </cell>
        </row>
        <row r="40">
          <cell r="A40" t="str">
            <v>Carpenter</v>
          </cell>
        </row>
        <row r="41">
          <cell r="A41" t="str">
            <v>Aluminum</v>
          </cell>
        </row>
        <row r="42">
          <cell r="A42" t="str">
            <v>Electrician</v>
          </cell>
        </row>
        <row r="43">
          <cell r="A43" t="str">
            <v>Plumber</v>
          </cell>
        </row>
        <row r="44">
          <cell r="A44" t="str">
            <v>Painter</v>
          </cell>
        </row>
        <row r="45">
          <cell r="A45" t="str">
            <v>Tiler - Marble</v>
          </cell>
        </row>
        <row r="46">
          <cell r="A46" t="str">
            <v>Gypsum Board</v>
          </cell>
        </row>
        <row r="47">
          <cell r="A47" t="str">
            <v>Labor (Worker)</v>
          </cell>
        </row>
        <row r="48">
          <cell r="A48" t="str">
            <v>Supervisor Internal</v>
          </cell>
        </row>
        <row r="49">
          <cell r="A49" t="str">
            <v>Plumber</v>
          </cell>
        </row>
        <row r="50">
          <cell r="A50" t="str">
            <v xml:space="preserve">Electrcian </v>
          </cell>
        </row>
        <row r="51">
          <cell r="A51" t="str">
            <v>Carpenter</v>
          </cell>
        </row>
      </sheetData>
      <sheetData sheetId="5"/>
      <sheetData sheetId="6">
        <row r="8">
          <cell r="A8" t="str">
            <v xml:space="preserve"> Landscape Public Engineer</v>
          </cell>
          <cell r="E8">
            <v>1</v>
          </cell>
        </row>
        <row r="9">
          <cell r="A9" t="str">
            <v>زراعة Supervisor</v>
          </cell>
          <cell r="E9">
            <v>1</v>
          </cell>
        </row>
        <row r="10">
          <cell r="A10" t="str">
            <v>ري Supervisor</v>
          </cell>
          <cell r="E10">
            <v>1</v>
          </cell>
        </row>
        <row r="11">
          <cell r="A11" t="str">
            <v>عامل زراعة</v>
          </cell>
          <cell r="E11">
            <v>5</v>
          </cell>
        </row>
        <row r="12">
          <cell r="A12" t="str">
            <v>عامل ري</v>
          </cell>
          <cell r="E12">
            <v>2</v>
          </cell>
        </row>
        <row r="14">
          <cell r="A14" t="str">
            <v>ماكينة قص نجيله هوندا  دفع ذاتى موديل 216</v>
          </cell>
          <cell r="E14">
            <v>1</v>
          </cell>
        </row>
        <row r="15">
          <cell r="A15" t="str">
            <v xml:space="preserve">موتور رش 600 لتر </v>
          </cell>
          <cell r="E15">
            <v>1</v>
          </cell>
        </row>
        <row r="16">
          <cell r="A16" t="str">
            <v xml:space="preserve"> رشاشة ظهرية بالبطارية </v>
          </cell>
          <cell r="E16">
            <v>2</v>
          </cell>
        </row>
        <row r="17">
          <cell r="A17" t="str">
            <v xml:space="preserve">ماكينة حدية للنجيلة  5*1 نوعية استيجا </v>
          </cell>
          <cell r="E17">
            <v>1</v>
          </cell>
        </row>
        <row r="18">
          <cell r="A18" t="str">
            <v xml:space="preserve">عدد مقص اسوار بنزين نوعية كراون </v>
          </cell>
          <cell r="E18">
            <v>1</v>
          </cell>
        </row>
        <row r="23">
          <cell r="A23" t="str">
            <v xml:space="preserve"> Landscape Internal Engineer</v>
          </cell>
          <cell r="E23">
            <v>1</v>
          </cell>
        </row>
        <row r="24">
          <cell r="A24" t="str">
            <v>Landscape Internal Supervisor</v>
          </cell>
          <cell r="E24">
            <v>1</v>
          </cell>
        </row>
        <row r="25">
          <cell r="A25" t="str">
            <v>عامل اول زراعة</v>
          </cell>
          <cell r="E25">
            <v>1</v>
          </cell>
        </row>
        <row r="26">
          <cell r="A26" t="str">
            <v>عامل زراعة</v>
          </cell>
          <cell r="E26">
            <v>4</v>
          </cell>
        </row>
        <row r="27">
          <cell r="A27" t="str">
            <v>عامل ري</v>
          </cell>
          <cell r="E27">
            <v>1</v>
          </cell>
        </row>
        <row r="29">
          <cell r="A29" t="str">
            <v>ماكينة قص كهرباء 220V (Stiga or Total)</v>
          </cell>
          <cell r="E29">
            <v>2</v>
          </cell>
        </row>
        <row r="30">
          <cell r="A30" t="str">
            <v>Trimmer منشار قص الورق</v>
          </cell>
          <cell r="E30">
            <v>2</v>
          </cell>
        </row>
        <row r="31">
          <cell r="A31" t="str">
            <v>موتور رش ظهري يعمل بالبطارية 20 لتر</v>
          </cell>
          <cell r="E31">
            <v>2</v>
          </cell>
        </row>
        <row r="32">
          <cell r="A32" t="str">
            <v xml:space="preserve">موتور رش 300 لتر يعمل بالجاز و يشمل مستلزمات الماكينات من زيت وبنزين </v>
          </cell>
          <cell r="E32">
            <v>1</v>
          </cell>
        </row>
      </sheetData>
      <sheetData sheetId="7"/>
      <sheetData sheetId="8"/>
      <sheetData sheetId="9"/>
      <sheetData sheetId="10">
        <row r="8">
          <cell r="A8" t="str">
            <v>Helpdesk</v>
          </cell>
          <cell r="E8">
            <v>1</v>
          </cell>
        </row>
        <row r="9">
          <cell r="A9" t="str">
            <v>Admin</v>
          </cell>
          <cell r="E9">
            <v>2</v>
          </cell>
        </row>
        <row r="10">
          <cell r="A10" t="str">
            <v>Dispatcher</v>
          </cell>
          <cell r="E10">
            <v>1</v>
          </cell>
        </row>
        <row r="11">
          <cell r="A11" t="str">
            <v>Collecter</v>
          </cell>
          <cell r="E11">
            <v>1</v>
          </cell>
        </row>
        <row r="12">
          <cell r="A12" t="str">
            <v>Duty Manager (MEP Supervisor) Night Shift</v>
          </cell>
        </row>
        <row r="13">
          <cell r="A13" t="str">
            <v>Helpdesk Night Shift</v>
          </cell>
          <cell r="E13">
            <v>1</v>
          </cell>
        </row>
      </sheetData>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47495-E3CC-4B50-A25C-5181B0D7B30A}">
  <sheetPr codeName="Sheet1"/>
  <dimension ref="A1:K126"/>
  <sheetViews>
    <sheetView zoomScale="70" zoomScaleNormal="70" workbookViewId="0">
      <pane xSplit="1" topLeftCell="B1" activePane="topRight" state="frozen"/>
      <selection pane="topRight" activeCell="G3" sqref="G3"/>
    </sheetView>
  </sheetViews>
  <sheetFormatPr defaultRowHeight="14.4" x14ac:dyDescent="0.3"/>
  <cols>
    <col min="1" max="1" width="41" style="1" customWidth="1"/>
    <col min="2" max="2" width="88.33203125" bestFit="1" customWidth="1"/>
  </cols>
  <sheetData>
    <row r="1" spans="1:11" x14ac:dyDescent="0.3">
      <c r="A1" s="158" t="s">
        <v>72</v>
      </c>
      <c r="B1" s="159"/>
    </row>
    <row r="2" spans="1:11" ht="182.25" customHeight="1" thickBot="1" x14ac:dyDescent="0.35">
      <c r="A2" s="160"/>
      <c r="B2" s="161"/>
    </row>
    <row r="3" spans="1:11" ht="24" thickBot="1" x14ac:dyDescent="0.35">
      <c r="A3" s="162" t="s">
        <v>2</v>
      </c>
      <c r="B3" s="163"/>
    </row>
    <row r="4" spans="1:11" ht="24" thickBot="1" x14ac:dyDescent="0.35">
      <c r="A4" s="6"/>
      <c r="B4" s="13"/>
    </row>
    <row r="5" spans="1:11" ht="173.4" thickBot="1" x14ac:dyDescent="0.35">
      <c r="A5" s="7" t="s">
        <v>5</v>
      </c>
      <c r="B5" s="14" t="s">
        <v>25</v>
      </c>
    </row>
    <row r="6" spans="1:11" x14ac:dyDescent="0.3">
      <c r="A6" s="164" t="s">
        <v>10</v>
      </c>
      <c r="B6" s="166" t="s">
        <v>6</v>
      </c>
    </row>
    <row r="7" spans="1:11" ht="190.5" customHeight="1" thickBot="1" x14ac:dyDescent="0.35">
      <c r="A7" s="165"/>
      <c r="B7" s="168"/>
    </row>
    <row r="8" spans="1:11" ht="390" customHeight="1" x14ac:dyDescent="0.3">
      <c r="A8" s="164" t="s">
        <v>7</v>
      </c>
      <c r="B8" s="166" t="s">
        <v>26</v>
      </c>
    </row>
    <row r="9" spans="1:11" ht="15.75" customHeight="1" x14ac:dyDescent="0.3">
      <c r="A9" s="169"/>
      <c r="B9" s="167"/>
    </row>
    <row r="10" spans="1:11" ht="15" customHeight="1" x14ac:dyDescent="0.3">
      <c r="A10" s="169"/>
      <c r="B10" s="167"/>
    </row>
    <row r="11" spans="1:11" ht="15.75" customHeight="1" x14ac:dyDescent="0.3">
      <c r="A11" s="169"/>
      <c r="B11" s="167"/>
    </row>
    <row r="12" spans="1:11" ht="15" customHeight="1" x14ac:dyDescent="0.3">
      <c r="A12" s="169"/>
      <c r="B12" s="167"/>
    </row>
    <row r="13" spans="1:11" ht="15.75" customHeight="1" x14ac:dyDescent="0.3">
      <c r="A13" s="169"/>
      <c r="B13" s="167"/>
    </row>
    <row r="14" spans="1:11" ht="15" thickBot="1" x14ac:dyDescent="0.35">
      <c r="A14" s="165"/>
      <c r="B14" s="168"/>
    </row>
    <row r="15" spans="1:11" ht="18.600000000000001" thickBot="1" x14ac:dyDescent="0.35">
      <c r="A15" s="153" t="s">
        <v>9</v>
      </c>
      <c r="B15" s="154"/>
    </row>
    <row r="16" spans="1:11" ht="18.600000000000001" thickBot="1" x14ac:dyDescent="0.35">
      <c r="A16" s="2"/>
      <c r="B16" s="15"/>
      <c r="C16" s="3"/>
      <c r="D16" s="3"/>
      <c r="E16" s="3"/>
      <c r="F16" s="3"/>
      <c r="G16" s="3"/>
      <c r="H16" s="3"/>
      <c r="I16" s="3"/>
      <c r="J16" s="3"/>
      <c r="K16" s="3"/>
    </row>
    <row r="17" spans="1:2" ht="27" customHeight="1" thickBot="1" x14ac:dyDescent="0.35">
      <c r="A17" s="170" t="s">
        <v>8</v>
      </c>
      <c r="B17" s="163"/>
    </row>
    <row r="18" spans="1:2" ht="27.75" customHeight="1" x14ac:dyDescent="0.3">
      <c r="A18" s="171" t="s">
        <v>5</v>
      </c>
      <c r="B18" s="149" t="s">
        <v>24</v>
      </c>
    </row>
    <row r="19" spans="1:2" ht="27.75" customHeight="1" x14ac:dyDescent="0.3">
      <c r="A19" s="172"/>
      <c r="B19" s="150"/>
    </row>
    <row r="20" spans="1:2" ht="27.75" customHeight="1" x14ac:dyDescent="0.3">
      <c r="A20" s="172"/>
      <c r="B20" s="150"/>
    </row>
    <row r="21" spans="1:2" ht="27.75" customHeight="1" x14ac:dyDescent="0.3">
      <c r="A21" s="172"/>
      <c r="B21" s="150"/>
    </row>
    <row r="22" spans="1:2" ht="27.75" customHeight="1" x14ac:dyDescent="0.3">
      <c r="A22" s="172"/>
      <c r="B22" s="150"/>
    </row>
    <row r="23" spans="1:2" ht="27.75" customHeight="1" x14ac:dyDescent="0.3">
      <c r="A23" s="172"/>
      <c r="B23" s="150"/>
    </row>
    <row r="24" spans="1:2" ht="27.75" customHeight="1" x14ac:dyDescent="0.3">
      <c r="A24" s="172"/>
      <c r="B24" s="150"/>
    </row>
    <row r="25" spans="1:2" ht="27.75" customHeight="1" x14ac:dyDescent="0.3">
      <c r="A25" s="172"/>
      <c r="B25" s="150"/>
    </row>
    <row r="26" spans="1:2" ht="27.75" customHeight="1" x14ac:dyDescent="0.3">
      <c r="A26" s="172"/>
      <c r="B26" s="150"/>
    </row>
    <row r="27" spans="1:2" ht="27.75" customHeight="1" x14ac:dyDescent="0.3">
      <c r="A27" s="172"/>
      <c r="B27" s="150"/>
    </row>
    <row r="28" spans="1:2" ht="27.75" customHeight="1" x14ac:dyDescent="0.3">
      <c r="A28" s="172"/>
      <c r="B28" s="150"/>
    </row>
    <row r="29" spans="1:2" ht="27.75" customHeight="1" x14ac:dyDescent="0.3">
      <c r="A29" s="172"/>
      <c r="B29" s="150"/>
    </row>
    <row r="30" spans="1:2" ht="27.75" customHeight="1" x14ac:dyDescent="0.3">
      <c r="A30" s="172"/>
      <c r="B30" s="150"/>
    </row>
    <row r="31" spans="1:2" ht="27.75" customHeight="1" x14ac:dyDescent="0.3">
      <c r="A31" s="172"/>
      <c r="B31" s="150"/>
    </row>
    <row r="32" spans="1:2" ht="27.75" customHeight="1" x14ac:dyDescent="0.3">
      <c r="A32" s="172"/>
      <c r="B32" s="150"/>
    </row>
    <row r="33" spans="1:2" ht="27.75" customHeight="1" x14ac:dyDescent="0.3">
      <c r="A33" s="172"/>
      <c r="B33" s="150"/>
    </row>
    <row r="34" spans="1:2" ht="27.75" customHeight="1" x14ac:dyDescent="0.3">
      <c r="A34" s="172"/>
      <c r="B34" s="150"/>
    </row>
    <row r="35" spans="1:2" ht="27.75" customHeight="1" x14ac:dyDescent="0.3">
      <c r="A35" s="172"/>
      <c r="B35" s="150"/>
    </row>
    <row r="36" spans="1:2" ht="27.75" customHeight="1" x14ac:dyDescent="0.3">
      <c r="A36" s="172"/>
      <c r="B36" s="150"/>
    </row>
    <row r="37" spans="1:2" ht="27.75" customHeight="1" x14ac:dyDescent="0.3">
      <c r="A37" s="172"/>
      <c r="B37" s="150"/>
    </row>
    <row r="38" spans="1:2" ht="27.75" customHeight="1" x14ac:dyDescent="0.3">
      <c r="A38" s="172"/>
      <c r="B38" s="150"/>
    </row>
    <row r="39" spans="1:2" ht="27.75" customHeight="1" x14ac:dyDescent="0.3">
      <c r="A39" s="172"/>
      <c r="B39" s="150"/>
    </row>
    <row r="40" spans="1:2" ht="27.75" customHeight="1" x14ac:dyDescent="0.3">
      <c r="A40" s="172"/>
      <c r="B40" s="150"/>
    </row>
    <row r="41" spans="1:2" ht="27.75" customHeight="1" x14ac:dyDescent="0.3">
      <c r="A41" s="172"/>
      <c r="B41" s="150"/>
    </row>
    <row r="42" spans="1:2" ht="27.75" customHeight="1" x14ac:dyDescent="0.3">
      <c r="A42" s="172"/>
      <c r="B42" s="150"/>
    </row>
    <row r="43" spans="1:2" ht="27.75" customHeight="1" x14ac:dyDescent="0.3">
      <c r="A43" s="172"/>
      <c r="B43" s="150"/>
    </row>
    <row r="44" spans="1:2" ht="27.75" customHeight="1" x14ac:dyDescent="0.3">
      <c r="A44" s="172"/>
      <c r="B44" s="150"/>
    </row>
    <row r="45" spans="1:2" ht="27.75" customHeight="1" x14ac:dyDescent="0.3">
      <c r="A45" s="172"/>
      <c r="B45" s="150"/>
    </row>
    <row r="46" spans="1:2" ht="27.75" customHeight="1" x14ac:dyDescent="0.3">
      <c r="A46" s="172"/>
      <c r="B46" s="150"/>
    </row>
    <row r="47" spans="1:2" ht="27.75" customHeight="1" x14ac:dyDescent="0.3">
      <c r="A47" s="172"/>
      <c r="B47" s="150"/>
    </row>
    <row r="48" spans="1:2" ht="27.75" customHeight="1" x14ac:dyDescent="0.3">
      <c r="A48" s="172"/>
      <c r="B48" s="150"/>
    </row>
    <row r="49" spans="1:2" ht="27.75" customHeight="1" x14ac:dyDescent="0.3">
      <c r="A49" s="172"/>
      <c r="B49" s="150"/>
    </row>
    <row r="50" spans="1:2" ht="27.75" customHeight="1" x14ac:dyDescent="0.3">
      <c r="A50" s="172"/>
      <c r="B50" s="150"/>
    </row>
    <row r="51" spans="1:2" ht="33.75" customHeight="1" x14ac:dyDescent="0.3">
      <c r="A51" s="172"/>
      <c r="B51" s="150"/>
    </row>
    <row r="52" spans="1:2" ht="27.75" customHeight="1" x14ac:dyDescent="0.3">
      <c r="A52" s="172"/>
      <c r="B52" s="150"/>
    </row>
    <row r="53" spans="1:2" ht="27.75" customHeight="1" x14ac:dyDescent="0.3">
      <c r="A53" s="172"/>
      <c r="B53" s="150"/>
    </row>
    <row r="54" spans="1:2" ht="27.75" customHeight="1" x14ac:dyDescent="0.3">
      <c r="A54" s="172"/>
      <c r="B54" s="150"/>
    </row>
    <row r="55" spans="1:2" ht="27.75" customHeight="1" thickBot="1" x14ac:dyDescent="0.35">
      <c r="A55" s="173"/>
      <c r="B55" s="151"/>
    </row>
    <row r="56" spans="1:2" ht="409.6" thickBot="1" x14ac:dyDescent="0.35">
      <c r="A56" s="4" t="s">
        <v>29</v>
      </c>
      <c r="B56" s="16" t="s">
        <v>30</v>
      </c>
    </row>
    <row r="57" spans="1:2" ht="18.600000000000001" thickBot="1" x14ac:dyDescent="0.35">
      <c r="A57" s="153" t="s">
        <v>31</v>
      </c>
      <c r="B57" s="154"/>
    </row>
    <row r="58" spans="1:2" ht="27" customHeight="1" thickBot="1" x14ac:dyDescent="0.35">
      <c r="A58" s="170" t="s">
        <v>33</v>
      </c>
      <c r="B58" s="163"/>
    </row>
    <row r="59" spans="1:2" ht="27.75" customHeight="1" x14ac:dyDescent="0.3">
      <c r="A59" s="171" t="s">
        <v>5</v>
      </c>
      <c r="B59" s="149" t="s">
        <v>34</v>
      </c>
    </row>
    <row r="60" spans="1:2" ht="27.75" customHeight="1" x14ac:dyDescent="0.3">
      <c r="A60" s="172"/>
      <c r="B60" s="150"/>
    </row>
    <row r="61" spans="1:2" ht="27.75" customHeight="1" x14ac:dyDescent="0.3">
      <c r="A61" s="172"/>
      <c r="B61" s="150"/>
    </row>
    <row r="62" spans="1:2" ht="27.75" customHeight="1" x14ac:dyDescent="0.3">
      <c r="A62" s="172"/>
      <c r="B62" s="150"/>
    </row>
    <row r="63" spans="1:2" ht="27.75" customHeight="1" x14ac:dyDescent="0.3">
      <c r="A63" s="172"/>
      <c r="B63" s="150"/>
    </row>
    <row r="64" spans="1:2" ht="27.75" customHeight="1" x14ac:dyDescent="0.3">
      <c r="A64" s="172"/>
      <c r="B64" s="150"/>
    </row>
    <row r="65" spans="1:2" ht="27.75" customHeight="1" x14ac:dyDescent="0.3">
      <c r="A65" s="172"/>
      <c r="B65" s="150"/>
    </row>
    <row r="66" spans="1:2" ht="27.75" customHeight="1" x14ac:dyDescent="0.3">
      <c r="A66" s="172"/>
      <c r="B66" s="150"/>
    </row>
    <row r="67" spans="1:2" ht="27.75" customHeight="1" x14ac:dyDescent="0.3">
      <c r="A67" s="172"/>
      <c r="B67" s="150"/>
    </row>
    <row r="68" spans="1:2" ht="27.75" customHeight="1" x14ac:dyDescent="0.3">
      <c r="A68" s="172"/>
      <c r="B68" s="150"/>
    </row>
    <row r="69" spans="1:2" ht="27.75" customHeight="1" x14ac:dyDescent="0.3">
      <c r="A69" s="172"/>
      <c r="B69" s="150"/>
    </row>
    <row r="70" spans="1:2" ht="27.75" customHeight="1" x14ac:dyDescent="0.3">
      <c r="A70" s="172"/>
      <c r="B70" s="150"/>
    </row>
    <row r="71" spans="1:2" ht="27.75" customHeight="1" x14ac:dyDescent="0.3">
      <c r="A71" s="172"/>
      <c r="B71" s="150"/>
    </row>
    <row r="72" spans="1:2" ht="27.75" customHeight="1" x14ac:dyDescent="0.3">
      <c r="A72" s="172"/>
      <c r="B72" s="150"/>
    </row>
    <row r="73" spans="1:2" ht="27.75" customHeight="1" x14ac:dyDescent="0.3">
      <c r="A73" s="172"/>
      <c r="B73" s="150"/>
    </row>
    <row r="74" spans="1:2" ht="27.75" customHeight="1" x14ac:dyDescent="0.3">
      <c r="A74" s="172"/>
      <c r="B74" s="150"/>
    </row>
    <row r="75" spans="1:2" ht="27.75" customHeight="1" x14ac:dyDescent="0.3">
      <c r="A75" s="172"/>
      <c r="B75" s="150"/>
    </row>
    <row r="76" spans="1:2" ht="27.75" customHeight="1" x14ac:dyDescent="0.3">
      <c r="A76" s="172"/>
      <c r="B76" s="150"/>
    </row>
    <row r="77" spans="1:2" ht="27.75" customHeight="1" x14ac:dyDescent="0.3">
      <c r="A77" s="172"/>
      <c r="B77" s="150"/>
    </row>
    <row r="78" spans="1:2" ht="27.75" customHeight="1" x14ac:dyDescent="0.3">
      <c r="A78" s="172"/>
      <c r="B78" s="150"/>
    </row>
    <row r="79" spans="1:2" ht="27.75" customHeight="1" x14ac:dyDescent="0.3">
      <c r="A79" s="172"/>
      <c r="B79" s="150"/>
    </row>
    <row r="80" spans="1:2" ht="36.75" customHeight="1" thickBot="1" x14ac:dyDescent="0.35">
      <c r="A80" s="173"/>
      <c r="B80" s="151"/>
    </row>
    <row r="81" spans="1:2" ht="274.2" thickBot="1" x14ac:dyDescent="0.35">
      <c r="A81" s="4" t="s">
        <v>42</v>
      </c>
      <c r="B81" s="16" t="s">
        <v>43</v>
      </c>
    </row>
    <row r="82" spans="1:2" ht="18.600000000000001" thickBot="1" x14ac:dyDescent="0.35">
      <c r="A82" s="153" t="s">
        <v>32</v>
      </c>
      <c r="B82" s="154"/>
    </row>
    <row r="83" spans="1:2" ht="21.6" thickBot="1" x14ac:dyDescent="0.35">
      <c r="A83" s="139" t="s">
        <v>44</v>
      </c>
      <c r="B83" s="140"/>
    </row>
    <row r="84" spans="1:2" ht="15" thickBot="1" x14ac:dyDescent="0.35">
      <c r="A84" s="17"/>
      <c r="B84" s="18"/>
    </row>
    <row r="85" spans="1:2" x14ac:dyDescent="0.3">
      <c r="A85" s="144" t="s">
        <v>51</v>
      </c>
      <c r="B85" s="155" t="s">
        <v>52</v>
      </c>
    </row>
    <row r="86" spans="1:2" x14ac:dyDescent="0.3">
      <c r="A86" s="145"/>
      <c r="B86" s="156"/>
    </row>
    <row r="87" spans="1:2" ht="60.75" customHeight="1" x14ac:dyDescent="0.3">
      <c r="A87" s="145"/>
      <c r="B87" s="156"/>
    </row>
    <row r="88" spans="1:2" x14ac:dyDescent="0.3">
      <c r="A88" s="145"/>
      <c r="B88" s="156"/>
    </row>
    <row r="89" spans="1:2" x14ac:dyDescent="0.3">
      <c r="A89" s="145"/>
      <c r="B89" s="156"/>
    </row>
    <row r="90" spans="1:2" x14ac:dyDescent="0.3">
      <c r="A90" s="145"/>
      <c r="B90" s="156"/>
    </row>
    <row r="91" spans="1:2" x14ac:dyDescent="0.3">
      <c r="A91" s="145"/>
      <c r="B91" s="156"/>
    </row>
    <row r="92" spans="1:2" x14ac:dyDescent="0.3">
      <c r="A92" s="145"/>
      <c r="B92" s="156"/>
    </row>
    <row r="93" spans="1:2" x14ac:dyDescent="0.3">
      <c r="A93" s="145"/>
      <c r="B93" s="156"/>
    </row>
    <row r="94" spans="1:2" x14ac:dyDescent="0.3">
      <c r="A94" s="145"/>
      <c r="B94" s="156"/>
    </row>
    <row r="95" spans="1:2" x14ac:dyDescent="0.3">
      <c r="A95" s="145"/>
      <c r="B95" s="156"/>
    </row>
    <row r="96" spans="1:2" x14ac:dyDescent="0.3">
      <c r="A96" s="145"/>
      <c r="B96" s="156"/>
    </row>
    <row r="97" spans="1:2" ht="15.75" customHeight="1" x14ac:dyDescent="0.3">
      <c r="A97" s="145"/>
      <c r="B97" s="156"/>
    </row>
    <row r="98" spans="1:2" x14ac:dyDescent="0.3">
      <c r="A98" s="145"/>
      <c r="B98" s="156"/>
    </row>
    <row r="99" spans="1:2" x14ac:dyDescent="0.3">
      <c r="A99" s="145"/>
      <c r="B99" s="156"/>
    </row>
    <row r="100" spans="1:2" x14ac:dyDescent="0.3">
      <c r="A100" s="145"/>
      <c r="B100" s="156"/>
    </row>
    <row r="101" spans="1:2" x14ac:dyDescent="0.3">
      <c r="A101" s="145"/>
      <c r="B101" s="156"/>
    </row>
    <row r="102" spans="1:2" x14ac:dyDescent="0.3">
      <c r="A102" s="145"/>
      <c r="B102" s="156"/>
    </row>
    <row r="103" spans="1:2" x14ac:dyDescent="0.3">
      <c r="A103" s="145"/>
      <c r="B103" s="156"/>
    </row>
    <row r="104" spans="1:2" ht="15" thickBot="1" x14ac:dyDescent="0.35">
      <c r="A104" s="146"/>
      <c r="B104" s="157"/>
    </row>
    <row r="105" spans="1:2" ht="16.2" thickBot="1" x14ac:dyDescent="0.35">
      <c r="A105" s="147" t="s">
        <v>62</v>
      </c>
      <c r="B105" s="152"/>
    </row>
    <row r="106" spans="1:2" ht="21.6" thickBot="1" x14ac:dyDescent="0.35">
      <c r="A106" s="139" t="s">
        <v>1</v>
      </c>
      <c r="B106" s="140"/>
    </row>
    <row r="107" spans="1:2" ht="15.75" customHeight="1" x14ac:dyDescent="0.3">
      <c r="A107" s="144" t="s">
        <v>58</v>
      </c>
      <c r="B107" s="149" t="s">
        <v>59</v>
      </c>
    </row>
    <row r="108" spans="1:2" x14ac:dyDescent="0.3">
      <c r="A108" s="145"/>
      <c r="B108" s="150"/>
    </row>
    <row r="109" spans="1:2" x14ac:dyDescent="0.3">
      <c r="A109" s="145"/>
      <c r="B109" s="150"/>
    </row>
    <row r="110" spans="1:2" x14ac:dyDescent="0.3">
      <c r="A110" s="145"/>
      <c r="B110" s="150"/>
    </row>
    <row r="111" spans="1:2" ht="15" customHeight="1" x14ac:dyDescent="0.3">
      <c r="A111" s="145"/>
      <c r="B111" s="150"/>
    </row>
    <row r="112" spans="1:2" x14ac:dyDescent="0.3">
      <c r="A112" s="145"/>
      <c r="B112" s="150"/>
    </row>
    <row r="113" spans="1:2" x14ac:dyDescent="0.3">
      <c r="A113" s="145"/>
      <c r="B113" s="150"/>
    </row>
    <row r="114" spans="1:2" x14ac:dyDescent="0.3">
      <c r="A114" s="145"/>
      <c r="B114" s="150"/>
    </row>
    <row r="115" spans="1:2" x14ac:dyDescent="0.3">
      <c r="A115" s="145"/>
      <c r="B115" s="150"/>
    </row>
    <row r="116" spans="1:2" ht="15" thickBot="1" x14ac:dyDescent="0.35">
      <c r="A116" s="145"/>
      <c r="B116" s="151"/>
    </row>
    <row r="117" spans="1:2" ht="16.2" thickBot="1" x14ac:dyDescent="0.35">
      <c r="A117" s="147" t="s">
        <v>61</v>
      </c>
      <c r="B117" s="148"/>
    </row>
    <row r="118" spans="1:2" ht="21.6" thickBot="1" x14ac:dyDescent="0.35">
      <c r="A118" s="139" t="s">
        <v>3</v>
      </c>
      <c r="B118" s="140"/>
    </row>
    <row r="119" spans="1:2" x14ac:dyDescent="0.3">
      <c r="A119" s="144" t="s">
        <v>70</v>
      </c>
      <c r="B119" s="141" t="s">
        <v>69</v>
      </c>
    </row>
    <row r="120" spans="1:2" x14ac:dyDescent="0.3">
      <c r="A120" s="145"/>
      <c r="B120" s="142"/>
    </row>
    <row r="121" spans="1:2" x14ac:dyDescent="0.3">
      <c r="A121" s="145"/>
      <c r="B121" s="142"/>
    </row>
    <row r="122" spans="1:2" x14ac:dyDescent="0.3">
      <c r="A122" s="145"/>
      <c r="B122" s="142"/>
    </row>
    <row r="123" spans="1:2" x14ac:dyDescent="0.3">
      <c r="A123" s="145"/>
      <c r="B123" s="142"/>
    </row>
    <row r="124" spans="1:2" x14ac:dyDescent="0.3">
      <c r="A124" s="145"/>
      <c r="B124" s="142"/>
    </row>
    <row r="125" spans="1:2" x14ac:dyDescent="0.3">
      <c r="A125" s="145"/>
      <c r="B125" s="142"/>
    </row>
    <row r="126" spans="1:2" ht="15" thickBot="1" x14ac:dyDescent="0.35">
      <c r="A126" s="146"/>
      <c r="B126" s="143"/>
    </row>
  </sheetData>
  <mergeCells count="26">
    <mergeCell ref="A58:B58"/>
    <mergeCell ref="A59:A80"/>
    <mergeCell ref="B59:B80"/>
    <mergeCell ref="A18:A55"/>
    <mergeCell ref="A17:B17"/>
    <mergeCell ref="A57:B57"/>
    <mergeCell ref="A1:B2"/>
    <mergeCell ref="A3:B3"/>
    <mergeCell ref="B18:B55"/>
    <mergeCell ref="A6:A7"/>
    <mergeCell ref="B8:B14"/>
    <mergeCell ref="B6:B7"/>
    <mergeCell ref="A8:A14"/>
    <mergeCell ref="A15:B15"/>
    <mergeCell ref="A105:B105"/>
    <mergeCell ref="A82:B82"/>
    <mergeCell ref="A85:A104"/>
    <mergeCell ref="B85:B104"/>
    <mergeCell ref="A83:B83"/>
    <mergeCell ref="A106:B106"/>
    <mergeCell ref="B119:B126"/>
    <mergeCell ref="A118:B118"/>
    <mergeCell ref="A119:A126"/>
    <mergeCell ref="A117:B117"/>
    <mergeCell ref="B107:B116"/>
    <mergeCell ref="A107:A116"/>
  </mergeCells>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B5353-0986-4080-A3D0-FF68685CD323}">
  <dimension ref="A3:K15"/>
  <sheetViews>
    <sheetView zoomScale="145" zoomScaleNormal="145" workbookViewId="0">
      <selection activeCell="J18" sqref="A18:J18"/>
    </sheetView>
  </sheetViews>
  <sheetFormatPr defaultRowHeight="14.4" x14ac:dyDescent="0.3"/>
  <cols>
    <col min="1" max="1" width="21.6640625" customWidth="1"/>
    <col min="2" max="2" width="21.77734375" customWidth="1"/>
    <col min="3" max="3" width="19.5546875" bestFit="1" customWidth="1"/>
    <col min="6" max="6" width="18.21875" customWidth="1"/>
    <col min="7" max="7" width="19.44140625" customWidth="1"/>
    <col min="8" max="8" width="15.109375" customWidth="1"/>
    <col min="9" max="9" width="19.109375" customWidth="1"/>
    <col min="10" max="10" width="14.77734375" customWidth="1"/>
    <col min="11" max="11" width="16.33203125" customWidth="1"/>
  </cols>
  <sheetData>
    <row r="3" spans="1:11" x14ac:dyDescent="0.3">
      <c r="A3" t="s">
        <v>276</v>
      </c>
      <c r="B3" t="s">
        <v>277</v>
      </c>
      <c r="C3" t="s">
        <v>283</v>
      </c>
      <c r="F3" t="s">
        <v>284</v>
      </c>
      <c r="H3" t="s">
        <v>287</v>
      </c>
      <c r="J3" t="s">
        <v>286</v>
      </c>
      <c r="K3" t="s">
        <v>288</v>
      </c>
    </row>
    <row r="4" spans="1:11" x14ac:dyDescent="0.3">
      <c r="A4" t="s">
        <v>278</v>
      </c>
      <c r="B4" s="134" cm="1">
        <f t="array" ref="B4:D4">'Housekeeping Scope BOQ'!G4:I4</f>
        <v>12391373</v>
      </c>
      <c r="C4">
        <v>0</v>
      </c>
      <c r="D4">
        <v>0</v>
      </c>
      <c r="F4" s="134">
        <v>13767521</v>
      </c>
      <c r="H4" s="134">
        <f>B4+(B4*B$15)</f>
        <v>11023826.407416971</v>
      </c>
      <c r="I4" s="134">
        <f>H4-B4</f>
        <v>-1367546.5925830286</v>
      </c>
      <c r="J4" s="134">
        <f>I4/12</f>
        <v>-113962.21604858572</v>
      </c>
      <c r="K4" s="125">
        <v>-94052.735257731445</v>
      </c>
    </row>
    <row r="5" spans="1:11" x14ac:dyDescent="0.3">
      <c r="A5" t="s">
        <v>279</v>
      </c>
      <c r="B5" s="134" cm="1">
        <f t="array" ref="B5:D5">'MEP Scope BOQ '!G4:I4</f>
        <v>14171832</v>
      </c>
      <c r="C5">
        <v>0</v>
      </c>
      <c r="D5">
        <v>0</v>
      </c>
      <c r="F5" s="134">
        <v>12832044</v>
      </c>
      <c r="H5" s="134">
        <f t="shared" ref="H5:H9" si="0">B5+(B5*B$15)</f>
        <v>12607788.970849063</v>
      </c>
      <c r="I5" s="134">
        <f t="shared" ref="I5:I8" si="1">H5-B5</f>
        <v>-1564043.0291509368</v>
      </c>
      <c r="J5" s="134">
        <f t="shared" ref="J5:J8" si="2">I5/12</f>
        <v>-130336.91909591139</v>
      </c>
      <c r="K5" s="125">
        <v>-93544.446280782111</v>
      </c>
    </row>
    <row r="6" spans="1:11" x14ac:dyDescent="0.3">
      <c r="A6" t="s">
        <v>280</v>
      </c>
      <c r="B6" s="134" cm="1">
        <f t="array" ref="B6:D6">'Landscape BOQ'!G4:I4</f>
        <v>4740720</v>
      </c>
      <c r="C6">
        <v>0</v>
      </c>
      <c r="D6">
        <v>0</v>
      </c>
      <c r="F6" s="134">
        <v>4928940</v>
      </c>
      <c r="H6" s="134">
        <f t="shared" si="0"/>
        <v>4217520.877320841</v>
      </c>
      <c r="I6" s="134">
        <f t="shared" si="1"/>
        <v>-523199.12267915905</v>
      </c>
      <c r="J6" s="134">
        <f t="shared" si="2"/>
        <v>-43599.92688992992</v>
      </c>
      <c r="K6" s="125">
        <v>-35931.529150866205</v>
      </c>
    </row>
    <row r="7" spans="1:11" x14ac:dyDescent="0.3">
      <c r="A7" t="s">
        <v>281</v>
      </c>
      <c r="B7" s="134" cm="1">
        <f t="array" ref="B7:D7">'Pest Control BOQ'!G4:I4</f>
        <v>855360</v>
      </c>
      <c r="C7">
        <v>0</v>
      </c>
      <c r="D7">
        <v>0</v>
      </c>
      <c r="F7" s="134">
        <v>870912</v>
      </c>
      <c r="H7" s="134">
        <f t="shared" si="0"/>
        <v>760960.07729314431</v>
      </c>
      <c r="I7" s="134">
        <f t="shared" si="1"/>
        <v>-94399.922706855694</v>
      </c>
      <c r="J7" s="134">
        <f t="shared" si="2"/>
        <v>-7866.6602255713078</v>
      </c>
      <c r="K7" s="125">
        <v>-6348.8701253898807</v>
      </c>
    </row>
    <row r="8" spans="1:11" x14ac:dyDescent="0.3">
      <c r="A8" t="s">
        <v>282</v>
      </c>
      <c r="B8" s="134" cm="1">
        <f t="array" ref="B8:D8">'Backoffice &amp; Admin BOQ'!G4:I4</f>
        <v>2351136</v>
      </c>
      <c r="C8">
        <v>0</v>
      </c>
      <c r="D8">
        <v>0</v>
      </c>
      <c r="F8" s="134">
        <v>2111316</v>
      </c>
      <c r="H8" s="134">
        <f t="shared" si="0"/>
        <v>2091658.0530848929</v>
      </c>
      <c r="I8" s="134">
        <f t="shared" si="1"/>
        <v>-259477.94691510708</v>
      </c>
      <c r="J8" s="134">
        <f t="shared" si="2"/>
        <v>-21623.162242925591</v>
      </c>
      <c r="K8" s="125">
        <v>-15391.30368815411</v>
      </c>
    </row>
    <row r="9" spans="1:11" x14ac:dyDescent="0.3">
      <c r="B9" s="134">
        <f>SUM(B4:B8)</f>
        <v>34510421</v>
      </c>
      <c r="F9" s="134">
        <f>SUM(F4:F8)</f>
        <v>34510733</v>
      </c>
      <c r="G9" s="135">
        <f>F9-B9</f>
        <v>312</v>
      </c>
      <c r="H9" s="134">
        <f t="shared" si="0"/>
        <v>30701754.385964915</v>
      </c>
      <c r="I9" s="137">
        <f>H9-B9</f>
        <v>-3808666.6140350848</v>
      </c>
      <c r="J9" s="134">
        <f>I9/12</f>
        <v>-317388.88450292376</v>
      </c>
    </row>
    <row r="10" spans="1:11" x14ac:dyDescent="0.3">
      <c r="B10" s="134">
        <f>B9*1.14</f>
        <v>39341879.939999998</v>
      </c>
      <c r="C10" s="134">
        <f>B10/12</f>
        <v>3278489.9949999996</v>
      </c>
      <c r="H10" s="134">
        <f>H9*1.14</f>
        <v>35000000</v>
      </c>
    </row>
    <row r="11" spans="1:11" x14ac:dyDescent="0.3">
      <c r="B11" s="125">
        <v>35000000</v>
      </c>
      <c r="H11" s="134">
        <f>H9/12</f>
        <v>2558479.5321637429</v>
      </c>
    </row>
    <row r="12" spans="1:11" x14ac:dyDescent="0.3">
      <c r="B12" s="134">
        <f>B11-B10</f>
        <v>-4341879.9399999976</v>
      </c>
    </row>
    <row r="13" spans="1:11" x14ac:dyDescent="0.3">
      <c r="B13" s="134">
        <f>B12/12</f>
        <v>-361823.32833333313</v>
      </c>
    </row>
    <row r="15" spans="1:11" x14ac:dyDescent="0.3">
      <c r="B15" s="136">
        <f>B13/(B10/12)</f>
        <v>-0.1103627977773753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94DE3-BAE6-4720-BC95-68548F74B9F3}">
  <sheetPr codeName="Sheet2">
    <pageSetUpPr fitToPage="1"/>
  </sheetPr>
  <dimension ref="A1:M34"/>
  <sheetViews>
    <sheetView zoomScale="130" zoomScaleNormal="130" workbookViewId="0">
      <selection activeCell="G10" sqref="G10"/>
    </sheetView>
  </sheetViews>
  <sheetFormatPr defaultRowHeight="14.4" x14ac:dyDescent="0.3"/>
  <cols>
    <col min="1" max="1" width="41.5546875" customWidth="1"/>
    <col min="2" max="2" width="3.5546875" customWidth="1"/>
    <col min="3" max="3" width="13.77734375" customWidth="1"/>
    <col min="4" max="4" width="29" customWidth="1"/>
    <col min="5" max="5" width="10.88671875" bestFit="1" customWidth="1"/>
    <col min="6" max="6" width="14.33203125" customWidth="1"/>
    <col min="7" max="7" width="11.6640625" customWidth="1"/>
    <col min="8" max="8" width="12.44140625" customWidth="1"/>
    <col min="9" max="9" width="13.88671875" customWidth="1"/>
    <col min="10" max="10" width="16.109375" customWidth="1"/>
    <col min="11" max="11" width="13.6640625" bestFit="1" customWidth="1"/>
    <col min="12" max="12" width="15.77734375" customWidth="1"/>
    <col min="13" max="13" width="11.6640625" bestFit="1" customWidth="1"/>
  </cols>
  <sheetData>
    <row r="1" spans="1:13" x14ac:dyDescent="0.3">
      <c r="A1" s="176" t="s">
        <v>112</v>
      </c>
      <c r="B1" s="177"/>
      <c r="C1" s="177"/>
      <c r="D1" s="177"/>
      <c r="E1" s="178"/>
      <c r="F1" s="11"/>
      <c r="G1" s="182" t="s">
        <v>235</v>
      </c>
      <c r="H1" s="182"/>
      <c r="I1" s="182"/>
    </row>
    <row r="2" spans="1:13" x14ac:dyDescent="0.3">
      <c r="A2" s="179"/>
      <c r="B2" s="180"/>
      <c r="C2" s="180"/>
      <c r="D2" s="180"/>
      <c r="E2" s="181"/>
      <c r="F2" s="11" t="s">
        <v>73</v>
      </c>
      <c r="G2" s="183">
        <f>G4+G3</f>
        <v>14126165.220000001</v>
      </c>
      <c r="H2" s="184"/>
      <c r="I2" s="185"/>
      <c r="K2" s="133"/>
      <c r="L2" s="134"/>
      <c r="M2" s="134"/>
    </row>
    <row r="3" spans="1:13" x14ac:dyDescent="0.3">
      <c r="A3" s="179"/>
      <c r="B3" s="180"/>
      <c r="C3" s="180"/>
      <c r="D3" s="180"/>
      <c r="E3" s="181"/>
      <c r="F3" s="11" t="s">
        <v>4</v>
      </c>
      <c r="G3" s="183">
        <f>G4*0.14</f>
        <v>1734792.2200000002</v>
      </c>
      <c r="H3" s="184"/>
      <c r="I3" s="185"/>
    </row>
    <row r="4" spans="1:13" ht="15" thickBot="1" x14ac:dyDescent="0.35">
      <c r="A4" s="179"/>
      <c r="B4" s="180"/>
      <c r="C4" s="180"/>
      <c r="D4" s="180"/>
      <c r="E4" s="181"/>
      <c r="F4" s="24" t="s">
        <v>0</v>
      </c>
      <c r="G4" s="186">
        <f>SUM(I8:I12)+SUM(I14:I32)</f>
        <v>12391373</v>
      </c>
      <c r="H4" s="187"/>
      <c r="I4" s="188"/>
      <c r="J4" s="134">
        <f>G4/12</f>
        <v>1032614.4166666666</v>
      </c>
      <c r="K4" s="138">
        <v>0.02</v>
      </c>
      <c r="L4" s="134">
        <f>K4*J4</f>
        <v>20652.288333333334</v>
      </c>
    </row>
    <row r="5" spans="1:13" ht="15" hidden="1" thickBot="1" x14ac:dyDescent="0.35">
      <c r="A5" s="22"/>
      <c r="B5" s="22"/>
      <c r="C5" s="22"/>
      <c r="D5" s="22"/>
      <c r="E5" s="22"/>
      <c r="F5" s="11"/>
      <c r="G5" s="23"/>
      <c r="H5" s="20"/>
      <c r="I5" s="12"/>
    </row>
    <row r="6" spans="1:13" x14ac:dyDescent="0.3">
      <c r="A6" s="35" t="s">
        <v>99</v>
      </c>
      <c r="B6" s="26"/>
      <c r="C6" s="26"/>
      <c r="D6" s="189" t="s">
        <v>103</v>
      </c>
      <c r="E6" s="189" t="s">
        <v>100</v>
      </c>
      <c r="F6" s="189" t="s">
        <v>108</v>
      </c>
      <c r="G6" s="189" t="s">
        <v>107</v>
      </c>
      <c r="H6" s="189" t="s">
        <v>101</v>
      </c>
      <c r="I6" s="174" t="s">
        <v>102</v>
      </c>
    </row>
    <row r="7" spans="1:13" ht="43.2" x14ac:dyDescent="0.3">
      <c r="A7" s="25" t="s">
        <v>285</v>
      </c>
      <c r="B7" s="26"/>
      <c r="C7" s="26"/>
      <c r="D7" s="190"/>
      <c r="E7" s="190"/>
      <c r="F7" s="190"/>
      <c r="G7" s="190"/>
      <c r="H7" s="190"/>
      <c r="I7" s="175"/>
    </row>
    <row r="8" spans="1:13" ht="28.8" x14ac:dyDescent="0.3">
      <c r="A8" s="31" t="s">
        <v>135</v>
      </c>
      <c r="B8" s="22"/>
      <c r="C8" s="22"/>
      <c r="D8" s="30" t="s">
        <v>104</v>
      </c>
      <c r="E8" s="29">
        <v>1</v>
      </c>
      <c r="F8" s="29">
        <v>12</v>
      </c>
      <c r="G8" s="115">
        <f>'HK Budget'!K5</f>
        <v>89480</v>
      </c>
      <c r="H8" s="115">
        <f>G8*E8</f>
        <v>89480</v>
      </c>
      <c r="I8" s="116">
        <f>H8*F8</f>
        <v>1073760</v>
      </c>
    </row>
    <row r="9" spans="1:13" ht="28.8" x14ac:dyDescent="0.3">
      <c r="A9" s="31" t="s">
        <v>136</v>
      </c>
      <c r="B9" s="22"/>
      <c r="C9" s="22"/>
      <c r="D9" s="30" t="s">
        <v>137</v>
      </c>
      <c r="E9" s="27">
        <v>1</v>
      </c>
      <c r="F9" s="29">
        <v>12</v>
      </c>
      <c r="G9" s="115">
        <f>'HK Budget'!K6</f>
        <v>43746</v>
      </c>
      <c r="H9" s="115">
        <f t="shared" ref="H9:H12" si="0">G9*E9</f>
        <v>43746</v>
      </c>
      <c r="I9" s="116">
        <f t="shared" ref="I9:I12" si="1">H9*F9</f>
        <v>524952</v>
      </c>
    </row>
    <row r="10" spans="1:13" ht="28.8" x14ac:dyDescent="0.3">
      <c r="A10" s="54" t="s">
        <v>106</v>
      </c>
      <c r="B10" s="51"/>
      <c r="C10" s="51"/>
      <c r="D10" s="55" t="s">
        <v>138</v>
      </c>
      <c r="E10" s="53">
        <v>44</v>
      </c>
      <c r="F10" s="29">
        <v>12</v>
      </c>
      <c r="G10" s="115">
        <f>'HK Budget'!K7</f>
        <v>11675</v>
      </c>
      <c r="H10" s="115">
        <f t="shared" si="0"/>
        <v>513700</v>
      </c>
      <c r="I10" s="116">
        <f t="shared" si="1"/>
        <v>6164400</v>
      </c>
    </row>
    <row r="11" spans="1:13" ht="28.8" x14ac:dyDescent="0.3">
      <c r="A11" s="56" t="s">
        <v>55</v>
      </c>
      <c r="B11" s="51"/>
      <c r="C11" s="51"/>
      <c r="D11" s="55" t="s">
        <v>139</v>
      </c>
      <c r="E11" s="53">
        <v>5</v>
      </c>
      <c r="F11" s="29">
        <v>12</v>
      </c>
      <c r="G11" s="115">
        <f>'HK Budget'!K8</f>
        <v>11675</v>
      </c>
      <c r="H11" s="115">
        <f t="shared" si="0"/>
        <v>58375</v>
      </c>
      <c r="I11" s="116">
        <f t="shared" si="1"/>
        <v>700500</v>
      </c>
    </row>
    <row r="12" spans="1:13" ht="28.8" x14ac:dyDescent="0.3">
      <c r="A12" s="54" t="s">
        <v>109</v>
      </c>
      <c r="B12" s="51"/>
      <c r="C12" s="51"/>
      <c r="D12" s="55" t="s">
        <v>105</v>
      </c>
      <c r="E12" s="53">
        <v>2</v>
      </c>
      <c r="F12" s="29">
        <v>12</v>
      </c>
      <c r="G12" s="115">
        <f>'HK Budget'!K9</f>
        <v>25353</v>
      </c>
      <c r="H12" s="115">
        <f t="shared" si="0"/>
        <v>50706</v>
      </c>
      <c r="I12" s="116">
        <f t="shared" si="1"/>
        <v>608472</v>
      </c>
    </row>
    <row r="13" spans="1:13" x14ac:dyDescent="0.3">
      <c r="A13" s="35" t="s">
        <v>146</v>
      </c>
      <c r="B13" s="26"/>
      <c r="C13" s="26"/>
      <c r="D13" s="32"/>
      <c r="E13" s="32"/>
      <c r="F13" s="32"/>
      <c r="G13" s="33"/>
      <c r="H13" s="33"/>
      <c r="I13" s="34"/>
    </row>
    <row r="14" spans="1:13" x14ac:dyDescent="0.3">
      <c r="A14" s="36" t="s">
        <v>74</v>
      </c>
      <c r="B14" s="22"/>
      <c r="C14" s="22"/>
      <c r="D14" s="10"/>
      <c r="E14" s="28">
        <v>2</v>
      </c>
      <c r="F14" s="196">
        <v>12</v>
      </c>
      <c r="G14" s="117">
        <f>'HK Budget'!H44</f>
        <v>42916.666666666664</v>
      </c>
      <c r="H14" s="117">
        <f>G14*E14</f>
        <v>85833.333333333328</v>
      </c>
      <c r="I14" s="118">
        <f>H14*F14</f>
        <v>1030000</v>
      </c>
    </row>
    <row r="15" spans="1:13" x14ac:dyDescent="0.3">
      <c r="A15" s="50" t="s">
        <v>140</v>
      </c>
      <c r="B15" s="51"/>
      <c r="C15" s="51"/>
      <c r="D15" s="52"/>
      <c r="E15" s="53">
        <v>1</v>
      </c>
      <c r="F15" s="197"/>
      <c r="G15" s="117">
        <f>'HK Budget'!H45</f>
        <v>22316.666666666668</v>
      </c>
      <c r="H15" s="117">
        <f t="shared" ref="H15:H32" si="2">G15*E15</f>
        <v>22316.666666666668</v>
      </c>
      <c r="I15" s="119">
        <f>H15*F14</f>
        <v>267800</v>
      </c>
    </row>
    <row r="16" spans="1:13" x14ac:dyDescent="0.3">
      <c r="A16" s="37" t="s">
        <v>75</v>
      </c>
      <c r="B16" s="194" t="s">
        <v>236</v>
      </c>
      <c r="C16" s="195"/>
      <c r="D16" s="10"/>
      <c r="E16" s="28">
        <v>1</v>
      </c>
      <c r="F16" s="29">
        <v>12</v>
      </c>
      <c r="G16" s="117">
        <f>'HK Budget'!H46</f>
        <v>80000</v>
      </c>
      <c r="H16" s="117">
        <f t="shared" si="2"/>
        <v>80000</v>
      </c>
      <c r="I16" s="119">
        <f>H16*F16</f>
        <v>960000</v>
      </c>
    </row>
    <row r="17" spans="1:9" x14ac:dyDescent="0.3">
      <c r="A17" s="37" t="s">
        <v>76</v>
      </c>
      <c r="B17" s="194" t="s">
        <v>236</v>
      </c>
      <c r="C17" s="195"/>
      <c r="D17" s="10"/>
      <c r="E17" s="28">
        <v>1</v>
      </c>
      <c r="F17" s="29">
        <v>12</v>
      </c>
      <c r="G17" s="117">
        <f>'HK Budget'!H47</f>
        <v>45000</v>
      </c>
      <c r="H17" s="117">
        <f t="shared" si="2"/>
        <v>45000</v>
      </c>
      <c r="I17" s="119">
        <f t="shared" ref="I17:I32" si="3">H17*F17</f>
        <v>540000</v>
      </c>
    </row>
    <row r="18" spans="1:9" x14ac:dyDescent="0.3">
      <c r="A18" s="58" t="s">
        <v>77</v>
      </c>
      <c r="B18" s="51"/>
      <c r="C18" s="51"/>
      <c r="D18" s="52"/>
      <c r="E18" s="53">
        <v>5</v>
      </c>
      <c r="F18" s="29">
        <v>12</v>
      </c>
      <c r="G18" s="117">
        <f>'HK Budget'!H48</f>
        <v>1630.8333333333333</v>
      </c>
      <c r="H18" s="117">
        <f t="shared" si="2"/>
        <v>8154.1666666666661</v>
      </c>
      <c r="I18" s="119">
        <f t="shared" si="3"/>
        <v>97850</v>
      </c>
    </row>
    <row r="19" spans="1:9" x14ac:dyDescent="0.3">
      <c r="A19" s="37" t="s">
        <v>78</v>
      </c>
      <c r="B19" s="22"/>
      <c r="C19" s="22"/>
      <c r="D19" s="10"/>
      <c r="E19" s="28">
        <v>6</v>
      </c>
      <c r="F19" s="29">
        <v>12</v>
      </c>
      <c r="G19" s="117">
        <f>'HK Budget'!H49</f>
        <v>278.10000000000002</v>
      </c>
      <c r="H19" s="117">
        <f t="shared" si="2"/>
        <v>1668.6000000000001</v>
      </c>
      <c r="I19" s="119">
        <f t="shared" si="3"/>
        <v>20023.2</v>
      </c>
    </row>
    <row r="20" spans="1:9" x14ac:dyDescent="0.3">
      <c r="A20" s="37" t="s">
        <v>79</v>
      </c>
      <c r="B20" s="22"/>
      <c r="C20" s="22"/>
      <c r="D20" s="10"/>
      <c r="E20" s="28">
        <v>6</v>
      </c>
      <c r="F20" s="29">
        <v>12</v>
      </c>
      <c r="G20" s="117">
        <f>'HK Budget'!H50</f>
        <v>278.10000000000002</v>
      </c>
      <c r="H20" s="117">
        <f t="shared" si="2"/>
        <v>1668.6000000000001</v>
      </c>
      <c r="I20" s="119">
        <f t="shared" si="3"/>
        <v>20023.2</v>
      </c>
    </row>
    <row r="21" spans="1:9" x14ac:dyDescent="0.3">
      <c r="A21" s="36" t="s">
        <v>80</v>
      </c>
      <c r="B21" s="22"/>
      <c r="C21" s="22"/>
      <c r="D21" s="10"/>
      <c r="E21" s="28">
        <v>6</v>
      </c>
      <c r="F21" s="29">
        <v>12</v>
      </c>
      <c r="G21" s="117">
        <f>'HK Budget'!H51</f>
        <v>23.175000000000001</v>
      </c>
      <c r="H21" s="117">
        <f t="shared" si="2"/>
        <v>139.05000000000001</v>
      </c>
      <c r="I21" s="119">
        <f t="shared" si="3"/>
        <v>1668.6000000000001</v>
      </c>
    </row>
    <row r="22" spans="1:9" x14ac:dyDescent="0.3">
      <c r="A22" s="57" t="s">
        <v>81</v>
      </c>
      <c r="B22" s="51"/>
      <c r="C22" s="51"/>
      <c r="D22" s="52"/>
      <c r="E22" s="53">
        <v>6</v>
      </c>
      <c r="F22" s="29">
        <v>12</v>
      </c>
      <c r="G22" s="117">
        <f>'HK Budget'!H52</f>
        <v>1287.5</v>
      </c>
      <c r="H22" s="117">
        <f t="shared" si="2"/>
        <v>7725</v>
      </c>
      <c r="I22" s="119">
        <f t="shared" si="3"/>
        <v>92700</v>
      </c>
    </row>
    <row r="23" spans="1:9" x14ac:dyDescent="0.3">
      <c r="A23" s="37" t="s">
        <v>82</v>
      </c>
      <c r="B23" s="22"/>
      <c r="C23" s="22"/>
      <c r="D23" s="10"/>
      <c r="E23" s="28">
        <v>3</v>
      </c>
      <c r="F23" s="29">
        <v>12</v>
      </c>
      <c r="G23" s="117">
        <f>'HK Budget'!H53</f>
        <v>515</v>
      </c>
      <c r="H23" s="117">
        <f t="shared" si="2"/>
        <v>1545</v>
      </c>
      <c r="I23" s="119">
        <f t="shared" si="3"/>
        <v>18540</v>
      </c>
    </row>
    <row r="24" spans="1:9" x14ac:dyDescent="0.3">
      <c r="A24" s="36" t="s">
        <v>83</v>
      </c>
      <c r="B24" s="22"/>
      <c r="C24" s="22"/>
      <c r="D24" s="10"/>
      <c r="E24" s="28">
        <v>2</v>
      </c>
      <c r="F24" s="29">
        <v>12</v>
      </c>
      <c r="G24" s="117">
        <f>'HK Budget'!H54</f>
        <v>3862.5</v>
      </c>
      <c r="H24" s="117">
        <f t="shared" si="2"/>
        <v>7725</v>
      </c>
      <c r="I24" s="119">
        <f t="shared" si="3"/>
        <v>92700</v>
      </c>
    </row>
    <row r="25" spans="1:9" x14ac:dyDescent="0.3">
      <c r="A25" s="37" t="s">
        <v>84</v>
      </c>
      <c r="B25" s="22"/>
      <c r="C25" s="22"/>
      <c r="D25" s="10"/>
      <c r="E25" s="28">
        <v>7</v>
      </c>
      <c r="F25" s="29">
        <v>12</v>
      </c>
      <c r="G25" s="117">
        <f>'HK Budget'!H55</f>
        <v>729.58333333333337</v>
      </c>
      <c r="H25" s="117">
        <f t="shared" si="2"/>
        <v>5107.0833333333339</v>
      </c>
      <c r="I25" s="119">
        <f t="shared" si="3"/>
        <v>61285.000000000007</v>
      </c>
    </row>
    <row r="26" spans="1:9" x14ac:dyDescent="0.3">
      <c r="A26" s="37" t="s">
        <v>85</v>
      </c>
      <c r="B26" s="22"/>
      <c r="C26" s="22"/>
      <c r="D26" s="10"/>
      <c r="E26" s="28">
        <v>2</v>
      </c>
      <c r="F26" s="29">
        <v>12</v>
      </c>
      <c r="G26" s="117">
        <f>'HK Budget'!H56</f>
        <v>1459.1666666666667</v>
      </c>
      <c r="H26" s="117">
        <f t="shared" si="2"/>
        <v>2918.3333333333335</v>
      </c>
      <c r="I26" s="119">
        <f t="shared" si="3"/>
        <v>35020</v>
      </c>
    </row>
    <row r="27" spans="1:9" x14ac:dyDescent="0.3">
      <c r="A27" s="36" t="s">
        <v>86</v>
      </c>
      <c r="B27" s="22"/>
      <c r="C27" s="22"/>
      <c r="D27" s="10"/>
      <c r="E27" s="28">
        <v>2</v>
      </c>
      <c r="F27" s="29">
        <v>12</v>
      </c>
      <c r="G27" s="117">
        <f>'HK Budget'!H57</f>
        <v>214.58333333333334</v>
      </c>
      <c r="H27" s="117">
        <f t="shared" si="2"/>
        <v>429.16666666666669</v>
      </c>
      <c r="I27" s="119">
        <f t="shared" si="3"/>
        <v>5150</v>
      </c>
    </row>
    <row r="28" spans="1:9" x14ac:dyDescent="0.3">
      <c r="A28" s="57" t="s">
        <v>87</v>
      </c>
      <c r="B28" s="51"/>
      <c r="C28" s="51"/>
      <c r="D28" s="52"/>
      <c r="E28" s="53">
        <v>6</v>
      </c>
      <c r="F28" s="29">
        <v>12</v>
      </c>
      <c r="G28" s="117">
        <f>'HK Budget'!H58</f>
        <v>386.25</v>
      </c>
      <c r="H28" s="117">
        <f t="shared" si="2"/>
        <v>2317.5</v>
      </c>
      <c r="I28" s="119">
        <f t="shared" si="3"/>
        <v>27810</v>
      </c>
    </row>
    <row r="29" spans="1:9" x14ac:dyDescent="0.3">
      <c r="A29" s="37" t="s">
        <v>88</v>
      </c>
      <c r="B29" s="22"/>
      <c r="C29" s="22"/>
      <c r="D29" s="10"/>
      <c r="E29" s="28">
        <v>6</v>
      </c>
      <c r="F29" s="29">
        <v>12</v>
      </c>
      <c r="G29" s="117">
        <f>'HK Budget'!H59</f>
        <v>227.45833333333334</v>
      </c>
      <c r="H29" s="117">
        <f t="shared" si="2"/>
        <v>1364.75</v>
      </c>
      <c r="I29" s="119">
        <f t="shared" si="3"/>
        <v>16377</v>
      </c>
    </row>
    <row r="30" spans="1:9" x14ac:dyDescent="0.3">
      <c r="A30" s="58" t="s">
        <v>89</v>
      </c>
      <c r="B30" s="51"/>
      <c r="C30" s="51"/>
      <c r="D30" s="52"/>
      <c r="E30" s="53">
        <v>3</v>
      </c>
      <c r="F30" s="29">
        <v>12</v>
      </c>
      <c r="G30" s="117">
        <f>'HK Budget'!H60</f>
        <v>283.25</v>
      </c>
      <c r="H30" s="117">
        <f t="shared" si="2"/>
        <v>849.75</v>
      </c>
      <c r="I30" s="119">
        <f t="shared" si="3"/>
        <v>10197</v>
      </c>
    </row>
    <row r="31" spans="1:9" x14ac:dyDescent="0.3">
      <c r="A31" s="59" t="s">
        <v>141</v>
      </c>
      <c r="B31" s="51"/>
      <c r="C31" s="51"/>
      <c r="D31" s="52"/>
      <c r="E31" s="60">
        <v>1</v>
      </c>
      <c r="F31" s="29">
        <v>12</v>
      </c>
      <c r="G31" s="117">
        <f>'HK Budget'!H61</f>
        <v>386.25</v>
      </c>
      <c r="H31" s="117">
        <f t="shared" si="2"/>
        <v>386.25</v>
      </c>
      <c r="I31" s="119">
        <f t="shared" si="3"/>
        <v>4635</v>
      </c>
    </row>
    <row r="32" spans="1:9" x14ac:dyDescent="0.3">
      <c r="A32" s="37" t="s">
        <v>85</v>
      </c>
      <c r="B32" s="22"/>
      <c r="C32" s="22"/>
      <c r="D32" s="10"/>
      <c r="E32" s="28">
        <v>1</v>
      </c>
      <c r="F32" s="29">
        <v>12</v>
      </c>
      <c r="G32" s="117">
        <f>'HK Budget'!H62</f>
        <v>1459.1666666666667</v>
      </c>
      <c r="H32" s="117">
        <f t="shared" si="2"/>
        <v>1459.1666666666667</v>
      </c>
      <c r="I32" s="119">
        <f t="shared" si="3"/>
        <v>17510</v>
      </c>
    </row>
    <row r="33" spans="1:9" x14ac:dyDescent="0.3">
      <c r="A33" s="35" t="s">
        <v>148</v>
      </c>
      <c r="B33" s="26"/>
      <c r="C33" s="26"/>
      <c r="D33" s="32"/>
      <c r="E33" s="191">
        <v>0.1</v>
      </c>
      <c r="F33" s="192"/>
      <c r="G33" s="192"/>
      <c r="H33" s="192"/>
      <c r="I33" s="193"/>
    </row>
    <row r="34" spans="1:9" x14ac:dyDescent="0.3">
      <c r="A34" s="35" t="s">
        <v>134</v>
      </c>
      <c r="B34" s="26"/>
      <c r="C34" s="26"/>
      <c r="D34" s="32"/>
      <c r="E34" s="191">
        <v>0.1</v>
      </c>
      <c r="F34" s="192"/>
      <c r="G34" s="192"/>
      <c r="H34" s="192"/>
      <c r="I34" s="193"/>
    </row>
  </sheetData>
  <mergeCells count="16">
    <mergeCell ref="E33:I33"/>
    <mergeCell ref="E34:I34"/>
    <mergeCell ref="B16:C16"/>
    <mergeCell ref="B17:C17"/>
    <mergeCell ref="F14:F15"/>
    <mergeCell ref="I6:I7"/>
    <mergeCell ref="A1:E4"/>
    <mergeCell ref="G1:I1"/>
    <mergeCell ref="G2:I2"/>
    <mergeCell ref="G3:I3"/>
    <mergeCell ref="G4:I4"/>
    <mergeCell ref="D6:D7"/>
    <mergeCell ref="E6:E7"/>
    <mergeCell ref="F6:F7"/>
    <mergeCell ref="G6:G7"/>
    <mergeCell ref="H6:H7"/>
  </mergeCells>
  <pageMargins left="0.7" right="0.7" top="0.75" bottom="0.75" header="0.3" footer="0.3"/>
  <pageSetup paperSize="9" scale="7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35F45-53A1-4D39-984C-38E094FAF9F3}">
  <sheetPr codeName="Sheet3"/>
  <dimension ref="A1:M62"/>
  <sheetViews>
    <sheetView topLeftCell="C7" zoomScale="70" zoomScaleNormal="70" workbookViewId="0">
      <selection activeCell="F26" sqref="F26"/>
    </sheetView>
  </sheetViews>
  <sheetFormatPr defaultRowHeight="14.4" x14ac:dyDescent="0.3"/>
  <cols>
    <col min="1" max="1" width="4.88671875" customWidth="1"/>
    <col min="2" max="2" width="10.109375" customWidth="1"/>
    <col min="3" max="3" width="45.6640625" customWidth="1"/>
    <col min="4" max="4" width="32.33203125" customWidth="1"/>
    <col min="5" max="5" width="17.33203125" customWidth="1"/>
    <col min="6" max="6" width="19.88671875" customWidth="1"/>
    <col min="7" max="7" width="17.6640625" bestFit="1" customWidth="1"/>
    <col min="8" max="8" width="19.33203125" customWidth="1"/>
    <col min="9" max="9" width="16.88671875" customWidth="1"/>
    <col min="10" max="10" width="1" customWidth="1"/>
    <col min="11" max="11" width="16.109375" customWidth="1"/>
    <col min="12" max="12" width="1" customWidth="1"/>
    <col min="13" max="13" width="17.33203125" customWidth="1"/>
  </cols>
  <sheetData>
    <row r="1" spans="1:13" ht="15" thickBot="1" x14ac:dyDescent="0.35"/>
    <row r="2" spans="1:13" ht="15" thickBot="1" x14ac:dyDescent="0.35">
      <c r="A2" s="73">
        <v>1</v>
      </c>
      <c r="B2" s="198" t="s">
        <v>150</v>
      </c>
      <c r="C2" s="198"/>
      <c r="D2" s="199"/>
      <c r="F2" s="74">
        <v>0.2</v>
      </c>
    </row>
    <row r="3" spans="1:13" ht="7.2" customHeight="1" x14ac:dyDescent="0.3">
      <c r="A3" s="75"/>
    </row>
    <row r="4" spans="1:13" ht="28.8" x14ac:dyDescent="0.3">
      <c r="B4" s="76" t="s">
        <v>151</v>
      </c>
      <c r="C4" s="76" t="s">
        <v>152</v>
      </c>
      <c r="D4" s="76" t="s">
        <v>153</v>
      </c>
      <c r="E4" s="76" t="s">
        <v>154</v>
      </c>
      <c r="F4" s="76" t="s">
        <v>155</v>
      </c>
      <c r="G4" s="77" t="s">
        <v>156</v>
      </c>
      <c r="H4" s="77" t="s">
        <v>157</v>
      </c>
      <c r="I4" s="76" t="s">
        <v>158</v>
      </c>
      <c r="K4" s="76" t="s">
        <v>159</v>
      </c>
      <c r="M4" s="76" t="s">
        <v>160</v>
      </c>
    </row>
    <row r="5" spans="1:13" ht="33.6" customHeight="1" x14ac:dyDescent="0.3">
      <c r="B5" s="29">
        <v>1</v>
      </c>
      <c r="C5" s="78" t="str">
        <f>'Housekeeping Scope BOQ'!A8</f>
        <v xml:space="preserve">TFM Site Manager ( MEP Engineer with 5-7 Years Experience ) </v>
      </c>
      <c r="D5" s="78" t="str">
        <f>'Housekeeping Scope BOQ'!D8</f>
        <v>Morning 5 days aweek 8:00 AM - 4:00 PM</v>
      </c>
      <c r="E5" s="79">
        <v>45000</v>
      </c>
      <c r="F5" s="79">
        <f>E5+(F$2*E5)</f>
        <v>54000</v>
      </c>
      <c r="G5" s="29">
        <f>'Housekeeping Scope BOQ'!E8</f>
        <v>1</v>
      </c>
      <c r="H5" s="29">
        <f>G5</f>
        <v>1</v>
      </c>
      <c r="I5" s="79">
        <f>H5*F5</f>
        <v>54000</v>
      </c>
      <c r="K5" s="80">
        <f>ROUND((I5/(1-F$36))/G5,0)</f>
        <v>89480</v>
      </c>
      <c r="M5" s="81">
        <f>K5*G5</f>
        <v>89480</v>
      </c>
    </row>
    <row r="6" spans="1:13" ht="28.8" x14ac:dyDescent="0.3">
      <c r="B6" s="29">
        <v>2</v>
      </c>
      <c r="C6" s="120" t="str">
        <f>'Housekeeping Scope BOQ'!A9</f>
        <v>HK Manager (4-6 years experience)</v>
      </c>
      <c r="D6" s="78" t="str">
        <f>'Housekeeping Scope BOQ'!D9</f>
        <v xml:space="preserve">Morning  (6 days aweek 8:00 AM - 5:00 PM </v>
      </c>
      <c r="E6" s="79">
        <v>22000</v>
      </c>
      <c r="F6" s="79">
        <f t="shared" ref="F6:F10" si="0">E6+(F$2*E6)</f>
        <v>26400</v>
      </c>
      <c r="G6" s="29">
        <f>'Housekeeping Scope BOQ'!E9</f>
        <v>1</v>
      </c>
      <c r="H6" s="29">
        <f>G6</f>
        <v>1</v>
      </c>
      <c r="I6" s="79">
        <f t="shared" ref="I6:I10" si="1">H6*F6</f>
        <v>26400</v>
      </c>
      <c r="K6" s="80">
        <f t="shared" ref="K6:K9" si="2">ROUND((I6/(1-F$36))/G6,0)</f>
        <v>43746</v>
      </c>
      <c r="M6" s="81">
        <f t="shared" ref="M6:M10" si="3">K6*G6</f>
        <v>43746</v>
      </c>
    </row>
    <row r="7" spans="1:13" ht="28.8" x14ac:dyDescent="0.3">
      <c r="B7" s="29">
        <v>3</v>
      </c>
      <c r="C7" s="112" t="str">
        <f>'Housekeeping Scope BOQ'!A10</f>
        <v xml:space="preserve">HK Janitors 
</v>
      </c>
      <c r="D7" s="78" t="str">
        <f>'Housekeeping Scope BOQ'!D10</f>
        <v>Morning (7 days aweek 8:00 AM - 4:00 PM</v>
      </c>
      <c r="E7" s="79">
        <v>5500</v>
      </c>
      <c r="F7" s="79">
        <v>6200</v>
      </c>
      <c r="G7" s="29">
        <f>'Housekeeping Scope BOQ'!E10</f>
        <v>44</v>
      </c>
      <c r="H7" s="224">
        <v>50</v>
      </c>
      <c r="I7" s="79">
        <f t="shared" si="1"/>
        <v>310000</v>
      </c>
      <c r="K7" s="80">
        <f t="shared" si="2"/>
        <v>11675</v>
      </c>
      <c r="M7" s="81">
        <f t="shared" si="3"/>
        <v>513700</v>
      </c>
    </row>
    <row r="8" spans="1:13" ht="28.8" x14ac:dyDescent="0.3">
      <c r="B8" s="29">
        <v>4</v>
      </c>
      <c r="C8" s="112" t="str">
        <f>'Housekeeping Scope BOQ'!A11</f>
        <v xml:space="preserve">HK Janitors
</v>
      </c>
      <c r="D8" s="78" t="str">
        <f>'Housekeeping Scope BOQ'!D11</f>
        <v>Night (7 days aweek 4:00 PM - 12:00 PM</v>
      </c>
      <c r="E8" s="79">
        <v>5500</v>
      </c>
      <c r="F8" s="79">
        <v>6200</v>
      </c>
      <c r="G8" s="29">
        <f>'Housekeeping Scope BOQ'!E11</f>
        <v>5</v>
      </c>
      <c r="H8" s="29">
        <f t="shared" ref="H7:H8" si="4">ROUNDUP(G8+(G8/6),0)</f>
        <v>6</v>
      </c>
      <c r="I8" s="79">
        <f t="shared" si="1"/>
        <v>37200</v>
      </c>
      <c r="K8" s="80">
        <f>K7</f>
        <v>11675</v>
      </c>
      <c r="M8" s="81">
        <f t="shared" si="3"/>
        <v>58375</v>
      </c>
    </row>
    <row r="9" spans="1:13" ht="28.8" x14ac:dyDescent="0.3">
      <c r="B9" s="29">
        <v>5</v>
      </c>
      <c r="C9" s="112" t="str">
        <f>'Housekeeping Scope BOQ'!A12</f>
        <v xml:space="preserve">HK Supervisors 
</v>
      </c>
      <c r="D9" s="78" t="str">
        <f>'Housekeeping Scope BOQ'!D12</f>
        <v>Morning  (7 days aweek 8:00 AM - 5:00 PM (Break 12PM - 1PM)</v>
      </c>
      <c r="E9" s="79">
        <v>8500</v>
      </c>
      <c r="F9" s="79">
        <f t="shared" si="0"/>
        <v>10200</v>
      </c>
      <c r="G9" s="29">
        <f>'Housekeeping Scope BOQ'!E12</f>
        <v>2</v>
      </c>
      <c r="H9" s="29">
        <v>3</v>
      </c>
      <c r="I9" s="79">
        <f t="shared" si="1"/>
        <v>30600</v>
      </c>
      <c r="K9" s="80">
        <f t="shared" si="2"/>
        <v>25353</v>
      </c>
      <c r="M9" s="81">
        <f t="shared" si="3"/>
        <v>50706</v>
      </c>
    </row>
    <row r="10" spans="1:13" ht="30" customHeight="1" x14ac:dyDescent="0.3">
      <c r="B10" s="29">
        <v>6</v>
      </c>
      <c r="C10" s="82" t="str">
        <f>'[1]Housekeeping Scope BOQ'!A13</f>
        <v xml:space="preserve"> HK Supervisors 
</v>
      </c>
      <c r="D10" s="78"/>
      <c r="E10" s="79">
        <v>9500</v>
      </c>
      <c r="F10" s="79">
        <f t="shared" si="0"/>
        <v>11400</v>
      </c>
      <c r="G10" s="29">
        <f>'Housekeeping Scope BOQ'!E13</f>
        <v>0</v>
      </c>
      <c r="H10" s="29">
        <f>ROUNDUP(G10+(G10/3),1)</f>
        <v>0</v>
      </c>
      <c r="I10" s="79">
        <f t="shared" si="1"/>
        <v>0</v>
      </c>
      <c r="K10" s="80">
        <f>IFERROR(ROUND((I10/(1-F$36))/G10,0),0)</f>
        <v>0</v>
      </c>
      <c r="M10" s="81">
        <f t="shared" si="3"/>
        <v>0</v>
      </c>
    </row>
    <row r="11" spans="1:13" ht="9" customHeight="1" thickBot="1" x14ac:dyDescent="0.35"/>
    <row r="12" spans="1:13" ht="28.2" customHeight="1" thickBot="1" x14ac:dyDescent="0.35">
      <c r="H12" s="83" t="s">
        <v>161</v>
      </c>
      <c r="I12" s="84">
        <f>SUM(I5:I10)</f>
        <v>458200</v>
      </c>
      <c r="M12" s="85">
        <f>SUM(M5:M10)</f>
        <v>756007</v>
      </c>
    </row>
    <row r="14" spans="1:13" ht="15" thickBot="1" x14ac:dyDescent="0.35"/>
    <row r="15" spans="1:13" ht="15" thickBot="1" x14ac:dyDescent="0.35">
      <c r="A15" s="73">
        <v>2</v>
      </c>
      <c r="B15" s="198" t="s">
        <v>162</v>
      </c>
      <c r="C15" s="198"/>
      <c r="D15" s="199"/>
    </row>
    <row r="16" spans="1:13" ht="7.2" customHeight="1" x14ac:dyDescent="0.3">
      <c r="A16" s="75"/>
    </row>
    <row r="17" spans="1:6" x14ac:dyDescent="0.3">
      <c r="B17" s="76" t="s">
        <v>151</v>
      </c>
      <c r="C17" s="76" t="s">
        <v>163</v>
      </c>
      <c r="D17" s="76" t="s">
        <v>164</v>
      </c>
      <c r="E17" s="76" t="s">
        <v>165</v>
      </c>
      <c r="F17" s="76" t="s">
        <v>166</v>
      </c>
    </row>
    <row r="18" spans="1:6" ht="18.600000000000001" customHeight="1" x14ac:dyDescent="0.3">
      <c r="B18" s="29">
        <v>2.1</v>
      </c>
      <c r="C18" s="86" t="s">
        <v>167</v>
      </c>
      <c r="D18" s="79">
        <f>SUM(H6:H10)</f>
        <v>60</v>
      </c>
      <c r="E18" s="79">
        <v>500</v>
      </c>
      <c r="F18" s="81">
        <f>E18*D18</f>
        <v>30000</v>
      </c>
    </row>
    <row r="19" spans="1:6" ht="18.600000000000001" customHeight="1" x14ac:dyDescent="0.3">
      <c r="B19" s="29">
        <v>2.2000000000000002</v>
      </c>
      <c r="C19" s="86" t="s">
        <v>168</v>
      </c>
      <c r="D19" s="79">
        <v>0</v>
      </c>
      <c r="E19" s="79">
        <f>'HK - Light Tools &amp; Cons'!$E$18</f>
        <v>65665</v>
      </c>
      <c r="F19" s="81">
        <f>E19*D19</f>
        <v>0</v>
      </c>
    </row>
    <row r="20" spans="1:6" ht="18.600000000000001" customHeight="1" x14ac:dyDescent="0.3">
      <c r="B20" s="29">
        <v>2.2999999999999998</v>
      </c>
      <c r="C20" s="86" t="s">
        <v>169</v>
      </c>
      <c r="D20" s="79">
        <v>1</v>
      </c>
      <c r="E20" s="81">
        <f>'HK - Light Tools &amp; Cons'!E46</f>
        <v>43029</v>
      </c>
      <c r="F20" s="81">
        <f t="shared" ref="F20:F24" si="5">E20*D20</f>
        <v>43029</v>
      </c>
    </row>
    <row r="21" spans="1:6" ht="18.600000000000001" customHeight="1" x14ac:dyDescent="0.3">
      <c r="B21" s="29">
        <v>2.4</v>
      </c>
      <c r="C21" s="86" t="s">
        <v>170</v>
      </c>
      <c r="D21" s="79">
        <v>0</v>
      </c>
      <c r="E21" s="79"/>
      <c r="F21" s="81">
        <f t="shared" si="5"/>
        <v>0</v>
      </c>
    </row>
    <row r="22" spans="1:6" ht="18.600000000000001" customHeight="1" x14ac:dyDescent="0.3">
      <c r="B22" s="29">
        <v>2.5</v>
      </c>
      <c r="C22" s="86" t="s">
        <v>171</v>
      </c>
      <c r="D22" s="79">
        <v>0</v>
      </c>
      <c r="E22" s="79">
        <v>38500</v>
      </c>
      <c r="F22" s="81">
        <f t="shared" si="5"/>
        <v>0</v>
      </c>
    </row>
    <row r="23" spans="1:6" ht="18.600000000000001" customHeight="1" x14ac:dyDescent="0.3">
      <c r="B23" s="29">
        <v>2.6</v>
      </c>
      <c r="C23" s="86" t="s">
        <v>172</v>
      </c>
      <c r="D23" s="79">
        <f>SUM(G6:G10)</f>
        <v>52</v>
      </c>
      <c r="E23" s="79">
        <v>3000</v>
      </c>
      <c r="F23" s="81">
        <f t="shared" si="5"/>
        <v>156000</v>
      </c>
    </row>
    <row r="24" spans="1:6" ht="18.600000000000001" customHeight="1" x14ac:dyDescent="0.3">
      <c r="B24" s="29">
        <v>2.7</v>
      </c>
      <c r="C24" s="86" t="s">
        <v>173</v>
      </c>
      <c r="D24" s="79">
        <v>1</v>
      </c>
      <c r="E24" s="79">
        <v>3000</v>
      </c>
      <c r="F24" s="81">
        <f t="shared" si="5"/>
        <v>3000</v>
      </c>
    </row>
    <row r="25" spans="1:6" ht="9" customHeight="1" thickBot="1" x14ac:dyDescent="0.35"/>
    <row r="26" spans="1:6" ht="26.4" customHeight="1" thickBot="1" x14ac:dyDescent="0.35">
      <c r="E26" s="83" t="s">
        <v>174</v>
      </c>
      <c r="F26" s="84">
        <f>SUM(F18:F24)</f>
        <v>232029</v>
      </c>
    </row>
    <row r="27" spans="1:6" ht="15" thickBot="1" x14ac:dyDescent="0.35"/>
    <row r="28" spans="1:6" ht="15" thickBot="1" x14ac:dyDescent="0.35">
      <c r="A28" s="73">
        <v>3</v>
      </c>
      <c r="B28" s="198" t="s">
        <v>175</v>
      </c>
      <c r="C28" s="198"/>
      <c r="D28" s="199"/>
    </row>
    <row r="29" spans="1:6" ht="7.2" customHeight="1" x14ac:dyDescent="0.3">
      <c r="A29" s="75"/>
    </row>
    <row r="30" spans="1:6" x14ac:dyDescent="0.3">
      <c r="B30" s="76" t="s">
        <v>151</v>
      </c>
      <c r="C30" s="76" t="s">
        <v>163</v>
      </c>
      <c r="D30" s="76" t="s">
        <v>176</v>
      </c>
      <c r="E30" s="76" t="s">
        <v>177</v>
      </c>
      <c r="F30" s="76" t="s">
        <v>166</v>
      </c>
    </row>
    <row r="31" spans="1:6" ht="18.600000000000001" customHeight="1" x14ac:dyDescent="0.3">
      <c r="B31" s="29">
        <v>3.1</v>
      </c>
      <c r="C31" s="86" t="s">
        <v>178</v>
      </c>
      <c r="D31" s="87">
        <v>0</v>
      </c>
      <c r="E31" s="79">
        <f>(I12+F26)</f>
        <v>690229</v>
      </c>
      <c r="F31" s="81">
        <f>E31*D31</f>
        <v>0</v>
      </c>
    </row>
    <row r="32" spans="1:6" ht="18.600000000000001" customHeight="1" x14ac:dyDescent="0.3">
      <c r="B32" s="29">
        <v>3.2</v>
      </c>
      <c r="C32" s="86" t="s">
        <v>179</v>
      </c>
      <c r="D32" s="87">
        <v>0.1</v>
      </c>
      <c r="E32" s="79">
        <f>E31</f>
        <v>690229</v>
      </c>
      <c r="F32" s="81">
        <f>E32*D32</f>
        <v>69022.900000000009</v>
      </c>
    </row>
    <row r="33" spans="1:9" ht="9" customHeight="1" thickBot="1" x14ac:dyDescent="0.35"/>
    <row r="34" spans="1:9" ht="26.4" customHeight="1" thickBot="1" x14ac:dyDescent="0.35">
      <c r="E34" s="83" t="s">
        <v>180</v>
      </c>
      <c r="F34" s="84">
        <f>SUM(F31:F32)</f>
        <v>69022.900000000009</v>
      </c>
    </row>
    <row r="35" spans="1:9" ht="6.6" customHeight="1" thickBot="1" x14ac:dyDescent="0.35"/>
    <row r="36" spans="1:9" ht="19.2" customHeight="1" thickBot="1" x14ac:dyDescent="0.35">
      <c r="E36" s="88" t="s">
        <v>181</v>
      </c>
      <c r="F36" s="89">
        <f>(F34+F26)/(F34+F26+I12)</f>
        <v>0.39651122374537356</v>
      </c>
    </row>
    <row r="37" spans="1:9" ht="7.95" customHeight="1" thickBot="1" x14ac:dyDescent="0.35"/>
    <row r="38" spans="1:9" ht="21.6" customHeight="1" thickBot="1" x14ac:dyDescent="0.35">
      <c r="E38" s="88" t="s">
        <v>182</v>
      </c>
      <c r="F38" s="90">
        <f>F34+F26+I12</f>
        <v>759251.9</v>
      </c>
    </row>
    <row r="40" spans="1:9" ht="15" thickBot="1" x14ac:dyDescent="0.35"/>
    <row r="41" spans="1:9" ht="15" thickBot="1" x14ac:dyDescent="0.35">
      <c r="A41" s="73">
        <v>4</v>
      </c>
      <c r="B41" s="198" t="s">
        <v>183</v>
      </c>
      <c r="C41" s="198"/>
      <c r="D41" s="199"/>
      <c r="F41" s="74">
        <v>0.03</v>
      </c>
    </row>
    <row r="42" spans="1:9" ht="7.2" customHeight="1" x14ac:dyDescent="0.3">
      <c r="A42" s="75"/>
    </row>
    <row r="43" spans="1:9" ht="19.2" customHeight="1" x14ac:dyDescent="0.3">
      <c r="B43" s="76" t="s">
        <v>151</v>
      </c>
      <c r="C43" s="76" t="s">
        <v>163</v>
      </c>
      <c r="D43" s="76" t="s">
        <v>164</v>
      </c>
      <c r="E43" s="76" t="s">
        <v>184</v>
      </c>
      <c r="F43" s="76" t="s">
        <v>185</v>
      </c>
      <c r="G43" s="76" t="s">
        <v>186</v>
      </c>
      <c r="H43" s="76" t="s">
        <v>187</v>
      </c>
    </row>
    <row r="44" spans="1:9" ht="19.95" customHeight="1" x14ac:dyDescent="0.3">
      <c r="B44" s="82">
        <v>4.0999999999999996</v>
      </c>
      <c r="C44" s="86" t="str">
        <f>'Housekeeping Scope BOQ'!A14</f>
        <v>عربة كنس الشوارع Sweeper</v>
      </c>
      <c r="D44" s="79">
        <f>'Housekeeping Scope BOQ'!E14</f>
        <v>2</v>
      </c>
      <c r="E44" s="79">
        <v>1000000</v>
      </c>
      <c r="F44" s="81">
        <f>E44*F$41</f>
        <v>30000</v>
      </c>
      <c r="G44" s="80">
        <f>F44+E44</f>
        <v>1030000</v>
      </c>
      <c r="H44" s="81">
        <f>G44/24</f>
        <v>42916.666666666664</v>
      </c>
      <c r="I44" s="125">
        <f>H44/D44</f>
        <v>21458.333333333332</v>
      </c>
    </row>
    <row r="45" spans="1:9" ht="19.95" customHeight="1" x14ac:dyDescent="0.3">
      <c r="B45" s="82">
        <v>4.2</v>
      </c>
      <c r="C45" s="86" t="str">
        <f>'Housekeeping Scope BOQ'!A15</f>
        <v>Ride On</v>
      </c>
      <c r="D45" s="79">
        <f>'Housekeeping Scope BOQ'!E15</f>
        <v>1</v>
      </c>
      <c r="E45" s="79">
        <v>1300000</v>
      </c>
      <c r="F45" s="81">
        <f t="shared" ref="F45:F46" si="6">E45*F$41</f>
        <v>39000</v>
      </c>
      <c r="G45" s="80">
        <f t="shared" ref="G45:G46" si="7">F45+E45</f>
        <v>1339000</v>
      </c>
      <c r="H45" s="81">
        <f>G45/60</f>
        <v>22316.666666666668</v>
      </c>
      <c r="I45" s="125">
        <f t="shared" ref="I45:I62" si="8">H45/D45</f>
        <v>22316.666666666668</v>
      </c>
    </row>
    <row r="46" spans="1:9" ht="19.95" customHeight="1" x14ac:dyDescent="0.3">
      <c r="B46" s="82">
        <v>4.3</v>
      </c>
      <c r="C46" s="86" t="str">
        <f>'Housekeeping Scope BOQ'!A16</f>
        <v>سلم هيدروليك كهرباء 10 او 12 متر</v>
      </c>
      <c r="D46" s="79">
        <f>'Housekeeping Scope BOQ'!E16</f>
        <v>1</v>
      </c>
      <c r="E46" s="81">
        <f>7500*30</f>
        <v>225000</v>
      </c>
      <c r="F46" s="81">
        <f t="shared" si="6"/>
        <v>6750</v>
      </c>
      <c r="G46" s="80">
        <f t="shared" si="7"/>
        <v>231750</v>
      </c>
      <c r="H46" s="113">
        <v>80000</v>
      </c>
      <c r="I46" s="125">
        <f t="shared" si="8"/>
        <v>80000</v>
      </c>
    </row>
    <row r="47" spans="1:9" ht="19.95" customHeight="1" x14ac:dyDescent="0.3">
      <c r="B47" s="82">
        <v>4.4000000000000004</v>
      </c>
      <c r="C47" s="86" t="str">
        <f>'Housekeeping Scope BOQ'!A17</f>
        <v>manlift بارتفاع 20 الي 30 متر</v>
      </c>
      <c r="D47" s="79">
        <f>'Housekeeping Scope BOQ'!E17</f>
        <v>1</v>
      </c>
      <c r="F47" s="81">
        <f>E48*F$41</f>
        <v>1710</v>
      </c>
      <c r="G47" s="80">
        <f>F47+E48</f>
        <v>58710</v>
      </c>
      <c r="H47" s="114">
        <v>45000</v>
      </c>
      <c r="I47" s="125">
        <f t="shared" si="8"/>
        <v>45000</v>
      </c>
    </row>
    <row r="48" spans="1:9" ht="19.95" customHeight="1" x14ac:dyDescent="0.3">
      <c r="B48" s="82">
        <v>4.5</v>
      </c>
      <c r="C48" s="86" t="str">
        <f>'Housekeeping Scope BOQ'!A18</f>
        <v>Single Disc</v>
      </c>
      <c r="D48" s="79">
        <f>'Housekeeping Scope BOQ'!E18</f>
        <v>5</v>
      </c>
      <c r="E48" s="79">
        <v>57000</v>
      </c>
      <c r="F48" s="81">
        <f>E48*F$41</f>
        <v>1710</v>
      </c>
      <c r="G48" s="80">
        <f>F48+E48</f>
        <v>58710</v>
      </c>
      <c r="H48" s="81">
        <f>G48/36</f>
        <v>1630.8333333333333</v>
      </c>
      <c r="I48" s="125">
        <f t="shared" si="8"/>
        <v>326.16666666666663</v>
      </c>
    </row>
    <row r="49" spans="2:9" ht="19.95" customHeight="1" x14ac:dyDescent="0.3">
      <c r="B49" s="82">
        <v>4.5999999999999996</v>
      </c>
      <c r="C49" s="86" t="str">
        <f>'Housekeeping Scope BOQ'!A19</f>
        <v>لبادة حمراء شهريا</v>
      </c>
      <c r="D49" s="79">
        <f>'Housekeeping Scope BOQ'!E19</f>
        <v>6</v>
      </c>
      <c r="E49" s="79">
        <v>270</v>
      </c>
      <c r="F49" s="81">
        <f t="shared" ref="F49:F62" si="9">E49*F$41</f>
        <v>8.1</v>
      </c>
      <c r="G49" s="80">
        <f t="shared" ref="G49:G62" si="10">F49+E49</f>
        <v>278.10000000000002</v>
      </c>
      <c r="H49" s="81">
        <f t="shared" ref="H49:H50" si="11">G49</f>
        <v>278.10000000000002</v>
      </c>
      <c r="I49" s="125">
        <f t="shared" si="8"/>
        <v>46.35</v>
      </c>
    </row>
    <row r="50" spans="2:9" ht="19.95" customHeight="1" x14ac:dyDescent="0.3">
      <c r="B50" s="82">
        <v>4.7</v>
      </c>
      <c r="C50" s="86" t="str">
        <f>'Housekeeping Scope BOQ'!A20</f>
        <v>لبادة بيضاء شهريا</v>
      </c>
      <c r="D50" s="79">
        <f>'Housekeeping Scope BOQ'!E20</f>
        <v>6</v>
      </c>
      <c r="E50" s="79">
        <v>270</v>
      </c>
      <c r="F50" s="81">
        <f t="shared" si="9"/>
        <v>8.1</v>
      </c>
      <c r="G50" s="80">
        <f t="shared" si="10"/>
        <v>278.10000000000002</v>
      </c>
      <c r="H50" s="81">
        <f t="shared" si="11"/>
        <v>278.10000000000002</v>
      </c>
      <c r="I50" s="125">
        <f t="shared" si="8"/>
        <v>46.35</v>
      </c>
    </row>
    <row r="51" spans="2:9" ht="19.95" customHeight="1" x14ac:dyDescent="0.3">
      <c r="B51" s="82">
        <v>4.8</v>
      </c>
      <c r="C51" s="86" t="str">
        <f>'Housekeeping Scope BOQ'!A21</f>
        <v>لبادة سوداء شهريا</v>
      </c>
      <c r="D51" s="79">
        <f>'Housekeeping Scope BOQ'!E21</f>
        <v>6</v>
      </c>
      <c r="E51" s="79">
        <v>270</v>
      </c>
      <c r="F51" s="81">
        <f t="shared" si="9"/>
        <v>8.1</v>
      </c>
      <c r="G51" s="80">
        <f t="shared" si="10"/>
        <v>278.10000000000002</v>
      </c>
      <c r="H51" s="81">
        <f>G51/12</f>
        <v>23.175000000000001</v>
      </c>
      <c r="I51" s="125">
        <f t="shared" si="8"/>
        <v>3.8625000000000003</v>
      </c>
    </row>
    <row r="52" spans="2:9" ht="19.95" customHeight="1" x14ac:dyDescent="0.3">
      <c r="B52" s="82">
        <v>4.9000000000000004</v>
      </c>
      <c r="C52" s="86" t="str">
        <f>'Housekeeping Scope BOQ'!A22</f>
        <v>Hoover 6 Liter مكنسة</v>
      </c>
      <c r="D52" s="79">
        <f>'Housekeeping Scope BOQ'!E22</f>
        <v>6</v>
      </c>
      <c r="E52" s="91">
        <v>15000</v>
      </c>
      <c r="F52" s="81">
        <f t="shared" si="9"/>
        <v>450</v>
      </c>
      <c r="G52" s="80">
        <f t="shared" si="10"/>
        <v>15450</v>
      </c>
      <c r="H52" s="81">
        <f t="shared" ref="H52:H62" si="12">G52/12</f>
        <v>1287.5</v>
      </c>
      <c r="I52" s="125">
        <f t="shared" si="8"/>
        <v>214.58333333333334</v>
      </c>
    </row>
    <row r="53" spans="2:9" ht="19.95" customHeight="1" x14ac:dyDescent="0.3">
      <c r="B53" s="92">
        <v>4.0999999999999996</v>
      </c>
      <c r="C53" s="86" t="str">
        <f>'Housekeeping Scope BOQ'!A23</f>
        <v>بلاور</v>
      </c>
      <c r="D53" s="79">
        <f>'Housekeeping Scope BOQ'!E23</f>
        <v>3</v>
      </c>
      <c r="E53" s="91">
        <v>6000</v>
      </c>
      <c r="F53" s="81">
        <f t="shared" si="9"/>
        <v>180</v>
      </c>
      <c r="G53" s="80">
        <f t="shared" si="10"/>
        <v>6180</v>
      </c>
      <c r="H53" s="81">
        <f t="shared" si="12"/>
        <v>515</v>
      </c>
      <c r="I53" s="125">
        <f t="shared" si="8"/>
        <v>171.66666666666666</v>
      </c>
    </row>
    <row r="54" spans="2:9" ht="19.95" customHeight="1" x14ac:dyDescent="0.3">
      <c r="B54" s="82">
        <v>4.1100000000000003</v>
      </c>
      <c r="C54" s="86" t="str">
        <f>'Housekeeping Scope BOQ'!A24</f>
        <v>High Pressure</v>
      </c>
      <c r="D54" s="79">
        <f>'Housekeeping Scope BOQ'!E24</f>
        <v>2</v>
      </c>
      <c r="E54" s="91">
        <v>90000</v>
      </c>
      <c r="F54" s="81">
        <f t="shared" si="9"/>
        <v>2700</v>
      </c>
      <c r="G54" s="80">
        <f t="shared" si="10"/>
        <v>92700</v>
      </c>
      <c r="H54" s="81">
        <f>G54/24</f>
        <v>3862.5</v>
      </c>
      <c r="I54" s="125">
        <f t="shared" si="8"/>
        <v>1931.25</v>
      </c>
    </row>
    <row r="55" spans="2:9" ht="19.95" customHeight="1" x14ac:dyDescent="0.3">
      <c r="B55" s="82">
        <v>4.12</v>
      </c>
      <c r="C55" s="86" t="str">
        <f>'Housekeeping Scope BOQ'!A25</f>
        <v>ترولي كبير public area لوضع العدة</v>
      </c>
      <c r="D55" s="79">
        <f>'Housekeeping Scope BOQ'!E25</f>
        <v>7</v>
      </c>
      <c r="E55" s="79">
        <v>8500</v>
      </c>
      <c r="F55" s="81">
        <f t="shared" si="9"/>
        <v>255</v>
      </c>
      <c r="G55" s="80">
        <f t="shared" si="10"/>
        <v>8755</v>
      </c>
      <c r="H55" s="81">
        <f t="shared" si="12"/>
        <v>729.58333333333337</v>
      </c>
      <c r="I55" s="125">
        <f t="shared" si="8"/>
        <v>104.22619047619048</v>
      </c>
    </row>
    <row r="56" spans="2:9" ht="19.95" customHeight="1" x14ac:dyDescent="0.3">
      <c r="B56" s="82">
        <v>4.13</v>
      </c>
      <c r="C56" s="86" t="str">
        <f>'Housekeeping Scope BOQ'!A26</f>
        <v xml:space="preserve">ترولي كبير 770 لتر </v>
      </c>
      <c r="D56" s="79">
        <f>'Housekeeping Scope BOQ'!E26</f>
        <v>2</v>
      </c>
      <c r="E56" s="79">
        <v>17000</v>
      </c>
      <c r="F56" s="81">
        <f t="shared" si="9"/>
        <v>510</v>
      </c>
      <c r="G56" s="80">
        <f t="shared" si="10"/>
        <v>17510</v>
      </c>
      <c r="H56" s="81">
        <f t="shared" si="12"/>
        <v>1459.1666666666667</v>
      </c>
      <c r="I56" s="125">
        <f t="shared" si="8"/>
        <v>729.58333333333337</v>
      </c>
    </row>
    <row r="57" spans="2:9" ht="19.95" customHeight="1" x14ac:dyDescent="0.3">
      <c r="B57" s="82">
        <v>4.1399999999999997</v>
      </c>
      <c r="C57" s="86" t="str">
        <f>'Housekeeping Scope BOQ'!A27</f>
        <v xml:space="preserve">ترولي صغير 240 لتر </v>
      </c>
      <c r="D57" s="79">
        <f>'Housekeeping Scope BOQ'!E27</f>
        <v>2</v>
      </c>
      <c r="E57" s="79">
        <v>2500</v>
      </c>
      <c r="F57" s="81">
        <f t="shared" si="9"/>
        <v>75</v>
      </c>
      <c r="G57" s="80">
        <f t="shared" si="10"/>
        <v>2575</v>
      </c>
      <c r="H57" s="81">
        <f t="shared" si="12"/>
        <v>214.58333333333334</v>
      </c>
      <c r="I57" s="125">
        <f t="shared" si="8"/>
        <v>107.29166666666667</v>
      </c>
    </row>
    <row r="58" spans="2:9" ht="19.95" customHeight="1" x14ac:dyDescent="0.3">
      <c r="B58" s="82">
        <v>4.1500000000000004</v>
      </c>
      <c r="C58" s="86" t="str">
        <f>'Housekeeping Scope BOQ'!A28</f>
        <v xml:space="preserve">ترولي بجردلين و عصارة (الجردل 2 عين) بالشرشوبة او الموب </v>
      </c>
      <c r="D58" s="79">
        <f>'Housekeeping Scope BOQ'!E28</f>
        <v>6</v>
      </c>
      <c r="E58" s="79">
        <v>4500</v>
      </c>
      <c r="F58" s="81">
        <f t="shared" si="9"/>
        <v>135</v>
      </c>
      <c r="G58" s="80">
        <f t="shared" si="10"/>
        <v>4635</v>
      </c>
      <c r="H58" s="81">
        <f t="shared" si="12"/>
        <v>386.25</v>
      </c>
      <c r="I58" s="125">
        <f t="shared" si="8"/>
        <v>64.375</v>
      </c>
    </row>
    <row r="59" spans="2:9" ht="19.95" customHeight="1" x14ac:dyDescent="0.3">
      <c r="B59" s="82">
        <v>4.16</v>
      </c>
      <c r="C59" s="86" t="str">
        <f>'Housekeeping Scope BOQ'!A29</f>
        <v xml:space="preserve">سلم الومنيوم مجوز 2 متر </v>
      </c>
      <c r="D59" s="79">
        <f>'Housekeeping Scope BOQ'!E29</f>
        <v>6</v>
      </c>
      <c r="E59" s="79">
        <v>2650</v>
      </c>
      <c r="F59" s="81">
        <f t="shared" si="9"/>
        <v>79.5</v>
      </c>
      <c r="G59" s="80">
        <f t="shared" si="10"/>
        <v>2729.5</v>
      </c>
      <c r="H59" s="81">
        <f t="shared" si="12"/>
        <v>227.45833333333334</v>
      </c>
      <c r="I59" s="125">
        <f t="shared" si="8"/>
        <v>37.909722222222221</v>
      </c>
    </row>
    <row r="60" spans="2:9" ht="19.95" customHeight="1" x14ac:dyDescent="0.3">
      <c r="B60" s="82">
        <v>4.17</v>
      </c>
      <c r="C60" s="86" t="str">
        <f>'Housekeeping Scope BOQ'!A30</f>
        <v>سلم مجوز 2.5 متر الومنيوم</v>
      </c>
      <c r="D60" s="79">
        <f>'Housekeeping Scope BOQ'!E30</f>
        <v>3</v>
      </c>
      <c r="E60" s="79">
        <v>3300</v>
      </c>
      <c r="F60" s="81">
        <f t="shared" si="9"/>
        <v>99</v>
      </c>
      <c r="G60" s="80">
        <f t="shared" si="10"/>
        <v>3399</v>
      </c>
      <c r="H60" s="81">
        <f t="shared" si="12"/>
        <v>283.25</v>
      </c>
      <c r="I60" s="125">
        <f t="shared" si="8"/>
        <v>94.416666666666671</v>
      </c>
    </row>
    <row r="61" spans="2:9" ht="19.95" customHeight="1" x14ac:dyDescent="0.3">
      <c r="B61" s="82">
        <v>4.18</v>
      </c>
      <c r="C61" s="86" t="str">
        <f>'Housekeeping Scope BOQ'!A31</f>
        <v>سلم مجوز 6 متر الومنيوم</v>
      </c>
      <c r="D61" s="79">
        <f>'Housekeeping Scope BOQ'!E31</f>
        <v>1</v>
      </c>
      <c r="E61" s="79">
        <v>4500</v>
      </c>
      <c r="F61" s="81">
        <f t="shared" si="9"/>
        <v>135</v>
      </c>
      <c r="G61" s="80">
        <f t="shared" si="10"/>
        <v>4635</v>
      </c>
      <c r="H61" s="81">
        <f t="shared" si="12"/>
        <v>386.25</v>
      </c>
      <c r="I61" s="125">
        <f t="shared" si="8"/>
        <v>386.25</v>
      </c>
    </row>
    <row r="62" spans="2:9" ht="20.399999999999999" customHeight="1" x14ac:dyDescent="0.3">
      <c r="B62" s="82">
        <v>4.1900000000000004</v>
      </c>
      <c r="C62" s="86" t="str">
        <f>'Housekeeping Scope BOQ'!A32</f>
        <v xml:space="preserve">ترولي كبير 770 لتر </v>
      </c>
      <c r="D62" s="79">
        <f>'Housekeeping Scope BOQ'!E32</f>
        <v>1</v>
      </c>
      <c r="E62" s="79">
        <v>17000</v>
      </c>
      <c r="F62" s="81">
        <f t="shared" si="9"/>
        <v>510</v>
      </c>
      <c r="G62" s="80">
        <f t="shared" si="10"/>
        <v>17510</v>
      </c>
      <c r="H62" s="81">
        <f t="shared" si="12"/>
        <v>1459.1666666666667</v>
      </c>
      <c r="I62" s="125">
        <f t="shared" si="8"/>
        <v>1459.1666666666667</v>
      </c>
    </row>
  </sheetData>
  <mergeCells count="4">
    <mergeCell ref="B2:D2"/>
    <mergeCell ref="B15:D15"/>
    <mergeCell ref="B28:D28"/>
    <mergeCell ref="B41:D4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C9AB3-1EE7-4145-B759-94D35E598531}">
  <sheetPr codeName="Sheet4"/>
  <dimension ref="A1:E46"/>
  <sheetViews>
    <sheetView zoomScale="145" zoomScaleNormal="145" workbookViewId="0">
      <selection activeCell="E46" sqref="E46"/>
    </sheetView>
  </sheetViews>
  <sheetFormatPr defaultRowHeight="14.4" x14ac:dyDescent="0.3"/>
  <cols>
    <col min="2" max="2" width="29.6640625" bestFit="1" customWidth="1"/>
    <col min="3" max="3" width="18.33203125" customWidth="1"/>
    <col min="4" max="4" width="22.6640625" customWidth="1"/>
    <col min="5" max="5" width="15.6640625" customWidth="1"/>
  </cols>
  <sheetData>
    <row r="1" spans="1:5" x14ac:dyDescent="0.3">
      <c r="A1" s="76">
        <v>1</v>
      </c>
      <c r="B1" s="93" t="s">
        <v>188</v>
      </c>
    </row>
    <row r="2" spans="1:5" ht="10.199999999999999" customHeight="1" thickBot="1" x14ac:dyDescent="0.35"/>
    <row r="3" spans="1:5" ht="16.2" thickBot="1" x14ac:dyDescent="0.35">
      <c r="B3" s="200" t="s">
        <v>189</v>
      </c>
      <c r="C3" s="201"/>
      <c r="D3" s="202"/>
    </row>
    <row r="4" spans="1:5" ht="18" thickBot="1" x14ac:dyDescent="0.35">
      <c r="B4" s="94" t="s">
        <v>190</v>
      </c>
      <c r="C4" s="95" t="s">
        <v>191</v>
      </c>
      <c r="D4" s="96" t="s">
        <v>192</v>
      </c>
      <c r="E4" s="76" t="s">
        <v>193</v>
      </c>
    </row>
    <row r="5" spans="1:5" x14ac:dyDescent="0.3">
      <c r="B5" s="97" t="s">
        <v>194</v>
      </c>
      <c r="C5" s="98">
        <v>45</v>
      </c>
      <c r="D5" s="99">
        <v>153</v>
      </c>
      <c r="E5" s="79">
        <f>D5*C5</f>
        <v>6885</v>
      </c>
    </row>
    <row r="6" spans="1:5" x14ac:dyDescent="0.3">
      <c r="B6" s="97" t="s">
        <v>195</v>
      </c>
      <c r="C6" s="98">
        <v>110</v>
      </c>
      <c r="D6" s="99">
        <v>197</v>
      </c>
      <c r="E6" s="79">
        <f t="shared" ref="E6:E17" si="0">D6*C6</f>
        <v>21670</v>
      </c>
    </row>
    <row r="7" spans="1:5" x14ac:dyDescent="0.3">
      <c r="B7" s="97" t="s">
        <v>196</v>
      </c>
      <c r="C7" s="98">
        <v>65</v>
      </c>
      <c r="D7" s="99">
        <v>195</v>
      </c>
      <c r="E7" s="79">
        <f t="shared" si="0"/>
        <v>12675</v>
      </c>
    </row>
    <row r="8" spans="1:5" x14ac:dyDescent="0.3">
      <c r="B8" s="97" t="s">
        <v>197</v>
      </c>
      <c r="C8" s="98">
        <v>135</v>
      </c>
      <c r="D8" s="99">
        <v>90</v>
      </c>
      <c r="E8" s="79">
        <f t="shared" si="0"/>
        <v>12150</v>
      </c>
    </row>
    <row r="9" spans="1:5" x14ac:dyDescent="0.3">
      <c r="B9" s="97" t="s">
        <v>198</v>
      </c>
      <c r="C9" s="98">
        <v>190</v>
      </c>
      <c r="D9" s="99">
        <v>3</v>
      </c>
      <c r="E9" s="79">
        <f t="shared" si="0"/>
        <v>570</v>
      </c>
    </row>
    <row r="10" spans="1:5" x14ac:dyDescent="0.3">
      <c r="B10" s="97" t="s">
        <v>199</v>
      </c>
      <c r="C10" s="98">
        <v>60</v>
      </c>
      <c r="D10" s="99">
        <v>1</v>
      </c>
      <c r="E10" s="79">
        <f t="shared" si="0"/>
        <v>60</v>
      </c>
    </row>
    <row r="11" spans="1:5" x14ac:dyDescent="0.3">
      <c r="B11" s="97" t="s">
        <v>200</v>
      </c>
      <c r="C11" s="98">
        <v>30</v>
      </c>
      <c r="D11" s="99">
        <v>96</v>
      </c>
      <c r="E11" s="79">
        <f t="shared" si="0"/>
        <v>2880</v>
      </c>
    </row>
    <row r="12" spans="1:5" x14ac:dyDescent="0.3">
      <c r="B12" s="97" t="s">
        <v>201</v>
      </c>
      <c r="C12" s="98">
        <v>100</v>
      </c>
      <c r="D12" s="99">
        <v>10</v>
      </c>
      <c r="E12" s="79">
        <f t="shared" si="0"/>
        <v>1000</v>
      </c>
    </row>
    <row r="13" spans="1:5" x14ac:dyDescent="0.3">
      <c r="B13" s="97" t="s">
        <v>202</v>
      </c>
      <c r="C13" s="98">
        <v>65</v>
      </c>
      <c r="D13" s="99">
        <v>17</v>
      </c>
      <c r="E13" s="79">
        <f t="shared" si="0"/>
        <v>1105</v>
      </c>
    </row>
    <row r="14" spans="1:5" x14ac:dyDescent="0.3">
      <c r="B14" s="97" t="s">
        <v>203</v>
      </c>
      <c r="C14" s="98">
        <v>120</v>
      </c>
      <c r="D14" s="99">
        <v>28</v>
      </c>
      <c r="E14" s="79">
        <f t="shared" si="0"/>
        <v>3360</v>
      </c>
    </row>
    <row r="15" spans="1:5" x14ac:dyDescent="0.3">
      <c r="B15" s="97" t="s">
        <v>204</v>
      </c>
      <c r="C15" s="97">
        <v>175</v>
      </c>
      <c r="D15" s="100">
        <v>12</v>
      </c>
      <c r="E15" s="79">
        <f t="shared" si="0"/>
        <v>2100</v>
      </c>
    </row>
    <row r="16" spans="1:5" x14ac:dyDescent="0.3">
      <c r="B16" s="97" t="s">
        <v>205</v>
      </c>
      <c r="C16" s="98">
        <v>160</v>
      </c>
      <c r="D16" s="99">
        <v>4</v>
      </c>
      <c r="E16" s="79">
        <f t="shared" si="0"/>
        <v>640</v>
      </c>
    </row>
    <row r="17" spans="1:5" x14ac:dyDescent="0.3">
      <c r="B17" s="97" t="s">
        <v>206</v>
      </c>
      <c r="C17" s="98">
        <v>190</v>
      </c>
      <c r="D17" s="99">
        <v>3</v>
      </c>
      <c r="E17" s="79">
        <f t="shared" si="0"/>
        <v>570</v>
      </c>
    </row>
    <row r="18" spans="1:5" x14ac:dyDescent="0.3">
      <c r="B18" s="75"/>
      <c r="C18" s="75"/>
      <c r="D18" s="101" t="s">
        <v>207</v>
      </c>
      <c r="E18" s="102">
        <f>SUM(E5:E17)</f>
        <v>65665</v>
      </c>
    </row>
    <row r="21" spans="1:5" x14ac:dyDescent="0.3">
      <c r="A21" s="76">
        <v>2</v>
      </c>
      <c r="B21" s="93" t="s">
        <v>208</v>
      </c>
    </row>
    <row r="23" spans="1:5" ht="17.399999999999999" x14ac:dyDescent="0.3">
      <c r="B23" s="203" t="s">
        <v>209</v>
      </c>
      <c r="C23" s="204"/>
      <c r="D23" s="204"/>
      <c r="E23" s="204"/>
    </row>
    <row r="24" spans="1:5" ht="18" thickBot="1" x14ac:dyDescent="0.35">
      <c r="B24" s="103" t="s">
        <v>210</v>
      </c>
      <c r="C24" s="104" t="s">
        <v>211</v>
      </c>
      <c r="D24" s="29" t="s">
        <v>212</v>
      </c>
      <c r="E24" s="29" t="s">
        <v>193</v>
      </c>
    </row>
    <row r="25" spans="1:5" x14ac:dyDescent="0.3">
      <c r="B25" s="105" t="s">
        <v>213</v>
      </c>
      <c r="C25" s="106">
        <v>9</v>
      </c>
      <c r="D25" s="107">
        <v>50</v>
      </c>
      <c r="E25" s="107">
        <f>D25*C25</f>
        <v>450</v>
      </c>
    </row>
    <row r="26" spans="1:5" x14ac:dyDescent="0.3">
      <c r="B26" s="108" t="s">
        <v>214</v>
      </c>
      <c r="C26" s="109">
        <v>11</v>
      </c>
      <c r="D26" s="107">
        <v>200</v>
      </c>
      <c r="E26" s="107">
        <f t="shared" ref="E26:E45" si="1">D26*C26</f>
        <v>2200</v>
      </c>
    </row>
    <row r="27" spans="1:5" x14ac:dyDescent="0.3">
      <c r="B27" s="108" t="s">
        <v>215</v>
      </c>
      <c r="C27" s="109">
        <v>82</v>
      </c>
      <c r="D27" s="107">
        <v>22</v>
      </c>
      <c r="E27" s="107">
        <f t="shared" si="1"/>
        <v>1804</v>
      </c>
    </row>
    <row r="28" spans="1:5" x14ac:dyDescent="0.3">
      <c r="B28" s="108" t="s">
        <v>216</v>
      </c>
      <c r="C28" s="109">
        <v>9</v>
      </c>
      <c r="D28" s="107">
        <v>400</v>
      </c>
      <c r="E28" s="107">
        <f t="shared" si="1"/>
        <v>3600</v>
      </c>
    </row>
    <row r="29" spans="1:5" x14ac:dyDescent="0.3">
      <c r="B29" s="108" t="s">
        <v>217</v>
      </c>
      <c r="C29" s="109">
        <v>2</v>
      </c>
      <c r="D29" s="107">
        <v>125</v>
      </c>
      <c r="E29" s="107">
        <f t="shared" si="1"/>
        <v>250</v>
      </c>
    </row>
    <row r="30" spans="1:5" x14ac:dyDescent="0.3">
      <c r="B30" s="108" t="s">
        <v>218</v>
      </c>
      <c r="C30" s="109">
        <v>12</v>
      </c>
      <c r="D30" s="107">
        <v>45</v>
      </c>
      <c r="E30" s="107">
        <f t="shared" si="1"/>
        <v>540</v>
      </c>
    </row>
    <row r="31" spans="1:5" x14ac:dyDescent="0.3">
      <c r="B31" s="108" t="s">
        <v>219</v>
      </c>
      <c r="C31" s="109">
        <v>36</v>
      </c>
      <c r="D31" s="107">
        <v>50</v>
      </c>
      <c r="E31" s="107">
        <f t="shared" si="1"/>
        <v>1800</v>
      </c>
    </row>
    <row r="32" spans="1:5" x14ac:dyDescent="0.3">
      <c r="B32" s="108" t="s">
        <v>220</v>
      </c>
      <c r="C32" s="109">
        <v>6</v>
      </c>
      <c r="D32" s="107">
        <v>65</v>
      </c>
      <c r="E32" s="107">
        <f t="shared" si="1"/>
        <v>390</v>
      </c>
    </row>
    <row r="33" spans="2:5" x14ac:dyDescent="0.3">
      <c r="B33" s="108" t="s">
        <v>221</v>
      </c>
      <c r="C33" s="109">
        <v>17</v>
      </c>
      <c r="D33" s="107">
        <v>75</v>
      </c>
      <c r="E33" s="107">
        <f t="shared" si="1"/>
        <v>1275</v>
      </c>
    </row>
    <row r="34" spans="2:5" x14ac:dyDescent="0.3">
      <c r="B34" s="108" t="s">
        <v>222</v>
      </c>
      <c r="C34" s="109">
        <v>16</v>
      </c>
      <c r="D34" s="107">
        <v>110</v>
      </c>
      <c r="E34" s="107">
        <f t="shared" si="1"/>
        <v>1760</v>
      </c>
    </row>
    <row r="35" spans="2:5" x14ac:dyDescent="0.3">
      <c r="B35" s="108" t="s">
        <v>223</v>
      </c>
      <c r="C35" s="109">
        <v>12</v>
      </c>
      <c r="D35" s="107">
        <v>450</v>
      </c>
      <c r="E35" s="107">
        <f t="shared" si="1"/>
        <v>5400</v>
      </c>
    </row>
    <row r="36" spans="2:5" x14ac:dyDescent="0.3">
      <c r="B36" s="108" t="s">
        <v>224</v>
      </c>
      <c r="C36" s="109">
        <v>6</v>
      </c>
      <c r="D36" s="107">
        <v>40</v>
      </c>
      <c r="E36" s="107">
        <f t="shared" si="1"/>
        <v>240</v>
      </c>
    </row>
    <row r="37" spans="2:5" x14ac:dyDescent="0.3">
      <c r="B37" s="108" t="s">
        <v>225</v>
      </c>
      <c r="C37" s="109">
        <v>12</v>
      </c>
      <c r="D37" s="107">
        <v>50</v>
      </c>
      <c r="E37" s="107">
        <f t="shared" si="1"/>
        <v>600</v>
      </c>
    </row>
    <row r="38" spans="2:5" x14ac:dyDescent="0.3">
      <c r="B38" s="108" t="s">
        <v>226</v>
      </c>
      <c r="C38" s="109">
        <v>8</v>
      </c>
      <c r="D38" s="107">
        <v>150</v>
      </c>
      <c r="E38" s="107">
        <f t="shared" si="1"/>
        <v>1200</v>
      </c>
    </row>
    <row r="39" spans="2:5" x14ac:dyDescent="0.3">
      <c r="B39" s="108" t="s">
        <v>227</v>
      </c>
      <c r="C39" s="109">
        <v>15</v>
      </c>
      <c r="D39" s="107">
        <v>25</v>
      </c>
      <c r="E39" s="107">
        <f t="shared" si="1"/>
        <v>375</v>
      </c>
    </row>
    <row r="40" spans="2:5" x14ac:dyDescent="0.3">
      <c r="B40" s="108" t="s">
        <v>228</v>
      </c>
      <c r="C40" s="109">
        <v>8</v>
      </c>
      <c r="D40" s="107">
        <v>475</v>
      </c>
      <c r="E40" s="107">
        <f t="shared" si="1"/>
        <v>3800</v>
      </c>
    </row>
    <row r="41" spans="2:5" x14ac:dyDescent="0.3">
      <c r="B41" s="108" t="s">
        <v>229</v>
      </c>
      <c r="C41" s="109">
        <v>1</v>
      </c>
      <c r="D41" s="107">
        <v>50</v>
      </c>
      <c r="E41" s="107">
        <f t="shared" si="1"/>
        <v>50</v>
      </c>
    </row>
    <row r="42" spans="2:5" x14ac:dyDescent="0.3">
      <c r="B42" s="108" t="s">
        <v>230</v>
      </c>
      <c r="C42" s="109">
        <v>9</v>
      </c>
      <c r="D42" s="107">
        <v>1750</v>
      </c>
      <c r="E42" s="107">
        <f t="shared" si="1"/>
        <v>15750</v>
      </c>
    </row>
    <row r="43" spans="2:5" x14ac:dyDescent="0.3">
      <c r="B43" s="108" t="s">
        <v>231</v>
      </c>
      <c r="C43" s="109">
        <v>9</v>
      </c>
      <c r="D43" s="107">
        <v>55</v>
      </c>
      <c r="E43" s="107">
        <f t="shared" si="1"/>
        <v>495</v>
      </c>
    </row>
    <row r="44" spans="2:5" x14ac:dyDescent="0.3">
      <c r="B44" s="108" t="s">
        <v>232</v>
      </c>
      <c r="C44" s="109">
        <v>3</v>
      </c>
      <c r="D44" s="107">
        <v>220</v>
      </c>
      <c r="E44" s="107">
        <f t="shared" si="1"/>
        <v>660</v>
      </c>
    </row>
    <row r="45" spans="2:5" ht="15" thickBot="1" x14ac:dyDescent="0.35">
      <c r="B45" s="110" t="s">
        <v>233</v>
      </c>
      <c r="C45" s="111">
        <v>26</v>
      </c>
      <c r="D45" s="107">
        <v>15</v>
      </c>
      <c r="E45" s="107">
        <f t="shared" si="1"/>
        <v>390</v>
      </c>
    </row>
    <row r="46" spans="2:5" x14ac:dyDescent="0.3">
      <c r="D46" s="101" t="s">
        <v>234</v>
      </c>
      <c r="E46" s="102">
        <f>SUM(E25:E45)</f>
        <v>43029</v>
      </c>
    </row>
  </sheetData>
  <mergeCells count="2">
    <mergeCell ref="B3:D3"/>
    <mergeCell ref="B23:E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F2656-4B91-4BD2-A39E-CB1D6D31A74C}">
  <sheetPr codeName="Sheet5">
    <pageSetUpPr fitToPage="1"/>
  </sheetPr>
  <dimension ref="A1:O53"/>
  <sheetViews>
    <sheetView topLeftCell="A32" zoomScale="130" zoomScaleNormal="130" workbookViewId="0">
      <selection activeCell="E8" sqref="E8:E49"/>
    </sheetView>
  </sheetViews>
  <sheetFormatPr defaultRowHeight="14.4" x14ac:dyDescent="0.3"/>
  <cols>
    <col min="1" max="1" width="42.109375" customWidth="1"/>
    <col min="2" max="2" width="0.88671875" customWidth="1"/>
    <col min="3" max="3" width="3.6640625" customWidth="1"/>
    <col min="4" max="4" width="10.44140625" customWidth="1"/>
    <col min="5" max="5" width="12" customWidth="1"/>
    <col min="6" max="6" width="13.109375" bestFit="1" customWidth="1"/>
    <col min="7" max="7" width="12.5546875" bestFit="1" customWidth="1"/>
    <col min="8" max="8" width="18" bestFit="1" customWidth="1"/>
    <col min="9" max="9" width="16.88671875" bestFit="1" customWidth="1"/>
    <col min="10" max="10" width="13" customWidth="1"/>
  </cols>
  <sheetData>
    <row r="1" spans="1:9" x14ac:dyDescent="0.3">
      <c r="A1" s="176" t="s">
        <v>111</v>
      </c>
      <c r="B1" s="177"/>
      <c r="C1" s="177"/>
      <c r="D1" s="177"/>
      <c r="E1" s="178"/>
      <c r="F1" s="11"/>
      <c r="G1" s="209" t="s">
        <v>235</v>
      </c>
      <c r="H1" s="209"/>
      <c r="I1" s="209"/>
    </row>
    <row r="2" spans="1:9" x14ac:dyDescent="0.3">
      <c r="A2" s="179"/>
      <c r="B2" s="180"/>
      <c r="C2" s="180"/>
      <c r="D2" s="180"/>
      <c r="E2" s="181"/>
      <c r="F2" s="128" t="s">
        <v>73</v>
      </c>
      <c r="G2" s="183">
        <f>G4+G3</f>
        <v>16155888.48</v>
      </c>
      <c r="H2" s="184"/>
      <c r="I2" s="185"/>
    </row>
    <row r="3" spans="1:9" x14ac:dyDescent="0.3">
      <c r="A3" s="179"/>
      <c r="B3" s="180"/>
      <c r="C3" s="180"/>
      <c r="D3" s="180"/>
      <c r="E3" s="181"/>
      <c r="F3" s="128" t="s">
        <v>4</v>
      </c>
      <c r="G3" s="183">
        <f>G4*0.14</f>
        <v>1984056.4800000002</v>
      </c>
      <c r="H3" s="184"/>
      <c r="I3" s="185"/>
    </row>
    <row r="4" spans="1:9" ht="15" thickBot="1" x14ac:dyDescent="0.35">
      <c r="A4" s="179"/>
      <c r="B4" s="180"/>
      <c r="C4" s="180"/>
      <c r="D4" s="180"/>
      <c r="E4" s="181"/>
      <c r="F4" s="129" t="s">
        <v>0</v>
      </c>
      <c r="G4" s="210">
        <f>SUM(I8:I134)</f>
        <v>14171832</v>
      </c>
      <c r="H4" s="211"/>
      <c r="I4" s="212"/>
    </row>
    <row r="5" spans="1:9" ht="15" hidden="1" thickBot="1" x14ac:dyDescent="0.35">
      <c r="A5" s="22"/>
      <c r="B5" s="22"/>
      <c r="C5" s="22"/>
      <c r="D5" s="22"/>
      <c r="E5" s="22"/>
      <c r="F5" s="11"/>
      <c r="G5" s="23"/>
      <c r="H5" s="20"/>
      <c r="I5" s="12"/>
    </row>
    <row r="6" spans="1:9" x14ac:dyDescent="0.3">
      <c r="A6" s="35" t="s">
        <v>99</v>
      </c>
      <c r="B6" s="26"/>
      <c r="C6" s="26"/>
      <c r="D6" s="189" t="s">
        <v>103</v>
      </c>
      <c r="E6" s="189" t="s">
        <v>100</v>
      </c>
      <c r="F6" s="189" t="s">
        <v>108</v>
      </c>
      <c r="G6" s="189" t="s">
        <v>107</v>
      </c>
      <c r="H6" s="189" t="s">
        <v>101</v>
      </c>
      <c r="I6" s="174" t="s">
        <v>102</v>
      </c>
    </row>
    <row r="7" spans="1:9" ht="72" x14ac:dyDescent="0.3">
      <c r="A7" s="25" t="s">
        <v>142</v>
      </c>
      <c r="B7" s="26"/>
      <c r="C7" s="26"/>
      <c r="D7" s="190"/>
      <c r="E7" s="190"/>
      <c r="F7" s="190"/>
      <c r="G7" s="190"/>
      <c r="H7" s="190"/>
      <c r="I7" s="175"/>
    </row>
    <row r="8" spans="1:9" ht="28.8" x14ac:dyDescent="0.3">
      <c r="A8" s="8" t="s">
        <v>143</v>
      </c>
      <c r="B8" s="10"/>
      <c r="C8" s="10"/>
      <c r="D8" s="21" t="s">
        <v>119</v>
      </c>
      <c r="E8" s="21">
        <v>1</v>
      </c>
      <c r="F8" s="29">
        <v>12</v>
      </c>
      <c r="G8" s="115">
        <f>'MEP Budget'!K7</f>
        <v>44085</v>
      </c>
      <c r="H8" s="115">
        <f>G8*E8</f>
        <v>44085</v>
      </c>
      <c r="I8" s="116">
        <f>H8*F8</f>
        <v>529020</v>
      </c>
    </row>
    <row r="9" spans="1:9" ht="28.8" x14ac:dyDescent="0.3">
      <c r="A9" s="8" t="s">
        <v>56</v>
      </c>
      <c r="B9" s="10"/>
      <c r="C9" s="10"/>
      <c r="D9" s="21" t="s">
        <v>119</v>
      </c>
      <c r="E9" s="21">
        <v>1</v>
      </c>
      <c r="F9" s="29">
        <v>12</v>
      </c>
      <c r="G9" s="115">
        <f>'MEP Budget'!K8</f>
        <v>62979</v>
      </c>
      <c r="H9" s="115">
        <f t="shared" ref="H9:H29" si="0">G9*E9</f>
        <v>62979</v>
      </c>
      <c r="I9" s="116">
        <f t="shared" ref="I9:I29" si="1">H9*F9</f>
        <v>755748</v>
      </c>
    </row>
    <row r="10" spans="1:9" x14ac:dyDescent="0.3">
      <c r="A10" s="64" t="s">
        <v>11</v>
      </c>
      <c r="B10" s="52"/>
      <c r="C10" s="52"/>
      <c r="D10" s="205" t="s">
        <v>120</v>
      </c>
      <c r="E10" s="62">
        <v>4</v>
      </c>
      <c r="F10" s="29">
        <v>12</v>
      </c>
      <c r="G10" s="115">
        <f>'MEP Budget'!K9</f>
        <v>21255</v>
      </c>
      <c r="H10" s="115">
        <f t="shared" si="0"/>
        <v>85020</v>
      </c>
      <c r="I10" s="116">
        <f t="shared" si="1"/>
        <v>1020240</v>
      </c>
    </row>
    <row r="11" spans="1:9" x14ac:dyDescent="0.3">
      <c r="A11" s="8" t="s">
        <v>12</v>
      </c>
      <c r="B11" s="10"/>
      <c r="C11" s="10"/>
      <c r="D11" s="208"/>
      <c r="E11" s="21">
        <v>2</v>
      </c>
      <c r="F11" s="29">
        <v>12</v>
      </c>
      <c r="G11" s="115">
        <f>'MEP Budget'!K10</f>
        <v>18205</v>
      </c>
      <c r="H11" s="115">
        <f t="shared" si="0"/>
        <v>36410</v>
      </c>
      <c r="I11" s="116">
        <f t="shared" si="1"/>
        <v>436920</v>
      </c>
    </row>
    <row r="12" spans="1:9" x14ac:dyDescent="0.3">
      <c r="A12" s="8" t="s">
        <v>13</v>
      </c>
      <c r="B12" s="10"/>
      <c r="C12" s="10"/>
      <c r="D12" s="208"/>
      <c r="E12" s="5">
        <v>3</v>
      </c>
      <c r="F12" s="29">
        <v>12</v>
      </c>
      <c r="G12" s="115">
        <f>'MEP Budget'!K11</f>
        <v>18448</v>
      </c>
      <c r="H12" s="115">
        <f t="shared" si="0"/>
        <v>55344</v>
      </c>
      <c r="I12" s="116">
        <f t="shared" si="1"/>
        <v>664128</v>
      </c>
    </row>
    <row r="13" spans="1:9" x14ac:dyDescent="0.3">
      <c r="A13" s="64" t="s">
        <v>14</v>
      </c>
      <c r="B13" s="52"/>
      <c r="C13" s="52"/>
      <c r="D13" s="208"/>
      <c r="E13" s="62">
        <v>3</v>
      </c>
      <c r="F13" s="29">
        <v>12</v>
      </c>
      <c r="G13" s="115">
        <f>'MEP Budget'!K12</f>
        <v>23554</v>
      </c>
      <c r="H13" s="115">
        <f t="shared" si="0"/>
        <v>70662</v>
      </c>
      <c r="I13" s="116">
        <f t="shared" si="1"/>
        <v>847944</v>
      </c>
    </row>
    <row r="14" spans="1:9" x14ac:dyDescent="0.3">
      <c r="A14" s="8" t="s">
        <v>15</v>
      </c>
      <c r="B14" s="38"/>
      <c r="C14" s="38"/>
      <c r="D14" s="208"/>
      <c r="E14" s="21">
        <v>1</v>
      </c>
      <c r="F14" s="29">
        <v>12</v>
      </c>
      <c r="G14" s="115">
        <f>'MEP Budget'!K13</f>
        <v>20468</v>
      </c>
      <c r="H14" s="115">
        <f t="shared" si="0"/>
        <v>20468</v>
      </c>
      <c r="I14" s="116">
        <f t="shared" si="1"/>
        <v>245616</v>
      </c>
    </row>
    <row r="15" spans="1:9" x14ac:dyDescent="0.3">
      <c r="A15" s="8" t="s">
        <v>16</v>
      </c>
      <c r="B15" s="10"/>
      <c r="C15" s="10"/>
      <c r="D15" s="208"/>
      <c r="E15" s="21">
        <v>1</v>
      </c>
      <c r="F15" s="29">
        <v>12</v>
      </c>
      <c r="G15" s="115">
        <f>'MEP Budget'!K14</f>
        <v>21491</v>
      </c>
      <c r="H15" s="115">
        <f t="shared" si="0"/>
        <v>21491</v>
      </c>
      <c r="I15" s="116">
        <f t="shared" si="1"/>
        <v>257892</v>
      </c>
    </row>
    <row r="16" spans="1:9" x14ac:dyDescent="0.3">
      <c r="A16" s="64" t="s">
        <v>17</v>
      </c>
      <c r="B16" s="52"/>
      <c r="C16" s="52"/>
      <c r="D16" s="208"/>
      <c r="E16" s="66">
        <v>0</v>
      </c>
      <c r="F16" s="29">
        <v>12</v>
      </c>
      <c r="G16" s="115">
        <f>'MEP Budget'!K15</f>
        <v>0</v>
      </c>
      <c r="H16" s="115">
        <f t="shared" si="0"/>
        <v>0</v>
      </c>
      <c r="I16" s="116">
        <f t="shared" si="1"/>
        <v>0</v>
      </c>
    </row>
    <row r="17" spans="1:9" x14ac:dyDescent="0.3">
      <c r="A17" s="8" t="s">
        <v>18</v>
      </c>
      <c r="B17" s="10"/>
      <c r="C17" s="10"/>
      <c r="D17" s="208"/>
      <c r="E17" s="5">
        <v>1</v>
      </c>
      <c r="F17" s="29">
        <v>12</v>
      </c>
      <c r="G17" s="115">
        <f>'MEP Budget'!K16</f>
        <v>18421</v>
      </c>
      <c r="H17" s="115">
        <f t="shared" si="0"/>
        <v>18421</v>
      </c>
      <c r="I17" s="116">
        <f t="shared" si="1"/>
        <v>221052</v>
      </c>
    </row>
    <row r="18" spans="1:9" x14ac:dyDescent="0.3">
      <c r="A18" s="64" t="s">
        <v>19</v>
      </c>
      <c r="B18" s="52"/>
      <c r="C18" s="52"/>
      <c r="D18" s="208"/>
      <c r="E18" s="66">
        <v>0</v>
      </c>
      <c r="F18" s="29">
        <v>12</v>
      </c>
      <c r="G18" s="115">
        <f>'MEP Budget'!K17</f>
        <v>0</v>
      </c>
      <c r="H18" s="115">
        <f t="shared" si="0"/>
        <v>0</v>
      </c>
      <c r="I18" s="116">
        <f t="shared" si="1"/>
        <v>0</v>
      </c>
    </row>
    <row r="19" spans="1:9" x14ac:dyDescent="0.3">
      <c r="A19" s="67" t="s">
        <v>20</v>
      </c>
      <c r="B19" s="52"/>
      <c r="C19" s="52"/>
      <c r="D19" s="208"/>
      <c r="E19" s="66">
        <v>1</v>
      </c>
      <c r="F19" s="29">
        <v>12</v>
      </c>
      <c r="G19" s="115">
        <f>'MEP Budget'!K18</f>
        <v>32591</v>
      </c>
      <c r="H19" s="115">
        <f t="shared" si="0"/>
        <v>32591</v>
      </c>
      <c r="I19" s="116">
        <f t="shared" si="1"/>
        <v>391092</v>
      </c>
    </row>
    <row r="20" spans="1:9" x14ac:dyDescent="0.3">
      <c r="A20" s="9" t="s">
        <v>21</v>
      </c>
      <c r="B20" s="10"/>
      <c r="C20" s="10"/>
      <c r="D20" s="208"/>
      <c r="E20" s="5">
        <v>3</v>
      </c>
      <c r="F20" s="29">
        <v>12</v>
      </c>
      <c r="G20" s="115">
        <f>'MEP Budget'!K19</f>
        <v>14957</v>
      </c>
      <c r="H20" s="115">
        <f t="shared" si="0"/>
        <v>44871</v>
      </c>
      <c r="I20" s="116">
        <f t="shared" si="1"/>
        <v>538452</v>
      </c>
    </row>
    <row r="21" spans="1:9" x14ac:dyDescent="0.3">
      <c r="A21" s="9" t="s">
        <v>22</v>
      </c>
      <c r="B21" s="10"/>
      <c r="C21" s="10"/>
      <c r="D21" s="208"/>
      <c r="E21" s="5">
        <v>1</v>
      </c>
      <c r="F21" s="29">
        <v>12</v>
      </c>
      <c r="G21" s="115">
        <f>'MEP Budget'!K20</f>
        <v>18421</v>
      </c>
      <c r="H21" s="115">
        <f t="shared" si="0"/>
        <v>18421</v>
      </c>
      <c r="I21" s="116">
        <f t="shared" si="1"/>
        <v>221052</v>
      </c>
    </row>
    <row r="22" spans="1:9" x14ac:dyDescent="0.3">
      <c r="A22" s="68" t="s">
        <v>144</v>
      </c>
      <c r="B22" s="52"/>
      <c r="C22" s="52"/>
      <c r="D22" s="208"/>
      <c r="E22" s="66">
        <v>1</v>
      </c>
      <c r="F22" s="29">
        <v>12</v>
      </c>
      <c r="G22" s="115">
        <f>'MEP Budget'!K21</f>
        <v>18421</v>
      </c>
      <c r="H22" s="115">
        <f t="shared" si="0"/>
        <v>18421</v>
      </c>
      <c r="I22" s="116">
        <f t="shared" si="1"/>
        <v>221052</v>
      </c>
    </row>
    <row r="23" spans="1:9" x14ac:dyDescent="0.3">
      <c r="A23" s="5" t="s">
        <v>23</v>
      </c>
      <c r="B23" s="10"/>
      <c r="C23" s="10"/>
      <c r="D23" s="208"/>
      <c r="E23" s="5">
        <v>1</v>
      </c>
      <c r="F23" s="29">
        <v>12</v>
      </c>
      <c r="G23" s="115">
        <f>'MEP Budget'!K22</f>
        <v>18421</v>
      </c>
      <c r="H23" s="115">
        <f t="shared" si="0"/>
        <v>18421</v>
      </c>
      <c r="I23" s="116">
        <f t="shared" si="1"/>
        <v>221052</v>
      </c>
    </row>
    <row r="24" spans="1:9" x14ac:dyDescent="0.3">
      <c r="A24" s="5" t="s">
        <v>27</v>
      </c>
      <c r="B24" s="10"/>
      <c r="C24" s="10"/>
      <c r="D24" s="208"/>
      <c r="E24" s="5">
        <v>1</v>
      </c>
      <c r="F24" s="29">
        <v>12</v>
      </c>
      <c r="G24" s="115">
        <f>'MEP Budget'!K23</f>
        <v>52508</v>
      </c>
      <c r="H24" s="115">
        <f t="shared" si="0"/>
        <v>52508</v>
      </c>
      <c r="I24" s="116">
        <f t="shared" si="1"/>
        <v>630096</v>
      </c>
    </row>
    <row r="25" spans="1:9" x14ac:dyDescent="0.3">
      <c r="A25" s="5" t="s">
        <v>28</v>
      </c>
      <c r="B25" s="10"/>
      <c r="C25" s="10"/>
      <c r="D25" s="206"/>
      <c r="E25" s="5">
        <v>1</v>
      </c>
      <c r="F25" s="29">
        <v>12</v>
      </c>
      <c r="G25" s="115">
        <f>'MEP Budget'!K24</f>
        <v>29679</v>
      </c>
      <c r="H25" s="115">
        <f t="shared" si="0"/>
        <v>29679</v>
      </c>
      <c r="I25" s="116">
        <f t="shared" si="1"/>
        <v>356148</v>
      </c>
    </row>
    <row r="26" spans="1:9" x14ac:dyDescent="0.3">
      <c r="A26" s="21" t="s">
        <v>11</v>
      </c>
      <c r="B26" s="10"/>
      <c r="C26" s="10"/>
      <c r="D26" s="205" t="s">
        <v>121</v>
      </c>
      <c r="E26" s="5">
        <v>2</v>
      </c>
      <c r="F26" s="29">
        <v>12</v>
      </c>
      <c r="G26" s="115">
        <f>'MEP Budget'!K25</f>
        <v>24798</v>
      </c>
      <c r="H26" s="115">
        <f t="shared" si="0"/>
        <v>49596</v>
      </c>
      <c r="I26" s="116">
        <f t="shared" si="1"/>
        <v>595152</v>
      </c>
    </row>
    <row r="27" spans="1:9" x14ac:dyDescent="0.3">
      <c r="A27" s="21" t="s">
        <v>14</v>
      </c>
      <c r="B27" s="10"/>
      <c r="C27" s="10"/>
      <c r="D27" s="208"/>
      <c r="E27" s="5">
        <v>2</v>
      </c>
      <c r="F27" s="29">
        <v>12</v>
      </c>
      <c r="G27" s="115">
        <f>'MEP Budget'!K26</f>
        <v>25762</v>
      </c>
      <c r="H27" s="115">
        <f t="shared" si="0"/>
        <v>51524</v>
      </c>
      <c r="I27" s="116">
        <f t="shared" si="1"/>
        <v>618288</v>
      </c>
    </row>
    <row r="28" spans="1:9" x14ac:dyDescent="0.3">
      <c r="A28" s="21" t="s">
        <v>16</v>
      </c>
      <c r="B28" s="10"/>
      <c r="C28" s="10"/>
      <c r="D28" s="208"/>
      <c r="E28" s="5">
        <v>1</v>
      </c>
      <c r="F28" s="29">
        <v>12</v>
      </c>
      <c r="G28" s="115">
        <f>'MEP Budget'!K27</f>
        <v>21491</v>
      </c>
      <c r="H28" s="115">
        <f t="shared" si="0"/>
        <v>21491</v>
      </c>
      <c r="I28" s="116">
        <f t="shared" si="1"/>
        <v>257892</v>
      </c>
    </row>
    <row r="29" spans="1:9" x14ac:dyDescent="0.3">
      <c r="A29" s="69" t="s">
        <v>17</v>
      </c>
      <c r="B29" s="52"/>
      <c r="C29" s="52"/>
      <c r="D29" s="206"/>
      <c r="E29" s="66">
        <v>0</v>
      </c>
      <c r="F29" s="29">
        <v>12</v>
      </c>
      <c r="G29" s="115">
        <f>'MEP Budget'!K28</f>
        <v>0</v>
      </c>
      <c r="H29" s="115">
        <f t="shared" si="0"/>
        <v>0</v>
      </c>
      <c r="I29" s="116">
        <f t="shared" si="1"/>
        <v>0</v>
      </c>
    </row>
    <row r="30" spans="1:9" x14ac:dyDescent="0.3">
      <c r="A30" s="42" t="s">
        <v>110</v>
      </c>
      <c r="B30" s="39"/>
      <c r="C30" s="39"/>
      <c r="D30" s="39"/>
      <c r="E30" s="40"/>
      <c r="F30" s="40"/>
      <c r="G30" s="41"/>
      <c r="H30" s="41"/>
      <c r="I30" s="41"/>
    </row>
    <row r="31" spans="1:9" x14ac:dyDescent="0.3">
      <c r="A31" s="5" t="s">
        <v>14</v>
      </c>
      <c r="B31" s="10"/>
      <c r="C31" s="10"/>
      <c r="D31" s="205" t="s">
        <v>123</v>
      </c>
      <c r="E31" s="5">
        <v>1</v>
      </c>
      <c r="F31" s="29">
        <v>12</v>
      </c>
      <c r="G31" s="117">
        <f>'MEP Budget'!K62</f>
        <v>15854</v>
      </c>
      <c r="H31" s="117">
        <f>G31*E31</f>
        <v>15854</v>
      </c>
      <c r="I31" s="117">
        <f>H31*F31</f>
        <v>190248</v>
      </c>
    </row>
    <row r="32" spans="1:9" x14ac:dyDescent="0.3">
      <c r="A32" s="5" t="s">
        <v>12</v>
      </c>
      <c r="B32" s="10"/>
      <c r="C32" s="10"/>
      <c r="D32" s="208"/>
      <c r="E32" s="5">
        <v>1</v>
      </c>
      <c r="F32" s="29">
        <v>12</v>
      </c>
      <c r="G32" s="117">
        <f>'MEP Budget'!K63</f>
        <v>31369</v>
      </c>
      <c r="H32" s="117">
        <f t="shared" ref="H32:H36" si="2">G32*E32</f>
        <v>31369</v>
      </c>
      <c r="I32" s="117">
        <f t="shared" ref="I32:I36" si="3">H32*F32</f>
        <v>376428</v>
      </c>
    </row>
    <row r="33" spans="1:15" x14ac:dyDescent="0.3">
      <c r="A33" s="5" t="s">
        <v>16</v>
      </c>
      <c r="B33" s="38"/>
      <c r="C33" s="38"/>
      <c r="D33" s="206"/>
      <c r="E33" s="5">
        <v>1</v>
      </c>
      <c r="F33" s="29">
        <v>12</v>
      </c>
      <c r="G33" s="117">
        <f>'MEP Budget'!K64</f>
        <v>17804</v>
      </c>
      <c r="H33" s="117">
        <f t="shared" si="2"/>
        <v>17804</v>
      </c>
      <c r="I33" s="117">
        <f t="shared" si="3"/>
        <v>213648</v>
      </c>
    </row>
    <row r="34" spans="1:15" x14ac:dyDescent="0.3">
      <c r="A34" s="5" t="s">
        <v>12</v>
      </c>
      <c r="B34" s="10"/>
      <c r="C34" s="10"/>
      <c r="D34" s="205" t="s">
        <v>124</v>
      </c>
      <c r="E34" s="5">
        <v>1</v>
      </c>
      <c r="F34" s="29">
        <v>12</v>
      </c>
      <c r="G34" s="117">
        <f>'MEP Budget'!K65</f>
        <v>15685</v>
      </c>
      <c r="H34" s="117">
        <f t="shared" si="2"/>
        <v>15685</v>
      </c>
      <c r="I34" s="117">
        <f t="shared" si="3"/>
        <v>188220</v>
      </c>
      <c r="O34" s="125"/>
    </row>
    <row r="35" spans="1:15" x14ac:dyDescent="0.3">
      <c r="A35" s="5" t="s">
        <v>16</v>
      </c>
      <c r="B35" s="10"/>
      <c r="C35" s="10"/>
      <c r="D35" s="206"/>
      <c r="E35" s="5">
        <v>1</v>
      </c>
      <c r="F35" s="29">
        <v>12</v>
      </c>
      <c r="G35" s="117">
        <f>'MEP Budget'!K66</f>
        <v>35609</v>
      </c>
      <c r="H35" s="117">
        <f t="shared" si="2"/>
        <v>35609</v>
      </c>
      <c r="I35" s="117">
        <f t="shared" si="3"/>
        <v>427308</v>
      </c>
    </row>
    <row r="36" spans="1:15" ht="28.8" x14ac:dyDescent="0.3">
      <c r="A36" s="5" t="s">
        <v>11</v>
      </c>
      <c r="B36" s="10"/>
      <c r="C36" s="10"/>
      <c r="D36" s="19" t="s">
        <v>125</v>
      </c>
      <c r="E36" s="5">
        <v>1</v>
      </c>
      <c r="F36" s="29">
        <v>12</v>
      </c>
      <c r="G36" s="117">
        <f>'MEP Budget'!K67</f>
        <v>15261</v>
      </c>
      <c r="H36" s="117">
        <f t="shared" si="2"/>
        <v>15261</v>
      </c>
      <c r="I36" s="117">
        <f t="shared" si="3"/>
        <v>183132</v>
      </c>
    </row>
    <row r="37" spans="1:15" x14ac:dyDescent="0.3">
      <c r="A37" s="70" t="s">
        <v>113</v>
      </c>
      <c r="B37" s="71"/>
      <c r="C37" s="71"/>
      <c r="D37" s="71"/>
      <c r="E37" s="71"/>
      <c r="F37" s="71"/>
      <c r="G37" s="71"/>
      <c r="H37" s="71"/>
      <c r="I37" s="72"/>
    </row>
    <row r="38" spans="1:15" s="61" customFormat="1" ht="28.8" x14ac:dyDescent="0.3">
      <c r="A38" s="62" t="s">
        <v>57</v>
      </c>
      <c r="B38" s="63"/>
      <c r="C38" s="63"/>
      <c r="D38" s="62" t="s">
        <v>122</v>
      </c>
      <c r="E38" s="62">
        <v>0</v>
      </c>
      <c r="F38" s="60">
        <v>12</v>
      </c>
      <c r="G38" s="117">
        <f>'MEP Budget'!K101</f>
        <v>0</v>
      </c>
      <c r="H38" s="124">
        <f>G38*E38</f>
        <v>0</v>
      </c>
      <c r="I38" s="124">
        <f>H38*F38</f>
        <v>0</v>
      </c>
    </row>
    <row r="39" spans="1:15" x14ac:dyDescent="0.3">
      <c r="A39" s="21" t="s">
        <v>35</v>
      </c>
      <c r="B39" s="10"/>
      <c r="C39" s="10"/>
      <c r="D39" s="207" t="s">
        <v>126</v>
      </c>
      <c r="E39" s="21">
        <v>2</v>
      </c>
      <c r="F39" s="29">
        <v>12</v>
      </c>
      <c r="G39" s="117">
        <f>'MEP Budget'!K102</f>
        <v>24573</v>
      </c>
      <c r="H39" s="124">
        <f t="shared" ref="H39:H51" si="4">G39*E39</f>
        <v>49146</v>
      </c>
      <c r="I39" s="124">
        <f t="shared" ref="I39:I51" si="5">H39*F39</f>
        <v>589752</v>
      </c>
    </row>
    <row r="40" spans="1:15" x14ac:dyDescent="0.3">
      <c r="A40" s="21" t="s">
        <v>19</v>
      </c>
      <c r="B40" s="10"/>
      <c r="C40" s="10"/>
      <c r="D40" s="207"/>
      <c r="E40" s="21">
        <v>1</v>
      </c>
      <c r="F40" s="29">
        <v>12</v>
      </c>
      <c r="G40" s="117">
        <f>'MEP Budget'!K103</f>
        <v>21296</v>
      </c>
      <c r="H40" s="124">
        <f t="shared" si="4"/>
        <v>21296</v>
      </c>
      <c r="I40" s="124">
        <f t="shared" si="5"/>
        <v>255552</v>
      </c>
    </row>
    <row r="41" spans="1:15" x14ac:dyDescent="0.3">
      <c r="A41" s="21" t="s">
        <v>22</v>
      </c>
      <c r="B41" s="10"/>
      <c r="C41" s="10"/>
      <c r="D41" s="207"/>
      <c r="E41" s="21">
        <v>1</v>
      </c>
      <c r="F41" s="29">
        <v>12</v>
      </c>
      <c r="G41" s="117">
        <f>'MEP Budget'!K104</f>
        <v>21296</v>
      </c>
      <c r="H41" s="124">
        <f t="shared" si="4"/>
        <v>21296</v>
      </c>
      <c r="I41" s="124">
        <f t="shared" si="5"/>
        <v>255552</v>
      </c>
    </row>
    <row r="42" spans="1:15" x14ac:dyDescent="0.3">
      <c r="A42" s="69" t="s">
        <v>36</v>
      </c>
      <c r="B42" s="52"/>
      <c r="C42" s="52"/>
      <c r="D42" s="207"/>
      <c r="E42" s="62">
        <v>2</v>
      </c>
      <c r="F42" s="29">
        <v>12</v>
      </c>
      <c r="G42" s="117">
        <f>'MEP Budget'!K105</f>
        <v>20477</v>
      </c>
      <c r="H42" s="124">
        <f t="shared" si="4"/>
        <v>40954</v>
      </c>
      <c r="I42" s="124">
        <f t="shared" si="5"/>
        <v>491448</v>
      </c>
    </row>
    <row r="43" spans="1:15" x14ac:dyDescent="0.3">
      <c r="A43" s="69" t="s">
        <v>11</v>
      </c>
      <c r="B43" s="52"/>
      <c r="C43" s="52"/>
      <c r="D43" s="207"/>
      <c r="E43" s="62">
        <v>3</v>
      </c>
      <c r="F43" s="29">
        <v>12</v>
      </c>
      <c r="G43" s="117">
        <f>'MEP Budget'!K106</f>
        <v>20750</v>
      </c>
      <c r="H43" s="124">
        <f t="shared" si="4"/>
        <v>62250</v>
      </c>
      <c r="I43" s="124">
        <f t="shared" si="5"/>
        <v>747000</v>
      </c>
    </row>
    <row r="44" spans="1:15" x14ac:dyDescent="0.3">
      <c r="A44" s="69" t="s">
        <v>37</v>
      </c>
      <c r="B44" s="52"/>
      <c r="C44" s="52"/>
      <c r="D44" s="207"/>
      <c r="E44" s="62">
        <v>1</v>
      </c>
      <c r="F44" s="29">
        <v>12</v>
      </c>
      <c r="G44" s="117">
        <f>'MEP Budget'!K107</f>
        <v>19167</v>
      </c>
      <c r="H44" s="124">
        <f t="shared" si="4"/>
        <v>19167</v>
      </c>
      <c r="I44" s="124">
        <f t="shared" si="5"/>
        <v>230004</v>
      </c>
    </row>
    <row r="45" spans="1:15" x14ac:dyDescent="0.3">
      <c r="A45" s="69" t="s">
        <v>38</v>
      </c>
      <c r="B45" s="52"/>
      <c r="C45" s="52"/>
      <c r="D45" s="207"/>
      <c r="E45" s="62">
        <v>0</v>
      </c>
      <c r="F45" s="29">
        <v>12</v>
      </c>
      <c r="G45" s="117">
        <f>'MEP Budget'!K108</f>
        <v>0</v>
      </c>
      <c r="H45" s="124">
        <f t="shared" si="4"/>
        <v>0</v>
      </c>
      <c r="I45" s="124">
        <f t="shared" si="5"/>
        <v>0</v>
      </c>
    </row>
    <row r="46" spans="1:15" x14ac:dyDescent="0.3">
      <c r="A46" s="21" t="s">
        <v>39</v>
      </c>
      <c r="B46" s="10"/>
      <c r="C46" s="10"/>
      <c r="D46" s="207"/>
      <c r="E46" s="21">
        <v>1</v>
      </c>
      <c r="F46" s="29">
        <v>12</v>
      </c>
      <c r="G46" s="117">
        <f>'MEP Budget'!K109</f>
        <v>19167</v>
      </c>
      <c r="H46" s="124">
        <f t="shared" si="4"/>
        <v>19167</v>
      </c>
      <c r="I46" s="124">
        <f t="shared" si="5"/>
        <v>230004</v>
      </c>
    </row>
    <row r="47" spans="1:15" x14ac:dyDescent="0.3">
      <c r="A47" s="21" t="s">
        <v>41</v>
      </c>
      <c r="B47" s="10"/>
      <c r="C47" s="10"/>
      <c r="D47" s="207"/>
      <c r="E47" s="21">
        <v>2</v>
      </c>
      <c r="F47" s="29">
        <v>12</v>
      </c>
      <c r="G47" s="117">
        <f>'MEP Budget'!K110</f>
        <v>15358</v>
      </c>
      <c r="H47" s="124">
        <f t="shared" si="4"/>
        <v>30716</v>
      </c>
      <c r="I47" s="124">
        <f t="shared" si="5"/>
        <v>368592</v>
      </c>
    </row>
    <row r="48" spans="1:15" x14ac:dyDescent="0.3">
      <c r="A48" s="5" t="s">
        <v>40</v>
      </c>
      <c r="B48" s="10"/>
      <c r="C48" s="10"/>
      <c r="D48" s="207"/>
      <c r="E48" s="5">
        <v>1</v>
      </c>
      <c r="F48" s="29">
        <v>12</v>
      </c>
      <c r="G48" s="117">
        <f>'MEP Budget'!K111</f>
        <v>33009</v>
      </c>
      <c r="H48" s="124">
        <f t="shared" si="4"/>
        <v>33009</v>
      </c>
      <c r="I48" s="124">
        <f t="shared" si="5"/>
        <v>396108</v>
      </c>
    </row>
    <row r="49" spans="1:9" x14ac:dyDescent="0.3">
      <c r="A49" s="69" t="s">
        <v>11</v>
      </c>
      <c r="B49" s="52"/>
      <c r="C49" s="52"/>
      <c r="D49" s="207" t="s">
        <v>127</v>
      </c>
      <c r="E49" s="66">
        <v>0</v>
      </c>
      <c r="F49" s="29">
        <v>12</v>
      </c>
      <c r="G49" s="117">
        <f>'MEP Budget'!K112</f>
        <v>0</v>
      </c>
      <c r="H49" s="124">
        <f t="shared" si="4"/>
        <v>0</v>
      </c>
      <c r="I49" s="124">
        <f t="shared" si="5"/>
        <v>0</v>
      </c>
    </row>
    <row r="50" spans="1:9" x14ac:dyDescent="0.3">
      <c r="A50" s="69" t="s">
        <v>14</v>
      </c>
      <c r="B50" s="52"/>
      <c r="C50" s="52"/>
      <c r="D50" s="207"/>
      <c r="E50" s="66">
        <v>0</v>
      </c>
      <c r="F50" s="29">
        <v>12</v>
      </c>
      <c r="G50" s="117">
        <f>'MEP Budget'!K113</f>
        <v>0</v>
      </c>
      <c r="H50" s="124">
        <f t="shared" si="4"/>
        <v>0</v>
      </c>
      <c r="I50" s="124">
        <f t="shared" si="5"/>
        <v>0</v>
      </c>
    </row>
    <row r="51" spans="1:9" x14ac:dyDescent="0.3">
      <c r="A51" s="69" t="s">
        <v>19</v>
      </c>
      <c r="B51" s="52"/>
      <c r="C51" s="52"/>
      <c r="D51" s="207"/>
      <c r="E51" s="66">
        <v>0</v>
      </c>
      <c r="F51" s="29">
        <v>12</v>
      </c>
      <c r="G51" s="117">
        <f>'MEP Budget'!K114</f>
        <v>0</v>
      </c>
      <c r="H51" s="124">
        <f t="shared" si="4"/>
        <v>0</v>
      </c>
      <c r="I51" s="124">
        <f t="shared" si="5"/>
        <v>0</v>
      </c>
    </row>
    <row r="52" spans="1:9" ht="43.2" x14ac:dyDescent="0.3">
      <c r="A52" s="130" t="s">
        <v>147</v>
      </c>
      <c r="B52" s="131"/>
      <c r="C52" s="131"/>
      <c r="D52" s="132"/>
      <c r="E52" s="132"/>
      <c r="F52" s="213">
        <v>0.1</v>
      </c>
      <c r="G52" s="214"/>
      <c r="H52" s="214"/>
      <c r="I52" s="215"/>
    </row>
    <row r="53" spans="1:9" ht="22.8" customHeight="1" x14ac:dyDescent="0.3">
      <c r="A53" s="35" t="s">
        <v>134</v>
      </c>
      <c r="B53" s="26"/>
      <c r="C53" s="26"/>
      <c r="D53" s="32"/>
      <c r="E53" s="32"/>
      <c r="F53" s="213">
        <v>0.1</v>
      </c>
      <c r="G53" s="214"/>
      <c r="H53" s="214"/>
      <c r="I53" s="215"/>
    </row>
  </sheetData>
  <mergeCells count="19">
    <mergeCell ref="F52:I52"/>
    <mergeCell ref="F53:I53"/>
    <mergeCell ref="A1:E4"/>
    <mergeCell ref="G1:I1"/>
    <mergeCell ref="G2:I2"/>
    <mergeCell ref="G3:I3"/>
    <mergeCell ref="G4:I4"/>
    <mergeCell ref="D34:D35"/>
    <mergeCell ref="D39:D48"/>
    <mergeCell ref="D49:D51"/>
    <mergeCell ref="I6:I7"/>
    <mergeCell ref="D10:D25"/>
    <mergeCell ref="D26:D29"/>
    <mergeCell ref="D31:D33"/>
    <mergeCell ref="D6:D7"/>
    <mergeCell ref="E6:E7"/>
    <mergeCell ref="F6:F7"/>
    <mergeCell ref="G6:G7"/>
    <mergeCell ref="H6:H7"/>
  </mergeCells>
  <pageMargins left="0.7" right="0.7" top="0.75" bottom="0.75" header="0.3" footer="0.3"/>
  <pageSetup paperSize="9" scale="6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51CF6-5062-4C64-8169-5BE4DB9642E0}">
  <sheetPr codeName="Sheet6"/>
  <dimension ref="A1:M142"/>
  <sheetViews>
    <sheetView topLeftCell="A94" zoomScale="85" zoomScaleNormal="85" workbookViewId="0">
      <selection activeCell="K55" sqref="K55"/>
    </sheetView>
  </sheetViews>
  <sheetFormatPr defaultRowHeight="14.4" x14ac:dyDescent="0.3"/>
  <cols>
    <col min="1" max="1" width="4.88671875" customWidth="1"/>
    <col min="2" max="2" width="10.109375" customWidth="1"/>
    <col min="3" max="3" width="36.109375" customWidth="1"/>
    <col min="4" max="4" width="29.33203125" customWidth="1"/>
    <col min="5" max="5" width="17.33203125" customWidth="1"/>
    <col min="6" max="6" width="19.88671875" customWidth="1"/>
    <col min="7" max="7" width="17.6640625" bestFit="1" customWidth="1"/>
    <col min="8" max="8" width="19.33203125" customWidth="1"/>
    <col min="9" max="9" width="16.88671875" customWidth="1"/>
    <col min="10" max="10" width="1" customWidth="1"/>
    <col min="11" max="11" width="16.109375" customWidth="1"/>
    <col min="12" max="12" width="1" customWidth="1"/>
    <col min="13" max="13" width="17.33203125" customWidth="1"/>
  </cols>
  <sheetData>
    <row r="1" spans="1:13" ht="15" thickBot="1" x14ac:dyDescent="0.35"/>
    <row r="2" spans="1:13" ht="15" thickBot="1" x14ac:dyDescent="0.35">
      <c r="A2" s="73">
        <v>1</v>
      </c>
      <c r="B2" s="198" t="s">
        <v>150</v>
      </c>
      <c r="C2" s="198"/>
      <c r="D2" s="199"/>
      <c r="F2" s="74">
        <v>0.2</v>
      </c>
    </row>
    <row r="3" spans="1:13" ht="7.2" customHeight="1" x14ac:dyDescent="0.3">
      <c r="A3" s="75"/>
    </row>
    <row r="4" spans="1:13" ht="18" customHeight="1" x14ac:dyDescent="0.3">
      <c r="A4" s="76" t="s">
        <v>237</v>
      </c>
      <c r="B4" s="216" t="s">
        <v>238</v>
      </c>
      <c r="C4" s="217"/>
      <c r="D4" s="217"/>
    </row>
    <row r="5" spans="1:13" ht="15.6" customHeight="1" x14ac:dyDescent="0.3">
      <c r="A5" s="75"/>
    </row>
    <row r="6" spans="1:13" ht="28.8" x14ac:dyDescent="0.3">
      <c r="B6" s="76" t="s">
        <v>151</v>
      </c>
      <c r="C6" s="76" t="s">
        <v>152</v>
      </c>
      <c r="D6" s="76" t="s">
        <v>153</v>
      </c>
      <c r="E6" s="76" t="s">
        <v>154</v>
      </c>
      <c r="F6" s="76" t="s">
        <v>155</v>
      </c>
      <c r="G6" s="77" t="s">
        <v>156</v>
      </c>
      <c r="H6" s="77" t="s">
        <v>157</v>
      </c>
      <c r="I6" s="76" t="s">
        <v>158</v>
      </c>
      <c r="K6" s="76" t="s">
        <v>159</v>
      </c>
      <c r="M6" s="76" t="s">
        <v>160</v>
      </c>
    </row>
    <row r="7" spans="1:13" ht="33" customHeight="1" x14ac:dyDescent="0.3">
      <c r="B7" s="29">
        <v>1</v>
      </c>
      <c r="C7" s="120" t="str">
        <f>'MEP Scope BOQ '!A8</f>
        <v>MEP Engineer (2-4 Years experience)</v>
      </c>
      <c r="D7" s="120" t="str">
        <f>'[1]MEP Scope BOQ '!D8</f>
        <v>Morning 8AM - 5PM</v>
      </c>
      <c r="E7" s="79">
        <v>28000</v>
      </c>
      <c r="F7" s="79">
        <f>E7+(F$2*E7)</f>
        <v>33600</v>
      </c>
      <c r="G7" s="29">
        <f>'MEP Scope BOQ '!E8</f>
        <v>1</v>
      </c>
      <c r="H7" s="29">
        <f>G7</f>
        <v>1</v>
      </c>
      <c r="I7" s="79">
        <f>H7*F7</f>
        <v>33600</v>
      </c>
      <c r="K7" s="80">
        <f>ROUND((I7/(1-F$54))/G7,0)</f>
        <v>44085</v>
      </c>
      <c r="M7" s="81">
        <f>K7*G7</f>
        <v>44085</v>
      </c>
    </row>
    <row r="8" spans="1:13" ht="33" customHeight="1" x14ac:dyDescent="0.3">
      <c r="B8" s="29">
        <v>2</v>
      </c>
      <c r="C8" s="120" t="str">
        <f>'MEP Scope BOQ '!A9</f>
        <v>Safety Engineer</v>
      </c>
      <c r="D8" s="120" t="str">
        <f>'[1]MEP Scope BOQ '!D9</f>
        <v>Morning 8AM - 5PM</v>
      </c>
      <c r="E8" s="79">
        <v>20000</v>
      </c>
      <c r="F8" s="79">
        <f t="shared" ref="F8:F28" si="0">E8+(F$2*E8)</f>
        <v>24000</v>
      </c>
      <c r="G8" s="29">
        <f>'MEP Scope BOQ '!E9</f>
        <v>1</v>
      </c>
      <c r="H8" s="224">
        <v>2</v>
      </c>
      <c r="I8" s="79">
        <f t="shared" ref="I8:I28" si="1">H8*F8</f>
        <v>48000</v>
      </c>
      <c r="K8" s="80">
        <f t="shared" ref="K8:K27" si="2">ROUND((I8/(1-F$54))/G8,0)</f>
        <v>62979</v>
      </c>
      <c r="M8" s="81">
        <f t="shared" ref="M8:M28" si="3">K8*G8</f>
        <v>62979</v>
      </c>
    </row>
    <row r="9" spans="1:13" ht="33" customHeight="1" x14ac:dyDescent="0.3">
      <c r="B9" s="29">
        <v>3</v>
      </c>
      <c r="C9" s="120" t="str">
        <f>'MEP Scope BOQ '!A10</f>
        <v>Plumber</v>
      </c>
      <c r="D9" s="120" t="s">
        <v>239</v>
      </c>
      <c r="E9" s="79">
        <v>9000</v>
      </c>
      <c r="F9" s="79">
        <f t="shared" si="0"/>
        <v>10800</v>
      </c>
      <c r="G9" s="29">
        <f>'MEP Scope BOQ '!E10</f>
        <v>4</v>
      </c>
      <c r="H9" s="226">
        <v>6</v>
      </c>
      <c r="I9" s="79">
        <f t="shared" si="1"/>
        <v>64800</v>
      </c>
      <c r="K9" s="80">
        <f t="shared" si="2"/>
        <v>21255</v>
      </c>
      <c r="M9" s="81">
        <f t="shared" si="3"/>
        <v>85020</v>
      </c>
    </row>
    <row r="10" spans="1:13" ht="33" customHeight="1" x14ac:dyDescent="0.3">
      <c r="B10" s="29">
        <v>4</v>
      </c>
      <c r="C10" s="120" t="str">
        <f>'MEP Scope BOQ '!A11</f>
        <v>Mechanical</v>
      </c>
      <c r="D10" s="120" t="s">
        <v>239</v>
      </c>
      <c r="E10" s="79">
        <v>9250</v>
      </c>
      <c r="F10" s="79">
        <f t="shared" si="0"/>
        <v>11100</v>
      </c>
      <c r="G10" s="29">
        <f>'MEP Scope BOQ '!E11</f>
        <v>2</v>
      </c>
      <c r="H10" s="121">
        <f t="shared" ref="H10:H28" si="4">ROUNDUP(G10+(G10/4),1)</f>
        <v>2.5</v>
      </c>
      <c r="I10" s="79">
        <f t="shared" si="1"/>
        <v>27750</v>
      </c>
      <c r="K10" s="80">
        <f t="shared" si="2"/>
        <v>18205</v>
      </c>
      <c r="M10" s="81">
        <f t="shared" si="3"/>
        <v>36410</v>
      </c>
    </row>
    <row r="11" spans="1:13" ht="33" customHeight="1" x14ac:dyDescent="0.3">
      <c r="B11" s="29">
        <v>5</v>
      </c>
      <c r="C11" s="120" t="str">
        <f>'MEP Scope BOQ '!A12</f>
        <v>Swimming pools</v>
      </c>
      <c r="D11" s="120" t="s">
        <v>239</v>
      </c>
      <c r="E11" s="79">
        <v>9250</v>
      </c>
      <c r="F11" s="79">
        <f t="shared" si="0"/>
        <v>11100</v>
      </c>
      <c r="G11" s="29">
        <f>'MEP Scope BOQ '!E12</f>
        <v>3</v>
      </c>
      <c r="H11" s="121">
        <f t="shared" si="4"/>
        <v>3.8000000000000003</v>
      </c>
      <c r="I11" s="79">
        <f t="shared" si="1"/>
        <v>42180</v>
      </c>
      <c r="K11" s="80">
        <f t="shared" si="2"/>
        <v>18448</v>
      </c>
      <c r="M11" s="81">
        <f t="shared" si="3"/>
        <v>55344</v>
      </c>
    </row>
    <row r="12" spans="1:13" ht="33" customHeight="1" x14ac:dyDescent="0.3">
      <c r="B12" s="29">
        <v>6</v>
      </c>
      <c r="C12" s="120" t="str">
        <f>'MEP Scope BOQ '!A13</f>
        <v xml:space="preserve">Electrcian </v>
      </c>
      <c r="D12" s="120" t="s">
        <v>239</v>
      </c>
      <c r="E12" s="79">
        <v>9350</v>
      </c>
      <c r="F12" s="79">
        <f t="shared" si="0"/>
        <v>11220</v>
      </c>
      <c r="G12" s="29">
        <f>'MEP Scope BOQ '!E13</f>
        <v>3</v>
      </c>
      <c r="H12" s="226">
        <v>4.8</v>
      </c>
      <c r="I12" s="79">
        <f t="shared" si="1"/>
        <v>53856</v>
      </c>
      <c r="K12" s="80">
        <f t="shared" si="2"/>
        <v>23554</v>
      </c>
      <c r="M12" s="81">
        <f t="shared" si="3"/>
        <v>70662</v>
      </c>
    </row>
    <row r="13" spans="1:13" ht="33" customHeight="1" x14ac:dyDescent="0.3">
      <c r="B13" s="29">
        <v>7</v>
      </c>
      <c r="C13" s="120" t="str">
        <f>'MEP Scope BOQ '!A14</f>
        <v>Light Current</v>
      </c>
      <c r="D13" s="120" t="s">
        <v>239</v>
      </c>
      <c r="E13" s="79">
        <v>10000</v>
      </c>
      <c r="F13" s="79">
        <f t="shared" si="0"/>
        <v>12000</v>
      </c>
      <c r="G13" s="29">
        <f>'MEP Scope BOQ '!E14</f>
        <v>1</v>
      </c>
      <c r="H13" s="121">
        <f t="shared" si="4"/>
        <v>1.3</v>
      </c>
      <c r="I13" s="79">
        <f t="shared" si="1"/>
        <v>15600</v>
      </c>
      <c r="K13" s="80">
        <f t="shared" si="2"/>
        <v>20468</v>
      </c>
      <c r="M13" s="81">
        <f t="shared" si="3"/>
        <v>20468</v>
      </c>
    </row>
    <row r="14" spans="1:13" ht="33" customHeight="1" x14ac:dyDescent="0.3">
      <c r="B14" s="29">
        <v>8</v>
      </c>
      <c r="C14" s="120" t="str">
        <f>'MEP Scope BOQ '!A15</f>
        <v>Control</v>
      </c>
      <c r="D14" s="120" t="s">
        <v>239</v>
      </c>
      <c r="E14" s="79">
        <v>10500</v>
      </c>
      <c r="F14" s="79">
        <f t="shared" si="0"/>
        <v>12600</v>
      </c>
      <c r="G14" s="29">
        <f>'MEP Scope BOQ '!E15</f>
        <v>1</v>
      </c>
      <c r="H14" s="121">
        <f t="shared" si="4"/>
        <v>1.3</v>
      </c>
      <c r="I14" s="79">
        <f t="shared" si="1"/>
        <v>16380</v>
      </c>
      <c r="K14" s="80">
        <f t="shared" si="2"/>
        <v>21491</v>
      </c>
      <c r="M14" s="81">
        <f t="shared" si="3"/>
        <v>21491</v>
      </c>
    </row>
    <row r="15" spans="1:13" ht="33" customHeight="1" x14ac:dyDescent="0.3">
      <c r="B15" s="29">
        <v>9</v>
      </c>
      <c r="C15" s="120" t="str">
        <f>'MEP Scope BOQ '!A16</f>
        <v>Generators Tech.</v>
      </c>
      <c r="D15" s="120" t="s">
        <v>239</v>
      </c>
      <c r="E15" s="79">
        <v>9850</v>
      </c>
      <c r="F15" s="79">
        <f t="shared" si="0"/>
        <v>11820</v>
      </c>
      <c r="G15" s="29">
        <f>'MEP Scope BOQ '!E16</f>
        <v>0</v>
      </c>
      <c r="H15" s="121">
        <f t="shared" si="4"/>
        <v>0</v>
      </c>
      <c r="I15" s="79">
        <f t="shared" si="1"/>
        <v>0</v>
      </c>
      <c r="K15" s="80">
        <f>IFERROR(ROUND((I15/(1-F$54))/G15,0),0)</f>
        <v>0</v>
      </c>
      <c r="M15" s="81">
        <f t="shared" si="3"/>
        <v>0</v>
      </c>
    </row>
    <row r="16" spans="1:13" ht="33" customHeight="1" x14ac:dyDescent="0.3">
      <c r="B16" s="29">
        <v>10</v>
      </c>
      <c r="C16" s="120" t="str">
        <f>'MEP Scope BOQ '!A17</f>
        <v>Painters</v>
      </c>
      <c r="D16" s="120" t="s">
        <v>239</v>
      </c>
      <c r="E16" s="79">
        <v>9000</v>
      </c>
      <c r="F16" s="79">
        <f t="shared" si="0"/>
        <v>10800</v>
      </c>
      <c r="G16" s="29">
        <f>'MEP Scope BOQ '!E17</f>
        <v>1</v>
      </c>
      <c r="H16" s="121">
        <f t="shared" si="4"/>
        <v>1.3</v>
      </c>
      <c r="I16" s="79">
        <f t="shared" si="1"/>
        <v>14040</v>
      </c>
      <c r="K16" s="80">
        <f t="shared" si="2"/>
        <v>18421</v>
      </c>
      <c r="M16" s="81">
        <f t="shared" si="3"/>
        <v>18421</v>
      </c>
    </row>
    <row r="17" spans="2:13" ht="33" customHeight="1" x14ac:dyDescent="0.3">
      <c r="B17" s="29">
        <v>11</v>
      </c>
      <c r="C17" s="120" t="str">
        <f>'MEP Scope BOQ '!A18</f>
        <v>Carpenter</v>
      </c>
      <c r="D17" s="120" t="s">
        <v>239</v>
      </c>
      <c r="E17" s="79">
        <v>9000</v>
      </c>
      <c r="F17" s="79">
        <f t="shared" si="0"/>
        <v>10800</v>
      </c>
      <c r="G17" s="29">
        <f>'MEP Scope BOQ '!E18</f>
        <v>0</v>
      </c>
      <c r="H17" s="121">
        <f t="shared" si="4"/>
        <v>0</v>
      </c>
      <c r="I17" s="79">
        <f t="shared" si="1"/>
        <v>0</v>
      </c>
      <c r="K17" s="80">
        <f>IFERROR(ROUND((I17/(1-F$54))/G17,0),0)</f>
        <v>0</v>
      </c>
      <c r="M17" s="81">
        <f t="shared" si="3"/>
        <v>0</v>
      </c>
    </row>
    <row r="18" spans="2:13" ht="33" customHeight="1" x14ac:dyDescent="0.3">
      <c r="B18" s="29">
        <v>12</v>
      </c>
      <c r="C18" s="120" t="str">
        <f>'MEP Scope BOQ '!A19</f>
        <v>Civil Workers</v>
      </c>
      <c r="D18" s="120" t="s">
        <v>239</v>
      </c>
      <c r="E18" s="79">
        <v>9000</v>
      </c>
      <c r="F18" s="79">
        <f t="shared" si="0"/>
        <v>10800</v>
      </c>
      <c r="G18" s="29">
        <f>'MEP Scope BOQ '!E19</f>
        <v>1</v>
      </c>
      <c r="H18" s="226">
        <v>2.2999999999999998</v>
      </c>
      <c r="I18" s="79">
        <f t="shared" si="1"/>
        <v>24839.999999999996</v>
      </c>
      <c r="K18" s="80">
        <f t="shared" si="2"/>
        <v>32591</v>
      </c>
      <c r="M18" s="81">
        <f t="shared" si="3"/>
        <v>32591</v>
      </c>
    </row>
    <row r="19" spans="2:13" ht="33" customHeight="1" x14ac:dyDescent="0.3">
      <c r="B19" s="29">
        <v>13</v>
      </c>
      <c r="C19" s="120" t="str">
        <f>'MEP Scope BOQ '!A20</f>
        <v>Labors</v>
      </c>
      <c r="D19" s="120" t="s">
        <v>239</v>
      </c>
      <c r="E19" s="79">
        <v>7500</v>
      </c>
      <c r="F19" s="79">
        <f t="shared" si="0"/>
        <v>9000</v>
      </c>
      <c r="G19" s="29">
        <f>'MEP Scope BOQ '!E20</f>
        <v>3</v>
      </c>
      <c r="H19" s="121">
        <f t="shared" si="4"/>
        <v>3.8000000000000003</v>
      </c>
      <c r="I19" s="79">
        <f t="shared" si="1"/>
        <v>34200</v>
      </c>
      <c r="K19" s="80">
        <f t="shared" si="2"/>
        <v>14957</v>
      </c>
      <c r="M19" s="81">
        <f t="shared" si="3"/>
        <v>44871</v>
      </c>
    </row>
    <row r="20" spans="2:13" ht="33" customHeight="1" x14ac:dyDescent="0.3">
      <c r="B20" s="29">
        <v>14</v>
      </c>
      <c r="C20" s="120" t="str">
        <f>'MEP Scope BOQ '!A21</f>
        <v>Aluminum</v>
      </c>
      <c r="D20" s="120" t="s">
        <v>239</v>
      </c>
      <c r="E20" s="79">
        <v>9000</v>
      </c>
      <c r="F20" s="79">
        <f t="shared" si="0"/>
        <v>10800</v>
      </c>
      <c r="G20" s="29">
        <f>'MEP Scope BOQ '!E21</f>
        <v>1</v>
      </c>
      <c r="H20" s="121">
        <f t="shared" si="4"/>
        <v>1.3</v>
      </c>
      <c r="I20" s="79">
        <f t="shared" si="1"/>
        <v>14040</v>
      </c>
      <c r="K20" s="80">
        <f t="shared" si="2"/>
        <v>18421</v>
      </c>
      <c r="M20" s="81">
        <f t="shared" si="3"/>
        <v>18421</v>
      </c>
    </row>
    <row r="21" spans="2:13" ht="33" customHeight="1" x14ac:dyDescent="0.3">
      <c r="B21" s="29">
        <v>15</v>
      </c>
      <c r="C21" s="120" t="str">
        <f>'MEP Scope BOQ '!A22</f>
        <v>Gypsum Board (Instead of Interlock)</v>
      </c>
      <c r="D21" s="120" t="s">
        <v>239</v>
      </c>
      <c r="E21" s="79">
        <v>9000</v>
      </c>
      <c r="F21" s="79">
        <f t="shared" si="0"/>
        <v>10800</v>
      </c>
      <c r="G21" s="29">
        <f>'MEP Scope BOQ '!E22</f>
        <v>1</v>
      </c>
      <c r="H21" s="121">
        <f t="shared" si="4"/>
        <v>1.3</v>
      </c>
      <c r="I21" s="79">
        <f t="shared" si="1"/>
        <v>14040</v>
      </c>
      <c r="K21" s="80">
        <f t="shared" si="2"/>
        <v>18421</v>
      </c>
      <c r="M21" s="81">
        <f t="shared" si="3"/>
        <v>18421</v>
      </c>
    </row>
    <row r="22" spans="2:13" ht="33" customHeight="1" x14ac:dyDescent="0.3">
      <c r="B22" s="29">
        <v>16</v>
      </c>
      <c r="C22" s="120" t="str">
        <f>'MEP Scope BOQ '!A23</f>
        <v>Marble &amp; Ceramics</v>
      </c>
      <c r="D22" s="120" t="s">
        <v>239</v>
      </c>
      <c r="E22" s="79">
        <v>9000</v>
      </c>
      <c r="F22" s="79">
        <f t="shared" si="0"/>
        <v>10800</v>
      </c>
      <c r="G22" s="29">
        <f>'MEP Scope BOQ '!E23</f>
        <v>1</v>
      </c>
      <c r="H22" s="121">
        <f t="shared" si="4"/>
        <v>1.3</v>
      </c>
      <c r="I22" s="79">
        <f t="shared" si="1"/>
        <v>14040</v>
      </c>
      <c r="K22" s="80">
        <f t="shared" si="2"/>
        <v>18421</v>
      </c>
      <c r="M22" s="81">
        <f t="shared" si="3"/>
        <v>18421</v>
      </c>
    </row>
    <row r="23" spans="2:13" ht="33" customHeight="1" x14ac:dyDescent="0.3">
      <c r="B23" s="29">
        <v>17</v>
      </c>
      <c r="C23" s="120" t="str">
        <f>'MEP Scope BOQ '!A24</f>
        <v>Mechanical Supervisor</v>
      </c>
      <c r="D23" s="120" t="s">
        <v>239</v>
      </c>
      <c r="E23" s="79">
        <v>14500</v>
      </c>
      <c r="F23" s="79">
        <f t="shared" si="0"/>
        <v>17400</v>
      </c>
      <c r="G23" s="29">
        <f>'MEP Scope BOQ '!E24</f>
        <v>1</v>
      </c>
      <c r="H23" s="226">
        <v>2.2999999999999998</v>
      </c>
      <c r="I23" s="79">
        <f t="shared" si="1"/>
        <v>40020</v>
      </c>
      <c r="K23" s="80">
        <f t="shared" si="2"/>
        <v>52508</v>
      </c>
      <c r="M23" s="81">
        <f t="shared" si="3"/>
        <v>52508</v>
      </c>
    </row>
    <row r="24" spans="2:13" ht="33" customHeight="1" x14ac:dyDescent="0.3">
      <c r="B24" s="29">
        <v>18</v>
      </c>
      <c r="C24" s="120" t="str">
        <f>'MEP Scope BOQ '!A25</f>
        <v>Electrical Supervisor</v>
      </c>
      <c r="D24" s="120" t="s">
        <v>239</v>
      </c>
      <c r="E24" s="79">
        <v>14500</v>
      </c>
      <c r="F24" s="79">
        <f t="shared" si="0"/>
        <v>17400</v>
      </c>
      <c r="G24" s="29">
        <f>'MEP Scope BOQ '!E25</f>
        <v>1</v>
      </c>
      <c r="H24" s="121">
        <f t="shared" si="4"/>
        <v>1.3</v>
      </c>
      <c r="I24" s="79">
        <f t="shared" si="1"/>
        <v>22620</v>
      </c>
      <c r="K24" s="80">
        <f t="shared" si="2"/>
        <v>29679</v>
      </c>
      <c r="M24" s="81">
        <f t="shared" si="3"/>
        <v>29679</v>
      </c>
    </row>
    <row r="25" spans="2:13" ht="33" customHeight="1" x14ac:dyDescent="0.3">
      <c r="B25" s="29">
        <v>19</v>
      </c>
      <c r="C25" s="120" t="str">
        <f>'MEP Scope BOQ '!A26</f>
        <v>Plumber</v>
      </c>
      <c r="D25" s="120" t="s">
        <v>240</v>
      </c>
      <c r="E25" s="79">
        <v>9000</v>
      </c>
      <c r="F25" s="79">
        <f t="shared" si="0"/>
        <v>10800</v>
      </c>
      <c r="G25" s="29">
        <f>'MEP Scope BOQ '!E26</f>
        <v>2</v>
      </c>
      <c r="H25" s="226">
        <v>3.5</v>
      </c>
      <c r="I25" s="79">
        <f t="shared" si="1"/>
        <v>37800</v>
      </c>
      <c r="K25" s="80">
        <f t="shared" si="2"/>
        <v>24798</v>
      </c>
      <c r="M25" s="81">
        <f t="shared" si="3"/>
        <v>49596</v>
      </c>
    </row>
    <row r="26" spans="2:13" ht="33" customHeight="1" x14ac:dyDescent="0.3">
      <c r="B26" s="29">
        <v>20</v>
      </c>
      <c r="C26" s="120" t="str">
        <f>'MEP Scope BOQ '!A27</f>
        <v xml:space="preserve">Electrcian </v>
      </c>
      <c r="D26" s="120" t="s">
        <v>240</v>
      </c>
      <c r="E26" s="79">
        <v>9350</v>
      </c>
      <c r="F26" s="79">
        <f t="shared" si="0"/>
        <v>11220</v>
      </c>
      <c r="G26" s="29">
        <f>'MEP Scope BOQ '!E27</f>
        <v>2</v>
      </c>
      <c r="H26" s="226">
        <v>3.5</v>
      </c>
      <c r="I26" s="79">
        <f t="shared" si="1"/>
        <v>39270</v>
      </c>
      <c r="K26" s="80">
        <f t="shared" si="2"/>
        <v>25762</v>
      </c>
      <c r="M26" s="81">
        <f t="shared" si="3"/>
        <v>51524</v>
      </c>
    </row>
    <row r="27" spans="2:13" ht="33" customHeight="1" x14ac:dyDescent="0.3">
      <c r="B27" s="29">
        <v>21</v>
      </c>
      <c r="C27" s="120" t="str">
        <f>'MEP Scope BOQ '!A28</f>
        <v>Control</v>
      </c>
      <c r="D27" s="120" t="s">
        <v>240</v>
      </c>
      <c r="E27" s="79">
        <v>10500</v>
      </c>
      <c r="F27" s="79">
        <f t="shared" si="0"/>
        <v>12600</v>
      </c>
      <c r="G27" s="29">
        <f>'MEP Scope BOQ '!E28</f>
        <v>1</v>
      </c>
      <c r="H27" s="121">
        <f t="shared" si="4"/>
        <v>1.3</v>
      </c>
      <c r="I27" s="79">
        <f t="shared" si="1"/>
        <v>16380</v>
      </c>
      <c r="K27" s="80">
        <f t="shared" si="2"/>
        <v>21491</v>
      </c>
      <c r="M27" s="81">
        <f t="shared" si="3"/>
        <v>21491</v>
      </c>
    </row>
    <row r="28" spans="2:13" ht="33" customHeight="1" x14ac:dyDescent="0.3">
      <c r="B28" s="29">
        <v>22</v>
      </c>
      <c r="C28" s="120" t="str">
        <f>'MEP Scope BOQ '!A29</f>
        <v>Generators Tech.</v>
      </c>
      <c r="D28" s="120" t="s">
        <v>240</v>
      </c>
      <c r="E28" s="79">
        <v>9850</v>
      </c>
      <c r="F28" s="79">
        <f t="shared" si="0"/>
        <v>11820</v>
      </c>
      <c r="G28" s="29">
        <f>'MEP Scope BOQ '!E29</f>
        <v>0</v>
      </c>
      <c r="H28" s="121">
        <f t="shared" si="4"/>
        <v>0</v>
      </c>
      <c r="I28" s="79">
        <f t="shared" si="1"/>
        <v>0</v>
      </c>
      <c r="K28" s="80">
        <f>IFERROR(ROUND((I28/(1-F$54))/G28,0),0)</f>
        <v>0</v>
      </c>
      <c r="M28" s="81">
        <f t="shared" si="3"/>
        <v>0</v>
      </c>
    </row>
    <row r="29" spans="2:13" ht="9" customHeight="1" thickBot="1" x14ac:dyDescent="0.35"/>
    <row r="30" spans="2:13" ht="28.2" customHeight="1" thickBot="1" x14ac:dyDescent="0.35">
      <c r="H30" s="83" t="s">
        <v>161</v>
      </c>
      <c r="I30" s="84">
        <f>SUM(I7:I28)</f>
        <v>573456</v>
      </c>
      <c r="M30" s="85">
        <f>SUM(M7:M28)</f>
        <v>752403</v>
      </c>
    </row>
    <row r="32" spans="2:13" ht="15" thickBot="1" x14ac:dyDescent="0.35"/>
    <row r="33" spans="1:6" ht="15" thickBot="1" x14ac:dyDescent="0.35">
      <c r="A33" s="73">
        <v>2</v>
      </c>
      <c r="B33" s="198" t="s">
        <v>162</v>
      </c>
      <c r="C33" s="198"/>
      <c r="D33" s="199"/>
    </row>
    <row r="34" spans="1:6" ht="7.2" customHeight="1" x14ac:dyDescent="0.3">
      <c r="A34" s="75"/>
    </row>
    <row r="35" spans="1:6" x14ac:dyDescent="0.3">
      <c r="B35" s="76" t="s">
        <v>151</v>
      </c>
      <c r="C35" s="76" t="s">
        <v>163</v>
      </c>
      <c r="D35" s="76" t="s">
        <v>164</v>
      </c>
      <c r="E35" s="76" t="s">
        <v>165</v>
      </c>
      <c r="F35" s="76" t="s">
        <v>166</v>
      </c>
    </row>
    <row r="36" spans="1:6" ht="18.600000000000001" customHeight="1" x14ac:dyDescent="0.3">
      <c r="B36" s="29">
        <v>2.1</v>
      </c>
      <c r="C36" s="86" t="s">
        <v>167</v>
      </c>
      <c r="D36" s="79">
        <f>SUM(H8:H28)</f>
        <v>44.9</v>
      </c>
      <c r="E36" s="79">
        <v>500</v>
      </c>
      <c r="F36" s="81">
        <f>E36*D36</f>
        <v>22450</v>
      </c>
    </row>
    <row r="37" spans="1:6" ht="18.600000000000001" customHeight="1" x14ac:dyDescent="0.3">
      <c r="B37" s="29">
        <v>2.2000000000000002</v>
      </c>
      <c r="C37" s="86" t="s">
        <v>190</v>
      </c>
      <c r="D37" s="79">
        <v>1</v>
      </c>
      <c r="E37" s="79">
        <v>8500</v>
      </c>
      <c r="F37" s="81">
        <f>E37*D37</f>
        <v>8500</v>
      </c>
    </row>
    <row r="38" spans="1:6" ht="18.600000000000001" customHeight="1" x14ac:dyDescent="0.3">
      <c r="B38" s="29">
        <v>2.2999999999999998</v>
      </c>
      <c r="C38" s="86" t="s">
        <v>210</v>
      </c>
      <c r="D38" s="79">
        <v>1</v>
      </c>
      <c r="E38" s="81">
        <v>9850</v>
      </c>
      <c r="F38" s="81">
        <f t="shared" ref="F38:F42" si="5">E38*D38</f>
        <v>9850</v>
      </c>
    </row>
    <row r="39" spans="1:6" ht="18.600000000000001" customHeight="1" x14ac:dyDescent="0.3">
      <c r="B39" s="29">
        <v>2.4</v>
      </c>
      <c r="C39" s="86" t="s">
        <v>241</v>
      </c>
      <c r="D39" s="79">
        <v>1</v>
      </c>
      <c r="E39" s="79">
        <v>6750</v>
      </c>
      <c r="F39" s="81">
        <f t="shared" si="5"/>
        <v>6750</v>
      </c>
    </row>
    <row r="40" spans="1:6" ht="18.600000000000001" customHeight="1" x14ac:dyDescent="0.3">
      <c r="B40" s="29">
        <v>2.5</v>
      </c>
      <c r="C40" s="86" t="s">
        <v>242</v>
      </c>
      <c r="D40" s="79">
        <v>0</v>
      </c>
      <c r="E40" s="79">
        <v>38500</v>
      </c>
      <c r="F40" s="81">
        <f t="shared" si="5"/>
        <v>0</v>
      </c>
    </row>
    <row r="41" spans="1:6" ht="18.600000000000001" customHeight="1" x14ac:dyDescent="0.3">
      <c r="B41" s="29">
        <v>2.6</v>
      </c>
      <c r="C41" s="86" t="s">
        <v>243</v>
      </c>
      <c r="D41" s="79">
        <f>SUM(G8:G28)</f>
        <v>30</v>
      </c>
      <c r="E41" s="79">
        <v>2000</v>
      </c>
      <c r="F41" s="81">
        <f t="shared" si="5"/>
        <v>60000</v>
      </c>
    </row>
    <row r="42" spans="1:6" ht="18.600000000000001" customHeight="1" x14ac:dyDescent="0.3">
      <c r="B42" s="29">
        <v>2.7</v>
      </c>
      <c r="C42" s="86" t="s">
        <v>244</v>
      </c>
      <c r="D42" s="79">
        <v>1</v>
      </c>
      <c r="E42" s="79">
        <v>3000</v>
      </c>
      <c r="F42" s="81">
        <f t="shared" si="5"/>
        <v>3000</v>
      </c>
    </row>
    <row r="43" spans="1:6" ht="9" customHeight="1" thickBot="1" x14ac:dyDescent="0.35"/>
    <row r="44" spans="1:6" ht="26.4" customHeight="1" thickBot="1" x14ac:dyDescent="0.35">
      <c r="E44" s="83" t="s">
        <v>174</v>
      </c>
      <c r="F44" s="84">
        <f>SUM(F36:F42)</f>
        <v>110550</v>
      </c>
    </row>
    <row r="45" spans="1:6" ht="15" thickBot="1" x14ac:dyDescent="0.35"/>
    <row r="46" spans="1:6" ht="15" thickBot="1" x14ac:dyDescent="0.35">
      <c r="A46" s="73">
        <v>3</v>
      </c>
      <c r="B46" s="198" t="s">
        <v>175</v>
      </c>
      <c r="C46" s="198"/>
      <c r="D46" s="199"/>
    </row>
    <row r="47" spans="1:6" ht="7.2" customHeight="1" x14ac:dyDescent="0.3">
      <c r="A47" s="75"/>
    </row>
    <row r="48" spans="1:6" x14ac:dyDescent="0.3">
      <c r="B48" s="76" t="s">
        <v>151</v>
      </c>
      <c r="C48" s="76" t="s">
        <v>163</v>
      </c>
      <c r="D48" s="76" t="s">
        <v>176</v>
      </c>
      <c r="E48" s="76" t="s">
        <v>177</v>
      </c>
      <c r="F48" s="76" t="s">
        <v>166</v>
      </c>
    </row>
    <row r="49" spans="1:13" ht="18.600000000000001" customHeight="1" x14ac:dyDescent="0.3">
      <c r="B49" s="29">
        <v>3.1</v>
      </c>
      <c r="C49" s="86" t="s">
        <v>178</v>
      </c>
      <c r="D49" s="87">
        <v>0</v>
      </c>
      <c r="E49" s="79">
        <f>(I30+F44)</f>
        <v>684006</v>
      </c>
      <c r="F49" s="81">
        <f>E49*D49</f>
        <v>0</v>
      </c>
    </row>
    <row r="50" spans="1:13" ht="18.600000000000001" customHeight="1" x14ac:dyDescent="0.3">
      <c r="B50" s="29">
        <v>3.2</v>
      </c>
      <c r="C50" s="86" t="s">
        <v>179</v>
      </c>
      <c r="D50" s="87">
        <v>0.1</v>
      </c>
      <c r="E50" s="79">
        <f>E49</f>
        <v>684006</v>
      </c>
      <c r="F50" s="81">
        <f>E50*D50</f>
        <v>68400.600000000006</v>
      </c>
    </row>
    <row r="51" spans="1:13" ht="9" customHeight="1" thickBot="1" x14ac:dyDescent="0.35"/>
    <row r="52" spans="1:13" ht="26.4" customHeight="1" thickBot="1" x14ac:dyDescent="0.35">
      <c r="E52" s="83" t="s">
        <v>180</v>
      </c>
      <c r="F52" s="84">
        <f>SUM(F49:F50)</f>
        <v>68400.600000000006</v>
      </c>
    </row>
    <row r="53" spans="1:13" ht="9.6" customHeight="1" thickBot="1" x14ac:dyDescent="0.35"/>
    <row r="54" spans="1:13" ht="19.2" customHeight="1" thickBot="1" x14ac:dyDescent="0.35">
      <c r="E54" s="88" t="s">
        <v>181</v>
      </c>
      <c r="F54" s="89">
        <f>(F52+F44)/(F52+F44+I30)</f>
        <v>0.23783762662368993</v>
      </c>
    </row>
    <row r="55" spans="1:13" ht="7.95" customHeight="1" thickBot="1" x14ac:dyDescent="0.35"/>
    <row r="56" spans="1:13" ht="21.6" customHeight="1" thickBot="1" x14ac:dyDescent="0.35">
      <c r="E56" s="88" t="s">
        <v>182</v>
      </c>
      <c r="F56" s="90">
        <f>F52+F44+I30</f>
        <v>752406.6</v>
      </c>
    </row>
    <row r="59" spans="1:13" ht="18" customHeight="1" x14ac:dyDescent="0.3">
      <c r="A59" s="76" t="s">
        <v>245</v>
      </c>
      <c r="B59" s="218" t="s">
        <v>246</v>
      </c>
      <c r="C59" s="218"/>
      <c r="D59" s="218"/>
    </row>
    <row r="60" spans="1:13" ht="15.6" customHeight="1" x14ac:dyDescent="0.3">
      <c r="A60" s="75"/>
    </row>
    <row r="61" spans="1:13" ht="28.8" x14ac:dyDescent="0.3">
      <c r="B61" s="76" t="s">
        <v>151</v>
      </c>
      <c r="C61" s="76" t="s">
        <v>152</v>
      </c>
      <c r="D61" s="76" t="s">
        <v>153</v>
      </c>
      <c r="E61" s="76" t="s">
        <v>154</v>
      </c>
      <c r="F61" s="76" t="s">
        <v>155</v>
      </c>
      <c r="G61" s="77" t="s">
        <v>156</v>
      </c>
      <c r="H61" s="77" t="s">
        <v>157</v>
      </c>
      <c r="I61" s="76" t="s">
        <v>158</v>
      </c>
      <c r="K61" s="76" t="s">
        <v>159</v>
      </c>
      <c r="M61" s="76" t="s">
        <v>160</v>
      </c>
    </row>
    <row r="62" spans="1:13" ht="33" customHeight="1" x14ac:dyDescent="0.3">
      <c r="B62" s="29">
        <v>1</v>
      </c>
      <c r="C62" s="120" t="str">
        <f>'[1]MEP Scope BOQ '!A31</f>
        <v xml:space="preserve">Electrcian </v>
      </c>
      <c r="D62" s="120" t="s">
        <v>247</v>
      </c>
      <c r="E62" s="79">
        <f>E12</f>
        <v>9350</v>
      </c>
      <c r="F62" s="79">
        <f>E62+(F$2*E62)</f>
        <v>11220</v>
      </c>
      <c r="G62" s="29">
        <f>'[1]MEP Scope BOQ '!E31</f>
        <v>1</v>
      </c>
      <c r="H62" s="122">
        <v>1</v>
      </c>
      <c r="I62" s="79">
        <f>H62*F62</f>
        <v>11220</v>
      </c>
      <c r="K62" s="80">
        <f>ROUND((I62/(1-F$93))/G62,0)</f>
        <v>15854</v>
      </c>
      <c r="M62" s="81">
        <f>K62*G62</f>
        <v>15854</v>
      </c>
    </row>
    <row r="63" spans="1:13" ht="33" customHeight="1" x14ac:dyDescent="0.3">
      <c r="B63" s="29">
        <v>2</v>
      </c>
      <c r="C63" s="120" t="str">
        <f>'[1]MEP Scope BOQ '!A32</f>
        <v>Mechanical</v>
      </c>
      <c r="D63" s="120" t="s">
        <v>247</v>
      </c>
      <c r="E63" s="79">
        <f>E10</f>
        <v>9250</v>
      </c>
      <c r="F63" s="79">
        <f t="shared" ref="F63:F67" si="6">E63+(F$2*E63)</f>
        <v>11100</v>
      </c>
      <c r="G63" s="29">
        <f>'[1]MEP Scope BOQ '!E32</f>
        <v>1</v>
      </c>
      <c r="H63" s="225">
        <v>2</v>
      </c>
      <c r="I63" s="79">
        <f t="shared" ref="I63:I67" si="7">H63*F63</f>
        <v>22200</v>
      </c>
      <c r="K63" s="80">
        <f t="shared" ref="K63:K67" si="8">ROUND((I63/(1-F$93))/G63,0)</f>
        <v>31369</v>
      </c>
      <c r="M63" s="81">
        <f t="shared" ref="M63:M67" si="9">K63*G63</f>
        <v>31369</v>
      </c>
    </row>
    <row r="64" spans="1:13" ht="33" customHeight="1" x14ac:dyDescent="0.3">
      <c r="B64" s="29">
        <v>3</v>
      </c>
      <c r="C64" s="120" t="str">
        <f>'[1]MEP Scope BOQ '!A33</f>
        <v>Control</v>
      </c>
      <c r="D64" s="120" t="s">
        <v>247</v>
      </c>
      <c r="E64" s="79">
        <f>E27</f>
        <v>10500</v>
      </c>
      <c r="F64" s="79">
        <f t="shared" si="6"/>
        <v>12600</v>
      </c>
      <c r="G64" s="29">
        <f>'[1]MEP Scope BOQ '!E33</f>
        <v>1</v>
      </c>
      <c r="H64" s="122">
        <v>1</v>
      </c>
      <c r="I64" s="79">
        <f t="shared" si="7"/>
        <v>12600</v>
      </c>
      <c r="K64" s="80">
        <f t="shared" si="8"/>
        <v>17804</v>
      </c>
      <c r="M64" s="81">
        <f t="shared" si="9"/>
        <v>17804</v>
      </c>
    </row>
    <row r="65" spans="1:13" ht="33" customHeight="1" x14ac:dyDescent="0.3">
      <c r="B65" s="29">
        <v>4</v>
      </c>
      <c r="C65" s="120" t="str">
        <f>'[1]MEP Scope BOQ '!A34</f>
        <v>Mechanical</v>
      </c>
      <c r="D65" s="120" t="s">
        <v>248</v>
      </c>
      <c r="E65" s="79">
        <f>E63</f>
        <v>9250</v>
      </c>
      <c r="F65" s="79">
        <f t="shared" si="6"/>
        <v>11100</v>
      </c>
      <c r="G65" s="29">
        <f>'[1]MEP Scope BOQ '!E34</f>
        <v>1</v>
      </c>
      <c r="H65" s="122">
        <v>1</v>
      </c>
      <c r="I65" s="79">
        <f t="shared" si="7"/>
        <v>11100</v>
      </c>
      <c r="K65" s="80">
        <f t="shared" si="8"/>
        <v>15685</v>
      </c>
      <c r="M65" s="81">
        <f t="shared" si="9"/>
        <v>15685</v>
      </c>
    </row>
    <row r="66" spans="1:13" ht="33" customHeight="1" x14ac:dyDescent="0.3">
      <c r="B66" s="29">
        <v>5</v>
      </c>
      <c r="C66" s="120" t="str">
        <f>'[1]MEP Scope BOQ '!A35</f>
        <v>Control</v>
      </c>
      <c r="D66" s="120" t="s">
        <v>248</v>
      </c>
      <c r="E66" s="79">
        <f>E64</f>
        <v>10500</v>
      </c>
      <c r="F66" s="79">
        <f t="shared" si="6"/>
        <v>12600</v>
      </c>
      <c r="G66" s="29">
        <f>'[1]MEP Scope BOQ '!E35</f>
        <v>1</v>
      </c>
      <c r="H66" s="225">
        <v>2</v>
      </c>
      <c r="I66" s="79">
        <f t="shared" si="7"/>
        <v>25200</v>
      </c>
      <c r="K66" s="80">
        <f t="shared" si="8"/>
        <v>35609</v>
      </c>
      <c r="M66" s="81">
        <f t="shared" si="9"/>
        <v>35609</v>
      </c>
    </row>
    <row r="67" spans="1:13" ht="33" customHeight="1" x14ac:dyDescent="0.3">
      <c r="B67" s="29">
        <v>6</v>
      </c>
      <c r="C67" s="120" t="str">
        <f>'[1]MEP Scope BOQ '!A36</f>
        <v>Plumber</v>
      </c>
      <c r="D67" s="120" t="s">
        <v>249</v>
      </c>
      <c r="E67" s="79">
        <f>E9</f>
        <v>9000</v>
      </c>
      <c r="F67" s="79">
        <f t="shared" si="6"/>
        <v>10800</v>
      </c>
      <c r="G67" s="29">
        <f>'[1]MEP Scope BOQ '!E36</f>
        <v>1</v>
      </c>
      <c r="H67" s="122">
        <v>1</v>
      </c>
      <c r="I67" s="79">
        <f t="shared" si="7"/>
        <v>10800</v>
      </c>
      <c r="K67" s="80">
        <f t="shared" si="8"/>
        <v>15261</v>
      </c>
      <c r="M67" s="81">
        <f t="shared" si="9"/>
        <v>15261</v>
      </c>
    </row>
    <row r="68" spans="1:13" ht="9" customHeight="1" thickBot="1" x14ac:dyDescent="0.35"/>
    <row r="69" spans="1:13" ht="28.2" customHeight="1" thickBot="1" x14ac:dyDescent="0.35">
      <c r="H69" s="83" t="s">
        <v>161</v>
      </c>
      <c r="I69" s="84">
        <f>SUM(I62:I67)</f>
        <v>93120</v>
      </c>
      <c r="M69" s="85">
        <f>SUM(M62:M67)</f>
        <v>131582</v>
      </c>
    </row>
    <row r="71" spans="1:13" ht="15" thickBot="1" x14ac:dyDescent="0.35"/>
    <row r="72" spans="1:13" ht="15" thickBot="1" x14ac:dyDescent="0.35">
      <c r="A72" s="73">
        <v>2</v>
      </c>
      <c r="B72" s="198" t="s">
        <v>162</v>
      </c>
      <c r="C72" s="198"/>
      <c r="D72" s="199"/>
    </row>
    <row r="73" spans="1:13" ht="7.2" customHeight="1" x14ac:dyDescent="0.3">
      <c r="A73" s="75"/>
    </row>
    <row r="74" spans="1:13" x14ac:dyDescent="0.3">
      <c r="B74" s="76" t="s">
        <v>151</v>
      </c>
      <c r="C74" s="76" t="s">
        <v>163</v>
      </c>
      <c r="D74" s="76" t="s">
        <v>164</v>
      </c>
      <c r="E74" s="76" t="s">
        <v>165</v>
      </c>
      <c r="F74" s="76" t="s">
        <v>166</v>
      </c>
    </row>
    <row r="75" spans="1:13" ht="18.600000000000001" customHeight="1" x14ac:dyDescent="0.3">
      <c r="B75" s="29">
        <v>2.1</v>
      </c>
      <c r="C75" s="86" t="s">
        <v>167</v>
      </c>
      <c r="D75" s="79">
        <f>SUM(H62:H67)</f>
        <v>8</v>
      </c>
      <c r="E75" s="79">
        <v>500</v>
      </c>
      <c r="F75" s="81">
        <f>E75*D75</f>
        <v>4000</v>
      </c>
    </row>
    <row r="76" spans="1:13" ht="18.600000000000001" customHeight="1" x14ac:dyDescent="0.3">
      <c r="B76" s="29">
        <v>2.2000000000000002</v>
      </c>
      <c r="C76" s="86" t="s">
        <v>190</v>
      </c>
      <c r="D76" s="79">
        <v>1</v>
      </c>
      <c r="E76" s="79">
        <v>2000</v>
      </c>
      <c r="F76" s="81">
        <f>E76*D76</f>
        <v>2000</v>
      </c>
    </row>
    <row r="77" spans="1:13" ht="18.600000000000001" customHeight="1" x14ac:dyDescent="0.3">
      <c r="B77" s="29">
        <v>2.2999999999999998</v>
      </c>
      <c r="C77" s="86" t="s">
        <v>210</v>
      </c>
      <c r="D77" s="79">
        <v>1</v>
      </c>
      <c r="E77" s="81">
        <v>4500</v>
      </c>
      <c r="F77" s="81">
        <f t="shared" ref="F77:F81" si="10">E77*D77</f>
        <v>4500</v>
      </c>
    </row>
    <row r="78" spans="1:13" ht="18.600000000000001" customHeight="1" x14ac:dyDescent="0.3">
      <c r="B78" s="29">
        <v>2.4</v>
      </c>
      <c r="C78" s="86" t="s">
        <v>241</v>
      </c>
      <c r="D78" s="79">
        <v>1</v>
      </c>
      <c r="E78" s="79">
        <v>2500</v>
      </c>
      <c r="F78" s="81">
        <f t="shared" si="10"/>
        <v>2500</v>
      </c>
    </row>
    <row r="79" spans="1:13" ht="18.600000000000001" customHeight="1" x14ac:dyDescent="0.3">
      <c r="B79" s="29">
        <v>2.5</v>
      </c>
      <c r="C79" s="86" t="s">
        <v>242</v>
      </c>
      <c r="D79" s="79">
        <v>0</v>
      </c>
      <c r="E79" s="79">
        <v>38500</v>
      </c>
      <c r="F79" s="81">
        <f t="shared" si="10"/>
        <v>0</v>
      </c>
    </row>
    <row r="80" spans="1:13" ht="18.600000000000001" customHeight="1" x14ac:dyDescent="0.3">
      <c r="B80" s="29">
        <v>2.6</v>
      </c>
      <c r="C80" s="86" t="s">
        <v>243</v>
      </c>
      <c r="D80" s="79">
        <f>SUM(G63:G67)</f>
        <v>5</v>
      </c>
      <c r="E80" s="79">
        <v>2500</v>
      </c>
      <c r="F80" s="81">
        <f t="shared" si="10"/>
        <v>12500</v>
      </c>
    </row>
    <row r="81" spans="1:6" ht="18.600000000000001" customHeight="1" x14ac:dyDescent="0.3">
      <c r="B81" s="29">
        <v>2.7</v>
      </c>
      <c r="C81" s="86" t="s">
        <v>244</v>
      </c>
      <c r="D81" s="79">
        <v>1</v>
      </c>
      <c r="E81" s="79">
        <v>1000</v>
      </c>
      <c r="F81" s="81">
        <f t="shared" si="10"/>
        <v>1000</v>
      </c>
    </row>
    <row r="82" spans="1:6" ht="9" customHeight="1" thickBot="1" x14ac:dyDescent="0.35"/>
    <row r="83" spans="1:6" ht="26.4" customHeight="1" thickBot="1" x14ac:dyDescent="0.35">
      <c r="E83" s="83" t="s">
        <v>174</v>
      </c>
      <c r="F83" s="84">
        <f>SUM(F75:F81)</f>
        <v>26500</v>
      </c>
    </row>
    <row r="84" spans="1:6" ht="15" thickBot="1" x14ac:dyDescent="0.35"/>
    <row r="85" spans="1:6" ht="15" thickBot="1" x14ac:dyDescent="0.35">
      <c r="A85" s="73">
        <v>3</v>
      </c>
      <c r="B85" s="198" t="s">
        <v>175</v>
      </c>
      <c r="C85" s="198"/>
      <c r="D85" s="199"/>
    </row>
    <row r="86" spans="1:6" ht="7.2" customHeight="1" x14ac:dyDescent="0.3">
      <c r="A86" s="75"/>
    </row>
    <row r="87" spans="1:6" x14ac:dyDescent="0.3">
      <c r="B87" s="76" t="s">
        <v>151</v>
      </c>
      <c r="C87" s="76" t="s">
        <v>163</v>
      </c>
      <c r="D87" s="76" t="s">
        <v>176</v>
      </c>
      <c r="E87" s="76" t="s">
        <v>177</v>
      </c>
      <c r="F87" s="76" t="s">
        <v>166</v>
      </c>
    </row>
    <row r="88" spans="1:6" ht="18.600000000000001" customHeight="1" x14ac:dyDescent="0.3">
      <c r="B88" s="29">
        <v>3.1</v>
      </c>
      <c r="C88" s="86" t="s">
        <v>178</v>
      </c>
      <c r="D88" s="87">
        <v>0</v>
      </c>
      <c r="E88" s="79">
        <f>(I69+F83)</f>
        <v>119620</v>
      </c>
      <c r="F88" s="81">
        <f>E88*D88</f>
        <v>0</v>
      </c>
    </row>
    <row r="89" spans="1:6" ht="18.600000000000001" customHeight="1" x14ac:dyDescent="0.3">
      <c r="B89" s="29">
        <v>3.2</v>
      </c>
      <c r="C89" s="86" t="s">
        <v>179</v>
      </c>
      <c r="D89" s="87">
        <v>0.1</v>
      </c>
      <c r="E89" s="79">
        <f>E88</f>
        <v>119620</v>
      </c>
      <c r="F89" s="81">
        <f>E89*D89</f>
        <v>11962</v>
      </c>
    </row>
    <row r="90" spans="1:6" ht="9" customHeight="1" thickBot="1" x14ac:dyDescent="0.35"/>
    <row r="91" spans="1:6" ht="26.4" customHeight="1" thickBot="1" x14ac:dyDescent="0.35">
      <c r="E91" s="83" t="s">
        <v>180</v>
      </c>
      <c r="F91" s="84">
        <f>SUM(F88:F89)</f>
        <v>11962</v>
      </c>
    </row>
    <row r="92" spans="1:6" ht="9.6" customHeight="1" thickBot="1" x14ac:dyDescent="0.35"/>
    <row r="93" spans="1:6" ht="19.2" customHeight="1" thickBot="1" x14ac:dyDescent="0.35">
      <c r="E93" s="88" t="s">
        <v>181</v>
      </c>
      <c r="F93" s="89">
        <f>(F91+F83)/(F91+F83+I69)</f>
        <v>0.29230441853748995</v>
      </c>
    </row>
    <row r="94" spans="1:6" ht="7.95" customHeight="1" thickBot="1" x14ac:dyDescent="0.35"/>
    <row r="95" spans="1:6" ht="21.6" customHeight="1" thickBot="1" x14ac:dyDescent="0.35">
      <c r="E95" s="88" t="s">
        <v>182</v>
      </c>
      <c r="F95" s="90">
        <f>F91+F83+I69</f>
        <v>131582</v>
      </c>
    </row>
    <row r="97" spans="1:13" ht="15" thickBot="1" x14ac:dyDescent="0.35"/>
    <row r="98" spans="1:13" ht="18" customHeight="1" thickBot="1" x14ac:dyDescent="0.35">
      <c r="A98" s="76" t="s">
        <v>250</v>
      </c>
      <c r="B98" s="216" t="s">
        <v>251</v>
      </c>
      <c r="C98" s="217"/>
      <c r="D98" s="217"/>
      <c r="F98" s="123">
        <v>0.2</v>
      </c>
    </row>
    <row r="99" spans="1:13" ht="11.4" customHeight="1" x14ac:dyDescent="0.3">
      <c r="A99" s="75"/>
    </row>
    <row r="100" spans="1:13" ht="28.8" x14ac:dyDescent="0.3">
      <c r="B100" s="76" t="s">
        <v>151</v>
      </c>
      <c r="C100" s="76" t="s">
        <v>152</v>
      </c>
      <c r="D100" s="76" t="s">
        <v>153</v>
      </c>
      <c r="E100" s="76" t="s">
        <v>154</v>
      </c>
      <c r="F100" s="76" t="s">
        <v>155</v>
      </c>
      <c r="G100" s="77" t="s">
        <v>156</v>
      </c>
      <c r="H100" s="77" t="s">
        <v>157</v>
      </c>
      <c r="I100" s="76" t="s">
        <v>158</v>
      </c>
      <c r="K100" s="76" t="s">
        <v>159</v>
      </c>
      <c r="M100" s="76" t="s">
        <v>160</v>
      </c>
    </row>
    <row r="101" spans="1:13" ht="33" customHeight="1" x14ac:dyDescent="0.3">
      <c r="B101" s="29">
        <v>1</v>
      </c>
      <c r="C101" s="120" t="str">
        <f>'[1]MEP Scope BOQ '!A38</f>
        <v>Internal MEP Engineer</v>
      </c>
      <c r="D101" s="120" t="s">
        <v>252</v>
      </c>
      <c r="E101" s="79">
        <v>28500</v>
      </c>
      <c r="F101" s="79">
        <f>E101+(F$98*E101)</f>
        <v>34200</v>
      </c>
      <c r="G101" s="29">
        <f>'MEP Scope BOQ '!E38</f>
        <v>0</v>
      </c>
      <c r="H101" s="29">
        <f>G101</f>
        <v>0</v>
      </c>
      <c r="I101" s="79">
        <f>H101*F101</f>
        <v>0</v>
      </c>
      <c r="K101" s="80">
        <f>IFERROR(ROUND((I101/(1-F$140))/G101,0),0)</f>
        <v>0</v>
      </c>
      <c r="M101" s="81">
        <f>K101*G101</f>
        <v>0</v>
      </c>
    </row>
    <row r="102" spans="1:13" ht="33" customHeight="1" x14ac:dyDescent="0.3">
      <c r="B102" s="29">
        <v>2</v>
      </c>
      <c r="C102" s="120" t="str">
        <f>'[1]MEP Scope BOQ '!A39</f>
        <v>AC</v>
      </c>
      <c r="D102" s="120" t="s">
        <v>239</v>
      </c>
      <c r="E102" s="79">
        <v>12000</v>
      </c>
      <c r="F102" s="79">
        <f t="shared" ref="F102:F114" si="11">E102+(F$98*E102)</f>
        <v>14400</v>
      </c>
      <c r="G102" s="29">
        <f>'MEP Scope BOQ '!E39</f>
        <v>2</v>
      </c>
      <c r="H102" s="121">
        <f>ROUNDUP(G102+(G102/4),1)</f>
        <v>2.5</v>
      </c>
      <c r="I102" s="79">
        <f t="shared" ref="I102:I114" si="12">H102*F102</f>
        <v>36000</v>
      </c>
      <c r="K102" s="80">
        <f t="shared" ref="K102:K114" si="13">IFERROR(ROUND((I102/(1-F$140))/G102,0),0)</f>
        <v>24573</v>
      </c>
      <c r="M102" s="81">
        <f t="shared" ref="M102:M114" si="14">K102*G102</f>
        <v>49146</v>
      </c>
    </row>
    <row r="103" spans="1:13" ht="33" customHeight="1" x14ac:dyDescent="0.3">
      <c r="B103" s="29">
        <v>3</v>
      </c>
      <c r="C103" s="120" t="str">
        <f>'[1]MEP Scope BOQ '!A40</f>
        <v>Carpenter</v>
      </c>
      <c r="D103" s="120" t="s">
        <v>239</v>
      </c>
      <c r="E103" s="79">
        <v>10000</v>
      </c>
      <c r="F103" s="79">
        <f t="shared" si="11"/>
        <v>12000</v>
      </c>
      <c r="G103" s="29">
        <f>'MEP Scope BOQ '!E40</f>
        <v>1</v>
      </c>
      <c r="H103" s="121">
        <f t="shared" ref="H103:H114" si="15">ROUNDUP(G103+(G103/4),1)</f>
        <v>1.3</v>
      </c>
      <c r="I103" s="79">
        <f t="shared" si="12"/>
        <v>15600</v>
      </c>
      <c r="K103" s="80">
        <f t="shared" si="13"/>
        <v>21296</v>
      </c>
      <c r="M103" s="81">
        <f t="shared" si="14"/>
        <v>21296</v>
      </c>
    </row>
    <row r="104" spans="1:13" ht="33" customHeight="1" x14ac:dyDescent="0.3">
      <c r="B104" s="29">
        <v>4</v>
      </c>
      <c r="C104" s="120" t="str">
        <f>'[1]MEP Scope BOQ '!A41</f>
        <v>Aluminum</v>
      </c>
      <c r="D104" s="120" t="s">
        <v>239</v>
      </c>
      <c r="E104" s="79">
        <v>10000</v>
      </c>
      <c r="F104" s="79">
        <f t="shared" si="11"/>
        <v>12000</v>
      </c>
      <c r="G104" s="29">
        <f>'MEP Scope BOQ '!E41</f>
        <v>1</v>
      </c>
      <c r="H104" s="121">
        <f t="shared" si="15"/>
        <v>1.3</v>
      </c>
      <c r="I104" s="79">
        <f t="shared" si="12"/>
        <v>15600</v>
      </c>
      <c r="K104" s="80">
        <f t="shared" si="13"/>
        <v>21296</v>
      </c>
      <c r="M104" s="81">
        <f t="shared" si="14"/>
        <v>21296</v>
      </c>
    </row>
    <row r="105" spans="1:13" ht="33" customHeight="1" x14ac:dyDescent="0.3">
      <c r="B105" s="29">
        <v>5</v>
      </c>
      <c r="C105" s="120" t="str">
        <f>'[1]MEP Scope BOQ '!A42</f>
        <v>Electrician</v>
      </c>
      <c r="D105" s="120" t="s">
        <v>239</v>
      </c>
      <c r="E105" s="79">
        <v>10000</v>
      </c>
      <c r="F105" s="79">
        <f t="shared" si="11"/>
        <v>12000</v>
      </c>
      <c r="G105" s="29">
        <f>'MEP Scope BOQ '!E42</f>
        <v>2</v>
      </c>
      <c r="H105" s="121">
        <f t="shared" si="15"/>
        <v>2.5</v>
      </c>
      <c r="I105" s="79">
        <f t="shared" si="12"/>
        <v>30000</v>
      </c>
      <c r="K105" s="80">
        <f t="shared" si="13"/>
        <v>20477</v>
      </c>
      <c r="M105" s="81">
        <f t="shared" si="14"/>
        <v>40954</v>
      </c>
    </row>
    <row r="106" spans="1:13" ht="33" customHeight="1" x14ac:dyDescent="0.3">
      <c r="B106" s="29">
        <v>6</v>
      </c>
      <c r="C106" s="120" t="str">
        <f>'[1]MEP Scope BOQ '!A43</f>
        <v>Plumber</v>
      </c>
      <c r="D106" s="120" t="s">
        <v>239</v>
      </c>
      <c r="E106" s="79">
        <v>10000</v>
      </c>
      <c r="F106" s="79">
        <f t="shared" si="11"/>
        <v>12000</v>
      </c>
      <c r="G106" s="29">
        <f>'MEP Scope BOQ '!E43</f>
        <v>3</v>
      </c>
      <c r="H106" s="121">
        <f t="shared" si="15"/>
        <v>3.8000000000000003</v>
      </c>
      <c r="I106" s="79">
        <f t="shared" si="12"/>
        <v>45600</v>
      </c>
      <c r="K106" s="80">
        <f t="shared" si="13"/>
        <v>20750</v>
      </c>
      <c r="M106" s="81">
        <f t="shared" si="14"/>
        <v>62250</v>
      </c>
    </row>
    <row r="107" spans="1:13" ht="33" customHeight="1" x14ac:dyDescent="0.3">
      <c r="B107" s="29">
        <v>7</v>
      </c>
      <c r="C107" s="120" t="str">
        <f>'[1]MEP Scope BOQ '!A44</f>
        <v>Painter</v>
      </c>
      <c r="D107" s="120" t="s">
        <v>239</v>
      </c>
      <c r="E107" s="79">
        <f>E16</f>
        <v>9000</v>
      </c>
      <c r="F107" s="79">
        <f t="shared" si="11"/>
        <v>10800</v>
      </c>
      <c r="G107" s="29">
        <f>'MEP Scope BOQ '!E44</f>
        <v>1</v>
      </c>
      <c r="H107" s="121">
        <f t="shared" si="15"/>
        <v>1.3</v>
      </c>
      <c r="I107" s="79">
        <f t="shared" si="12"/>
        <v>14040</v>
      </c>
      <c r="K107" s="80">
        <f t="shared" si="13"/>
        <v>19167</v>
      </c>
      <c r="M107" s="81">
        <f t="shared" si="14"/>
        <v>19167</v>
      </c>
    </row>
    <row r="108" spans="1:13" ht="33" customHeight="1" x14ac:dyDescent="0.3">
      <c r="B108" s="29">
        <v>8</v>
      </c>
      <c r="C108" s="120" t="str">
        <f>'[1]MEP Scope BOQ '!A45</f>
        <v>Tiler - Marble</v>
      </c>
      <c r="D108" s="120" t="s">
        <v>239</v>
      </c>
      <c r="E108" s="79">
        <v>10000</v>
      </c>
      <c r="F108" s="79">
        <f t="shared" si="11"/>
        <v>12000</v>
      </c>
      <c r="G108" s="29">
        <f>'MEP Scope BOQ '!E45</f>
        <v>0</v>
      </c>
      <c r="H108" s="121">
        <f t="shared" si="15"/>
        <v>0</v>
      </c>
      <c r="I108" s="79">
        <f t="shared" si="12"/>
        <v>0</v>
      </c>
      <c r="K108" s="80">
        <f t="shared" si="13"/>
        <v>0</v>
      </c>
      <c r="M108" s="81">
        <f t="shared" si="14"/>
        <v>0</v>
      </c>
    </row>
    <row r="109" spans="1:13" ht="33" customHeight="1" x14ac:dyDescent="0.3">
      <c r="B109" s="29">
        <v>9</v>
      </c>
      <c r="C109" s="120" t="str">
        <f>'[1]MEP Scope BOQ '!A46</f>
        <v>Gypsum Board</v>
      </c>
      <c r="D109" s="120" t="s">
        <v>239</v>
      </c>
      <c r="E109" s="79">
        <f>E17</f>
        <v>9000</v>
      </c>
      <c r="F109" s="79">
        <f t="shared" si="11"/>
        <v>10800</v>
      </c>
      <c r="G109" s="29">
        <f>'MEP Scope BOQ '!E46</f>
        <v>1</v>
      </c>
      <c r="H109" s="121">
        <f t="shared" si="15"/>
        <v>1.3</v>
      </c>
      <c r="I109" s="79">
        <f t="shared" si="12"/>
        <v>14040</v>
      </c>
      <c r="K109" s="80">
        <f t="shared" si="13"/>
        <v>19167</v>
      </c>
      <c r="M109" s="81">
        <f t="shared" si="14"/>
        <v>19167</v>
      </c>
    </row>
    <row r="110" spans="1:13" ht="33" customHeight="1" x14ac:dyDescent="0.3">
      <c r="B110" s="29">
        <v>10</v>
      </c>
      <c r="C110" s="120" t="str">
        <f>'[1]MEP Scope BOQ '!A47</f>
        <v>Labor (Worker)</v>
      </c>
      <c r="D110" s="120" t="s">
        <v>239</v>
      </c>
      <c r="E110" s="79">
        <f>E19</f>
        <v>7500</v>
      </c>
      <c r="F110" s="79">
        <f t="shared" si="11"/>
        <v>9000</v>
      </c>
      <c r="G110" s="29">
        <f>'MEP Scope BOQ '!E47</f>
        <v>2</v>
      </c>
      <c r="H110" s="121">
        <f t="shared" si="15"/>
        <v>2.5</v>
      </c>
      <c r="I110" s="79">
        <f t="shared" si="12"/>
        <v>22500</v>
      </c>
      <c r="K110" s="80">
        <f t="shared" si="13"/>
        <v>15358</v>
      </c>
      <c r="M110" s="81">
        <f t="shared" si="14"/>
        <v>30716</v>
      </c>
    </row>
    <row r="111" spans="1:13" ht="33" customHeight="1" x14ac:dyDescent="0.3">
      <c r="B111" s="29">
        <v>11</v>
      </c>
      <c r="C111" s="120" t="str">
        <f>'[1]MEP Scope BOQ '!A48</f>
        <v>Supervisor Internal</v>
      </c>
      <c r="D111" s="120" t="s">
        <v>239</v>
      </c>
      <c r="E111" s="79">
        <v>15500</v>
      </c>
      <c r="F111" s="79">
        <f t="shared" si="11"/>
        <v>18600</v>
      </c>
      <c r="G111" s="29">
        <f>'MEP Scope BOQ '!E48</f>
        <v>1</v>
      </c>
      <c r="H111" s="121">
        <f t="shared" si="15"/>
        <v>1.3</v>
      </c>
      <c r="I111" s="79">
        <f t="shared" si="12"/>
        <v>24180</v>
      </c>
      <c r="K111" s="80">
        <f t="shared" si="13"/>
        <v>33009</v>
      </c>
      <c r="M111" s="81">
        <f t="shared" si="14"/>
        <v>33009</v>
      </c>
    </row>
    <row r="112" spans="1:13" ht="33" customHeight="1" x14ac:dyDescent="0.3">
      <c r="B112" s="29">
        <v>12</v>
      </c>
      <c r="C112" s="120" t="str">
        <f>'[1]MEP Scope BOQ '!A49</f>
        <v>Plumber</v>
      </c>
      <c r="D112" s="120" t="s">
        <v>253</v>
      </c>
      <c r="E112" s="79">
        <f>E67</f>
        <v>9000</v>
      </c>
      <c r="F112" s="79">
        <f t="shared" si="11"/>
        <v>10800</v>
      </c>
      <c r="G112" s="29">
        <f>'MEP Scope BOQ '!E49</f>
        <v>0</v>
      </c>
      <c r="H112" s="121">
        <f t="shared" si="15"/>
        <v>0</v>
      </c>
      <c r="I112" s="79">
        <f t="shared" si="12"/>
        <v>0</v>
      </c>
      <c r="K112" s="80">
        <f t="shared" si="13"/>
        <v>0</v>
      </c>
      <c r="M112" s="81">
        <f t="shared" si="14"/>
        <v>0</v>
      </c>
    </row>
    <row r="113" spans="1:13" ht="33" customHeight="1" x14ac:dyDescent="0.3">
      <c r="B113" s="29">
        <v>13</v>
      </c>
      <c r="C113" s="120" t="str">
        <f>'[1]MEP Scope BOQ '!A50</f>
        <v xml:space="preserve">Electrcian </v>
      </c>
      <c r="D113" s="120" t="s">
        <v>253</v>
      </c>
      <c r="E113" s="79">
        <f>E105</f>
        <v>10000</v>
      </c>
      <c r="F113" s="79">
        <f t="shared" si="11"/>
        <v>12000</v>
      </c>
      <c r="G113" s="29">
        <f>'MEP Scope BOQ '!E50</f>
        <v>0</v>
      </c>
      <c r="H113" s="121">
        <f t="shared" si="15"/>
        <v>0</v>
      </c>
      <c r="I113" s="79">
        <f t="shared" si="12"/>
        <v>0</v>
      </c>
      <c r="K113" s="80">
        <f t="shared" si="13"/>
        <v>0</v>
      </c>
      <c r="M113" s="81">
        <f t="shared" si="14"/>
        <v>0</v>
      </c>
    </row>
    <row r="114" spans="1:13" ht="33" customHeight="1" x14ac:dyDescent="0.3">
      <c r="B114" s="29">
        <v>14</v>
      </c>
      <c r="C114" s="120" t="str">
        <f>'[1]MEP Scope BOQ '!A51</f>
        <v>Carpenter</v>
      </c>
      <c r="D114" s="120" t="s">
        <v>253</v>
      </c>
      <c r="E114" s="79">
        <f>E103</f>
        <v>10000</v>
      </c>
      <c r="F114" s="79">
        <f t="shared" si="11"/>
        <v>12000</v>
      </c>
      <c r="G114" s="29">
        <f>'MEP Scope BOQ '!E51</f>
        <v>0</v>
      </c>
      <c r="H114" s="121">
        <f t="shared" si="15"/>
        <v>0</v>
      </c>
      <c r="I114" s="79">
        <f t="shared" si="12"/>
        <v>0</v>
      </c>
      <c r="K114" s="80">
        <f t="shared" si="13"/>
        <v>0</v>
      </c>
      <c r="M114" s="81">
        <f t="shared" si="14"/>
        <v>0</v>
      </c>
    </row>
    <row r="115" spans="1:13" ht="9" customHeight="1" thickBot="1" x14ac:dyDescent="0.35"/>
    <row r="116" spans="1:13" ht="28.2" customHeight="1" thickBot="1" x14ac:dyDescent="0.35">
      <c r="H116" s="83" t="s">
        <v>161</v>
      </c>
      <c r="I116" s="84">
        <f>SUM(I101:I114)</f>
        <v>217560</v>
      </c>
      <c r="M116" s="85">
        <f>SUM(M101:M114)</f>
        <v>297001</v>
      </c>
    </row>
    <row r="118" spans="1:13" ht="15" thickBot="1" x14ac:dyDescent="0.35"/>
    <row r="119" spans="1:13" ht="15" thickBot="1" x14ac:dyDescent="0.35">
      <c r="A119" s="73">
        <v>2</v>
      </c>
      <c r="B119" s="198" t="s">
        <v>162</v>
      </c>
      <c r="C119" s="198"/>
      <c r="D119" s="199"/>
    </row>
    <row r="120" spans="1:13" ht="7.2" customHeight="1" x14ac:dyDescent="0.3">
      <c r="A120" s="75"/>
    </row>
    <row r="121" spans="1:13" x14ac:dyDescent="0.3">
      <c r="B121" s="76" t="s">
        <v>151</v>
      </c>
      <c r="C121" s="76" t="s">
        <v>163</v>
      </c>
      <c r="D121" s="76" t="s">
        <v>164</v>
      </c>
      <c r="E121" s="76" t="s">
        <v>165</v>
      </c>
      <c r="F121" s="76" t="s">
        <v>166</v>
      </c>
    </row>
    <row r="122" spans="1:13" ht="18.600000000000001" customHeight="1" x14ac:dyDescent="0.3">
      <c r="B122" s="29">
        <v>2.1</v>
      </c>
      <c r="C122" s="86" t="s">
        <v>167</v>
      </c>
      <c r="D122" s="79">
        <f>SUM(H102:H114)</f>
        <v>17.8</v>
      </c>
      <c r="E122" s="79">
        <v>500</v>
      </c>
      <c r="F122" s="81">
        <f>E122*D122</f>
        <v>8900</v>
      </c>
    </row>
    <row r="123" spans="1:13" ht="18.600000000000001" customHeight="1" x14ac:dyDescent="0.3">
      <c r="B123" s="29">
        <v>2.2000000000000002</v>
      </c>
      <c r="C123" s="86" t="s">
        <v>190</v>
      </c>
      <c r="D123" s="79">
        <v>1</v>
      </c>
      <c r="E123" s="79">
        <v>3000</v>
      </c>
      <c r="F123" s="81">
        <f>E123*D123</f>
        <v>3000</v>
      </c>
    </row>
    <row r="124" spans="1:13" ht="18.600000000000001" customHeight="1" x14ac:dyDescent="0.3">
      <c r="B124" s="29">
        <v>2.2999999999999998</v>
      </c>
      <c r="C124" s="86" t="s">
        <v>210</v>
      </c>
      <c r="D124" s="79">
        <v>1</v>
      </c>
      <c r="E124" s="81">
        <v>3000</v>
      </c>
      <c r="F124" s="81">
        <f t="shared" ref="F124:F128" si="16">E124*D124</f>
        <v>3000</v>
      </c>
    </row>
    <row r="125" spans="1:13" ht="18.600000000000001" customHeight="1" x14ac:dyDescent="0.3">
      <c r="B125" s="29">
        <v>2.4</v>
      </c>
      <c r="C125" s="86" t="s">
        <v>241</v>
      </c>
      <c r="D125" s="79">
        <v>1</v>
      </c>
      <c r="E125" s="79">
        <v>1540</v>
      </c>
      <c r="F125" s="81">
        <f t="shared" si="16"/>
        <v>1540</v>
      </c>
    </row>
    <row r="126" spans="1:13" ht="18.600000000000001" customHeight="1" x14ac:dyDescent="0.3">
      <c r="B126" s="29">
        <v>2.5</v>
      </c>
      <c r="C126" s="86" t="s">
        <v>242</v>
      </c>
      <c r="D126" s="79">
        <v>0</v>
      </c>
      <c r="E126" s="79">
        <v>38500</v>
      </c>
      <c r="F126" s="81">
        <f t="shared" si="16"/>
        <v>0</v>
      </c>
    </row>
    <row r="127" spans="1:13" ht="18.600000000000001" customHeight="1" x14ac:dyDescent="0.3">
      <c r="B127" s="29">
        <v>2.6</v>
      </c>
      <c r="C127" s="86" t="s">
        <v>243</v>
      </c>
      <c r="D127" s="79">
        <f>SUM(G102:G114)</f>
        <v>14</v>
      </c>
      <c r="E127" s="79">
        <v>2500</v>
      </c>
      <c r="F127" s="81">
        <f t="shared" si="16"/>
        <v>35000</v>
      </c>
    </row>
    <row r="128" spans="1:13" ht="18.600000000000001" customHeight="1" x14ac:dyDescent="0.3">
      <c r="B128" s="29">
        <v>2.7</v>
      </c>
      <c r="C128" s="86" t="s">
        <v>244</v>
      </c>
      <c r="D128" s="79">
        <v>1</v>
      </c>
      <c r="E128" s="79">
        <v>1000</v>
      </c>
      <c r="F128" s="81">
        <f t="shared" si="16"/>
        <v>1000</v>
      </c>
    </row>
    <row r="129" spans="1:6" ht="9" customHeight="1" thickBot="1" x14ac:dyDescent="0.35"/>
    <row r="130" spans="1:6" ht="26.4" customHeight="1" thickBot="1" x14ac:dyDescent="0.35">
      <c r="E130" s="83" t="s">
        <v>174</v>
      </c>
      <c r="F130" s="84">
        <f>SUM(F122:F128)</f>
        <v>52440</v>
      </c>
    </row>
    <row r="131" spans="1:6" ht="15" thickBot="1" x14ac:dyDescent="0.35"/>
    <row r="132" spans="1:6" ht="15" thickBot="1" x14ac:dyDescent="0.35">
      <c r="A132" s="73">
        <v>3</v>
      </c>
      <c r="B132" s="198" t="s">
        <v>175</v>
      </c>
      <c r="C132" s="198"/>
      <c r="D132" s="199"/>
    </row>
    <row r="133" spans="1:6" ht="7.2" customHeight="1" x14ac:dyDescent="0.3">
      <c r="A133" s="75"/>
    </row>
    <row r="134" spans="1:6" x14ac:dyDescent="0.3">
      <c r="B134" s="76" t="s">
        <v>151</v>
      </c>
      <c r="C134" s="76" t="s">
        <v>163</v>
      </c>
      <c r="D134" s="76" t="s">
        <v>176</v>
      </c>
      <c r="E134" s="76" t="s">
        <v>177</v>
      </c>
      <c r="F134" s="76" t="s">
        <v>166</v>
      </c>
    </row>
    <row r="135" spans="1:6" ht="18.600000000000001" customHeight="1" x14ac:dyDescent="0.3">
      <c r="B135" s="29">
        <v>3.1</v>
      </c>
      <c r="C135" s="86" t="s">
        <v>178</v>
      </c>
      <c r="D135" s="87">
        <v>0</v>
      </c>
      <c r="E135" s="79">
        <f>(I116+F130)</f>
        <v>270000</v>
      </c>
      <c r="F135" s="81">
        <f>E135*D135</f>
        <v>0</v>
      </c>
    </row>
    <row r="136" spans="1:6" ht="18.600000000000001" customHeight="1" x14ac:dyDescent="0.3">
      <c r="B136" s="29">
        <v>3.2</v>
      </c>
      <c r="C136" s="86" t="s">
        <v>179</v>
      </c>
      <c r="D136" s="87">
        <v>0.1</v>
      </c>
      <c r="E136" s="79">
        <f>E135</f>
        <v>270000</v>
      </c>
      <c r="F136" s="81">
        <f>E136*D136</f>
        <v>27000</v>
      </c>
    </row>
    <row r="137" spans="1:6" ht="9" customHeight="1" thickBot="1" x14ac:dyDescent="0.35"/>
    <row r="138" spans="1:6" ht="26.4" customHeight="1" thickBot="1" x14ac:dyDescent="0.35">
      <c r="E138" s="83" t="s">
        <v>180</v>
      </c>
      <c r="F138" s="84">
        <f>SUM(F135:F136)</f>
        <v>27000</v>
      </c>
    </row>
    <row r="139" spans="1:6" ht="9.6" customHeight="1" thickBot="1" x14ac:dyDescent="0.35"/>
    <row r="140" spans="1:6" ht="19.2" customHeight="1" thickBot="1" x14ac:dyDescent="0.35">
      <c r="E140" s="88" t="s">
        <v>181</v>
      </c>
      <c r="F140" s="89">
        <f>(F138+F130)/(F138+F130+I116)</f>
        <v>0.26747474747474748</v>
      </c>
    </row>
    <row r="141" spans="1:6" ht="7.95" customHeight="1" thickBot="1" x14ac:dyDescent="0.35"/>
    <row r="142" spans="1:6" ht="21.6" customHeight="1" thickBot="1" x14ac:dyDescent="0.35">
      <c r="E142" s="88" t="s">
        <v>182</v>
      </c>
      <c r="F142" s="90">
        <f>F138+F130+I116</f>
        <v>297000</v>
      </c>
    </row>
  </sheetData>
  <mergeCells count="10">
    <mergeCell ref="B85:D85"/>
    <mergeCell ref="B98:D98"/>
    <mergeCell ref="B119:D119"/>
    <mergeCell ref="B132:D132"/>
    <mergeCell ref="B2:D2"/>
    <mergeCell ref="B4:D4"/>
    <mergeCell ref="B33:D33"/>
    <mergeCell ref="B46:D46"/>
    <mergeCell ref="B59:D59"/>
    <mergeCell ref="B72:D7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DBE4E-734F-4913-843D-768ECCC20249}">
  <sheetPr codeName="Sheet7">
    <pageSetUpPr fitToPage="1"/>
  </sheetPr>
  <dimension ref="A1:J33"/>
  <sheetViews>
    <sheetView zoomScale="115" zoomScaleNormal="115" workbookViewId="0">
      <selection activeCell="A13" sqref="A13"/>
    </sheetView>
  </sheetViews>
  <sheetFormatPr defaultRowHeight="14.4" x14ac:dyDescent="0.3"/>
  <cols>
    <col min="1" max="1" width="36.77734375" customWidth="1"/>
    <col min="2" max="2" width="4.44140625" customWidth="1"/>
    <col min="3" max="3" width="3.5546875" customWidth="1"/>
    <col min="4" max="4" width="11.5546875" customWidth="1"/>
    <col min="5" max="5" width="10.88671875" bestFit="1" customWidth="1"/>
    <col min="6" max="6" width="13.109375" bestFit="1" customWidth="1"/>
    <col min="7" max="7" width="15.6640625" customWidth="1"/>
    <col min="8" max="8" width="18" bestFit="1" customWidth="1"/>
    <col min="9" max="9" width="16.88671875" bestFit="1" customWidth="1"/>
    <col min="10" max="10" width="16.77734375" customWidth="1"/>
  </cols>
  <sheetData>
    <row r="1" spans="1:10" x14ac:dyDescent="0.3">
      <c r="A1" s="176" t="s">
        <v>114</v>
      </c>
      <c r="B1" s="177"/>
      <c r="C1" s="177"/>
      <c r="D1" s="177"/>
      <c r="E1" s="178"/>
      <c r="F1" s="11"/>
      <c r="G1" s="209" t="s">
        <v>235</v>
      </c>
      <c r="H1" s="209"/>
      <c r="I1" s="209"/>
    </row>
    <row r="2" spans="1:10" x14ac:dyDescent="0.3">
      <c r="A2" s="179"/>
      <c r="B2" s="180"/>
      <c r="C2" s="180"/>
      <c r="D2" s="180"/>
      <c r="E2" s="181"/>
      <c r="F2" s="128" t="s">
        <v>73</v>
      </c>
      <c r="G2" s="183">
        <f>G4+G3</f>
        <v>5404420.7999999998</v>
      </c>
      <c r="H2" s="184"/>
      <c r="I2" s="185"/>
    </row>
    <row r="3" spans="1:10" x14ac:dyDescent="0.3">
      <c r="A3" s="179"/>
      <c r="B3" s="180"/>
      <c r="C3" s="180"/>
      <c r="D3" s="180"/>
      <c r="E3" s="181"/>
      <c r="F3" s="128" t="s">
        <v>4</v>
      </c>
      <c r="G3" s="183">
        <f>G4*0.14</f>
        <v>663700.80000000005</v>
      </c>
      <c r="H3" s="184"/>
      <c r="I3" s="185"/>
    </row>
    <row r="4" spans="1:10" ht="15" thickBot="1" x14ac:dyDescent="0.35">
      <c r="A4" s="179"/>
      <c r="B4" s="180"/>
      <c r="C4" s="180"/>
      <c r="D4" s="180"/>
      <c r="E4" s="181"/>
      <c r="F4" s="129" t="s">
        <v>0</v>
      </c>
      <c r="G4" s="210">
        <f>SUM(I7:I136)</f>
        <v>4740720</v>
      </c>
      <c r="H4" s="211"/>
      <c r="I4" s="212"/>
      <c r="J4" s="125">
        <v>4881140.4000000004</v>
      </c>
    </row>
    <row r="5" spans="1:10" x14ac:dyDescent="0.3">
      <c r="A5" s="35" t="s">
        <v>99</v>
      </c>
      <c r="B5" s="26"/>
      <c r="C5" s="26"/>
      <c r="D5" s="189" t="s">
        <v>103</v>
      </c>
      <c r="E5" s="189" t="s">
        <v>100</v>
      </c>
      <c r="F5" s="189" t="s">
        <v>108</v>
      </c>
      <c r="G5" s="189" t="s">
        <v>107</v>
      </c>
      <c r="H5" s="189" t="s">
        <v>101</v>
      </c>
      <c r="I5" s="174" t="s">
        <v>102</v>
      </c>
    </row>
    <row r="6" spans="1:10" ht="72" x14ac:dyDescent="0.3">
      <c r="A6" s="25" t="s">
        <v>130</v>
      </c>
      <c r="B6" s="26"/>
      <c r="C6" s="26"/>
      <c r="D6" s="190"/>
      <c r="E6" s="190"/>
      <c r="F6" s="190"/>
      <c r="G6" s="190"/>
      <c r="H6" s="190"/>
      <c r="I6" s="175"/>
    </row>
    <row r="7" spans="1:10" x14ac:dyDescent="0.3">
      <c r="A7" s="43" t="s">
        <v>49</v>
      </c>
      <c r="B7" s="22"/>
      <c r="C7" s="22"/>
      <c r="D7" s="207" t="s">
        <v>128</v>
      </c>
      <c r="E7" s="21">
        <v>1</v>
      </c>
      <c r="F7" s="29">
        <v>12</v>
      </c>
      <c r="G7" s="115">
        <f>'LS Budget'!K5</f>
        <v>35252</v>
      </c>
      <c r="H7" s="115">
        <f>G7*E7</f>
        <v>35252</v>
      </c>
      <c r="I7" s="116">
        <f>H7*F7</f>
        <v>423024</v>
      </c>
    </row>
    <row r="8" spans="1:10" x14ac:dyDescent="0.3">
      <c r="A8" s="43" t="s">
        <v>45</v>
      </c>
      <c r="B8" s="22"/>
      <c r="C8" s="22"/>
      <c r="D8" s="207"/>
      <c r="E8" s="21">
        <v>1</v>
      </c>
      <c r="F8" s="29">
        <v>12</v>
      </c>
      <c r="G8" s="115">
        <f>'LS Budget'!K6</f>
        <v>33049</v>
      </c>
      <c r="H8" s="115">
        <f t="shared" ref="H8:H11" si="0">G8*E8</f>
        <v>33049</v>
      </c>
      <c r="I8" s="116">
        <f t="shared" ref="I8:I11" si="1">H8*F8</f>
        <v>396588</v>
      </c>
    </row>
    <row r="9" spans="1:10" x14ac:dyDescent="0.3">
      <c r="A9" s="43" t="s">
        <v>46</v>
      </c>
      <c r="B9" s="22"/>
      <c r="C9" s="22"/>
      <c r="D9" s="207"/>
      <c r="E9" s="21">
        <v>1</v>
      </c>
      <c r="F9" s="29">
        <v>12</v>
      </c>
      <c r="G9" s="115">
        <f>'LS Budget'!K7</f>
        <v>33049</v>
      </c>
      <c r="H9" s="115">
        <f t="shared" si="0"/>
        <v>33049</v>
      </c>
      <c r="I9" s="116">
        <f t="shared" si="1"/>
        <v>396588</v>
      </c>
    </row>
    <row r="10" spans="1:10" x14ac:dyDescent="0.3">
      <c r="A10" s="43" t="s">
        <v>47</v>
      </c>
      <c r="B10" s="22"/>
      <c r="C10" s="22"/>
      <c r="D10" s="207"/>
      <c r="E10" s="21">
        <v>5</v>
      </c>
      <c r="F10" s="29">
        <v>12</v>
      </c>
      <c r="G10" s="115">
        <f>'LS Budget'!K8</f>
        <v>14057</v>
      </c>
      <c r="H10" s="115">
        <f t="shared" si="0"/>
        <v>70285</v>
      </c>
      <c r="I10" s="116">
        <f t="shared" si="1"/>
        <v>843420</v>
      </c>
    </row>
    <row r="11" spans="1:10" x14ac:dyDescent="0.3">
      <c r="A11" s="43" t="s">
        <v>48</v>
      </c>
      <c r="B11" s="22"/>
      <c r="C11" s="22"/>
      <c r="D11" s="207"/>
      <c r="E11" s="21">
        <v>2</v>
      </c>
      <c r="F11" s="29">
        <v>12</v>
      </c>
      <c r="G11" s="115">
        <f>'LS Budget'!K9</f>
        <v>14982</v>
      </c>
      <c r="H11" s="115">
        <f t="shared" si="0"/>
        <v>29964</v>
      </c>
      <c r="I11" s="116">
        <f t="shared" si="1"/>
        <v>359568</v>
      </c>
    </row>
    <row r="12" spans="1:10" x14ac:dyDescent="0.3">
      <c r="A12" s="35" t="s">
        <v>115</v>
      </c>
      <c r="B12" s="26"/>
      <c r="C12" s="26"/>
      <c r="D12" s="32"/>
      <c r="E12" s="32"/>
      <c r="F12" s="32"/>
      <c r="G12" s="33"/>
      <c r="H12" s="33"/>
      <c r="I12" s="34"/>
    </row>
    <row r="13" spans="1:10" x14ac:dyDescent="0.3">
      <c r="A13" s="44" t="s">
        <v>90</v>
      </c>
      <c r="B13" s="10"/>
      <c r="C13" s="10"/>
      <c r="D13" s="10"/>
      <c r="E13" s="21">
        <v>1</v>
      </c>
      <c r="F13" s="29">
        <v>12</v>
      </c>
      <c r="G13" s="117">
        <f>'LS Budget'!H43</f>
        <v>5923</v>
      </c>
      <c r="H13" s="117">
        <f>G13*E13</f>
        <v>5923</v>
      </c>
      <c r="I13" s="117">
        <f>H13*F13</f>
        <v>71076</v>
      </c>
    </row>
    <row r="14" spans="1:10" x14ac:dyDescent="0.3">
      <c r="A14" s="44" t="s">
        <v>91</v>
      </c>
      <c r="B14" s="10"/>
      <c r="C14" s="10"/>
      <c r="D14" s="10"/>
      <c r="E14" s="21">
        <v>1</v>
      </c>
      <c r="F14" s="29">
        <v>12</v>
      </c>
      <c r="G14" s="117">
        <f>'LS Budget'!H44</f>
        <v>5665</v>
      </c>
      <c r="H14" s="117">
        <f t="shared" ref="H14:H17" si="2">G14*E14</f>
        <v>5665</v>
      </c>
      <c r="I14" s="117">
        <f t="shared" ref="I14:I17" si="3">H14*F14</f>
        <v>67980</v>
      </c>
    </row>
    <row r="15" spans="1:10" x14ac:dyDescent="0.3">
      <c r="A15" s="44" t="s">
        <v>94</v>
      </c>
      <c r="B15" s="10"/>
      <c r="C15" s="10"/>
      <c r="D15" s="10"/>
      <c r="E15" s="21">
        <v>2</v>
      </c>
      <c r="F15" s="29">
        <v>12</v>
      </c>
      <c r="G15" s="117">
        <f>'LS Budget'!H45</f>
        <v>292</v>
      </c>
      <c r="H15" s="117">
        <f t="shared" si="2"/>
        <v>584</v>
      </c>
      <c r="I15" s="117">
        <f t="shared" si="3"/>
        <v>7008</v>
      </c>
    </row>
    <row r="16" spans="1:10" x14ac:dyDescent="0.3">
      <c r="A16" s="44" t="s">
        <v>92</v>
      </c>
      <c r="B16" s="10"/>
      <c r="C16" s="10"/>
      <c r="D16" s="10"/>
      <c r="E16" s="21">
        <v>1</v>
      </c>
      <c r="F16" s="29">
        <v>12</v>
      </c>
      <c r="G16" s="117">
        <f>'LS Budget'!H46</f>
        <v>1460</v>
      </c>
      <c r="H16" s="117">
        <f t="shared" si="2"/>
        <v>1460</v>
      </c>
      <c r="I16" s="117">
        <f t="shared" si="3"/>
        <v>17520</v>
      </c>
    </row>
    <row r="17" spans="1:9" x14ac:dyDescent="0.3">
      <c r="A17" s="44" t="s">
        <v>93</v>
      </c>
      <c r="B17" s="10"/>
      <c r="C17" s="10"/>
      <c r="D17" s="10"/>
      <c r="E17" s="21">
        <v>1</v>
      </c>
      <c r="F17" s="29">
        <v>12</v>
      </c>
      <c r="G17" s="117">
        <f>'LS Budget'!H47</f>
        <v>644</v>
      </c>
      <c r="H17" s="117">
        <f t="shared" si="2"/>
        <v>644</v>
      </c>
      <c r="I17" s="117">
        <f t="shared" si="3"/>
        <v>7728</v>
      </c>
    </row>
    <row r="18" spans="1:9" x14ac:dyDescent="0.3">
      <c r="A18" s="35" t="s">
        <v>133</v>
      </c>
      <c r="B18" s="26"/>
      <c r="C18" s="26"/>
      <c r="D18" s="32"/>
      <c r="E18" s="32"/>
      <c r="F18" s="32"/>
      <c r="G18" s="33"/>
      <c r="H18" s="33"/>
      <c r="I18" s="34"/>
    </row>
    <row r="19" spans="1:9" x14ac:dyDescent="0.3">
      <c r="A19" s="35" t="s">
        <v>134</v>
      </c>
      <c r="B19" s="26"/>
      <c r="C19" s="26"/>
      <c r="D19" s="32"/>
      <c r="E19" s="32"/>
      <c r="F19" s="32"/>
      <c r="G19" s="33"/>
      <c r="H19" s="33"/>
      <c r="I19" s="34"/>
    </row>
    <row r="20" spans="1:9" x14ac:dyDescent="0.3">
      <c r="A20" s="33" t="s">
        <v>71</v>
      </c>
      <c r="B20" s="32"/>
      <c r="C20" s="32"/>
      <c r="D20" s="32"/>
      <c r="E20" s="32"/>
      <c r="F20" s="32"/>
      <c r="G20" s="33"/>
      <c r="H20" s="33"/>
      <c r="I20" s="33"/>
    </row>
    <row r="21" spans="1:9" ht="72" x14ac:dyDescent="0.3">
      <c r="A21" s="25" t="s">
        <v>131</v>
      </c>
      <c r="B21" s="26"/>
      <c r="C21" s="26"/>
      <c r="D21" s="32"/>
      <c r="E21" s="32"/>
      <c r="F21" s="32"/>
      <c r="G21" s="47"/>
      <c r="H21" s="126"/>
      <c r="I21" s="126"/>
    </row>
    <row r="22" spans="1:9" x14ac:dyDescent="0.3">
      <c r="A22" s="46" t="s">
        <v>54</v>
      </c>
      <c r="B22" s="10"/>
      <c r="C22" s="10"/>
      <c r="D22" s="207" t="s">
        <v>128</v>
      </c>
      <c r="E22" s="21">
        <v>1</v>
      </c>
      <c r="F22" s="29">
        <v>12</v>
      </c>
      <c r="G22" s="124">
        <f>'LS Budget'!K53</f>
        <v>31529</v>
      </c>
      <c r="H22" s="124">
        <f>G22*E22</f>
        <v>31529</v>
      </c>
      <c r="I22" s="124">
        <f>H22*F22</f>
        <v>378348</v>
      </c>
    </row>
    <row r="23" spans="1:9" x14ac:dyDescent="0.3">
      <c r="A23" s="46" t="s">
        <v>53</v>
      </c>
      <c r="B23" s="10"/>
      <c r="C23" s="10"/>
      <c r="D23" s="207"/>
      <c r="E23" s="21">
        <v>1</v>
      </c>
      <c r="F23" s="29">
        <v>12</v>
      </c>
      <c r="G23" s="124">
        <f>'LS Budget'!K54</f>
        <v>29559</v>
      </c>
      <c r="H23" s="124">
        <f t="shared" ref="H23:H26" si="4">G23*E23</f>
        <v>29559</v>
      </c>
      <c r="I23" s="124">
        <f t="shared" ref="I23:I26" si="5">H23*F23</f>
        <v>354708</v>
      </c>
    </row>
    <row r="24" spans="1:9" x14ac:dyDescent="0.3">
      <c r="A24" s="46" t="s">
        <v>50</v>
      </c>
      <c r="B24" s="10"/>
      <c r="C24" s="10"/>
      <c r="D24" s="207"/>
      <c r="E24" s="21">
        <v>1</v>
      </c>
      <c r="F24" s="29">
        <v>12</v>
      </c>
      <c r="G24" s="124">
        <f>'LS Budget'!K55</f>
        <v>29559</v>
      </c>
      <c r="H24" s="124">
        <f t="shared" si="4"/>
        <v>29559</v>
      </c>
      <c r="I24" s="124">
        <f t="shared" si="5"/>
        <v>354708</v>
      </c>
    </row>
    <row r="25" spans="1:9" x14ac:dyDescent="0.3">
      <c r="A25" s="46" t="s">
        <v>47</v>
      </c>
      <c r="B25" s="10"/>
      <c r="C25" s="10"/>
      <c r="D25" s="207"/>
      <c r="E25" s="21">
        <v>4</v>
      </c>
      <c r="F25" s="29">
        <v>12</v>
      </c>
      <c r="G25" s="124">
        <f>'LS Budget'!K56</f>
        <v>15272</v>
      </c>
      <c r="H25" s="124">
        <f t="shared" si="4"/>
        <v>61088</v>
      </c>
      <c r="I25" s="124">
        <f t="shared" si="5"/>
        <v>733056</v>
      </c>
    </row>
    <row r="26" spans="1:9" x14ac:dyDescent="0.3">
      <c r="A26" s="46" t="s">
        <v>48</v>
      </c>
      <c r="B26" s="10"/>
      <c r="C26" s="10"/>
      <c r="D26" s="207"/>
      <c r="E26" s="21">
        <v>1</v>
      </c>
      <c r="F26" s="29">
        <v>12</v>
      </c>
      <c r="G26" s="124">
        <f>'LS Budget'!K57</f>
        <v>20691</v>
      </c>
      <c r="H26" s="124">
        <f t="shared" si="4"/>
        <v>20691</v>
      </c>
      <c r="I26" s="124">
        <f t="shared" si="5"/>
        <v>248292</v>
      </c>
    </row>
    <row r="27" spans="1:9" x14ac:dyDescent="0.3">
      <c r="A27" s="45" t="s">
        <v>116</v>
      </c>
      <c r="B27" s="32"/>
      <c r="C27" s="32"/>
      <c r="D27" s="32"/>
      <c r="E27" s="32"/>
      <c r="F27" s="32"/>
      <c r="G27" s="33"/>
      <c r="H27" s="33"/>
      <c r="I27" s="33"/>
    </row>
    <row r="28" spans="1:9" x14ac:dyDescent="0.3">
      <c r="A28" s="46" t="s">
        <v>95</v>
      </c>
      <c r="B28" s="10"/>
      <c r="C28" s="10"/>
      <c r="D28" s="10"/>
      <c r="E28" s="21">
        <v>2</v>
      </c>
      <c r="F28" s="29">
        <v>12</v>
      </c>
      <c r="G28" s="124">
        <f>'LS Budget'!H91</f>
        <v>1245</v>
      </c>
      <c r="H28" s="124">
        <f>G28*E28</f>
        <v>2490</v>
      </c>
      <c r="I28" s="124">
        <f>H28*F28</f>
        <v>29880</v>
      </c>
    </row>
    <row r="29" spans="1:9" x14ac:dyDescent="0.3">
      <c r="A29" s="46" t="s">
        <v>96</v>
      </c>
      <c r="B29" s="10"/>
      <c r="C29" s="10"/>
      <c r="D29" s="10"/>
      <c r="E29" s="21">
        <v>2</v>
      </c>
      <c r="F29" s="29">
        <v>12</v>
      </c>
      <c r="G29" s="124">
        <f>'LS Budget'!H92</f>
        <v>503</v>
      </c>
      <c r="H29" s="124">
        <f t="shared" ref="H29:H31" si="6">G29*E29</f>
        <v>1006</v>
      </c>
      <c r="I29" s="124">
        <f t="shared" ref="I29:I31" si="7">H29*F29</f>
        <v>12072</v>
      </c>
    </row>
    <row r="30" spans="1:9" x14ac:dyDescent="0.3">
      <c r="A30" s="46" t="s">
        <v>97</v>
      </c>
      <c r="B30" s="10"/>
      <c r="C30" s="10"/>
      <c r="D30" s="10"/>
      <c r="E30" s="21">
        <v>2</v>
      </c>
      <c r="F30" s="29">
        <v>12</v>
      </c>
      <c r="G30" s="124">
        <f>'LS Budget'!H93</f>
        <v>258</v>
      </c>
      <c r="H30" s="124">
        <f t="shared" si="6"/>
        <v>516</v>
      </c>
      <c r="I30" s="124">
        <f t="shared" si="7"/>
        <v>6192</v>
      </c>
    </row>
    <row r="31" spans="1:9" ht="28.8" x14ac:dyDescent="0.3">
      <c r="A31" s="46" t="s">
        <v>98</v>
      </c>
      <c r="B31" s="10"/>
      <c r="C31" s="10"/>
      <c r="D31" s="10"/>
      <c r="E31" s="21">
        <v>1</v>
      </c>
      <c r="F31" s="29">
        <v>12</v>
      </c>
      <c r="G31" s="124">
        <f>'LS Budget'!H94</f>
        <v>2747</v>
      </c>
      <c r="H31" s="124">
        <f t="shared" si="6"/>
        <v>2747</v>
      </c>
      <c r="I31" s="124">
        <f t="shared" si="7"/>
        <v>32964</v>
      </c>
    </row>
    <row r="32" spans="1:9" ht="43.2" x14ac:dyDescent="0.3">
      <c r="A32" s="130" t="s">
        <v>149</v>
      </c>
      <c r="B32" s="26"/>
      <c r="C32" s="26"/>
      <c r="D32" s="132"/>
      <c r="E32" s="213">
        <v>0.1</v>
      </c>
      <c r="F32" s="214"/>
      <c r="G32" s="214"/>
      <c r="H32" s="214"/>
      <c r="I32" s="215"/>
    </row>
    <row r="33" spans="1:9" x14ac:dyDescent="0.3">
      <c r="A33" s="35" t="s">
        <v>134</v>
      </c>
      <c r="B33" s="26"/>
      <c r="C33" s="26"/>
      <c r="D33" s="32"/>
      <c r="E33" s="213">
        <v>0.1</v>
      </c>
      <c r="F33" s="214"/>
      <c r="G33" s="214"/>
      <c r="H33" s="214"/>
      <c r="I33" s="215"/>
    </row>
  </sheetData>
  <mergeCells count="15">
    <mergeCell ref="E32:I32"/>
    <mergeCell ref="E33:I33"/>
    <mergeCell ref="I5:I6"/>
    <mergeCell ref="D7:D11"/>
    <mergeCell ref="D22:D26"/>
    <mergeCell ref="D5:D6"/>
    <mergeCell ref="E5:E6"/>
    <mergeCell ref="F5:F6"/>
    <mergeCell ref="G5:G6"/>
    <mergeCell ref="H5:H6"/>
    <mergeCell ref="A1:E4"/>
    <mergeCell ref="G1:I1"/>
    <mergeCell ref="G2:I2"/>
    <mergeCell ref="G3:I3"/>
    <mergeCell ref="G4:I4"/>
  </mergeCells>
  <pageMargins left="0.7" right="0.7" top="0.75" bottom="0.75" header="0.3" footer="0.3"/>
  <pageSetup paperSize="9" scale="74"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77D00-6A37-4C45-A167-2CE666187FA9}">
  <sheetPr codeName="Sheet8"/>
  <dimension ref="A1:M94"/>
  <sheetViews>
    <sheetView tabSelected="1" topLeftCell="B1" zoomScale="85" zoomScaleNormal="85" workbookViewId="0">
      <selection activeCell="C17" sqref="C17:C23"/>
    </sheetView>
  </sheetViews>
  <sheetFormatPr defaultRowHeight="14.4" x14ac:dyDescent="0.3"/>
  <cols>
    <col min="1" max="1" width="4.88671875" customWidth="1"/>
    <col min="2" max="2" width="10.109375" customWidth="1"/>
    <col min="3" max="3" width="36.109375" customWidth="1"/>
    <col min="4" max="4" width="38.44140625" customWidth="1"/>
    <col min="5" max="5" width="17.33203125" customWidth="1"/>
    <col min="6" max="6" width="19.88671875" customWidth="1"/>
    <col min="7" max="7" width="17.6640625" bestFit="1" customWidth="1"/>
    <col min="8" max="8" width="19.33203125" customWidth="1"/>
    <col min="9" max="9" width="16.88671875" customWidth="1"/>
    <col min="10" max="10" width="1" customWidth="1"/>
    <col min="11" max="11" width="16.109375" customWidth="1"/>
    <col min="12" max="12" width="1" customWidth="1"/>
    <col min="13" max="13" width="17.33203125" customWidth="1"/>
  </cols>
  <sheetData>
    <row r="1" spans="1:13" ht="15" thickBot="1" x14ac:dyDescent="0.35"/>
    <row r="2" spans="1:13" ht="20.399999999999999" customHeight="1" thickBot="1" x14ac:dyDescent="0.35">
      <c r="A2" s="73">
        <v>1</v>
      </c>
      <c r="B2" s="198" t="s">
        <v>150</v>
      </c>
      <c r="C2" s="198"/>
      <c r="D2" s="199"/>
      <c r="F2" s="74">
        <v>0.18</v>
      </c>
    </row>
    <row r="3" spans="1:13" ht="7.2" customHeight="1" x14ac:dyDescent="0.3">
      <c r="A3" s="75"/>
    </row>
    <row r="4" spans="1:13" ht="28.8" x14ac:dyDescent="0.3">
      <c r="B4" s="76" t="s">
        <v>151</v>
      </c>
      <c r="C4" s="76" t="s">
        <v>152</v>
      </c>
      <c r="D4" s="76" t="s">
        <v>153</v>
      </c>
      <c r="E4" s="76" t="s">
        <v>154</v>
      </c>
      <c r="F4" s="76" t="s">
        <v>155</v>
      </c>
      <c r="G4" s="77" t="s">
        <v>156</v>
      </c>
      <c r="H4" s="77" t="s">
        <v>157</v>
      </c>
      <c r="I4" s="76" t="s">
        <v>158</v>
      </c>
      <c r="K4" s="76" t="s">
        <v>159</v>
      </c>
      <c r="M4" s="76" t="s">
        <v>160</v>
      </c>
    </row>
    <row r="5" spans="1:13" ht="33" customHeight="1" x14ac:dyDescent="0.3">
      <c r="B5" s="29">
        <v>1</v>
      </c>
      <c r="C5" s="112" t="str">
        <f>'[1]Landscape BOQ'!A8</f>
        <v xml:space="preserve"> Landscape Public Engineer</v>
      </c>
      <c r="D5" s="112" t="s">
        <v>254</v>
      </c>
      <c r="E5" s="79">
        <v>16000</v>
      </c>
      <c r="F5" s="79">
        <f>E5+(F$2*E5)</f>
        <v>18880</v>
      </c>
      <c r="G5" s="29">
        <f>'[1]Landscape BOQ'!E8</f>
        <v>1</v>
      </c>
      <c r="H5" s="29">
        <f>G5</f>
        <v>1</v>
      </c>
      <c r="I5" s="79">
        <f>H5*F5</f>
        <v>18880</v>
      </c>
      <c r="K5" s="80">
        <f>ROUND((I5/(1-F$35))/G5,0)</f>
        <v>35252</v>
      </c>
      <c r="M5" s="81">
        <f>K5*G5</f>
        <v>35252</v>
      </c>
    </row>
    <row r="6" spans="1:13" ht="33" customHeight="1" x14ac:dyDescent="0.3">
      <c r="B6" s="29">
        <v>2</v>
      </c>
      <c r="C6" s="112" t="str">
        <f>'[1]Landscape BOQ'!A9</f>
        <v>زراعة Supervisor</v>
      </c>
      <c r="D6" s="112" t="s">
        <v>254</v>
      </c>
      <c r="E6" s="79">
        <v>10000</v>
      </c>
      <c r="F6" s="79">
        <f t="shared" ref="F6:F9" si="0">E6+(F$2*E6)</f>
        <v>11800</v>
      </c>
      <c r="G6" s="29">
        <f>'[1]Landscape BOQ'!E9</f>
        <v>1</v>
      </c>
      <c r="H6" s="29">
        <v>1.5</v>
      </c>
      <c r="I6" s="79">
        <f t="shared" ref="I6:I9" si="1">H6*F6</f>
        <v>17700</v>
      </c>
      <c r="K6" s="80">
        <f>ROUND((I6/(1-F$35))/G6,0)</f>
        <v>33049</v>
      </c>
      <c r="M6" s="81">
        <f t="shared" ref="M6:M9" si="2">K6*G6</f>
        <v>33049</v>
      </c>
    </row>
    <row r="7" spans="1:13" ht="33" customHeight="1" x14ac:dyDescent="0.3">
      <c r="B7" s="29">
        <v>3</v>
      </c>
      <c r="C7" s="112" t="str">
        <f>'[1]Landscape BOQ'!A10</f>
        <v>ري Supervisor</v>
      </c>
      <c r="D7" s="112" t="s">
        <v>254</v>
      </c>
      <c r="E7" s="79">
        <v>10000</v>
      </c>
      <c r="F7" s="79">
        <f t="shared" si="0"/>
        <v>11800</v>
      </c>
      <c r="G7" s="29">
        <f>'[1]Landscape BOQ'!E10</f>
        <v>1</v>
      </c>
      <c r="H7" s="29">
        <v>1.5</v>
      </c>
      <c r="I7" s="79">
        <f t="shared" si="1"/>
        <v>17700</v>
      </c>
      <c r="K7" s="80">
        <f>ROUND((I7/(1-F$35))/G7,0)</f>
        <v>33049</v>
      </c>
      <c r="M7" s="81">
        <f t="shared" si="2"/>
        <v>33049</v>
      </c>
    </row>
    <row r="8" spans="1:13" ht="33" customHeight="1" x14ac:dyDescent="0.3">
      <c r="B8" s="29">
        <v>4</v>
      </c>
      <c r="C8" s="112" t="str">
        <f>'[1]Landscape BOQ'!A11</f>
        <v>عامل زراعة</v>
      </c>
      <c r="D8" s="112" t="s">
        <v>254</v>
      </c>
      <c r="E8" s="79">
        <v>5800</v>
      </c>
      <c r="F8" s="79">
        <f t="shared" si="0"/>
        <v>6844</v>
      </c>
      <c r="G8" s="29">
        <f>'[1]Landscape BOQ'!E11</f>
        <v>5</v>
      </c>
      <c r="H8" s="29">
        <v>5.5</v>
      </c>
      <c r="I8" s="79">
        <f t="shared" si="1"/>
        <v>37642</v>
      </c>
      <c r="K8" s="80">
        <f>ROUND((I8/(1-F$35))/G8,0)</f>
        <v>14057</v>
      </c>
      <c r="M8" s="81">
        <f t="shared" si="2"/>
        <v>70285</v>
      </c>
    </row>
    <row r="9" spans="1:13" ht="33" customHeight="1" x14ac:dyDescent="0.3">
      <c r="B9" s="29">
        <v>5</v>
      </c>
      <c r="C9" s="112" t="str">
        <f>'[1]Landscape BOQ'!A12</f>
        <v>عامل ري</v>
      </c>
      <c r="D9" s="112" t="s">
        <v>254</v>
      </c>
      <c r="E9" s="79">
        <v>6800</v>
      </c>
      <c r="F9" s="79">
        <f t="shared" si="0"/>
        <v>8024</v>
      </c>
      <c r="G9" s="29">
        <f>'[1]Landscape BOQ'!E12</f>
        <v>2</v>
      </c>
      <c r="H9" s="29">
        <v>2</v>
      </c>
      <c r="I9" s="79">
        <f t="shared" si="1"/>
        <v>16048</v>
      </c>
      <c r="K9" s="80">
        <f>ROUND((I9/(1-F$35))/G9,0)</f>
        <v>14982</v>
      </c>
      <c r="M9" s="81">
        <f t="shared" si="2"/>
        <v>29964</v>
      </c>
    </row>
    <row r="10" spans="1:13" ht="9" customHeight="1" thickBot="1" x14ac:dyDescent="0.35"/>
    <row r="11" spans="1:13" ht="28.2" customHeight="1" thickBot="1" x14ac:dyDescent="0.35">
      <c r="H11" s="83" t="s">
        <v>161</v>
      </c>
      <c r="I11" s="84">
        <f>SUM(I5:I9)</f>
        <v>107970</v>
      </c>
      <c r="M11" s="85">
        <f>SUM(M5:M9)</f>
        <v>201599</v>
      </c>
    </row>
    <row r="13" spans="1:13" ht="15" thickBot="1" x14ac:dyDescent="0.35"/>
    <row r="14" spans="1:13" ht="15" thickBot="1" x14ac:dyDescent="0.35">
      <c r="A14" s="73">
        <v>2</v>
      </c>
      <c r="B14" s="198" t="s">
        <v>162</v>
      </c>
      <c r="C14" s="198"/>
      <c r="D14" s="199"/>
    </row>
    <row r="15" spans="1:13" ht="7.2" customHeight="1" x14ac:dyDescent="0.3">
      <c r="A15" s="75"/>
    </row>
    <row r="16" spans="1:13" x14ac:dyDescent="0.3">
      <c r="B16" s="76" t="s">
        <v>151</v>
      </c>
      <c r="C16" s="76" t="s">
        <v>163</v>
      </c>
      <c r="D16" s="76" t="s">
        <v>164</v>
      </c>
      <c r="E16" s="76" t="s">
        <v>165</v>
      </c>
      <c r="F16" s="76" t="s">
        <v>166</v>
      </c>
    </row>
    <row r="17" spans="1:6" ht="18.600000000000001" customHeight="1" x14ac:dyDescent="0.3">
      <c r="B17" s="29">
        <v>2.1</v>
      </c>
      <c r="C17" s="86" t="s">
        <v>167</v>
      </c>
      <c r="D17" s="79">
        <f>SUM(H6:H9)</f>
        <v>10.5</v>
      </c>
      <c r="E17" s="79">
        <v>500</v>
      </c>
      <c r="F17" s="81">
        <f>E17*D17</f>
        <v>5250</v>
      </c>
    </row>
    <row r="18" spans="1:6" ht="18.600000000000001" customHeight="1" x14ac:dyDescent="0.3">
      <c r="B18" s="29">
        <v>2.2000000000000002</v>
      </c>
      <c r="C18" s="86" t="s">
        <v>255</v>
      </c>
      <c r="D18" s="79">
        <v>1</v>
      </c>
      <c r="E18" s="79">
        <v>18000</v>
      </c>
      <c r="F18" s="81">
        <f>E18*D18</f>
        <v>18000</v>
      </c>
    </row>
    <row r="19" spans="1:6" ht="18.600000000000001" customHeight="1" x14ac:dyDescent="0.3">
      <c r="B19" s="29">
        <v>2.2999999999999998</v>
      </c>
      <c r="C19" s="86" t="s">
        <v>256</v>
      </c>
      <c r="D19" s="79">
        <v>1</v>
      </c>
      <c r="E19" s="79">
        <v>12550</v>
      </c>
      <c r="F19" s="81">
        <f t="shared" ref="F19:F23" si="3">E19*D19</f>
        <v>12550</v>
      </c>
    </row>
    <row r="20" spans="1:6" ht="18.600000000000001" customHeight="1" x14ac:dyDescent="0.3">
      <c r="B20" s="29">
        <v>2.4</v>
      </c>
      <c r="C20" s="86" t="s">
        <v>257</v>
      </c>
      <c r="D20" s="79">
        <v>1</v>
      </c>
      <c r="E20" s="79">
        <v>4500</v>
      </c>
      <c r="F20" s="81">
        <f t="shared" si="3"/>
        <v>4500</v>
      </c>
    </row>
    <row r="21" spans="1:6" ht="18.600000000000001" customHeight="1" x14ac:dyDescent="0.3">
      <c r="B21" s="29">
        <v>2.5</v>
      </c>
      <c r="C21" s="86" t="s">
        <v>171</v>
      </c>
      <c r="D21" s="79">
        <v>0</v>
      </c>
      <c r="E21" s="79">
        <v>38500</v>
      </c>
      <c r="F21" s="81">
        <f t="shared" si="3"/>
        <v>0</v>
      </c>
    </row>
    <row r="22" spans="1:6" ht="18.600000000000001" customHeight="1" x14ac:dyDescent="0.3">
      <c r="B22" s="29">
        <v>2.6</v>
      </c>
      <c r="C22" s="86" t="s">
        <v>172</v>
      </c>
      <c r="D22" s="79">
        <f>SUM(G5:G9)</f>
        <v>10</v>
      </c>
      <c r="E22" s="79">
        <v>3000</v>
      </c>
      <c r="F22" s="81">
        <f t="shared" si="3"/>
        <v>30000</v>
      </c>
    </row>
    <row r="23" spans="1:6" ht="18.600000000000001" customHeight="1" x14ac:dyDescent="0.3">
      <c r="B23" s="29">
        <v>2.7</v>
      </c>
      <c r="C23" s="86" t="s">
        <v>173</v>
      </c>
      <c r="D23" s="79">
        <v>1</v>
      </c>
      <c r="E23" s="79">
        <v>5000</v>
      </c>
      <c r="F23" s="81">
        <f t="shared" si="3"/>
        <v>5000</v>
      </c>
    </row>
    <row r="24" spans="1:6" ht="9" customHeight="1" thickBot="1" x14ac:dyDescent="0.35"/>
    <row r="25" spans="1:6" ht="26.4" customHeight="1" thickBot="1" x14ac:dyDescent="0.35">
      <c r="E25" s="83" t="s">
        <v>174</v>
      </c>
      <c r="F25" s="84">
        <f>SUM(F17:F23)</f>
        <v>75300</v>
      </c>
    </row>
    <row r="26" spans="1:6" ht="15" thickBot="1" x14ac:dyDescent="0.35"/>
    <row r="27" spans="1:6" ht="15" thickBot="1" x14ac:dyDescent="0.35">
      <c r="A27" s="73">
        <v>3</v>
      </c>
      <c r="B27" s="198" t="s">
        <v>175</v>
      </c>
      <c r="C27" s="198"/>
      <c r="D27" s="199"/>
    </row>
    <row r="28" spans="1:6" ht="7.2" customHeight="1" x14ac:dyDescent="0.3">
      <c r="A28" s="75"/>
    </row>
    <row r="29" spans="1:6" x14ac:dyDescent="0.3">
      <c r="B29" s="76" t="s">
        <v>151</v>
      </c>
      <c r="C29" s="76" t="s">
        <v>163</v>
      </c>
      <c r="D29" s="76" t="s">
        <v>176</v>
      </c>
      <c r="E29" s="76" t="s">
        <v>177</v>
      </c>
      <c r="F29" s="76" t="s">
        <v>166</v>
      </c>
    </row>
    <row r="30" spans="1:6" ht="18.600000000000001" customHeight="1" x14ac:dyDescent="0.3">
      <c r="B30" s="29">
        <v>3.1</v>
      </c>
      <c r="C30" s="86" t="s">
        <v>178</v>
      </c>
      <c r="D30" s="87">
        <v>0</v>
      </c>
      <c r="E30" s="79">
        <f>(I11+F25)</f>
        <v>183270</v>
      </c>
      <c r="F30" s="81">
        <f>E30*D30</f>
        <v>0</v>
      </c>
    </row>
    <row r="31" spans="1:6" ht="18.600000000000001" customHeight="1" x14ac:dyDescent="0.3">
      <c r="B31" s="29">
        <v>3.2</v>
      </c>
      <c r="C31" s="86" t="s">
        <v>179</v>
      </c>
      <c r="D31" s="87">
        <v>0.1</v>
      </c>
      <c r="E31" s="79">
        <f>E30</f>
        <v>183270</v>
      </c>
      <c r="F31" s="81">
        <f>E31*D31</f>
        <v>18327</v>
      </c>
    </row>
    <row r="32" spans="1:6" ht="9" customHeight="1" thickBot="1" x14ac:dyDescent="0.35"/>
    <row r="33" spans="1:8" ht="26.4" customHeight="1" thickBot="1" x14ac:dyDescent="0.35">
      <c r="E33" s="83" t="s">
        <v>180</v>
      </c>
      <c r="F33" s="84">
        <f>SUM(F30:F31)</f>
        <v>18327</v>
      </c>
    </row>
    <row r="34" spans="1:8" ht="9.6" customHeight="1" thickBot="1" x14ac:dyDescent="0.35"/>
    <row r="35" spans="1:8" ht="19.2" customHeight="1" thickBot="1" x14ac:dyDescent="0.35">
      <c r="E35" s="88" t="s">
        <v>181</v>
      </c>
      <c r="F35" s="89">
        <f>(F33+F25)/(F33+F25+I11)</f>
        <v>0.46442655396657689</v>
      </c>
    </row>
    <row r="36" spans="1:8" ht="7.95" customHeight="1" thickBot="1" x14ac:dyDescent="0.35"/>
    <row r="37" spans="1:8" ht="21.6" customHeight="1" thickBot="1" x14ac:dyDescent="0.35">
      <c r="E37" s="88" t="s">
        <v>182</v>
      </c>
      <c r="F37" s="90">
        <f>F33+F25+I11</f>
        <v>201597</v>
      </c>
    </row>
    <row r="39" spans="1:8" ht="15" thickBot="1" x14ac:dyDescent="0.35"/>
    <row r="40" spans="1:8" ht="15" thickBot="1" x14ac:dyDescent="0.35">
      <c r="A40" s="73">
        <v>4</v>
      </c>
      <c r="B40" s="198" t="s">
        <v>183</v>
      </c>
      <c r="C40" s="198"/>
      <c r="D40" s="199"/>
      <c r="F40" s="74">
        <v>0.03</v>
      </c>
    </row>
    <row r="41" spans="1:8" ht="7.2" customHeight="1" x14ac:dyDescent="0.3">
      <c r="A41" s="75"/>
    </row>
    <row r="42" spans="1:8" ht="19.2" customHeight="1" x14ac:dyDescent="0.3">
      <c r="B42" s="76" t="s">
        <v>151</v>
      </c>
      <c r="C42" s="76" t="s">
        <v>163</v>
      </c>
      <c r="D42" s="76" t="s">
        <v>164</v>
      </c>
      <c r="E42" s="76" t="s">
        <v>184</v>
      </c>
      <c r="F42" s="76" t="s">
        <v>185</v>
      </c>
      <c r="G42" s="76" t="s">
        <v>186</v>
      </c>
      <c r="H42" s="76" t="s">
        <v>187</v>
      </c>
    </row>
    <row r="43" spans="1:8" ht="19.95" customHeight="1" x14ac:dyDescent="0.3">
      <c r="B43" s="82">
        <v>4.0999999999999996</v>
      </c>
      <c r="C43" s="86" t="str">
        <f>'[1]Landscape BOQ'!A14</f>
        <v>ماكينة قص نجيله هوندا  دفع ذاتى موديل 216</v>
      </c>
      <c r="D43" s="79">
        <f>'[1]Landscape BOQ'!E14</f>
        <v>1</v>
      </c>
      <c r="E43" s="79">
        <v>69000</v>
      </c>
      <c r="F43" s="81">
        <f>E43*F$40</f>
        <v>2070</v>
      </c>
      <c r="G43" s="80">
        <f>F43+E43</f>
        <v>71070</v>
      </c>
      <c r="H43" s="81">
        <f>ROUNDUP(G43/12,0)</f>
        <v>5923</v>
      </c>
    </row>
    <row r="44" spans="1:8" ht="19.95" customHeight="1" x14ac:dyDescent="0.3">
      <c r="B44" s="82">
        <v>4.2</v>
      </c>
      <c r="C44" s="86" t="str">
        <f>'[1]Landscape BOQ'!A15</f>
        <v xml:space="preserve">موتور رش 600 لتر </v>
      </c>
      <c r="D44" s="79">
        <f>'[1]Landscape BOQ'!E15</f>
        <v>1</v>
      </c>
      <c r="E44" s="79">
        <v>66000</v>
      </c>
      <c r="F44" s="81">
        <f t="shared" ref="F44:F47" si="4">E44*F$40</f>
        <v>1980</v>
      </c>
      <c r="G44" s="80">
        <f t="shared" ref="G44:G47" si="5">F44+E44</f>
        <v>67980</v>
      </c>
      <c r="H44" s="81">
        <f t="shared" ref="H44:H47" si="6">ROUNDUP(G44/12,0)</f>
        <v>5665</v>
      </c>
    </row>
    <row r="45" spans="1:8" ht="19.95" customHeight="1" x14ac:dyDescent="0.3">
      <c r="B45" s="82">
        <v>4.3</v>
      </c>
      <c r="C45" s="86" t="str">
        <f>'[1]Landscape BOQ'!A16</f>
        <v xml:space="preserve"> رشاشة ظهرية بالبطارية </v>
      </c>
      <c r="D45" s="79">
        <f>'[1]Landscape BOQ'!E16</f>
        <v>2</v>
      </c>
      <c r="E45" s="81">
        <v>3400</v>
      </c>
      <c r="F45" s="81">
        <f t="shared" si="4"/>
        <v>102</v>
      </c>
      <c r="G45" s="80">
        <f t="shared" si="5"/>
        <v>3502</v>
      </c>
      <c r="H45" s="81">
        <f t="shared" si="6"/>
        <v>292</v>
      </c>
    </row>
    <row r="46" spans="1:8" ht="19.95" customHeight="1" x14ac:dyDescent="0.3">
      <c r="B46" s="82">
        <v>4.4000000000000004</v>
      </c>
      <c r="C46" s="86" t="str">
        <f>'[1]Landscape BOQ'!A17</f>
        <v xml:space="preserve">ماكينة حدية للنجيلة  5*1 نوعية استيجا </v>
      </c>
      <c r="D46" s="79">
        <f>'[1]Landscape BOQ'!E17</f>
        <v>1</v>
      </c>
      <c r="E46" s="79">
        <v>17000</v>
      </c>
      <c r="F46" s="81">
        <f t="shared" si="4"/>
        <v>510</v>
      </c>
      <c r="G46" s="80">
        <f t="shared" si="5"/>
        <v>17510</v>
      </c>
      <c r="H46" s="81">
        <f t="shared" si="6"/>
        <v>1460</v>
      </c>
    </row>
    <row r="47" spans="1:8" ht="19.95" customHeight="1" x14ac:dyDescent="0.3">
      <c r="B47" s="82">
        <v>4.5</v>
      </c>
      <c r="C47" s="86" t="str">
        <f>'[1]Landscape BOQ'!A18</f>
        <v xml:space="preserve">عدد مقص اسوار بنزين نوعية كراون </v>
      </c>
      <c r="D47" s="79">
        <f>'[1]Landscape BOQ'!E18</f>
        <v>1</v>
      </c>
      <c r="E47" s="79">
        <v>7500</v>
      </c>
      <c r="F47" s="81">
        <f t="shared" si="4"/>
        <v>225</v>
      </c>
      <c r="G47" s="80">
        <f t="shared" si="5"/>
        <v>7725</v>
      </c>
      <c r="H47" s="81">
        <f t="shared" si="6"/>
        <v>644</v>
      </c>
    </row>
    <row r="49" spans="1:13" ht="15" thickBot="1" x14ac:dyDescent="0.35"/>
    <row r="50" spans="1:13" ht="20.399999999999999" customHeight="1" thickBot="1" x14ac:dyDescent="0.35">
      <c r="A50" s="73">
        <v>1</v>
      </c>
      <c r="B50" s="198" t="s">
        <v>150</v>
      </c>
      <c r="C50" s="198"/>
      <c r="D50" s="199"/>
      <c r="F50" s="74">
        <v>0.2</v>
      </c>
    </row>
    <row r="51" spans="1:13" ht="7.2" customHeight="1" x14ac:dyDescent="0.3">
      <c r="A51" s="75"/>
    </row>
    <row r="52" spans="1:13" ht="28.8" x14ac:dyDescent="0.3">
      <c r="B52" s="76" t="s">
        <v>151</v>
      </c>
      <c r="C52" s="76" t="s">
        <v>152</v>
      </c>
      <c r="D52" s="76" t="s">
        <v>153</v>
      </c>
      <c r="E52" s="76" t="s">
        <v>154</v>
      </c>
      <c r="F52" s="76" t="s">
        <v>155</v>
      </c>
      <c r="G52" s="77" t="s">
        <v>156</v>
      </c>
      <c r="H52" s="77" t="s">
        <v>157</v>
      </c>
      <c r="I52" s="76" t="s">
        <v>158</v>
      </c>
      <c r="K52" s="76" t="s">
        <v>159</v>
      </c>
      <c r="M52" s="76" t="s">
        <v>160</v>
      </c>
    </row>
    <row r="53" spans="1:13" ht="33" customHeight="1" x14ac:dyDescent="0.3">
      <c r="B53" s="29">
        <v>1</v>
      </c>
      <c r="C53" s="112" t="str">
        <f>'[1]Landscape BOQ'!A23</f>
        <v xml:space="preserve"> Landscape Internal Engineer</v>
      </c>
      <c r="D53" s="112" t="s">
        <v>254</v>
      </c>
      <c r="E53" s="79">
        <f>E5</f>
        <v>16000</v>
      </c>
      <c r="F53" s="79">
        <f>E53+(F$50*E53)</f>
        <v>19200</v>
      </c>
      <c r="G53" s="29">
        <f>'[1]Landscape BOQ'!E23</f>
        <v>1</v>
      </c>
      <c r="H53" s="29">
        <f>G53</f>
        <v>1</v>
      </c>
      <c r="I53" s="79">
        <f>H53*F53</f>
        <v>19200</v>
      </c>
      <c r="K53" s="80">
        <f>ROUND((I53/(1-F$83))/G53,0)</f>
        <v>31529</v>
      </c>
      <c r="M53" s="81">
        <f>K53*G53</f>
        <v>31529</v>
      </c>
    </row>
    <row r="54" spans="1:13" ht="33" customHeight="1" x14ac:dyDescent="0.3">
      <c r="B54" s="29">
        <v>2</v>
      </c>
      <c r="C54" s="112" t="str">
        <f>'[1]Landscape BOQ'!A24</f>
        <v>Landscape Internal Supervisor</v>
      </c>
      <c r="D54" s="112" t="s">
        <v>254</v>
      </c>
      <c r="E54" s="79">
        <f t="shared" ref="E54:E55" si="7">E6</f>
        <v>10000</v>
      </c>
      <c r="F54" s="79">
        <f t="shared" ref="F54:F57" si="8">E54+(F$50*E54)</f>
        <v>12000</v>
      </c>
      <c r="G54" s="29">
        <f>'[1]Landscape BOQ'!E24</f>
        <v>1</v>
      </c>
      <c r="H54" s="29">
        <v>1.5</v>
      </c>
      <c r="I54" s="79">
        <f t="shared" ref="I54:I57" si="9">H54*F54</f>
        <v>18000</v>
      </c>
      <c r="K54" s="80">
        <f t="shared" ref="K54:K57" si="10">ROUND((I54/(1-F$83))/G54,0)</f>
        <v>29559</v>
      </c>
      <c r="M54" s="81">
        <f t="shared" ref="M54:M57" si="11">K54*G54</f>
        <v>29559</v>
      </c>
    </row>
    <row r="55" spans="1:13" ht="33" customHeight="1" x14ac:dyDescent="0.3">
      <c r="B55" s="29">
        <v>3</v>
      </c>
      <c r="C55" s="112" t="str">
        <f>'[1]Landscape BOQ'!A25</f>
        <v>عامل اول زراعة</v>
      </c>
      <c r="D55" s="112" t="s">
        <v>254</v>
      </c>
      <c r="E55" s="79">
        <f t="shared" si="7"/>
        <v>10000</v>
      </c>
      <c r="F55" s="79">
        <f t="shared" si="8"/>
        <v>12000</v>
      </c>
      <c r="G55" s="29">
        <f>'[1]Landscape BOQ'!E25</f>
        <v>1</v>
      </c>
      <c r="H55" s="29">
        <v>1.5</v>
      </c>
      <c r="I55" s="79">
        <f t="shared" si="9"/>
        <v>18000</v>
      </c>
      <c r="K55" s="80">
        <f t="shared" si="10"/>
        <v>29559</v>
      </c>
      <c r="M55" s="81">
        <f t="shared" si="11"/>
        <v>29559</v>
      </c>
    </row>
    <row r="56" spans="1:13" ht="33" customHeight="1" x14ac:dyDescent="0.3">
      <c r="B56" s="29">
        <v>4</v>
      </c>
      <c r="C56" s="112" t="str">
        <f>'[1]Landscape BOQ'!A26</f>
        <v>عامل زراعة</v>
      </c>
      <c r="D56" s="112" t="s">
        <v>254</v>
      </c>
      <c r="E56" s="79">
        <v>6200</v>
      </c>
      <c r="F56" s="79">
        <f t="shared" si="8"/>
        <v>7440</v>
      </c>
      <c r="G56" s="29">
        <f>'[1]Landscape BOQ'!E26</f>
        <v>4</v>
      </c>
      <c r="H56" s="29">
        <f t="shared" ref="H56" si="12">ROUNDUP(G56+(G56/6),0)</f>
        <v>5</v>
      </c>
      <c r="I56" s="79">
        <f t="shared" si="9"/>
        <v>37200</v>
      </c>
      <c r="K56" s="80">
        <f t="shared" si="10"/>
        <v>15272</v>
      </c>
      <c r="M56" s="81">
        <f t="shared" si="11"/>
        <v>61088</v>
      </c>
    </row>
    <row r="57" spans="1:13" ht="33" customHeight="1" x14ac:dyDescent="0.3">
      <c r="B57" s="29">
        <v>5</v>
      </c>
      <c r="C57" s="112" t="str">
        <f>'[1]Landscape BOQ'!A27</f>
        <v>عامل ري</v>
      </c>
      <c r="D57" s="112" t="s">
        <v>254</v>
      </c>
      <c r="E57" s="79">
        <v>7000</v>
      </c>
      <c r="F57" s="79">
        <f t="shared" si="8"/>
        <v>8400</v>
      </c>
      <c r="G57" s="29">
        <f>'[1]Landscape BOQ'!E27</f>
        <v>1</v>
      </c>
      <c r="H57" s="29">
        <v>1.5</v>
      </c>
      <c r="I57" s="79">
        <f t="shared" si="9"/>
        <v>12600</v>
      </c>
      <c r="K57" s="80">
        <f t="shared" si="10"/>
        <v>20691</v>
      </c>
      <c r="M57" s="81">
        <f t="shared" si="11"/>
        <v>20691</v>
      </c>
    </row>
    <row r="58" spans="1:13" ht="9" customHeight="1" thickBot="1" x14ac:dyDescent="0.35"/>
    <row r="59" spans="1:13" ht="28.2" customHeight="1" thickBot="1" x14ac:dyDescent="0.35">
      <c r="H59" s="83" t="s">
        <v>161</v>
      </c>
      <c r="I59" s="84">
        <f>SUM(I53:I57)</f>
        <v>105000</v>
      </c>
      <c r="M59" s="85">
        <f>SUM(M53:M57)</f>
        <v>172426</v>
      </c>
    </row>
    <row r="61" spans="1:13" ht="15" thickBot="1" x14ac:dyDescent="0.35"/>
    <row r="62" spans="1:13" ht="15" thickBot="1" x14ac:dyDescent="0.35">
      <c r="A62" s="73">
        <v>2</v>
      </c>
      <c r="B62" s="198" t="s">
        <v>162</v>
      </c>
      <c r="C62" s="198"/>
      <c r="D62" s="199"/>
    </row>
    <row r="63" spans="1:13" ht="7.2" customHeight="1" x14ac:dyDescent="0.3">
      <c r="A63" s="75"/>
    </row>
    <row r="64" spans="1:13" x14ac:dyDescent="0.3">
      <c r="B64" s="76" t="s">
        <v>151</v>
      </c>
      <c r="C64" s="76" t="s">
        <v>163</v>
      </c>
      <c r="D64" s="76" t="s">
        <v>164</v>
      </c>
      <c r="E64" s="76" t="s">
        <v>165</v>
      </c>
      <c r="F64" s="76" t="s">
        <v>166</v>
      </c>
    </row>
    <row r="65" spans="1:6" ht="18.600000000000001" customHeight="1" x14ac:dyDescent="0.3">
      <c r="B65" s="29">
        <v>2.1</v>
      </c>
      <c r="C65" s="86" t="s">
        <v>167</v>
      </c>
      <c r="D65" s="79">
        <f>SUM(H54:H57)</f>
        <v>9.5</v>
      </c>
      <c r="E65" s="79">
        <v>500</v>
      </c>
      <c r="F65" s="81">
        <f>E65*D65</f>
        <v>4750</v>
      </c>
    </row>
    <row r="66" spans="1:6" ht="18.600000000000001" customHeight="1" x14ac:dyDescent="0.3">
      <c r="B66" s="29">
        <v>2.2000000000000002</v>
      </c>
      <c r="C66" s="86" t="s">
        <v>255</v>
      </c>
      <c r="D66" s="79">
        <v>1</v>
      </c>
      <c r="E66" s="79">
        <v>10000</v>
      </c>
      <c r="F66" s="81">
        <f>E66*D66</f>
        <v>10000</v>
      </c>
    </row>
    <row r="67" spans="1:6" ht="18.600000000000001" customHeight="1" x14ac:dyDescent="0.3">
      <c r="B67" s="29">
        <v>2.2999999999999998</v>
      </c>
      <c r="C67" s="86" t="s">
        <v>256</v>
      </c>
      <c r="D67" s="79">
        <v>1</v>
      </c>
      <c r="E67" s="79">
        <v>7000</v>
      </c>
      <c r="F67" s="81">
        <f t="shared" ref="F67:F71" si="13">E67*D67</f>
        <v>7000</v>
      </c>
    </row>
    <row r="68" spans="1:6" ht="18.600000000000001" customHeight="1" x14ac:dyDescent="0.3">
      <c r="B68" s="29">
        <v>2.4</v>
      </c>
      <c r="C68" s="86" t="s">
        <v>257</v>
      </c>
      <c r="D68" s="79">
        <v>1</v>
      </c>
      <c r="E68" s="79">
        <v>3500</v>
      </c>
      <c r="F68" s="81">
        <f t="shared" si="13"/>
        <v>3500</v>
      </c>
    </row>
    <row r="69" spans="1:6" ht="18.600000000000001" customHeight="1" x14ac:dyDescent="0.3">
      <c r="B69" s="29">
        <v>2.5</v>
      </c>
      <c r="C69" s="86" t="s">
        <v>258</v>
      </c>
      <c r="D69" s="79">
        <v>0</v>
      </c>
      <c r="E69" s="79">
        <v>38500</v>
      </c>
      <c r="F69" s="81">
        <f t="shared" si="13"/>
        <v>0</v>
      </c>
    </row>
    <row r="70" spans="1:6" ht="18.600000000000001" customHeight="1" x14ac:dyDescent="0.3">
      <c r="B70" s="29">
        <v>2.6</v>
      </c>
      <c r="C70" s="86" t="s">
        <v>259</v>
      </c>
      <c r="D70" s="79">
        <f>SUM(G53:G57)</f>
        <v>8</v>
      </c>
      <c r="E70" s="79">
        <v>3000</v>
      </c>
      <c r="F70" s="81">
        <f t="shared" si="13"/>
        <v>24000</v>
      </c>
    </row>
    <row r="71" spans="1:6" ht="18.600000000000001" customHeight="1" x14ac:dyDescent="0.3">
      <c r="B71" s="29">
        <v>2.7</v>
      </c>
      <c r="C71" s="86" t="s">
        <v>260</v>
      </c>
      <c r="D71" s="79">
        <v>1</v>
      </c>
      <c r="E71" s="79">
        <v>2500</v>
      </c>
      <c r="F71" s="81">
        <f t="shared" si="13"/>
        <v>2500</v>
      </c>
    </row>
    <row r="72" spans="1:6" ht="9" customHeight="1" thickBot="1" x14ac:dyDescent="0.35"/>
    <row r="73" spans="1:6" ht="26.4" customHeight="1" thickBot="1" x14ac:dyDescent="0.35">
      <c r="E73" s="83" t="s">
        <v>174</v>
      </c>
      <c r="F73" s="84">
        <f>SUM(F65:F71)</f>
        <v>51750</v>
      </c>
    </row>
    <row r="74" spans="1:6" ht="15" thickBot="1" x14ac:dyDescent="0.35"/>
    <row r="75" spans="1:6" ht="15" thickBot="1" x14ac:dyDescent="0.35">
      <c r="A75" s="73">
        <v>3</v>
      </c>
      <c r="B75" s="198" t="s">
        <v>175</v>
      </c>
      <c r="C75" s="198"/>
      <c r="D75" s="199"/>
    </row>
    <row r="76" spans="1:6" ht="7.2" customHeight="1" x14ac:dyDescent="0.3">
      <c r="A76" s="75"/>
    </row>
    <row r="77" spans="1:6" x14ac:dyDescent="0.3">
      <c r="B77" s="76" t="s">
        <v>151</v>
      </c>
      <c r="C77" s="76" t="s">
        <v>163</v>
      </c>
      <c r="D77" s="76" t="s">
        <v>176</v>
      </c>
      <c r="E77" s="76" t="s">
        <v>177</v>
      </c>
      <c r="F77" s="76" t="s">
        <v>166</v>
      </c>
    </row>
    <row r="78" spans="1:6" ht="18.600000000000001" customHeight="1" x14ac:dyDescent="0.3">
      <c r="B78" s="29">
        <v>3.1</v>
      </c>
      <c r="C78" s="86" t="s">
        <v>178</v>
      </c>
      <c r="D78" s="87">
        <v>0</v>
      </c>
      <c r="E78" s="79">
        <f>(I59+F73)</f>
        <v>156750</v>
      </c>
      <c r="F78" s="81">
        <f>E78*D78</f>
        <v>0</v>
      </c>
    </row>
    <row r="79" spans="1:6" ht="18.600000000000001" customHeight="1" x14ac:dyDescent="0.3">
      <c r="B79" s="29">
        <v>3.2</v>
      </c>
      <c r="C79" s="86" t="s">
        <v>179</v>
      </c>
      <c r="D79" s="87">
        <v>0.1</v>
      </c>
      <c r="E79" s="79">
        <f>E78</f>
        <v>156750</v>
      </c>
      <c r="F79" s="81">
        <f>E79*D79</f>
        <v>15675</v>
      </c>
    </row>
    <row r="80" spans="1:6" ht="9" customHeight="1" thickBot="1" x14ac:dyDescent="0.35"/>
    <row r="81" spans="1:8" ht="26.4" customHeight="1" thickBot="1" x14ac:dyDescent="0.35">
      <c r="E81" s="83" t="s">
        <v>180</v>
      </c>
      <c r="F81" s="84">
        <f>SUM(F78:F79)</f>
        <v>15675</v>
      </c>
    </row>
    <row r="82" spans="1:8" ht="9.6" customHeight="1" thickBot="1" x14ac:dyDescent="0.35"/>
    <row r="83" spans="1:8" ht="19.2" customHeight="1" thickBot="1" x14ac:dyDescent="0.35">
      <c r="E83" s="88" t="s">
        <v>181</v>
      </c>
      <c r="F83" s="89">
        <f>(F81+F73)/(F81+F73+I59)</f>
        <v>0.39103958242714226</v>
      </c>
    </row>
    <row r="84" spans="1:8" ht="7.95" customHeight="1" thickBot="1" x14ac:dyDescent="0.35"/>
    <row r="85" spans="1:8" ht="21.6" customHeight="1" thickBot="1" x14ac:dyDescent="0.35">
      <c r="E85" s="88" t="s">
        <v>182</v>
      </c>
      <c r="F85" s="90">
        <f>F81+F73+I59</f>
        <v>172425</v>
      </c>
    </row>
    <row r="87" spans="1:8" ht="15" thickBot="1" x14ac:dyDescent="0.35"/>
    <row r="88" spans="1:8" ht="15" thickBot="1" x14ac:dyDescent="0.35">
      <c r="A88" s="73">
        <v>4</v>
      </c>
      <c r="B88" s="198" t="s">
        <v>183</v>
      </c>
      <c r="C88" s="198"/>
      <c r="D88" s="199"/>
      <c r="F88" s="74">
        <v>0.03</v>
      </c>
    </row>
    <row r="89" spans="1:8" ht="7.2" customHeight="1" x14ac:dyDescent="0.3">
      <c r="A89" s="75"/>
    </row>
    <row r="90" spans="1:8" ht="19.2" customHeight="1" x14ac:dyDescent="0.3">
      <c r="B90" s="76" t="s">
        <v>151</v>
      </c>
      <c r="C90" s="76" t="s">
        <v>163</v>
      </c>
      <c r="D90" s="76" t="s">
        <v>164</v>
      </c>
      <c r="E90" s="76" t="s">
        <v>184</v>
      </c>
      <c r="F90" s="76" t="s">
        <v>185</v>
      </c>
      <c r="G90" s="76" t="s">
        <v>186</v>
      </c>
      <c r="H90" s="76" t="s">
        <v>187</v>
      </c>
    </row>
    <row r="91" spans="1:8" ht="19.95" customHeight="1" x14ac:dyDescent="0.3">
      <c r="B91" s="82">
        <v>4.0999999999999996</v>
      </c>
      <c r="C91" s="86" t="str">
        <f>'[1]Landscape BOQ'!A29</f>
        <v>ماكينة قص كهرباء 220V (Stiga or Total)</v>
      </c>
      <c r="D91" s="79">
        <f>'[1]Landscape BOQ'!E29</f>
        <v>2</v>
      </c>
      <c r="E91" s="79">
        <v>14500</v>
      </c>
      <c r="F91" s="81">
        <f>E91*F$88</f>
        <v>435</v>
      </c>
      <c r="G91" s="80">
        <f>F91+E91</f>
        <v>14935</v>
      </c>
      <c r="H91" s="81">
        <f>ROUNDUP(G91/12,0)</f>
        <v>1245</v>
      </c>
    </row>
    <row r="92" spans="1:8" ht="19.95" customHeight="1" x14ac:dyDescent="0.3">
      <c r="B92" s="82">
        <v>4.2</v>
      </c>
      <c r="C92" s="86" t="str">
        <f>'[1]Landscape BOQ'!A30</f>
        <v>Trimmer منشار قص الورق</v>
      </c>
      <c r="D92" s="79">
        <f>'[1]Landscape BOQ'!E30</f>
        <v>2</v>
      </c>
      <c r="E92" s="79">
        <v>5850</v>
      </c>
      <c r="F92" s="81">
        <f>E92*F$88</f>
        <v>175.5</v>
      </c>
      <c r="G92" s="80">
        <f t="shared" ref="G92:G94" si="14">F92+E92</f>
        <v>6025.5</v>
      </c>
      <c r="H92" s="81">
        <f t="shared" ref="H92:H94" si="15">ROUNDUP(G92/12,0)</f>
        <v>503</v>
      </c>
    </row>
    <row r="93" spans="1:8" ht="19.95" customHeight="1" x14ac:dyDescent="0.3">
      <c r="B93" s="82">
        <v>4.3</v>
      </c>
      <c r="C93" s="86" t="str">
        <f>'[1]Landscape BOQ'!A31</f>
        <v>موتور رش ظهري يعمل بالبطارية 20 لتر</v>
      </c>
      <c r="D93" s="79">
        <f>'[1]Landscape BOQ'!E31</f>
        <v>2</v>
      </c>
      <c r="E93" s="81">
        <v>3000</v>
      </c>
      <c r="F93" s="81">
        <f t="shared" ref="F93:F94" si="16">E93*F$88</f>
        <v>90</v>
      </c>
      <c r="G93" s="80">
        <f t="shared" si="14"/>
        <v>3090</v>
      </c>
      <c r="H93" s="81">
        <f t="shared" si="15"/>
        <v>258</v>
      </c>
    </row>
    <row r="94" spans="1:8" ht="19.95" customHeight="1" x14ac:dyDescent="0.3">
      <c r="B94" s="82">
        <v>4.4000000000000004</v>
      </c>
      <c r="C94" s="86" t="str">
        <f>'[1]Landscape BOQ'!A32</f>
        <v xml:space="preserve">موتور رش 300 لتر يعمل بالجاز و يشمل مستلزمات الماكينات من زيت وبنزين </v>
      </c>
      <c r="D94" s="79">
        <f>'[1]Landscape BOQ'!E32</f>
        <v>1</v>
      </c>
      <c r="E94" s="79">
        <v>32000</v>
      </c>
      <c r="F94" s="81">
        <f t="shared" si="16"/>
        <v>960</v>
      </c>
      <c r="G94" s="80">
        <f t="shared" si="14"/>
        <v>32960</v>
      </c>
      <c r="H94" s="81">
        <f t="shared" si="15"/>
        <v>2747</v>
      </c>
    </row>
  </sheetData>
  <mergeCells count="8">
    <mergeCell ref="B75:D75"/>
    <mergeCell ref="B88:D88"/>
    <mergeCell ref="B2:D2"/>
    <mergeCell ref="B14:D14"/>
    <mergeCell ref="B27:D27"/>
    <mergeCell ref="B40:D40"/>
    <mergeCell ref="B50:D50"/>
    <mergeCell ref="B62:D6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E585B-C249-4D3A-A705-85CFAA6BDD54}">
  <sheetPr codeName="Sheet9">
    <pageSetUpPr fitToPage="1"/>
  </sheetPr>
  <dimension ref="A1:I24"/>
  <sheetViews>
    <sheetView workbookViewId="0">
      <selection activeCell="J26" sqref="J26"/>
    </sheetView>
  </sheetViews>
  <sheetFormatPr defaultRowHeight="14.4" x14ac:dyDescent="0.3"/>
  <cols>
    <col min="1" max="1" width="38.6640625" customWidth="1"/>
    <col min="2" max="2" width="9.109375" hidden="1" customWidth="1"/>
    <col min="3" max="3" width="3" customWidth="1"/>
    <col min="4" max="4" width="23.33203125" customWidth="1"/>
    <col min="5" max="5" width="8" customWidth="1"/>
    <col min="6" max="6" width="12.88671875" customWidth="1"/>
    <col min="7" max="7" width="10.88671875" customWidth="1"/>
    <col min="8" max="8" width="11.109375" customWidth="1"/>
    <col min="9" max="9" width="12.109375" customWidth="1"/>
  </cols>
  <sheetData>
    <row r="1" spans="1:9" ht="18" customHeight="1" x14ac:dyDescent="0.3">
      <c r="A1" s="176" t="s">
        <v>114</v>
      </c>
      <c r="B1" s="177"/>
      <c r="C1" s="177"/>
      <c r="D1" s="177"/>
      <c r="E1" s="178"/>
      <c r="F1" s="11"/>
      <c r="G1" s="182" t="s">
        <v>235</v>
      </c>
      <c r="H1" s="182"/>
      <c r="I1" s="182"/>
    </row>
    <row r="2" spans="1:9" x14ac:dyDescent="0.3">
      <c r="A2" s="179"/>
      <c r="B2" s="180"/>
      <c r="C2" s="180"/>
      <c r="D2" s="180"/>
      <c r="E2" s="181"/>
      <c r="F2" s="128" t="s">
        <v>73</v>
      </c>
      <c r="G2" s="183">
        <f>G4+G3</f>
        <v>975110.4</v>
      </c>
      <c r="H2" s="184"/>
      <c r="I2" s="185"/>
    </row>
    <row r="3" spans="1:9" x14ac:dyDescent="0.3">
      <c r="A3" s="179"/>
      <c r="B3" s="180"/>
      <c r="C3" s="180"/>
      <c r="D3" s="180"/>
      <c r="E3" s="181"/>
      <c r="F3" s="128" t="s">
        <v>4</v>
      </c>
      <c r="G3" s="183">
        <f>G4*0.14</f>
        <v>119750.40000000001</v>
      </c>
      <c r="H3" s="184"/>
      <c r="I3" s="185"/>
    </row>
    <row r="4" spans="1:9" ht="15" thickBot="1" x14ac:dyDescent="0.35">
      <c r="A4" s="179"/>
      <c r="B4" s="180"/>
      <c r="C4" s="180"/>
      <c r="D4" s="180"/>
      <c r="E4" s="181"/>
      <c r="F4" s="129" t="s">
        <v>0</v>
      </c>
      <c r="G4" s="210">
        <f>I8</f>
        <v>855360</v>
      </c>
      <c r="H4" s="211"/>
      <c r="I4" s="212"/>
    </row>
    <row r="5" spans="1:9" ht="15" hidden="1" thickBot="1" x14ac:dyDescent="0.35">
      <c r="A5" s="22"/>
      <c r="B5" s="22"/>
      <c r="C5" s="22"/>
      <c r="D5" s="22"/>
      <c r="E5" s="22"/>
      <c r="F5" s="11"/>
      <c r="G5" s="23"/>
      <c r="H5" s="20"/>
      <c r="I5" s="12"/>
    </row>
    <row r="6" spans="1:9" x14ac:dyDescent="0.3">
      <c r="A6" s="35" t="s">
        <v>99</v>
      </c>
      <c r="B6" s="26"/>
      <c r="C6" s="26"/>
      <c r="D6" s="189" t="s">
        <v>103</v>
      </c>
      <c r="E6" s="189" t="s">
        <v>100</v>
      </c>
      <c r="F6" s="189" t="s">
        <v>108</v>
      </c>
      <c r="G6" s="189" t="s">
        <v>107</v>
      </c>
      <c r="H6" s="189" t="s">
        <v>101</v>
      </c>
      <c r="I6" s="174" t="s">
        <v>102</v>
      </c>
    </row>
    <row r="7" spans="1:9" ht="72" x14ac:dyDescent="0.3">
      <c r="A7" s="25" t="s">
        <v>117</v>
      </c>
      <c r="B7" s="26"/>
      <c r="C7" s="26"/>
      <c r="D7" s="190"/>
      <c r="E7" s="190"/>
      <c r="F7" s="190"/>
      <c r="G7" s="190"/>
      <c r="H7" s="190"/>
      <c r="I7" s="175"/>
    </row>
    <row r="8" spans="1:9" ht="28.8" x14ac:dyDescent="0.3">
      <c r="A8" s="64" t="s">
        <v>60</v>
      </c>
      <c r="B8" s="51"/>
      <c r="C8" s="51"/>
      <c r="D8" s="64" t="s">
        <v>129</v>
      </c>
      <c r="E8" s="65">
        <v>3</v>
      </c>
      <c r="F8" s="29">
        <v>12</v>
      </c>
      <c r="G8" s="115">
        <f>'Pest Control Budget'!K6</f>
        <v>23760</v>
      </c>
      <c r="H8" s="115">
        <f>G8*E8</f>
        <v>71280</v>
      </c>
      <c r="I8" s="116">
        <f>H8*F8</f>
        <v>855360</v>
      </c>
    </row>
    <row r="9" spans="1:9" x14ac:dyDescent="0.3">
      <c r="A9" s="35" t="s">
        <v>133</v>
      </c>
      <c r="B9" s="26"/>
      <c r="C9" s="26"/>
      <c r="D9" s="32"/>
      <c r="E9" s="32"/>
      <c r="F9" s="32"/>
      <c r="G9" s="33"/>
      <c r="H9" s="219">
        <v>0.1</v>
      </c>
      <c r="I9" s="220"/>
    </row>
    <row r="10" spans="1:9" x14ac:dyDescent="0.3">
      <c r="A10" s="35" t="s">
        <v>134</v>
      </c>
      <c r="B10" s="26"/>
      <c r="C10" s="26"/>
      <c r="D10" s="32"/>
      <c r="E10" s="32"/>
      <c r="F10" s="32"/>
      <c r="G10" s="33"/>
      <c r="H10" s="219">
        <v>0.1</v>
      </c>
      <c r="I10" s="220"/>
    </row>
    <row r="24" spans="7:7" x14ac:dyDescent="0.3">
      <c r="G24">
        <v>992839</v>
      </c>
    </row>
  </sheetData>
  <mergeCells count="13">
    <mergeCell ref="H9:I9"/>
    <mergeCell ref="H10:I10"/>
    <mergeCell ref="I6:I7"/>
    <mergeCell ref="A1:E4"/>
    <mergeCell ref="G1:I1"/>
    <mergeCell ref="G2:I2"/>
    <mergeCell ref="G3:I3"/>
    <mergeCell ref="G4:I4"/>
    <mergeCell ref="D6:D7"/>
    <mergeCell ref="E6:E7"/>
    <mergeCell ref="F6:F7"/>
    <mergeCell ref="G6:G7"/>
    <mergeCell ref="H6:H7"/>
  </mergeCells>
  <pageMargins left="0.7" right="0.7" top="0.75" bottom="0.75" header="0.3" footer="0.3"/>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F8803-330E-4174-AAC7-FF5380280423}">
  <sheetPr codeName="Sheet11"/>
  <dimension ref="A1:M34"/>
  <sheetViews>
    <sheetView topLeftCell="D1" zoomScale="85" zoomScaleNormal="85" workbookViewId="0">
      <selection activeCell="H6" sqref="H6"/>
    </sheetView>
  </sheetViews>
  <sheetFormatPr defaultRowHeight="14.4" x14ac:dyDescent="0.3"/>
  <cols>
    <col min="1" max="1" width="4" customWidth="1"/>
    <col min="2" max="2" width="10.109375" customWidth="1"/>
    <col min="3" max="3" width="36.109375" customWidth="1"/>
    <col min="4" max="4" width="37" customWidth="1"/>
    <col min="5" max="5" width="17.33203125" customWidth="1"/>
    <col min="6" max="6" width="19.88671875" customWidth="1"/>
    <col min="7" max="7" width="17.6640625" bestFit="1" customWidth="1"/>
    <col min="8" max="8" width="19.33203125" customWidth="1"/>
    <col min="9" max="9" width="16.88671875" customWidth="1"/>
    <col min="10" max="10" width="1" customWidth="1"/>
    <col min="11" max="11" width="16.109375" customWidth="1"/>
    <col min="12" max="12" width="1" customWidth="1"/>
    <col min="13" max="13" width="17.33203125" customWidth="1"/>
  </cols>
  <sheetData>
    <row r="1" spans="1:13" ht="15" thickBot="1" x14ac:dyDescent="0.35"/>
    <row r="2" spans="1:13" ht="20.399999999999999" customHeight="1" thickBot="1" x14ac:dyDescent="0.35">
      <c r="A2" s="73">
        <v>1</v>
      </c>
      <c r="B2" s="198" t="s">
        <v>150</v>
      </c>
      <c r="C2" s="198"/>
      <c r="D2" s="199"/>
      <c r="F2" s="74">
        <v>0.2</v>
      </c>
    </row>
    <row r="3" spans="1:13" ht="7.2" customHeight="1" x14ac:dyDescent="0.3">
      <c r="A3" s="75"/>
    </row>
    <row r="4" spans="1:13" ht="28.8" x14ac:dyDescent="0.3">
      <c r="B4" s="76" t="s">
        <v>151</v>
      </c>
      <c r="C4" s="76" t="s">
        <v>152</v>
      </c>
      <c r="D4" s="76" t="s">
        <v>153</v>
      </c>
      <c r="E4" s="76" t="s">
        <v>154</v>
      </c>
      <c r="F4" s="76" t="s">
        <v>155</v>
      </c>
      <c r="G4" s="77" t="s">
        <v>156</v>
      </c>
      <c r="H4" s="77" t="s">
        <v>157</v>
      </c>
      <c r="I4" s="76" t="s">
        <v>158</v>
      </c>
      <c r="K4" s="76" t="s">
        <v>159</v>
      </c>
      <c r="M4" s="76" t="s">
        <v>160</v>
      </c>
    </row>
    <row r="5" spans="1:13" ht="33" customHeight="1" x14ac:dyDescent="0.3">
      <c r="B5" s="29">
        <v>1</v>
      </c>
      <c r="C5" s="112" t="s">
        <v>261</v>
      </c>
      <c r="D5" s="112" t="s">
        <v>254</v>
      </c>
      <c r="E5" s="79">
        <v>25000</v>
      </c>
      <c r="F5" s="79">
        <f>E5+(F$2*E5)</f>
        <v>30000</v>
      </c>
      <c r="G5" s="29">
        <v>0</v>
      </c>
      <c r="H5" s="29">
        <f>G5</f>
        <v>0</v>
      </c>
      <c r="I5" s="79">
        <f>H5*F5</f>
        <v>0</v>
      </c>
      <c r="K5" s="80" t="e">
        <f>ROUND((I5/(1-F$32))/G5,0)</f>
        <v>#DIV/0!</v>
      </c>
      <c r="M5" s="81" t="e">
        <f>K5*G5</f>
        <v>#DIV/0!</v>
      </c>
    </row>
    <row r="6" spans="1:13" ht="33" customHeight="1" x14ac:dyDescent="0.3">
      <c r="B6" s="29">
        <v>2</v>
      </c>
      <c r="C6" s="112" t="s">
        <v>262</v>
      </c>
      <c r="D6" s="112" t="s">
        <v>254</v>
      </c>
      <c r="E6" s="79">
        <v>7000</v>
      </c>
      <c r="F6" s="79">
        <f t="shared" ref="F6" si="0">E6+(F$2*E6)</f>
        <v>8400</v>
      </c>
      <c r="G6" s="29">
        <v>3</v>
      </c>
      <c r="H6" s="29">
        <v>4</v>
      </c>
      <c r="I6" s="79">
        <f t="shared" ref="I6" si="1">H6*F6</f>
        <v>33600</v>
      </c>
      <c r="K6" s="80">
        <f>ROUND((I6/(1-F$32))/G6,0)</f>
        <v>23760</v>
      </c>
      <c r="M6" s="81">
        <f t="shared" ref="M6" si="2">K6*G6</f>
        <v>71280</v>
      </c>
    </row>
    <row r="7" spans="1:13" ht="9" customHeight="1" thickBot="1" x14ac:dyDescent="0.35"/>
    <row r="8" spans="1:13" ht="28.2" customHeight="1" thickBot="1" x14ac:dyDescent="0.35">
      <c r="H8" s="83" t="s">
        <v>161</v>
      </c>
      <c r="I8" s="84">
        <f>SUM(I5:I6)</f>
        <v>33600</v>
      </c>
      <c r="M8" s="85" t="e">
        <f>ROUNDUP(SUM(M5:M6),0)</f>
        <v>#DIV/0!</v>
      </c>
    </row>
    <row r="10" spans="1:13" ht="15" thickBot="1" x14ac:dyDescent="0.35"/>
    <row r="11" spans="1:13" ht="15" thickBot="1" x14ac:dyDescent="0.35">
      <c r="A11" s="73">
        <v>2</v>
      </c>
      <c r="B11" s="198" t="s">
        <v>162</v>
      </c>
      <c r="C11" s="198"/>
      <c r="D11" s="199"/>
    </row>
    <row r="12" spans="1:13" ht="7.2" customHeight="1" x14ac:dyDescent="0.3">
      <c r="A12" s="75"/>
    </row>
    <row r="13" spans="1:13" x14ac:dyDescent="0.3">
      <c r="B13" s="76" t="s">
        <v>151</v>
      </c>
      <c r="C13" s="76" t="s">
        <v>163</v>
      </c>
      <c r="D13" s="76" t="s">
        <v>164</v>
      </c>
      <c r="E13" s="76" t="s">
        <v>165</v>
      </c>
      <c r="F13" s="76" t="s">
        <v>166</v>
      </c>
    </row>
    <row r="14" spans="1:13" ht="18.600000000000001" customHeight="1" x14ac:dyDescent="0.3">
      <c r="B14" s="29">
        <v>2.1</v>
      </c>
      <c r="C14" s="86" t="s">
        <v>167</v>
      </c>
      <c r="D14" s="79">
        <v>3</v>
      </c>
      <c r="E14" s="79">
        <v>500</v>
      </c>
      <c r="F14" s="81">
        <f>E14*D14</f>
        <v>1500</v>
      </c>
    </row>
    <row r="15" spans="1:13" ht="18.600000000000001" customHeight="1" x14ac:dyDescent="0.3">
      <c r="B15" s="29">
        <v>2.2000000000000002</v>
      </c>
      <c r="C15" s="86" t="s">
        <v>263</v>
      </c>
      <c r="D15" s="79">
        <v>1</v>
      </c>
      <c r="E15" s="79">
        <v>8000</v>
      </c>
      <c r="F15" s="81">
        <f>E15*D15</f>
        <v>8000</v>
      </c>
    </row>
    <row r="16" spans="1:13" ht="18.600000000000001" customHeight="1" x14ac:dyDescent="0.3">
      <c r="B16" s="29">
        <v>2.2999999999999998</v>
      </c>
      <c r="C16" s="86" t="s">
        <v>264</v>
      </c>
      <c r="D16" s="79">
        <v>1</v>
      </c>
      <c r="E16" s="79">
        <v>3200</v>
      </c>
      <c r="F16" s="81">
        <f t="shared" ref="F16:F20" si="3">E16*D16</f>
        <v>3200</v>
      </c>
    </row>
    <row r="17" spans="1:6" ht="18.600000000000001" customHeight="1" x14ac:dyDescent="0.3">
      <c r="B17" s="29">
        <v>2.4</v>
      </c>
      <c r="C17" s="86" t="s">
        <v>265</v>
      </c>
      <c r="D17" s="79">
        <v>1</v>
      </c>
      <c r="E17" s="79">
        <v>7500</v>
      </c>
      <c r="F17" s="81">
        <f t="shared" si="3"/>
        <v>7500</v>
      </c>
    </row>
    <row r="18" spans="1:6" ht="18.600000000000001" customHeight="1" x14ac:dyDescent="0.3">
      <c r="B18" s="29">
        <v>2.5</v>
      </c>
      <c r="C18" s="86" t="s">
        <v>266</v>
      </c>
      <c r="D18" s="79">
        <v>0</v>
      </c>
      <c r="E18" s="79">
        <v>38500</v>
      </c>
      <c r="F18" s="81">
        <f t="shared" si="3"/>
        <v>0</v>
      </c>
    </row>
    <row r="19" spans="1:6" ht="18.600000000000001" customHeight="1" x14ac:dyDescent="0.3">
      <c r="B19" s="29">
        <v>2.6</v>
      </c>
      <c r="C19" s="86" t="s">
        <v>267</v>
      </c>
      <c r="D19" s="79">
        <f>SUM(G5:G6)</f>
        <v>3</v>
      </c>
      <c r="E19" s="79">
        <v>2500</v>
      </c>
      <c r="F19" s="81">
        <f t="shared" si="3"/>
        <v>7500</v>
      </c>
    </row>
    <row r="20" spans="1:6" ht="18.600000000000001" customHeight="1" x14ac:dyDescent="0.3">
      <c r="B20" s="29">
        <v>2.7</v>
      </c>
      <c r="C20" s="86" t="s">
        <v>268</v>
      </c>
      <c r="D20" s="79">
        <v>1</v>
      </c>
      <c r="E20" s="79">
        <v>3500</v>
      </c>
      <c r="F20" s="81">
        <f t="shared" si="3"/>
        <v>3500</v>
      </c>
    </row>
    <row r="21" spans="1:6" ht="9" customHeight="1" thickBot="1" x14ac:dyDescent="0.35"/>
    <row r="22" spans="1:6" ht="26.4" customHeight="1" thickBot="1" x14ac:dyDescent="0.35">
      <c r="E22" s="83" t="s">
        <v>174</v>
      </c>
      <c r="F22" s="84">
        <f>SUM(F14:F20)</f>
        <v>31200</v>
      </c>
    </row>
    <row r="23" spans="1:6" ht="15" thickBot="1" x14ac:dyDescent="0.35"/>
    <row r="24" spans="1:6" ht="15" thickBot="1" x14ac:dyDescent="0.35">
      <c r="A24" s="73">
        <v>3</v>
      </c>
      <c r="B24" s="198" t="s">
        <v>175</v>
      </c>
      <c r="C24" s="198"/>
      <c r="D24" s="199"/>
    </row>
    <row r="25" spans="1:6" ht="7.2" customHeight="1" x14ac:dyDescent="0.3">
      <c r="A25" s="75"/>
    </row>
    <row r="26" spans="1:6" x14ac:dyDescent="0.3">
      <c r="B26" s="76" t="s">
        <v>151</v>
      </c>
      <c r="C26" s="76" t="s">
        <v>163</v>
      </c>
      <c r="D26" s="76" t="s">
        <v>176</v>
      </c>
      <c r="E26" s="76" t="s">
        <v>177</v>
      </c>
      <c r="F26" s="76" t="s">
        <v>166</v>
      </c>
    </row>
    <row r="27" spans="1:6" ht="18.600000000000001" customHeight="1" x14ac:dyDescent="0.3">
      <c r="B27" s="29">
        <v>3.1</v>
      </c>
      <c r="C27" s="86" t="s">
        <v>178</v>
      </c>
      <c r="D27" s="87">
        <v>0</v>
      </c>
      <c r="E27" s="79">
        <f>(I8+F22)</f>
        <v>64800</v>
      </c>
      <c r="F27" s="81">
        <f>E27*D27</f>
        <v>0</v>
      </c>
    </row>
    <row r="28" spans="1:6" ht="18.600000000000001" customHeight="1" x14ac:dyDescent="0.3">
      <c r="B28" s="29">
        <v>3.2</v>
      </c>
      <c r="C28" s="86" t="s">
        <v>179</v>
      </c>
      <c r="D28" s="87">
        <v>0.1</v>
      </c>
      <c r="E28" s="79">
        <f>E27</f>
        <v>64800</v>
      </c>
      <c r="F28" s="81">
        <f>E28*D28</f>
        <v>6480</v>
      </c>
    </row>
    <row r="29" spans="1:6" ht="9" customHeight="1" thickBot="1" x14ac:dyDescent="0.35"/>
    <row r="30" spans="1:6" ht="26.4" customHeight="1" thickBot="1" x14ac:dyDescent="0.35">
      <c r="E30" s="83" t="s">
        <v>180</v>
      </c>
      <c r="F30" s="84">
        <f>SUM(F27:F28)</f>
        <v>6480</v>
      </c>
    </row>
    <row r="31" spans="1:6" ht="9.6" customHeight="1" thickBot="1" x14ac:dyDescent="0.35"/>
    <row r="32" spans="1:6" ht="20.399999999999999" customHeight="1" thickBot="1" x14ac:dyDescent="0.35">
      <c r="E32" s="88" t="s">
        <v>181</v>
      </c>
      <c r="F32" s="89">
        <f>(F30+F22)/(F30+F22+I8)</f>
        <v>0.52861952861952866</v>
      </c>
    </row>
    <row r="33" spans="5:6" ht="7.95" customHeight="1" thickBot="1" x14ac:dyDescent="0.35"/>
    <row r="34" spans="5:6" ht="21.6" customHeight="1" thickBot="1" x14ac:dyDescent="0.35">
      <c r="E34" s="88" t="s">
        <v>182</v>
      </c>
      <c r="F34" s="90">
        <f>F30+F22+I8</f>
        <v>71280</v>
      </c>
    </row>
  </sheetData>
  <mergeCells count="3">
    <mergeCell ref="B2:D2"/>
    <mergeCell ref="B11:D11"/>
    <mergeCell ref="B24:D24"/>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B1028-AAD0-4DF7-BBD0-A0AF19976447}">
  <sheetPr codeName="Sheet10">
    <pageSetUpPr fitToPage="1"/>
  </sheetPr>
  <dimension ref="A1:I15"/>
  <sheetViews>
    <sheetView workbookViewId="0">
      <selection activeCell="D33" sqref="D33"/>
    </sheetView>
  </sheetViews>
  <sheetFormatPr defaultRowHeight="14.4" x14ac:dyDescent="0.3"/>
  <cols>
    <col min="1" max="1" width="39.88671875" customWidth="1"/>
    <col min="2" max="2" width="1.88671875" customWidth="1"/>
    <col min="3" max="3" width="1.33203125" customWidth="1"/>
    <col min="4" max="4" width="40.6640625" bestFit="1" customWidth="1"/>
    <col min="5" max="5" width="10.88671875" bestFit="1" customWidth="1"/>
    <col min="6" max="6" width="13.109375" bestFit="1" customWidth="1"/>
    <col min="7" max="7" width="11.6640625" customWidth="1"/>
    <col min="8" max="8" width="12.109375" customWidth="1"/>
    <col min="9" max="9" width="11.88671875" customWidth="1"/>
  </cols>
  <sheetData>
    <row r="1" spans="1:9" ht="18" customHeight="1" x14ac:dyDescent="0.3">
      <c r="A1" s="176" t="s">
        <v>118</v>
      </c>
      <c r="B1" s="177"/>
      <c r="C1" s="177"/>
      <c r="D1" s="177"/>
      <c r="E1" s="178"/>
      <c r="F1" s="11"/>
      <c r="G1" s="182" t="s">
        <v>235</v>
      </c>
      <c r="H1" s="182"/>
      <c r="I1" s="182"/>
    </row>
    <row r="2" spans="1:9" x14ac:dyDescent="0.3">
      <c r="A2" s="179"/>
      <c r="B2" s="180"/>
      <c r="C2" s="180"/>
      <c r="D2" s="180"/>
      <c r="E2" s="181"/>
      <c r="F2" s="11" t="s">
        <v>73</v>
      </c>
      <c r="G2" s="183">
        <f>G4+G3</f>
        <v>2680295.04</v>
      </c>
      <c r="H2" s="184"/>
      <c r="I2" s="185"/>
    </row>
    <row r="3" spans="1:9" x14ac:dyDescent="0.3">
      <c r="A3" s="179"/>
      <c r="B3" s="180"/>
      <c r="C3" s="180"/>
      <c r="D3" s="180"/>
      <c r="E3" s="181"/>
      <c r="F3" s="11" t="s">
        <v>4</v>
      </c>
      <c r="G3" s="183">
        <f>G4*0.14</f>
        <v>329159.04000000004</v>
      </c>
      <c r="H3" s="184"/>
      <c r="I3" s="185"/>
    </row>
    <row r="4" spans="1:9" ht="15" thickBot="1" x14ac:dyDescent="0.35">
      <c r="A4" s="179"/>
      <c r="B4" s="180"/>
      <c r="C4" s="180"/>
      <c r="D4" s="180"/>
      <c r="E4" s="181"/>
      <c r="F4" s="24" t="s">
        <v>0</v>
      </c>
      <c r="G4" s="210">
        <f>SUM(I8:I118)</f>
        <v>2351136</v>
      </c>
      <c r="H4" s="211"/>
      <c r="I4" s="212"/>
    </row>
    <row r="5" spans="1:9" ht="15" thickBot="1" x14ac:dyDescent="0.35">
      <c r="A5" s="22"/>
      <c r="B5" s="22"/>
      <c r="C5" s="22"/>
      <c r="D5" s="22"/>
      <c r="E5" s="22"/>
      <c r="F5" s="11"/>
      <c r="G5" s="23"/>
      <c r="H5" s="20"/>
      <c r="I5" s="12"/>
    </row>
    <row r="6" spans="1:9" x14ac:dyDescent="0.3">
      <c r="A6" s="35" t="s">
        <v>99</v>
      </c>
      <c r="B6" s="26"/>
      <c r="C6" s="26"/>
      <c r="D6" s="189" t="s">
        <v>103</v>
      </c>
      <c r="E6" s="189" t="s">
        <v>100</v>
      </c>
      <c r="F6" s="189" t="s">
        <v>108</v>
      </c>
      <c r="G6" s="189" t="s">
        <v>107</v>
      </c>
      <c r="H6" s="189" t="s">
        <v>101</v>
      </c>
      <c r="I6" s="174" t="s">
        <v>102</v>
      </c>
    </row>
    <row r="7" spans="1:9" ht="57.6" x14ac:dyDescent="0.3">
      <c r="A7" s="48" t="s">
        <v>132</v>
      </c>
      <c r="B7" s="49"/>
      <c r="C7" s="49"/>
      <c r="D7" s="223"/>
      <c r="E7" s="223"/>
      <c r="F7" s="223"/>
      <c r="G7" s="223"/>
      <c r="H7" s="223"/>
      <c r="I7" s="221"/>
    </row>
    <row r="8" spans="1:9" x14ac:dyDescent="0.3">
      <c r="A8" s="5" t="s">
        <v>63</v>
      </c>
      <c r="B8" s="38"/>
      <c r="C8" s="38"/>
      <c r="D8" s="222" t="s">
        <v>129</v>
      </c>
      <c r="E8" s="5">
        <v>1</v>
      </c>
      <c r="F8" s="28">
        <v>12</v>
      </c>
      <c r="G8" s="127">
        <f>'Back Office Budget'!K5</f>
        <v>22164</v>
      </c>
      <c r="H8" s="127">
        <f>G8*E8</f>
        <v>22164</v>
      </c>
      <c r="I8" s="127">
        <f>H8*F8</f>
        <v>265968</v>
      </c>
    </row>
    <row r="9" spans="1:9" x14ac:dyDescent="0.3">
      <c r="A9" s="5" t="s">
        <v>64</v>
      </c>
      <c r="B9" s="38"/>
      <c r="C9" s="38"/>
      <c r="D9" s="222"/>
      <c r="E9" s="5">
        <v>2</v>
      </c>
      <c r="F9" s="28">
        <v>12</v>
      </c>
      <c r="G9" s="127">
        <f>'Back Office Budget'!K6</f>
        <v>22164</v>
      </c>
      <c r="H9" s="127">
        <f t="shared" ref="H9:H13" si="0">G9*E9</f>
        <v>44328</v>
      </c>
      <c r="I9" s="127">
        <f t="shared" ref="I9:I13" si="1">H9*F9</f>
        <v>531936</v>
      </c>
    </row>
    <row r="10" spans="1:9" x14ac:dyDescent="0.3">
      <c r="A10" s="5" t="s">
        <v>67</v>
      </c>
      <c r="B10" s="38"/>
      <c r="C10" s="38"/>
      <c r="D10" s="222"/>
      <c r="E10" s="5">
        <v>1</v>
      </c>
      <c r="F10" s="28">
        <v>12</v>
      </c>
      <c r="G10" s="127">
        <f>'Back Office Budget'!K7</f>
        <v>22164</v>
      </c>
      <c r="H10" s="127">
        <f t="shared" si="0"/>
        <v>22164</v>
      </c>
      <c r="I10" s="127">
        <f t="shared" si="1"/>
        <v>265968</v>
      </c>
    </row>
    <row r="11" spans="1:9" x14ac:dyDescent="0.3">
      <c r="A11" s="5" t="s">
        <v>65</v>
      </c>
      <c r="B11" s="38"/>
      <c r="C11" s="38"/>
      <c r="D11" s="222"/>
      <c r="E11" s="5">
        <v>1</v>
      </c>
      <c r="F11" s="28">
        <v>12</v>
      </c>
      <c r="G11" s="127">
        <f>'Back Office Budget'!K8</f>
        <v>22164</v>
      </c>
      <c r="H11" s="127">
        <f t="shared" si="0"/>
        <v>22164</v>
      </c>
      <c r="I11" s="127">
        <f t="shared" si="1"/>
        <v>265968</v>
      </c>
    </row>
    <row r="12" spans="1:9" x14ac:dyDescent="0.3">
      <c r="A12" s="21" t="s">
        <v>66</v>
      </c>
      <c r="B12" s="38"/>
      <c r="C12" s="38"/>
      <c r="D12" s="222" t="s">
        <v>145</v>
      </c>
      <c r="E12" s="5">
        <v>1</v>
      </c>
      <c r="F12" s="28">
        <v>12</v>
      </c>
      <c r="G12" s="127">
        <f>'Back Office Budget'!K9</f>
        <v>58512</v>
      </c>
      <c r="H12" s="127">
        <f t="shared" si="0"/>
        <v>58512</v>
      </c>
      <c r="I12" s="127">
        <f t="shared" si="1"/>
        <v>702144</v>
      </c>
    </row>
    <row r="13" spans="1:9" x14ac:dyDescent="0.3">
      <c r="A13" s="5" t="s">
        <v>68</v>
      </c>
      <c r="B13" s="38"/>
      <c r="C13" s="38"/>
      <c r="D13" s="222"/>
      <c r="E13" s="5">
        <v>1</v>
      </c>
      <c r="F13" s="28">
        <v>12</v>
      </c>
      <c r="G13" s="127">
        <f>'Back Office Budget'!K10</f>
        <v>26596</v>
      </c>
      <c r="H13" s="127">
        <f t="shared" si="0"/>
        <v>26596</v>
      </c>
      <c r="I13" s="127">
        <f t="shared" si="1"/>
        <v>319152</v>
      </c>
    </row>
    <row r="14" spans="1:9" x14ac:dyDescent="0.3">
      <c r="A14" s="35" t="s">
        <v>133</v>
      </c>
      <c r="B14" s="26"/>
      <c r="C14" s="26"/>
      <c r="D14" s="32"/>
      <c r="E14" s="32"/>
      <c r="F14" s="32"/>
      <c r="G14" s="33"/>
      <c r="H14" s="33"/>
      <c r="I14" s="34"/>
    </row>
    <row r="15" spans="1:9" x14ac:dyDescent="0.3">
      <c r="A15" s="35" t="s">
        <v>134</v>
      </c>
      <c r="B15" s="26"/>
      <c r="C15" s="26"/>
      <c r="D15" s="32"/>
      <c r="E15" s="32"/>
      <c r="F15" s="32"/>
      <c r="G15" s="33"/>
      <c r="H15" s="33"/>
      <c r="I15" s="34"/>
    </row>
  </sheetData>
  <mergeCells count="13">
    <mergeCell ref="I6:I7"/>
    <mergeCell ref="D8:D11"/>
    <mergeCell ref="D12:D13"/>
    <mergeCell ref="A1:E4"/>
    <mergeCell ref="G1:I1"/>
    <mergeCell ref="G2:I2"/>
    <mergeCell ref="G3:I3"/>
    <mergeCell ref="G4:I4"/>
    <mergeCell ref="D6:D7"/>
    <mergeCell ref="E6:E7"/>
    <mergeCell ref="F6:F7"/>
    <mergeCell ref="G6:G7"/>
    <mergeCell ref="H6:H7"/>
  </mergeCells>
  <pageMargins left="0.7" right="0.7" top="0.75" bottom="0.75" header="0.3" footer="0.3"/>
  <pageSetup paperSize="9" scale="9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895E3-7B02-461E-84E8-4C0E2B5ED053}">
  <sheetPr codeName="Sheet12"/>
  <dimension ref="A1:M38"/>
  <sheetViews>
    <sheetView zoomScale="85" zoomScaleNormal="85" workbookViewId="0">
      <selection activeCell="I12" sqref="I12"/>
    </sheetView>
  </sheetViews>
  <sheetFormatPr defaultRowHeight="14.4" x14ac:dyDescent="0.3"/>
  <cols>
    <col min="1" max="1" width="4" customWidth="1"/>
    <col min="2" max="2" width="10.109375" customWidth="1"/>
    <col min="3" max="3" width="36.109375" customWidth="1"/>
    <col min="4" max="4" width="37" customWidth="1"/>
    <col min="5" max="5" width="17.33203125" customWidth="1"/>
    <col min="6" max="6" width="19.88671875" customWidth="1"/>
    <col min="7" max="7" width="17.6640625" bestFit="1" customWidth="1"/>
    <col min="8" max="8" width="19.33203125" customWidth="1"/>
    <col min="9" max="9" width="16.88671875" customWidth="1"/>
    <col min="10" max="10" width="1" customWidth="1"/>
    <col min="11" max="11" width="16.109375" customWidth="1"/>
    <col min="12" max="12" width="1" customWidth="1"/>
    <col min="13" max="13" width="20.88671875" customWidth="1"/>
  </cols>
  <sheetData>
    <row r="1" spans="1:13" ht="15" thickBot="1" x14ac:dyDescent="0.35"/>
    <row r="2" spans="1:13" ht="20.399999999999999" customHeight="1" thickBot="1" x14ac:dyDescent="0.35">
      <c r="A2" s="73">
        <v>1</v>
      </c>
      <c r="B2" s="198" t="s">
        <v>150</v>
      </c>
      <c r="C2" s="198"/>
      <c r="D2" s="199"/>
      <c r="F2" s="74">
        <v>0.2</v>
      </c>
    </row>
    <row r="3" spans="1:13" ht="7.2" customHeight="1" x14ac:dyDescent="0.3">
      <c r="A3" s="75"/>
    </row>
    <row r="4" spans="1:13" ht="28.8" x14ac:dyDescent="0.3">
      <c r="B4" s="76" t="s">
        <v>151</v>
      </c>
      <c r="C4" s="76" t="s">
        <v>152</v>
      </c>
      <c r="D4" s="76" t="s">
        <v>153</v>
      </c>
      <c r="E4" s="76" t="s">
        <v>154</v>
      </c>
      <c r="F4" s="76" t="s">
        <v>155</v>
      </c>
      <c r="G4" s="77" t="s">
        <v>156</v>
      </c>
      <c r="H4" s="77" t="s">
        <v>157</v>
      </c>
      <c r="I4" s="76" t="s">
        <v>158</v>
      </c>
      <c r="K4" s="76" t="s">
        <v>159</v>
      </c>
      <c r="M4" s="76" t="s">
        <v>160</v>
      </c>
    </row>
    <row r="5" spans="1:13" ht="33" customHeight="1" x14ac:dyDescent="0.3">
      <c r="B5" s="29">
        <v>1</v>
      </c>
      <c r="C5" s="112" t="str">
        <f>'[1]Backoffice &amp; Admin BOQ'!A8</f>
        <v>Helpdesk</v>
      </c>
      <c r="D5" s="112" t="s">
        <v>254</v>
      </c>
      <c r="E5" s="79">
        <v>12500</v>
      </c>
      <c r="F5" s="79">
        <f>E5+(F$2*E5)</f>
        <v>15000</v>
      </c>
      <c r="G5" s="29">
        <f>'[1]Backoffice &amp; Admin BOQ'!E8</f>
        <v>1</v>
      </c>
      <c r="H5" s="29">
        <v>1.25</v>
      </c>
      <c r="I5" s="79">
        <f>H5*F5</f>
        <v>18750</v>
      </c>
      <c r="K5" s="80">
        <f>ROUND((I5/(1-F$36))/G5,0)</f>
        <v>22164</v>
      </c>
      <c r="M5" s="81">
        <f>K5*G5</f>
        <v>22164</v>
      </c>
    </row>
    <row r="6" spans="1:13" ht="33" customHeight="1" x14ac:dyDescent="0.3">
      <c r="B6" s="29">
        <v>2</v>
      </c>
      <c r="C6" s="112" t="str">
        <f>'[1]Backoffice &amp; Admin BOQ'!A9</f>
        <v>Admin</v>
      </c>
      <c r="D6" s="112" t="s">
        <v>254</v>
      </c>
      <c r="E6" s="79">
        <v>12500</v>
      </c>
      <c r="F6" s="79">
        <f t="shared" ref="F6:F10" si="0">E6+(F$2*E6)</f>
        <v>15000</v>
      </c>
      <c r="G6" s="29">
        <f>'[1]Backoffice &amp; Admin BOQ'!E9</f>
        <v>2</v>
      </c>
      <c r="H6" s="29">
        <v>2.5</v>
      </c>
      <c r="I6" s="79">
        <f t="shared" ref="I6:I10" si="1">H6*F6</f>
        <v>37500</v>
      </c>
      <c r="K6" s="80">
        <f t="shared" ref="K6:K10" si="2">ROUND((I6/(1-F$36))/G6,0)</f>
        <v>22164</v>
      </c>
      <c r="M6" s="81">
        <f t="shared" ref="M6:M10" si="3">K6*G6</f>
        <v>44328</v>
      </c>
    </row>
    <row r="7" spans="1:13" ht="33" customHeight="1" x14ac:dyDescent="0.3">
      <c r="B7" s="29">
        <v>3</v>
      </c>
      <c r="C7" s="112" t="str">
        <f>'[1]Backoffice &amp; Admin BOQ'!A10</f>
        <v>Dispatcher</v>
      </c>
      <c r="D7" s="112" t="s">
        <v>254</v>
      </c>
      <c r="E7" s="79">
        <v>12500</v>
      </c>
      <c r="F7" s="79">
        <f t="shared" si="0"/>
        <v>15000</v>
      </c>
      <c r="G7" s="29">
        <f>'[1]Backoffice &amp; Admin BOQ'!E10</f>
        <v>1</v>
      </c>
      <c r="H7" s="29">
        <v>1.25</v>
      </c>
      <c r="I7" s="79">
        <f t="shared" si="1"/>
        <v>18750</v>
      </c>
      <c r="K7" s="80">
        <f t="shared" si="2"/>
        <v>22164</v>
      </c>
      <c r="M7" s="81">
        <f t="shared" si="3"/>
        <v>22164</v>
      </c>
    </row>
    <row r="8" spans="1:13" ht="33" customHeight="1" x14ac:dyDescent="0.3">
      <c r="B8" s="29">
        <v>4</v>
      </c>
      <c r="C8" s="112" t="str">
        <f>'[1]Backoffice &amp; Admin BOQ'!A11</f>
        <v>Collecter</v>
      </c>
      <c r="D8" s="112" t="s">
        <v>254</v>
      </c>
      <c r="E8" s="79">
        <v>12500</v>
      </c>
      <c r="F8" s="79">
        <f t="shared" si="0"/>
        <v>15000</v>
      </c>
      <c r="G8" s="29">
        <f>'[1]Backoffice &amp; Admin BOQ'!E11</f>
        <v>1</v>
      </c>
      <c r="H8" s="29">
        <v>1.25</v>
      </c>
      <c r="I8" s="79">
        <f t="shared" si="1"/>
        <v>18750</v>
      </c>
      <c r="K8" s="80">
        <f t="shared" si="2"/>
        <v>22164</v>
      </c>
      <c r="M8" s="81">
        <f t="shared" si="3"/>
        <v>22164</v>
      </c>
    </row>
    <row r="9" spans="1:13" ht="33" customHeight="1" x14ac:dyDescent="0.3">
      <c r="B9" s="29">
        <v>5</v>
      </c>
      <c r="C9" s="112" t="str">
        <f>'[1]Backoffice &amp; Admin BOQ'!A12</f>
        <v>Duty Manager (MEP Supervisor) Night Shift</v>
      </c>
      <c r="D9" s="112" t="s">
        <v>275</v>
      </c>
      <c r="E9" s="79">
        <v>16500</v>
      </c>
      <c r="F9" s="79">
        <f t="shared" si="0"/>
        <v>19800</v>
      </c>
      <c r="G9" s="224">
        <v>1</v>
      </c>
      <c r="H9" s="29">
        <v>2.5</v>
      </c>
      <c r="I9" s="79">
        <f t="shared" si="1"/>
        <v>49500</v>
      </c>
      <c r="K9" s="80">
        <f t="shared" si="2"/>
        <v>58512</v>
      </c>
      <c r="M9" s="81">
        <f t="shared" si="3"/>
        <v>58512</v>
      </c>
    </row>
    <row r="10" spans="1:13" ht="33" customHeight="1" x14ac:dyDescent="0.3">
      <c r="B10" s="29">
        <v>6</v>
      </c>
      <c r="C10" s="112" t="str">
        <f>'[1]Backoffice &amp; Admin BOQ'!A13</f>
        <v>Helpdesk Night Shift</v>
      </c>
      <c r="D10" s="112" t="s">
        <v>275</v>
      </c>
      <c r="E10" s="79">
        <v>12500</v>
      </c>
      <c r="F10" s="79">
        <f t="shared" si="0"/>
        <v>15000</v>
      </c>
      <c r="G10" s="29">
        <f>'[1]Backoffice &amp; Admin BOQ'!E13</f>
        <v>1</v>
      </c>
      <c r="H10" s="29">
        <v>1.5</v>
      </c>
      <c r="I10" s="79">
        <f t="shared" si="1"/>
        <v>22500</v>
      </c>
      <c r="K10" s="80">
        <f t="shared" si="2"/>
        <v>26596</v>
      </c>
      <c r="M10" s="81">
        <f t="shared" si="3"/>
        <v>26596</v>
      </c>
    </row>
    <row r="11" spans="1:13" ht="9" customHeight="1" thickBot="1" x14ac:dyDescent="0.35"/>
    <row r="12" spans="1:13" ht="28.2" customHeight="1" thickBot="1" x14ac:dyDescent="0.35">
      <c r="H12" s="83" t="s">
        <v>161</v>
      </c>
      <c r="I12" s="84">
        <f>SUM(I5:I10)</f>
        <v>165750</v>
      </c>
      <c r="M12" s="85">
        <f>ROUNDUP(SUM(M5:M10),0)</f>
        <v>195928</v>
      </c>
    </row>
    <row r="14" spans="1:13" ht="15" thickBot="1" x14ac:dyDescent="0.35"/>
    <row r="15" spans="1:13" ht="15" thickBot="1" x14ac:dyDescent="0.35">
      <c r="A15" s="73">
        <v>2</v>
      </c>
      <c r="B15" s="198" t="s">
        <v>162</v>
      </c>
      <c r="C15" s="198"/>
      <c r="D15" s="199"/>
    </row>
    <row r="16" spans="1:13" ht="7.2" customHeight="1" x14ac:dyDescent="0.3">
      <c r="A16" s="75"/>
    </row>
    <row r="17" spans="1:6" x14ac:dyDescent="0.3">
      <c r="B17" s="76" t="s">
        <v>151</v>
      </c>
      <c r="C17" s="76" t="s">
        <v>163</v>
      </c>
      <c r="D17" s="76" t="s">
        <v>164</v>
      </c>
      <c r="E17" s="76" t="s">
        <v>165</v>
      </c>
      <c r="F17" s="76" t="s">
        <v>166</v>
      </c>
    </row>
    <row r="18" spans="1:6" ht="18.600000000000001" customHeight="1" x14ac:dyDescent="0.3">
      <c r="B18" s="29">
        <v>2.1</v>
      </c>
      <c r="C18" s="86" t="s">
        <v>167</v>
      </c>
      <c r="D18" s="79">
        <v>0</v>
      </c>
      <c r="E18" s="79">
        <v>600</v>
      </c>
      <c r="F18" s="81">
        <f>E18*D18</f>
        <v>0</v>
      </c>
    </row>
    <row r="19" spans="1:6" ht="18.600000000000001" customHeight="1" x14ac:dyDescent="0.3">
      <c r="B19" s="29">
        <v>2.2000000000000002</v>
      </c>
      <c r="C19" s="86" t="s">
        <v>269</v>
      </c>
      <c r="D19" s="79">
        <v>0</v>
      </c>
      <c r="E19" s="79">
        <v>8000</v>
      </c>
      <c r="F19" s="81">
        <f>E19*D19</f>
        <v>0</v>
      </c>
    </row>
    <row r="20" spans="1:6" ht="18.600000000000001" customHeight="1" x14ac:dyDescent="0.3">
      <c r="B20" s="29">
        <v>2.2999999999999998</v>
      </c>
      <c r="C20" s="86" t="s">
        <v>270</v>
      </c>
      <c r="D20" s="79">
        <v>0</v>
      </c>
      <c r="E20" s="79">
        <v>3200</v>
      </c>
      <c r="F20" s="81">
        <f t="shared" ref="F20:F24" si="4">E20*D20</f>
        <v>0</v>
      </c>
    </row>
    <row r="21" spans="1:6" ht="18.600000000000001" customHeight="1" x14ac:dyDescent="0.3">
      <c r="B21" s="29">
        <v>2.4</v>
      </c>
      <c r="C21" s="86" t="s">
        <v>271</v>
      </c>
      <c r="D21" s="79">
        <v>0</v>
      </c>
      <c r="E21" s="79">
        <v>7500</v>
      </c>
      <c r="F21" s="81">
        <f t="shared" si="4"/>
        <v>0</v>
      </c>
    </row>
    <row r="22" spans="1:6" ht="18.600000000000001" customHeight="1" x14ac:dyDescent="0.3">
      <c r="B22" s="29">
        <v>2.5</v>
      </c>
      <c r="C22" s="86" t="s">
        <v>272</v>
      </c>
      <c r="D22" s="79">
        <v>0</v>
      </c>
      <c r="E22" s="79">
        <v>38500</v>
      </c>
      <c r="F22" s="81">
        <f t="shared" si="4"/>
        <v>0</v>
      </c>
    </row>
    <row r="23" spans="1:6" ht="18.600000000000001" customHeight="1" x14ac:dyDescent="0.3">
      <c r="B23" s="29">
        <v>2.6</v>
      </c>
      <c r="C23" s="86" t="s">
        <v>273</v>
      </c>
      <c r="D23" s="79">
        <f>SUM(G5:G10)</f>
        <v>7</v>
      </c>
      <c r="E23" s="79">
        <v>1500</v>
      </c>
      <c r="F23" s="81">
        <f t="shared" si="4"/>
        <v>10500</v>
      </c>
    </row>
    <row r="24" spans="1:6" ht="18.600000000000001" customHeight="1" x14ac:dyDescent="0.3">
      <c r="B24" s="29">
        <v>2.7</v>
      </c>
      <c r="C24" s="86" t="s">
        <v>274</v>
      </c>
      <c r="D24" s="79">
        <v>1</v>
      </c>
      <c r="E24" s="79">
        <v>3500</v>
      </c>
      <c r="F24" s="81">
        <f t="shared" si="4"/>
        <v>3500</v>
      </c>
    </row>
    <row r="25" spans="1:6" ht="9" customHeight="1" thickBot="1" x14ac:dyDescent="0.35"/>
    <row r="26" spans="1:6" ht="26.4" customHeight="1" thickBot="1" x14ac:dyDescent="0.35">
      <c r="E26" s="83" t="s">
        <v>174</v>
      </c>
      <c r="F26" s="84">
        <f>SUM(F18:F24)</f>
        <v>14000</v>
      </c>
    </row>
    <row r="27" spans="1:6" ht="15" thickBot="1" x14ac:dyDescent="0.35"/>
    <row r="28" spans="1:6" ht="15" thickBot="1" x14ac:dyDescent="0.35">
      <c r="A28" s="73">
        <v>3</v>
      </c>
      <c r="B28" s="198" t="s">
        <v>175</v>
      </c>
      <c r="C28" s="198"/>
      <c r="D28" s="199"/>
    </row>
    <row r="29" spans="1:6" ht="7.2" customHeight="1" x14ac:dyDescent="0.3">
      <c r="A29" s="75"/>
    </row>
    <row r="30" spans="1:6" x14ac:dyDescent="0.3">
      <c r="B30" s="76" t="s">
        <v>151</v>
      </c>
      <c r="C30" s="76" t="s">
        <v>163</v>
      </c>
      <c r="D30" s="76" t="s">
        <v>176</v>
      </c>
      <c r="E30" s="76" t="s">
        <v>177</v>
      </c>
      <c r="F30" s="76" t="s">
        <v>166</v>
      </c>
    </row>
    <row r="31" spans="1:6" ht="18.600000000000001" customHeight="1" x14ac:dyDescent="0.3">
      <c r="B31" s="29">
        <v>3.1</v>
      </c>
      <c r="C31" s="86" t="s">
        <v>178</v>
      </c>
      <c r="D31" s="87">
        <v>0</v>
      </c>
      <c r="E31" s="79">
        <f>(I12+F26)</f>
        <v>179750</v>
      </c>
      <c r="F31" s="81">
        <f>E31*D31</f>
        <v>0</v>
      </c>
    </row>
    <row r="32" spans="1:6" ht="18.600000000000001" customHeight="1" x14ac:dyDescent="0.3">
      <c r="B32" s="29">
        <v>3.2</v>
      </c>
      <c r="C32" s="86" t="s">
        <v>179</v>
      </c>
      <c r="D32" s="87">
        <v>0.09</v>
      </c>
      <c r="E32" s="79">
        <f>E31</f>
        <v>179750</v>
      </c>
      <c r="F32" s="81">
        <f>E32*D32</f>
        <v>16177.5</v>
      </c>
    </row>
    <row r="33" spans="5:6" ht="9" customHeight="1" thickBot="1" x14ac:dyDescent="0.35"/>
    <row r="34" spans="5:6" ht="26.4" customHeight="1" thickBot="1" x14ac:dyDescent="0.35">
      <c r="E34" s="83" t="s">
        <v>180</v>
      </c>
      <c r="F34" s="84">
        <f>SUM(F31:F32)</f>
        <v>16177.5</v>
      </c>
    </row>
    <row r="35" spans="5:6" ht="9.6" customHeight="1" thickBot="1" x14ac:dyDescent="0.35"/>
    <row r="36" spans="5:6" ht="20.399999999999999" customHeight="1" thickBot="1" x14ac:dyDescent="0.35">
      <c r="E36" s="88" t="s">
        <v>181</v>
      </c>
      <c r="F36" s="89">
        <f>(F34+F26)/(F34+F26+I12)</f>
        <v>0.15402380982761479</v>
      </c>
    </row>
    <row r="37" spans="5:6" ht="7.95" customHeight="1" thickBot="1" x14ac:dyDescent="0.35"/>
    <row r="38" spans="5:6" ht="21.6" customHeight="1" thickBot="1" x14ac:dyDescent="0.35">
      <c r="E38" s="88" t="s">
        <v>182</v>
      </c>
      <c r="F38" s="90">
        <f>F34+F26+I12</f>
        <v>195927.5</v>
      </c>
    </row>
  </sheetData>
  <mergeCells count="3">
    <mergeCell ref="B2:D2"/>
    <mergeCell ref="B15:D15"/>
    <mergeCell ref="B28:D2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General Notes &amp; SOW Summary</vt:lpstr>
      <vt:lpstr>Budget Summary</vt:lpstr>
      <vt:lpstr>Housekeeping Scope BOQ</vt:lpstr>
      <vt:lpstr>HK Budget</vt:lpstr>
      <vt:lpstr>HK - Light Tools &amp; Cons</vt:lpstr>
      <vt:lpstr>MEP Scope BOQ </vt:lpstr>
      <vt:lpstr>MEP Budget</vt:lpstr>
      <vt:lpstr>Landscape BOQ</vt:lpstr>
      <vt:lpstr>LS Budget</vt:lpstr>
      <vt:lpstr>Pest Control BOQ</vt:lpstr>
      <vt:lpstr>Pest Control Budget</vt:lpstr>
      <vt:lpstr>Backoffice &amp; Admin BOQ</vt:lpstr>
      <vt:lpstr>Back Office Budget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Moustafa Koura</dc:creator>
  <cp:lastModifiedBy>Mahmoud Elsaeed</cp:lastModifiedBy>
  <cp:lastPrinted>2025-12-22T10:01:44Z</cp:lastPrinted>
  <dcterms:created xsi:type="dcterms:W3CDTF">2024-03-14T13:04:55Z</dcterms:created>
  <dcterms:modified xsi:type="dcterms:W3CDTF">2026-03-25T13:54:15Z</dcterms:modified>
</cp:coreProperties>
</file>