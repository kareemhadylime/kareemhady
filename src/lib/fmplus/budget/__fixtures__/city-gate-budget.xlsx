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54B92642-10A2-40D3-99C9-F58FC6570827}" xr6:coauthVersionLast="47" xr6:coauthVersionMax="47" xr10:uidLastSave="{00000000-0000-0000-0000-000000000000}"/>
  <bookViews>
    <workbookView xWindow="-120" yWindow="-120" windowWidth="29040" windowHeight="17640" tabRatio="988" firstSheet="5" activeTab="5" xr2:uid="{00000000-000D-0000-FFFF-FFFF00000000}"/>
  </bookViews>
  <sheets>
    <sheet name="Pricing Notes" sheetId="4" r:id="rId1"/>
    <sheet name="FM Fees Summary" sheetId="2" r:id="rId2"/>
    <sheet name="Manning Schedule" sheetId="1" r:id="rId3"/>
    <sheet name="End User Services Rates" sheetId="6" r:id="rId4"/>
    <sheet name="Manning Schedule (2)" sheetId="20" r:id="rId5"/>
    <sheet name="Fianl All" sheetId="22" r:id="rId6"/>
    <sheet name="MEP" sheetId="21" r:id="rId7"/>
    <sheet name="Mobilization Budget" sheetId="7" r:id="rId8"/>
    <sheet name="MEP Budget-Y1" sheetId="8" r:id="rId9"/>
    <sheet name="MEP Budget-Y2" sheetId="9" r:id="rId10"/>
    <sheet name="HK &amp; Waste Management-Y1" sheetId="10" r:id="rId11"/>
    <sheet name="HK &amp; Waste Management-Y2" sheetId="11" r:id="rId12"/>
    <sheet name="Pest Control Y-1" sheetId="12" r:id="rId13"/>
    <sheet name="Pest Control Y-2" sheetId="13" r:id="rId14"/>
    <sheet name="Landscape Y1" sheetId="14" r:id="rId15"/>
    <sheet name="Landscape Y2" sheetId="15" r:id="rId16"/>
    <sheet name="Security Y1" sheetId="16" r:id="rId17"/>
    <sheet name="Security Y2" sheetId="17" r:id="rId18"/>
    <sheet name="Transportation Y1" sheetId="18" r:id="rId19"/>
    <sheet name="Transportation Y2" sheetId="19"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a">#N/A</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T">#REF!</definedName>
    <definedName name="\Z">#REF!</definedName>
    <definedName name="___end1">[1]DATA!$V$71</definedName>
    <definedName name="__123Graph_A" hidden="1">'[2]Labour Costs'!#REF!</definedName>
    <definedName name="__123Graph_B" hidden="1">'[2]Labour Costs'!#REF!</definedName>
    <definedName name="__2_4THCOL">[3]DATA!$T$35:$T$35</definedName>
    <definedName name="__4_4THPMV">[3]DATA!$S$35:$S$35</definedName>
    <definedName name="__6_4THSPEND">[3]DATA!$U$35:$U$35</definedName>
    <definedName name="__end1">[3]DATA!$V$71</definedName>
    <definedName name="__new1">#REF!</definedName>
    <definedName name="_1_4THCOL">[1]DATA!$T$35:$T$35</definedName>
    <definedName name="_2_4THCOL">[4]DATA!$T$35:$T$35</definedName>
    <definedName name="_2_4THPMV">[1]DATA!$S$35:$S$35</definedName>
    <definedName name="_3_4THSPEND">[1]DATA!$U$35:$U$35</definedName>
    <definedName name="_4_4THPMV">[4]DATA!$S$35:$S$35</definedName>
    <definedName name="_6_4THSPEND">[4]DATA!$U$35:$U$35</definedName>
    <definedName name="_acr2">'[5]Apr-05'!#REF!</definedName>
    <definedName name="_CON1">#REF!</definedName>
    <definedName name="_CON10">#REF!</definedName>
    <definedName name="_CON11">#REF!</definedName>
    <definedName name="_CON12">#REF!</definedName>
    <definedName name="_CON13">#REF!</definedName>
    <definedName name="_CON14">#REF!</definedName>
    <definedName name="_CON15">#REF!</definedName>
    <definedName name="_CON16">#REF!</definedName>
    <definedName name="_CON2">#REF!</definedName>
    <definedName name="_CON3">#REF!</definedName>
    <definedName name="_CON4">#REF!</definedName>
    <definedName name="_CON5">#REF!</definedName>
    <definedName name="_CON6">#REF!</definedName>
    <definedName name="_CON7">#REF!</definedName>
    <definedName name="_CON8">#REF!</definedName>
    <definedName name="_CON9">#REF!</definedName>
    <definedName name="_end1">[4]DATA!$V$71</definedName>
    <definedName name="_ETB1">#REF!</definedName>
    <definedName name="_ETB2">#REF!</definedName>
    <definedName name="_ETB3">#REF!</definedName>
    <definedName name="_ETB4">#REF!</definedName>
    <definedName name="_ETB5">#REF!</definedName>
    <definedName name="_ETB6">#REF!</definedName>
    <definedName name="_Fill" hidden="1">#REF!</definedName>
    <definedName name="_fill1" hidden="1">#REF!</definedName>
    <definedName name="_fill2" hidden="1">#REF!</definedName>
    <definedName name="_FILLSM" hidden="1">#REF!</definedName>
    <definedName name="_fim">#REF!</definedName>
    <definedName name="_Key1" hidden="1">#REF!</definedName>
    <definedName name="_Key2" hidden="1">'[6]master data file'!#REF!</definedName>
    <definedName name="_new1">[7]Original!$V$8</definedName>
    <definedName name="_OH1">#REF!</definedName>
    <definedName name="_OH2">#REF!</definedName>
    <definedName name="_OH3">#REF!</definedName>
    <definedName name="_OH4">#REF!</definedName>
    <definedName name="_OH5">#REF!</definedName>
    <definedName name="_OH6">#REF!</definedName>
    <definedName name="_Order1" hidden="1">255</definedName>
    <definedName name="_Order2" hidden="1">255</definedName>
    <definedName name="_Parse_Out" hidden="1">'[8]HPS Slit Coil (Centralia)'!#REF!</definedName>
    <definedName name="_Sort" hidden="1">#REF!</definedName>
    <definedName name="a">'[9]Manpower Master'!$O$57:$O$66</definedName>
    <definedName name="aa">#REF!</definedName>
    <definedName name="AB">#REF!</definedName>
    <definedName name="access_boom">[10]DATA_Mob_Proc!$A$125:$A$128</definedName>
    <definedName name="access_boom_high">[10]DATA_Mob_Proc!$B$125:$B$128</definedName>
    <definedName name="access_boom_low">[10]DATA_Mob_Proc!$D$125:$D$128</definedName>
    <definedName name="access_boom_med">[10]DATA_Mob_Proc!$C$125:$C$128</definedName>
    <definedName name="access_scaffold">[10]DATA_Mob_Proc!$A$119:$A$123</definedName>
    <definedName name="access_scaffold_high">[10]DATA_Mob_Proc!$B$119:$B$123</definedName>
    <definedName name="access_scaffold_low">[10]DATA_Mob_Proc!$D$119:$D$123</definedName>
    <definedName name="access_scaffold_med">[10]DATA_Mob_Proc!$C$119:$C$123</definedName>
    <definedName name="access_scaffolding">[10]DATA_Mob_Proc!$A$118:$A$123</definedName>
    <definedName name="ACR">'[11]Apr-05'!#REF!</definedName>
    <definedName name="ACTCOL">[4]DATA!$M$35:$M$35</definedName>
    <definedName name="ACTPMV">[4]DATA!$L$35:$L$35</definedName>
    <definedName name="ACTSPEND">[4]DATA!$N$35:$N$35</definedName>
    <definedName name="Actual">[4]DATA!$W$35:$W$43</definedName>
    <definedName name="ACTUAL1">[4]DATA!$L$35:$L$94</definedName>
    <definedName name="ACTUAL2">[4]DATA!$M$35:$M$94</definedName>
    <definedName name="ACTUAL3">[4]DATA!$N$35:$N$94</definedName>
    <definedName name="ACTUALCORNER">[4]DATA!$I$35:$I$35</definedName>
    <definedName name="AFF">'[8]HPS Slit Coil (Centralia)'!#REF!</definedName>
    <definedName name="AIRSERV">#REF!</definedName>
    <definedName name="all4th">[4]DATA!$P$35:$R$154</definedName>
    <definedName name="allactual">[4]DATA!$I$35:$K$154</definedName>
    <definedName name="annbudget">#REF!</definedName>
    <definedName name="ars">#REF!</definedName>
    <definedName name="asdf">#REF!</definedName>
    <definedName name="ashish" hidden="1">#REF!</definedName>
    <definedName name="ast">[12]Default!$C$57:$C$59</definedName>
    <definedName name="ats">#REF!</definedName>
    <definedName name="aud">#REF!</definedName>
    <definedName name="avgintrate">[13]Interest!#REF!</definedName>
    <definedName name="BAL">#REF!</definedName>
    <definedName name="BALSHT1">#REF!</definedName>
    <definedName name="BALTOT">#REF!</definedName>
    <definedName name="barriers">[10]DATA_Subcon_Proc!#REF!</definedName>
    <definedName name="barriers_high">[10]DATA_Subcon_Proc!#REF!</definedName>
    <definedName name="barriers_low">[10]DATA_Subcon_Proc!#REF!</definedName>
    <definedName name="barriers_med">[10]DATA_Subcon_Proc!#REF!</definedName>
    <definedName name="BCOL">[4]DATA!$F$35:$F$35</definedName>
    <definedName name="bef">#REF!</definedName>
    <definedName name="BM_Inventory">#REF!</definedName>
    <definedName name="board1">[4]DATA!$V$34:$V$71</definedName>
    <definedName name="board2">[4]DATA!$W$34:$W$71</definedName>
    <definedName name="board3">[4]DATA!$X$34:$X$71</definedName>
    <definedName name="BOT">#REF!</definedName>
    <definedName name="BPMV">[4]DATA!$E$35:$E$35</definedName>
    <definedName name="brl">#REF!</definedName>
    <definedName name="BSPEND">[4]DATA!$G$35:$G$35</definedName>
    <definedName name="BUDGET1">[4]DATA!$E$35:$E$94</definedName>
    <definedName name="BUDGET2">[4]DATA!$F$35:$F$94</definedName>
    <definedName name="BUDGET3">[4]DATA!$G$35:$G$94</definedName>
    <definedName name="BUDGETCORNER">[4]DATA!$B$35:$B$35</definedName>
    <definedName name="BUDGETDATA">[4]DATA!$B$31:$G$31</definedName>
    <definedName name="cad">#REF!</definedName>
    <definedName name="call_ctr_setup">[10]DATA_Mob_Proc!$A$158:$A$187</definedName>
    <definedName name="call_ctr_setup_med">[10]DATA_Mob_Proc!$C$158:$C$187</definedName>
    <definedName name="capital">#REF!</definedName>
    <definedName name="CAPITALA">#REF!</definedName>
    <definedName name="CarFuelBenefit">#REF!</definedName>
    <definedName name="cash1">[4]DATA!$V$34:$V$115</definedName>
    <definedName name="cash2">[4]DATA!$W$34:$W$115</definedName>
    <definedName name="cash3">[4]DATA!$X$34:$X$43</definedName>
    <definedName name="CASHCORNER">[4]DATA!$V$35:$V$35</definedName>
    <definedName name="cc">#REF!</definedName>
    <definedName name="CDCPT">#REF!</definedName>
    <definedName name="CDDBN">#REF!</definedName>
    <definedName name="CDPTA">#REF!</definedName>
    <definedName name="CDRIV">#REF!</definedName>
    <definedName name="CDRIVSTD">#REF!</definedName>
    <definedName name="CENTJWPINT">#REF!</definedName>
    <definedName name="CENTRE">#REF!</definedName>
    <definedName name="CESTAT">#REF!</definedName>
    <definedName name="Changes_All">#REF!</definedName>
    <definedName name="chf">#REF!</definedName>
    <definedName name="cleaning_buffing">[10]DATA_Mob_Proc!$A$68:$A$72</definedName>
    <definedName name="cleaning_buffing_high">[10]DATA_Mob_Proc!$B$68:$B$72</definedName>
    <definedName name="cleaning_buffing_low">[10]DATA_Mob_Proc!$D$68:$D$72</definedName>
    <definedName name="cleaning_buffing_med">[10]DATA_Mob_Proc!$C$68:$C$72</definedName>
    <definedName name="cleaning_materials">[10]DATA_Mob_Proc!$A$83:$A$115</definedName>
    <definedName name="cleaning_materials_med">[10]DATA_Mob_Proc!$C$83:$C$115</definedName>
    <definedName name="cleaning_others">[10]DATA_Mob_Proc!$A$74:$A$81</definedName>
    <definedName name="cleaning_others_high">[10]DATA_Mob_Proc!$B$74:$B$81</definedName>
    <definedName name="cleaning_others_low">[10]DATA_Mob_Proc!$D$74:$D$81</definedName>
    <definedName name="cleaning_others_med">[10]DATA_Mob_Proc!$C$74:$C$81</definedName>
    <definedName name="cleaning_scrubber">[10]DATA_Mob_Proc!$A$31:$A$41</definedName>
    <definedName name="cleaning_scrubber_high">[10]DATA_Mob_Proc!$B$31:$B$42</definedName>
    <definedName name="cleaning_scrubber_low">[10]DATA_Mob_Proc!$D$31:$D$42</definedName>
    <definedName name="cleaning_scrubber_med">[10]DATA_Mob_Proc!$C$31:$C$42</definedName>
    <definedName name="cleaning_scrubbers">[10]DATA_Mob_Proc!$A$31:$A$42</definedName>
    <definedName name="cleaning_sweeper">[10]DATA_Mob_Proc!$A$44:$A$51</definedName>
    <definedName name="cleaning_sweeper_high">[10]DATA_Mob_Proc!$B$44:$B$51</definedName>
    <definedName name="cleaning_sweeper_low">[10]DATA_Mob_Proc!$D$44:$D$51</definedName>
    <definedName name="cleaning_sweeper_med">[10]DATA_Mob_Proc!$C$44:$C$51</definedName>
    <definedName name="cleaning_vacuum_sweeper">[10]DATA_Mob_Proc!$A$44:$A$51</definedName>
    <definedName name="cleaning_vacuums">[10]DATA_Mob_Proc!$A$53:$A$66</definedName>
    <definedName name="cleaning_vacuums_high">[10]DATA_Mob_Proc!$B$53:$B$66</definedName>
    <definedName name="cleaning_vacuums_low">[10]DATA_Mob_Proc!$D$53:$D$66</definedName>
    <definedName name="cleaning_vacuums_med">[10]DATA_Mob_Proc!$C$53:$C$66</definedName>
    <definedName name="cname">[14]Default!$D$8</definedName>
    <definedName name="cny">#REF!</definedName>
    <definedName name="CO2CarBenefit">#REF!</definedName>
    <definedName name="coid">#REF!</definedName>
    <definedName name="common_equip">[10]DATA_Mob_Proc!$A$130:$A$137</definedName>
    <definedName name="common_equip_med">[10]DATA_Mob_Proc!$C$130:$C$137</definedName>
    <definedName name="company">#REF!</definedName>
    <definedName name="compname">#REF!</definedName>
    <definedName name="CON">#REF!</definedName>
    <definedName name="consumables">[10]DATA_Ops_Proc!$A$24:$A$31</definedName>
    <definedName name="consumables_LS">[10]DATA_Ops_Proc!$C$24:$C$31</definedName>
    <definedName name="consumables_M">[10]DATA_Ops_Proc!$B$24:$B$31</definedName>
    <definedName name="consumables_O">[10]DATA_Ops_Proc!$D$24:$D$31</definedName>
    <definedName name="consumablescost">[10]DATA_Ops_Proc!$F$24:$F$27</definedName>
    <definedName name="contract">#REF!</definedName>
    <definedName name="Contracted_Equipment_List">#REF!</definedName>
    <definedName name="conum">#REF!</definedName>
    <definedName name="CORNER">[4]DATA!$A$31:$A$31</definedName>
    <definedName name="CORNER2">[4]DATA!$H$31:$H$31</definedName>
    <definedName name="CORNER3">[4]DATA!$O$31:$O$31</definedName>
    <definedName name="CORNER4">[4]DATA!$V$31:$V$31</definedName>
    <definedName name="CORNER5">[4]DATA!$Y$31:$Y$31</definedName>
    <definedName name="CORP">#REF!</definedName>
    <definedName name="COTB94">#REF!</definedName>
    <definedName name="_xlnm.Criteria">[4]DATA!$AK$1:$AK$2</definedName>
    <definedName name="CSH">#REF!</definedName>
    <definedName name="CurrentCarBenefit">#REF!</definedName>
    <definedName name="currperiod">#REF!</definedName>
    <definedName name="CWO">'[15]Validation Tables'!$A$4:$A$7</definedName>
    <definedName name="czk">#REF!</definedName>
    <definedName name="d_convert">'[16]data inputs'!$H$367</definedName>
    <definedName name="date">[17]Cover!$D$22</definedName>
    <definedName name="daysinmonth">#REF!</definedName>
    <definedName name="daysinytd">#REF!</definedName>
    <definedName name="DDAY">'[18]PROGRAM REV'!$T$14</definedName>
    <definedName name="ddddd">[10]DATA_Mob_Proc!$A$31:$A$41</definedName>
    <definedName name="ddddddd">[10]DATA_Mob_Proc!$C$83:$C$115</definedName>
    <definedName name="DELCOM">#REF!</definedName>
    <definedName name="dem">#REF!</definedName>
    <definedName name="dkk">#REF!</definedName>
    <definedName name="DMO">'[18]PROGRAM REV'!$T$13</definedName>
    <definedName name="DSC">#REF!</definedName>
    <definedName name="DSI">#REF!</definedName>
    <definedName name="DSTS">#REF!</definedName>
    <definedName name="dstscoid">#REF!</definedName>
    <definedName name="dstscompname">#REF!</definedName>
    <definedName name="dstscompno">#REF!</definedName>
    <definedName name="dstsdept">#REF!</definedName>
    <definedName name="dstsmain">#REF!</definedName>
    <definedName name="dstsmask">#REF!</definedName>
    <definedName name="dstsregion">#REF!</definedName>
    <definedName name="dstssub">#REF!</definedName>
    <definedName name="DYR">'[18]PROGRAM REV'!$T$15</definedName>
    <definedName name="EASTERN">#REF!</definedName>
    <definedName name="ECOSPresentation">#REF!</definedName>
    <definedName name="Education">[19]Education!$A$3:$Q$55</definedName>
    <definedName name="end">[4]DATA!$V$34</definedName>
    <definedName name="End_Date">'[20]Accrued Interest'!$D$5</definedName>
    <definedName name="ENDDATE">[4]DATA!$F$6:$F$6</definedName>
    <definedName name="Equipment">#REF!</definedName>
    <definedName name="esp">#REF!</definedName>
    <definedName name="ETB1_4">#REF!</definedName>
    <definedName name="expat_grade">#REF!</definedName>
    <definedName name="expat_lvl">#REF!</definedName>
    <definedName name="expat_max_gross">#REF!</definedName>
    <definedName name="expat_max_ot">'[10]DATA_Manpower Master'!$X$4:$X$24</definedName>
    <definedName name="expat_max_salary">#REF!</definedName>
    <definedName name="expat_min_gross">#REF!</definedName>
    <definedName name="expat_min_OT">'[10]DATA_Manpower Master'!$V$4:$V$24</definedName>
    <definedName name="expat_min_salary">#REF!</definedName>
    <definedName name="expat_normal_gross">#REF!</definedName>
    <definedName name="expat_normal_ot">'[10]DATA_Manpower Master'!$W$4:$W$24</definedName>
    <definedName name="expat_normal_salary">#REF!</definedName>
    <definedName name="FDCPT">#REF!</definedName>
    <definedName name="FDDBN">#REF!</definedName>
    <definedName name="FDPTA">#REF!</definedName>
    <definedName name="FDRIV">#REF!</definedName>
    <definedName name="FDSE">#REF!</definedName>
    <definedName name="filename">#REF!</definedName>
    <definedName name="fim">#REF!</definedName>
    <definedName name="finyear">#REF!</definedName>
    <definedName name="FIRST">#REF!</definedName>
    <definedName name="FIRSTROW">[4]DATA!$A$35:$A$35</definedName>
    <definedName name="Flag">[4]DATA!$F$11</definedName>
    <definedName name="FleetData">#REF!</definedName>
    <definedName name="form">#REF!</definedName>
    <definedName name="FPCSAllowances">#REF!</definedName>
    <definedName name="frf">#REF!</definedName>
    <definedName name="Furniture">[19]Furniture!$A$3:$U$66</definedName>
    <definedName name="gbp">#REF!</definedName>
    <definedName name="glcode">#REF!</definedName>
    <definedName name="Grade">#REF!</definedName>
    <definedName name="GradeMaster">#REF!</definedName>
    <definedName name="GRAPHS">#REF!</definedName>
    <definedName name="Gratuity">[19]Gratuity!$A$3:$U$19</definedName>
    <definedName name="grd">#REF!</definedName>
    <definedName name="hct">#REF!</definedName>
    <definedName name="HeadCount">#REF!</definedName>
    <definedName name="Header1">[21]EP!$B$3</definedName>
    <definedName name="HEIDT">#N/A</definedName>
    <definedName name="HelpDesk">#REF!</definedName>
    <definedName name="hkd">#REF!</definedName>
    <definedName name="HKW">#REF!</definedName>
    <definedName name="huf">#REF!</definedName>
    <definedName name="HUNT">#N/A</definedName>
    <definedName name="ict">[10]DATA_Mob_Proc!$A$118:$A$123</definedName>
    <definedName name="idr">#REF!</definedName>
    <definedName name="iep">#REF!</definedName>
    <definedName name="InitialFeePayment">[22]Workings!$G$138:$R$138</definedName>
    <definedName name="InitialMonthlyPrice">[22]Workings!$G$118:$R$118</definedName>
    <definedName name="Input">[4]DATA!$Y$34:$AA$154</definedName>
    <definedName name="inr">#REF!</definedName>
    <definedName name="instructioncorner">[4]DATA!$X$1</definedName>
    <definedName name="insurances">[10]DATA_Mob_Proc!$A$189:$A$195</definedName>
    <definedName name="insurances_med">[10]DATA_Mob_Proc!$C$189:$C$195</definedName>
    <definedName name="INTERCO">#REF!</definedName>
    <definedName name="Invoiced">'[15]Validation Tables'!$E$4:$E$6</definedName>
    <definedName name="it_supervisory">'[23]lookup tables'!$B$40:$C$50</definedName>
    <definedName name="it_trade">'[23]lookup tables'!$B$53:$C$91</definedName>
    <definedName name="itl">#REF!</definedName>
    <definedName name="ixa0">[24]control!$N$22</definedName>
    <definedName name="jpy">#REF!</definedName>
    <definedName name="JUBILEE">#REF!</definedName>
    <definedName name="JWPL">#REF!</definedName>
    <definedName name="krw">#REF!</definedName>
    <definedName name="ladders">[10]DATA_Mob_Proc!$A$5:$A$9</definedName>
    <definedName name="LeaveEncashment">'[19]Leave Encashment'!$A$3:$S$19</definedName>
    <definedName name="LHC">#REF!</definedName>
    <definedName name="LifeInsurance">[19]Insurance!$A$6:$U$13</definedName>
    <definedName name="LIVINGSTON">#REF!</definedName>
    <definedName name="local_grade">#REF!</definedName>
    <definedName name="local_max_gross">#REF!</definedName>
    <definedName name="local_max_ot">'[10]DATA_Manpower Master'!$X$34:$X$54</definedName>
    <definedName name="local_max_salary">#REF!</definedName>
    <definedName name="local_min_gross">#REF!</definedName>
    <definedName name="local_min_ot">'[10]DATA_Manpower Master'!$V$34:$V$54</definedName>
    <definedName name="local_min_salary">#REF!</definedName>
    <definedName name="local_normal_gross">#REF!</definedName>
    <definedName name="local_normal_ot">'[10]DATA_Manpower Master'!$W$34:$W$54</definedName>
    <definedName name="local_normal_salary">#REF!</definedName>
    <definedName name="LostSavings">[22]Workings!$G$159:$R$159</definedName>
    <definedName name="LTA">'[19] LTA'!$A$2:$P$7</definedName>
    <definedName name="m" localSheetId="10" hidden="1">{"VANCVIEW",#N/A,FALSE,"0689";"JAXVIEW",#N/A,FALSE,"0683"}</definedName>
    <definedName name="m" localSheetId="11" hidden="1">{"VANCVIEW",#N/A,FALSE,"0689";"JAXVIEW",#N/A,FALSE,"0683"}</definedName>
    <definedName name="m" localSheetId="14" hidden="1">{"VANCVIEW",#N/A,FALSE,"0689";"JAXVIEW",#N/A,FALSE,"0683"}</definedName>
    <definedName name="m" localSheetId="15" hidden="1">{"VANCVIEW",#N/A,FALSE,"0689";"JAXVIEW",#N/A,FALSE,"0683"}</definedName>
    <definedName name="m" localSheetId="8" hidden="1">{"VANCVIEW",#N/A,FALSE,"0689";"JAXVIEW",#N/A,FALSE,"0683"}</definedName>
    <definedName name="m" localSheetId="9" hidden="1">{"VANCVIEW",#N/A,FALSE,"0689";"JAXVIEW",#N/A,FALSE,"0683"}</definedName>
    <definedName name="m" localSheetId="12" hidden="1">{"VANCVIEW",#N/A,FALSE,"0689";"JAXVIEW",#N/A,FALSE,"0683"}</definedName>
    <definedName name="m" localSheetId="13" hidden="1">{"VANCVIEW",#N/A,FALSE,"0689";"JAXVIEW",#N/A,FALSE,"0683"}</definedName>
    <definedName name="m" localSheetId="16" hidden="1">{"VANCVIEW",#N/A,FALSE,"0689";"JAXVIEW",#N/A,FALSE,"0683"}</definedName>
    <definedName name="m" localSheetId="17" hidden="1">{"VANCVIEW",#N/A,FALSE,"0689";"JAXVIEW",#N/A,FALSE,"0683"}</definedName>
    <definedName name="m" localSheetId="18" hidden="1">{"VANCVIEW",#N/A,FALSE,"0689";"JAXVIEW",#N/A,FALSE,"0683"}</definedName>
    <definedName name="m" localSheetId="19" hidden="1">{"VANCVIEW",#N/A,FALSE,"0689";"JAXVIEW",#N/A,FALSE,"0683"}</definedName>
    <definedName name="m" hidden="1">{"VANCVIEW",#N/A,FALSE,"0689";"JAXVIEW",#N/A,FALSE,"0683"}</definedName>
    <definedName name="MAINMENU">[4]DATA!$K$1:$K$1</definedName>
    <definedName name="MAJ">#REF!</definedName>
    <definedName name="Managment">#REF!</definedName>
    <definedName name="MANCHESTER">#REF!</definedName>
    <definedName name="mask">#REF!</definedName>
    <definedName name="MBAL">#REF!</definedName>
    <definedName name="Medical">'[19]Medical-1'!$A$2:$Q$97</definedName>
    <definedName name="MEP">#REF!</definedName>
    <definedName name="mep_ladder">[10]DATA_Mob_Proc!$A$5:$A$10</definedName>
    <definedName name="mep_ladder_med">[10]DATA_Mob_Proc!$C$5:$C$9</definedName>
    <definedName name="mep_others">[10]DATA_Mob_Proc!$A$23:$A$27</definedName>
    <definedName name="mep_others_med">[10]DATA_Mob_Proc!$C$23:$C$27</definedName>
    <definedName name="mep_tool">[10]DATA_Mob_Proc!$A$12:$A$21</definedName>
    <definedName name="mep_tool_med">[10]DATA_Mob_Proc!$C$12:$C$21</definedName>
    <definedName name="mep_tools">[10]DATA_Mob_Proc!$A$12:$A$20</definedName>
    <definedName name="mfk" localSheetId="10" hidden="1">{"VANCVIEW",#N/A,FALSE,"0689"}</definedName>
    <definedName name="mfk" localSheetId="11" hidden="1">{"VANCVIEW",#N/A,FALSE,"0689"}</definedName>
    <definedName name="mfk" localSheetId="14" hidden="1">{"VANCVIEW",#N/A,FALSE,"0689"}</definedName>
    <definedName name="mfk" localSheetId="15" hidden="1">{"VANCVIEW",#N/A,FALSE,"0689"}</definedName>
    <definedName name="mfk" localSheetId="8" hidden="1">{"VANCVIEW",#N/A,FALSE,"0689"}</definedName>
    <definedName name="mfk" localSheetId="9" hidden="1">{"VANCVIEW",#N/A,FALSE,"0689"}</definedName>
    <definedName name="mfk" localSheetId="12" hidden="1">{"VANCVIEW",#N/A,FALSE,"0689"}</definedName>
    <definedName name="mfk" localSheetId="13" hidden="1">{"VANCVIEW",#N/A,FALSE,"0689"}</definedName>
    <definedName name="mfk" localSheetId="16" hidden="1">{"VANCVIEW",#N/A,FALSE,"0689"}</definedName>
    <definedName name="mfk" localSheetId="17" hidden="1">{"VANCVIEW",#N/A,FALSE,"0689"}</definedName>
    <definedName name="mfk" localSheetId="18" hidden="1">{"VANCVIEW",#N/A,FALSE,"0689"}</definedName>
    <definedName name="mfk" localSheetId="19" hidden="1">{"VANCVIEW",#N/A,FALSE,"0689"}</definedName>
    <definedName name="mfk" hidden="1">{"VANCVIEW",#N/A,FALSE,"0689"}</definedName>
    <definedName name="MIDLANDS">#REF!</definedName>
    <definedName name="mm" localSheetId="10" hidden="1">{"VANCVIEW",#N/A,FALSE,"0689";"JAXVIEW",#N/A,FALSE,"0683"}</definedName>
    <definedName name="mm" localSheetId="11" hidden="1">{"VANCVIEW",#N/A,FALSE,"0689";"JAXVIEW",#N/A,FALSE,"0683"}</definedName>
    <definedName name="mm" localSheetId="14" hidden="1">{"VANCVIEW",#N/A,FALSE,"0689";"JAXVIEW",#N/A,FALSE,"0683"}</definedName>
    <definedName name="mm" localSheetId="15" hidden="1">{"VANCVIEW",#N/A,FALSE,"0689";"JAXVIEW",#N/A,FALSE,"0683"}</definedName>
    <definedName name="mm" localSheetId="8" hidden="1">{"VANCVIEW",#N/A,FALSE,"0689";"JAXVIEW",#N/A,FALSE,"0683"}</definedName>
    <definedName name="mm" localSheetId="9" hidden="1">{"VANCVIEW",#N/A,FALSE,"0689";"JAXVIEW",#N/A,FALSE,"0683"}</definedName>
    <definedName name="mm" localSheetId="12" hidden="1">{"VANCVIEW",#N/A,FALSE,"0689";"JAXVIEW",#N/A,FALSE,"0683"}</definedName>
    <definedName name="mm" localSheetId="13" hidden="1">{"VANCVIEW",#N/A,FALSE,"0689";"JAXVIEW",#N/A,FALSE,"0683"}</definedName>
    <definedName name="mm" localSheetId="16" hidden="1">{"VANCVIEW",#N/A,FALSE,"0689";"JAXVIEW",#N/A,FALSE,"0683"}</definedName>
    <definedName name="mm" localSheetId="17" hidden="1">{"VANCVIEW",#N/A,FALSE,"0689";"JAXVIEW",#N/A,FALSE,"0683"}</definedName>
    <definedName name="mm" localSheetId="18" hidden="1">{"VANCVIEW",#N/A,FALSE,"0689";"JAXVIEW",#N/A,FALSE,"0683"}</definedName>
    <definedName name="mm" localSheetId="19" hidden="1">{"VANCVIEW",#N/A,FALSE,"0689";"JAXVIEW",#N/A,FALSE,"0683"}</definedName>
    <definedName name="mm" hidden="1">{"VANCVIEW",#N/A,FALSE,"0689";"JAXVIEW",#N/A,FALSE,"0683"}</definedName>
    <definedName name="mmmmm" localSheetId="10" hidden="1">{"VANCVIEW",#N/A,FALSE,"0689"}</definedName>
    <definedName name="mmmmm" localSheetId="11" hidden="1">{"VANCVIEW",#N/A,FALSE,"0689"}</definedName>
    <definedName name="mmmmm" localSheetId="14" hidden="1">{"VANCVIEW",#N/A,FALSE,"0689"}</definedName>
    <definedName name="mmmmm" localSheetId="15" hidden="1">{"VANCVIEW",#N/A,FALSE,"0689"}</definedName>
    <definedName name="mmmmm" localSheetId="8" hidden="1">{"VANCVIEW",#N/A,FALSE,"0689"}</definedName>
    <definedName name="mmmmm" localSheetId="9" hidden="1">{"VANCVIEW",#N/A,FALSE,"0689"}</definedName>
    <definedName name="mmmmm" localSheetId="12" hidden="1">{"VANCVIEW",#N/A,FALSE,"0689"}</definedName>
    <definedName name="mmmmm" localSheetId="13" hidden="1">{"VANCVIEW",#N/A,FALSE,"0689"}</definedName>
    <definedName name="mmmmm" localSheetId="16" hidden="1">{"VANCVIEW",#N/A,FALSE,"0689"}</definedName>
    <definedName name="mmmmm" localSheetId="17" hidden="1">{"VANCVIEW",#N/A,FALSE,"0689"}</definedName>
    <definedName name="mmmmm" localSheetId="18" hidden="1">{"VANCVIEW",#N/A,FALSE,"0689"}</definedName>
    <definedName name="mmmmm" localSheetId="19" hidden="1">{"VANCVIEW",#N/A,FALSE,"0689"}</definedName>
    <definedName name="mmmmm" hidden="1">{"VANCVIEW",#N/A,FALSE,"0689"}</definedName>
    <definedName name="mob_cost_element">[10]DATA_Mob_Proc!$A$3,[10]DATA_Mob_Proc!$A$29,[10]DATA_Mob_Proc!$A$117,[10]DATA_Mob_Proc!$A$129,[10]DATA_Mob_Proc!$A$138,[10]DATA_Mob_Proc!$A$157,[10]DATA_Mob_Proc!$A$188</definedName>
    <definedName name="mob_cost_elements">[10]DATA_Mob_Proc!$A$3,[10]DATA_Mob_Proc!$A$29,[10]DATA_Mob_Proc!$A$117,[10]DATA_Mob_Proc!$A$129,[10]DATA_Mob_Proc!$A$138,[10]DATA_Mob_Proc!$A$157,[10]DATA_Mob_Proc!$A$188</definedName>
    <definedName name="MoblisationCost">'[19]Mobilisation Cost'!$A$3:$Q$9</definedName>
    <definedName name="MOD">#REF!</definedName>
    <definedName name="MONTHLY">#REF!</definedName>
    <definedName name="MonthlyPrice">[22]Workings!$G$119:$R$119</definedName>
    <definedName name="MONTHS">[4]DATA!$F$7:$F$7</definedName>
    <definedName name="mort" localSheetId="10" hidden="1">{"VANCVIEW",#N/A,FALSE,"0689";"JAXVIEW",#N/A,FALSE,"0683"}</definedName>
    <definedName name="mort" localSheetId="11" hidden="1">{"VANCVIEW",#N/A,FALSE,"0689";"JAXVIEW",#N/A,FALSE,"0683"}</definedName>
    <definedName name="mort" localSheetId="14" hidden="1">{"VANCVIEW",#N/A,FALSE,"0689";"JAXVIEW",#N/A,FALSE,"0683"}</definedName>
    <definedName name="mort" localSheetId="15" hidden="1">{"VANCVIEW",#N/A,FALSE,"0689";"JAXVIEW",#N/A,FALSE,"0683"}</definedName>
    <definedName name="mort" localSheetId="8" hidden="1">{"VANCVIEW",#N/A,FALSE,"0689";"JAXVIEW",#N/A,FALSE,"0683"}</definedName>
    <definedName name="mort" localSheetId="9" hidden="1">{"VANCVIEW",#N/A,FALSE,"0689";"JAXVIEW",#N/A,FALSE,"0683"}</definedName>
    <definedName name="mort" localSheetId="12" hidden="1">{"VANCVIEW",#N/A,FALSE,"0689";"JAXVIEW",#N/A,FALSE,"0683"}</definedName>
    <definedName name="mort" localSheetId="13" hidden="1">{"VANCVIEW",#N/A,FALSE,"0689";"JAXVIEW",#N/A,FALSE,"0683"}</definedName>
    <definedName name="mort" localSheetId="16" hidden="1">{"VANCVIEW",#N/A,FALSE,"0689";"JAXVIEW",#N/A,FALSE,"0683"}</definedName>
    <definedName name="mort" localSheetId="17" hidden="1">{"VANCVIEW",#N/A,FALSE,"0689";"JAXVIEW",#N/A,FALSE,"0683"}</definedName>
    <definedName name="mort" localSheetId="18" hidden="1">{"VANCVIEW",#N/A,FALSE,"0689";"JAXVIEW",#N/A,FALSE,"0683"}</definedName>
    <definedName name="mort" localSheetId="19" hidden="1">{"VANCVIEW",#N/A,FALSE,"0689";"JAXVIEW",#N/A,FALSE,"0683"}</definedName>
    <definedName name="mort" hidden="1">{"VANCVIEW",#N/A,FALSE,"0689";"JAXVIEW",#N/A,FALSE,"0683"}</definedName>
    <definedName name="MPA">[22]Workings!$G$130:$R$130</definedName>
    <definedName name="MTRAD">[25]hypadj!#REF!</definedName>
    <definedName name="mwz" localSheetId="10" hidden="1">{"VANCVIEW",#N/A,FALSE,"0689"}</definedName>
    <definedName name="mwz" localSheetId="11" hidden="1">{"VANCVIEW",#N/A,FALSE,"0689"}</definedName>
    <definedName name="mwz" localSheetId="14" hidden="1">{"VANCVIEW",#N/A,FALSE,"0689"}</definedName>
    <definedName name="mwz" localSheetId="15" hidden="1">{"VANCVIEW",#N/A,FALSE,"0689"}</definedName>
    <definedName name="mwz" localSheetId="8" hidden="1">{"VANCVIEW",#N/A,FALSE,"0689"}</definedName>
    <definedName name="mwz" localSheetId="9" hidden="1">{"VANCVIEW",#N/A,FALSE,"0689"}</definedName>
    <definedName name="mwz" localSheetId="12" hidden="1">{"VANCVIEW",#N/A,FALSE,"0689"}</definedName>
    <definedName name="mwz" localSheetId="13" hidden="1">{"VANCVIEW",#N/A,FALSE,"0689"}</definedName>
    <definedName name="mwz" localSheetId="16" hidden="1">{"VANCVIEW",#N/A,FALSE,"0689"}</definedName>
    <definedName name="mwz" localSheetId="17" hidden="1">{"VANCVIEW",#N/A,FALSE,"0689"}</definedName>
    <definedName name="mwz" localSheetId="18" hidden="1">{"VANCVIEW",#N/A,FALSE,"0689"}</definedName>
    <definedName name="mwz" localSheetId="19" hidden="1">{"VANCVIEW",#N/A,FALSE,"0689"}</definedName>
    <definedName name="mwz" hidden="1">{"VANCVIEW",#N/A,FALSE,"0689"}</definedName>
    <definedName name="mxn">#REF!</definedName>
    <definedName name="myr">#REF!</definedName>
    <definedName name="NAME">[4]DATA!$F$3:$F$3</definedName>
    <definedName name="Nat_Acc">'[26]Queens House'!#REF!</definedName>
    <definedName name="new">[27]Original!$T$8</definedName>
    <definedName name="NewOrders">#REF!</definedName>
    <definedName name="nlg">#REF!</definedName>
    <definedName name="nok">#REF!</definedName>
    <definedName name="nomonths">#REF!</definedName>
    <definedName name="ODCPT">#REF!</definedName>
    <definedName name="ODDBN">#REF!</definedName>
    <definedName name="ODPTA">#REF!</definedName>
    <definedName name="ODRIV">#REF!</definedName>
    <definedName name="office_setup">[10]DATA_Mob_Proc!$A$139:$A$155</definedName>
    <definedName name="office_setup_med">[10]DATA_Mob_Proc!$C$139:$C$155</definedName>
    <definedName name="One_off">'[15]Validation Tables'!$C$4:$C$6</definedName>
    <definedName name="opporflag">[28]Opportunities!$H$47</definedName>
    <definedName name="ops_consumables">[10]DATA_Ops_Proc!$A$44:$A$89</definedName>
    <definedName name="ops_consumables_high">[10]DATA_Ops_Proc!$B$44:$B$89</definedName>
    <definedName name="ops_consumables_low">[10]DATA_Ops_Proc!$D$44:$D$89</definedName>
    <definedName name="ops_consumables_med">[10]DATA_Ops_Proc!$C$44:$C$89</definedName>
    <definedName name="ops_insurance">[10]DATA_Ops_Proc!$A$114:$A$120</definedName>
    <definedName name="ops_insurance_contract">[10]DATA_Ops_Proc!$B$114:$B$120</definedName>
    <definedName name="ops_insurance_cost">[10]DATA_Ops_Proc!$F$114:$F$117</definedName>
    <definedName name="ops_insurance_LS">[10]DATA_Ops_Proc!$C$114:$C$120</definedName>
    <definedName name="ops_insurance_other">[10]DATA_Ops_Proc!$D$114:$D$120</definedName>
    <definedName name="ops_mep">[10]DATA_Ops_Proc!$A$34:$A$41</definedName>
    <definedName name="ops_mep_cost">[10]DATA_Ops_Proc!$F$34:$F$37</definedName>
    <definedName name="ops_mep_FC">[10]DATA_Ops_Proc!$C$34:$C$41</definedName>
    <definedName name="ops_mep_NC">[10]DATA_Ops_Proc!$D$34:$D$41</definedName>
    <definedName name="ops_mep_SP">[10]DATA_Ops_Proc!$B$34:$B$41</definedName>
    <definedName name="ops_others">[10]DATA_Ops_Proc!$A$123:$A$136</definedName>
    <definedName name="ops_others_high">[10]DATA_Ops_Proc!$B$123:$B$136</definedName>
    <definedName name="ops_others_low">[10]DATA_Ops_Proc!$D$123:$D$136</definedName>
    <definedName name="ops_others_med">[10]DATA_Ops_Proc!$C$123:$C$136</definedName>
    <definedName name="ops_site">[10]DATA_Ops_Proc!$A$92:$A$111</definedName>
    <definedName name="ops_site_cost">[10]DATA_Ops_Proc!$B$92:$B$111</definedName>
    <definedName name="ops_site_lumpsum">[10]DATA_Ops_Proc!$C$92:$C$111</definedName>
    <definedName name="ops_site_others">[10]DATA_Ops_Proc!$D$92:$D$111</definedName>
    <definedName name="other_price">[10]DATA_Mob_Proc!$D$4</definedName>
    <definedName name="Output">[4]DATA!$AL$1:$AN$1</definedName>
    <definedName name="OVERHEADS">#REF!</definedName>
    <definedName name="P">#REF!</definedName>
    <definedName name="PeriodFrom">[22]Workings!$G$1:$R$1</definedName>
    <definedName name="PeriodTo">[22]Workings!$G$2:$R$2</definedName>
    <definedName name="php">#REF!</definedName>
    <definedName name="PKG1_code">[29]Sheet2!$E$2:$E$234</definedName>
    <definedName name="PKG2_code">[29]Sheet2!$H$2:$H$328</definedName>
    <definedName name="Plot_NO">[21]EP!$H$4:$H$1018</definedName>
    <definedName name="plz">#REF!</definedName>
    <definedName name="po">'[30]Manpower Master'!$BT$5:$BT$216</definedName>
    <definedName name="ppm">'[31]Tools Requires'!$A$2:$D$29</definedName>
    <definedName name="Pray_">[32]PKG1!$D$3:$D$22</definedName>
    <definedName name="price">[10]DATA_Mob_Proc!$F$5:$F$8</definedName>
    <definedName name="price_category">[10]DATA_Mob_Proc!$B$2:$D$2</definedName>
    <definedName name="_xlnm.Print_Area" localSheetId="3">'End User Services Rates'!$B$1:$D$26</definedName>
    <definedName name="_xlnm.Print_Area" localSheetId="1">'FM Fees Summary'!$D$1:$G$22</definedName>
    <definedName name="_xlnm.Print_Area" localSheetId="2">'Manning Schedule'!$A$1:$AK$63</definedName>
    <definedName name="_xlnm.Print_Area" localSheetId="4">'Manning Schedule (2)'!$A$1:$AK$63</definedName>
    <definedName name="_xlnm.Print_Area">'[33]Note7-Staff Costs'!#REF!</definedName>
    <definedName name="Print_Area_MI">#REF!</definedName>
    <definedName name="PRINT1">#REF!</definedName>
    <definedName name="PROD">#REF!</definedName>
    <definedName name="Project_Title">[10]Main!$J$19</definedName>
    <definedName name="Proportionate">#REF!</definedName>
    <definedName name="PSAIndividualTB">#REF!</definedName>
    <definedName name="pte">#REF!</definedName>
    <definedName name="PUC">[34]EXAMPLES!#REF!</definedName>
    <definedName name="qdc">#REF!</definedName>
    <definedName name="QUARTERCORNER">[4]DATA!$P$35:$P$35</definedName>
    <definedName name="r_consumables">#REF!</definedName>
    <definedName name="r_deprn_y2">'[23]data inputs'!$K$350</definedName>
    <definedName name="r_deprn_y3">#REF!</definedName>
    <definedName name="r_deprn_y4">#REF!</definedName>
    <definedName name="r_deprn2">[35]INPUTS!$C$6</definedName>
    <definedName name="r_electrical">#REF!</definedName>
    <definedName name="r_equip">#REF!</definedName>
    <definedName name="r_general_y1">'[23]data inputs'!$J$346</definedName>
    <definedName name="r_general_y2">#REF!</definedName>
    <definedName name="r_general_y3">'[23]data inputs'!$L$346</definedName>
    <definedName name="r_general_y4">#REF!</definedName>
    <definedName name="r_inflation_y2">'[23]data inputs'!$K$348</definedName>
    <definedName name="r_inflation_y3">'[23]data inputs'!$L$348</definedName>
    <definedName name="r_inflation_y4">#REF!</definedName>
    <definedName name="r_inflation2">[35]INPUTS!$C$4</definedName>
    <definedName name="r_inflation3">[35]INPUTS!$D$4</definedName>
    <definedName name="r_markup_y1">'[23]data inputs'!$J$342</definedName>
    <definedName name="r_markup_y2">'[16]data inputs'!$K$355</definedName>
    <definedName name="r_markup_y3">'[23]data inputs'!$L$342</definedName>
    <definedName name="r_markup_y4">#REF!</definedName>
    <definedName name="r_mechanical">#REF!</definedName>
    <definedName name="r_qty2">[35]INPUTS!$C$5</definedName>
    <definedName name="r_qty3">[35]INPUTS!$D$5</definedName>
    <definedName name="r_subcontract_y1">'[23]data inputs'!$J$344</definedName>
    <definedName name="r_subcontract_y2">#REF!</definedName>
    <definedName name="r_subcontract_y3">'[23]data inputs'!$L$344</definedName>
    <definedName name="r_subcontract_y4">#REF!</definedName>
    <definedName name="r_wage_y2">'[23]data inputs'!$K$349</definedName>
    <definedName name="r_wage_y3">#REF!</definedName>
    <definedName name="r_wage_y4">#REF!</definedName>
    <definedName name="r_wage2">[35]INPUTS!$C$3</definedName>
    <definedName name="r_wage3">[35]INPUTS!$D$3</definedName>
    <definedName name="Range">#REF!</definedName>
    <definedName name="recaptfdp">#REF!</definedName>
    <definedName name="Recoverable">'[15]Validation Tables'!$G$4:$G$6</definedName>
    <definedName name="RecruitmentCost">'[19]Recruitment Cost'!$A$3:$Q$19</definedName>
    <definedName name="region">#REF!</definedName>
    <definedName name="REPDATE">[4]DATA!$F$8:$F$8</definedName>
    <definedName name="Resources">[21]RES!$B$6:$B$294</definedName>
    <definedName name="RoleRequirement">#REF!</definedName>
    <definedName name="RoleRequirements">#REF!</definedName>
    <definedName name="Rooms">#REF!</definedName>
    <definedName name="rstest">#REF!</definedName>
    <definedName name="Salary">#REF!</definedName>
    <definedName name="santurnmonth">#REF!</definedName>
    <definedName name="santurnytd">#REF!</definedName>
    <definedName name="SAVE1">#REF!</definedName>
    <definedName name="SCALE">[4]DATA!$F$9:$F$9</definedName>
    <definedName name="SCHOOL_ALL">[36]Sheet8!$A$1:$A$127</definedName>
    <definedName name="SCHOOLS_ALL_AREA">[36]Sheet8!$B$1:$B$127</definedName>
    <definedName name="schools_area">[37]Sheet2!$H$2:$H$8622</definedName>
    <definedName name="schools_assets">[37]Sheet2!$B$2:$B$8622</definedName>
    <definedName name="schools_name">[37]Sheet2!$D$2:$D$8622</definedName>
    <definedName name="SCOTLANDMDS">#REF!</definedName>
    <definedName name="SCOTMODS">#REF!</definedName>
    <definedName name="sek">#REF!</definedName>
    <definedName name="SepRRFinal">[38]Original!$T$8</definedName>
    <definedName name="serv_line">[39]Lookups!$K$6:$K$93</definedName>
    <definedName name="sgd">#REF!</definedName>
    <definedName name="SheetNames">#REF!</definedName>
    <definedName name="ShortName">[4]DATA!$F$4</definedName>
    <definedName name="SigFlag">[40]Default!$H$31</definedName>
    <definedName name="skk">#REF!</definedName>
    <definedName name="SOFCPT">#REF!</definedName>
    <definedName name="SOFOMPCPT">#REF!</definedName>
    <definedName name="SOFPTA">#REF!</definedName>
    <definedName name="SOFRIV">#REF!</definedName>
    <definedName name="STAFF">'[41]Employee Salary Calculations'!$A$1:$AF$26</definedName>
    <definedName name="standard">[10]DATA_Mob_Proc!$C$4</definedName>
    <definedName name="Start_Date">'[20]Accrued Interest'!$D$4</definedName>
    <definedName name="STARTDATE">[4]DATA!$F$5:$F$5</definedName>
    <definedName name="STOP">[4]DATA!$AB$39:$AB$39</definedName>
    <definedName name="subaccount">#REF!</definedName>
    <definedName name="subcon_svcs">[10]DATA_Subcon_Proc!$A$4:$A$42</definedName>
    <definedName name="subcon_svcs_high">[10]DATA_Subcon_Proc!$B$4:$B$42</definedName>
    <definedName name="subcon_svcs_low">[10]DATA_Subcon_Proc!$D$4:$D$42</definedName>
    <definedName name="subcon_svcs_med">[10]DATA_Subcon_Proc!$C$4:$C$42</definedName>
    <definedName name="subcon_worksheet">#REF!</definedName>
    <definedName name="SUM">#REF!</definedName>
    <definedName name="summary">#REF!</definedName>
    <definedName name="t_supervisory">'[23]lookup tables'!$C$40:$C$50</definedName>
    <definedName name="t_trade">'[23]lookup tables'!$C$53:$C$91</definedName>
    <definedName name="TableName">"Dummy"</definedName>
    <definedName name="TAX">#REF!</definedName>
    <definedName name="TB">#REF!</definedName>
    <definedName name="TBFIGS">#REF!</definedName>
    <definedName name="Tender_Ref">[10]Main!$J$21</definedName>
    <definedName name="test">#REF!</definedName>
    <definedName name="thb">#REF!</definedName>
    <definedName name="TMP_1">'[42]THE GARDENS-CONSUMABLE ESTIMATE'!$K$22:$K$26</definedName>
    <definedName name="TOTOHDS">#REF!</definedName>
    <definedName name="TRAD">#REF!</definedName>
    <definedName name="TRADE1">#REF!</definedName>
    <definedName name="TRADMONTH">#REF!</definedName>
    <definedName name="TRADTOT">#REF!</definedName>
    <definedName name="TrainingCost">'[19]Training Cost'!$A$3:$R$19</definedName>
    <definedName name="trans">[10]DATA_Ops_Proc!$A$6:$A$15</definedName>
    <definedName name="trans_cost_d">[10]DATA_Ops_Proc!$C$6:$C$15</definedName>
    <definedName name="transpo_others">[10]DATA_Ops_Proc!$A$17:$A$22</definedName>
    <definedName name="transpo_others_high">[10]DATA_Ops_Proc!$B$17:$B$22</definedName>
    <definedName name="transpo_others_low">[10]DATA_Ops_Proc!$D$17:$D$22</definedName>
    <definedName name="transpo_others_med">[10]DATA_Ops_Proc!$C$17:$C$22</definedName>
    <definedName name="trl">#REF!</definedName>
    <definedName name="twd">#REF!</definedName>
    <definedName name="type">#REF!</definedName>
    <definedName name="usd">#REF!</definedName>
    <definedName name="Variable">#REF!</definedName>
    <definedName name="VATFuelScaleCharges">#REF!</definedName>
    <definedName name="veb">#REF!</definedName>
    <definedName name="Views">[43]Views_Pool!#REF!,[43]Views_Pool!$M$22:$M$23,[43]Views_Pool!#REF!</definedName>
    <definedName name="VisaCharge">'[19]Visa Charges'!$A$3:$Q$15</definedName>
    <definedName name="WESTERN">#REF!</definedName>
    <definedName name="win" localSheetId="10" hidden="1">{"VANCVIEW",#N/A,FALSE,"0689"}</definedName>
    <definedName name="win" localSheetId="11" hidden="1">{"VANCVIEW",#N/A,FALSE,"0689"}</definedName>
    <definedName name="win" localSheetId="14" hidden="1">{"VANCVIEW",#N/A,FALSE,"0689"}</definedName>
    <definedName name="win" localSheetId="15" hidden="1">{"VANCVIEW",#N/A,FALSE,"0689"}</definedName>
    <definedName name="win" localSheetId="8" hidden="1">{"VANCVIEW",#N/A,FALSE,"0689"}</definedName>
    <definedName name="win" localSheetId="9" hidden="1">{"VANCVIEW",#N/A,FALSE,"0689"}</definedName>
    <definedName name="win" localSheetId="12" hidden="1">{"VANCVIEW",#N/A,FALSE,"0689"}</definedName>
    <definedName name="win" localSheetId="13" hidden="1">{"VANCVIEW",#N/A,FALSE,"0689"}</definedName>
    <definedName name="win" localSheetId="16" hidden="1">{"VANCVIEW",#N/A,FALSE,"0689"}</definedName>
    <definedName name="win" localSheetId="17" hidden="1">{"VANCVIEW",#N/A,FALSE,"0689"}</definedName>
    <definedName name="win" localSheetId="18" hidden="1">{"VANCVIEW",#N/A,FALSE,"0689"}</definedName>
    <definedName name="win" localSheetId="19" hidden="1">{"VANCVIEW",#N/A,FALSE,"0689"}</definedName>
    <definedName name="win" hidden="1">{"VANCVIEW",#N/A,FALSE,"0689"}</definedName>
    <definedName name="Worksheet_Names">#REF!</definedName>
    <definedName name="wq">[44]DATA_Mob_Proc!$E$4:$E$5</definedName>
    <definedName name="wrn.ALL._.FORECASTS." localSheetId="10" hidden="1">{"VANCVIEW",#N/A,FALSE,"0689";"JAXVIEW",#N/A,FALSE,"0683"}</definedName>
    <definedName name="wrn.ALL._.FORECASTS." localSheetId="11" hidden="1">{"VANCVIEW",#N/A,FALSE,"0689";"JAXVIEW",#N/A,FALSE,"0683"}</definedName>
    <definedName name="wrn.ALL._.FORECASTS." localSheetId="14" hidden="1">{"VANCVIEW",#N/A,FALSE,"0689";"JAXVIEW",#N/A,FALSE,"0683"}</definedName>
    <definedName name="wrn.ALL._.FORECASTS." localSheetId="15" hidden="1">{"VANCVIEW",#N/A,FALSE,"0689";"JAXVIEW",#N/A,FALSE,"0683"}</definedName>
    <definedName name="wrn.ALL._.FORECASTS." localSheetId="8" hidden="1">{"VANCVIEW",#N/A,FALSE,"0689";"JAXVIEW",#N/A,FALSE,"0683"}</definedName>
    <definedName name="wrn.ALL._.FORECASTS." localSheetId="9" hidden="1">{"VANCVIEW",#N/A,FALSE,"0689";"JAXVIEW",#N/A,FALSE,"0683"}</definedName>
    <definedName name="wrn.ALL._.FORECASTS." localSheetId="12" hidden="1">{"VANCVIEW",#N/A,FALSE,"0689";"JAXVIEW",#N/A,FALSE,"0683"}</definedName>
    <definedName name="wrn.ALL._.FORECASTS." localSheetId="13" hidden="1">{"VANCVIEW",#N/A,FALSE,"0689";"JAXVIEW",#N/A,FALSE,"0683"}</definedName>
    <definedName name="wrn.ALL._.FORECASTS." localSheetId="16" hidden="1">{"VANCVIEW",#N/A,FALSE,"0689";"JAXVIEW",#N/A,FALSE,"0683"}</definedName>
    <definedName name="wrn.ALL._.FORECASTS." localSheetId="17" hidden="1">{"VANCVIEW",#N/A,FALSE,"0689";"JAXVIEW",#N/A,FALSE,"0683"}</definedName>
    <definedName name="wrn.ALL._.FORECASTS." localSheetId="18" hidden="1">{"VANCVIEW",#N/A,FALSE,"0689";"JAXVIEW",#N/A,FALSE,"0683"}</definedName>
    <definedName name="wrn.ALL._.FORECASTS." localSheetId="19" hidden="1">{"VANCVIEW",#N/A,FALSE,"0689";"JAXVIEW",#N/A,FALSE,"0683"}</definedName>
    <definedName name="wrn.ALL._.FORECASTS." hidden="1">{"VANCVIEW",#N/A,FALSE,"0689";"JAXVIEW",#N/A,FALSE,"0683"}</definedName>
    <definedName name="wrn.JAX._.FORECAST." localSheetId="10" hidden="1">{"JAXVIEW",#N/A,FALSE,"0683"}</definedName>
    <definedName name="wrn.JAX._.FORECAST." localSheetId="11" hidden="1">{"JAXVIEW",#N/A,FALSE,"0683"}</definedName>
    <definedName name="wrn.JAX._.FORECAST." localSheetId="14" hidden="1">{"JAXVIEW",#N/A,FALSE,"0683"}</definedName>
    <definedName name="wrn.JAX._.FORECAST." localSheetId="15" hidden="1">{"JAXVIEW",#N/A,FALSE,"0683"}</definedName>
    <definedName name="wrn.JAX._.FORECAST." localSheetId="8" hidden="1">{"JAXVIEW",#N/A,FALSE,"0683"}</definedName>
    <definedName name="wrn.JAX._.FORECAST." localSheetId="9" hidden="1">{"JAXVIEW",#N/A,FALSE,"0683"}</definedName>
    <definedName name="wrn.JAX._.FORECAST." localSheetId="12" hidden="1">{"JAXVIEW",#N/A,FALSE,"0683"}</definedName>
    <definedName name="wrn.JAX._.FORECAST." localSheetId="13" hidden="1">{"JAXVIEW",#N/A,FALSE,"0683"}</definedName>
    <definedName name="wrn.JAX._.FORECAST." localSheetId="16" hidden="1">{"JAXVIEW",#N/A,FALSE,"0683"}</definedName>
    <definedName name="wrn.JAX._.FORECAST." localSheetId="17" hidden="1">{"JAXVIEW",#N/A,FALSE,"0683"}</definedName>
    <definedName name="wrn.JAX._.FORECAST." localSheetId="18" hidden="1">{"JAXVIEW",#N/A,FALSE,"0683"}</definedName>
    <definedName name="wrn.JAX._.FORECAST." localSheetId="19" hidden="1">{"JAXVIEW",#N/A,FALSE,"0683"}</definedName>
    <definedName name="wrn.JAX._.FORECAST." hidden="1">{"JAXVIEW",#N/A,FALSE,"0683"}</definedName>
    <definedName name="wrn.VANC._.FORECAST." localSheetId="10" hidden="1">{"VANCVIEW",#N/A,FALSE,"0689"}</definedName>
    <definedName name="wrn.VANC._.FORECAST." localSheetId="11" hidden="1">{"VANCVIEW",#N/A,FALSE,"0689"}</definedName>
    <definedName name="wrn.VANC._.FORECAST." localSheetId="14" hidden="1">{"VANCVIEW",#N/A,FALSE,"0689"}</definedName>
    <definedName name="wrn.VANC._.FORECAST." localSheetId="15" hidden="1">{"VANCVIEW",#N/A,FALSE,"0689"}</definedName>
    <definedName name="wrn.VANC._.FORECAST." localSheetId="8" hidden="1">{"VANCVIEW",#N/A,FALSE,"0689"}</definedName>
    <definedName name="wrn.VANC._.FORECAST." localSheetId="9" hidden="1">{"VANCVIEW",#N/A,FALSE,"0689"}</definedName>
    <definedName name="wrn.VANC._.FORECAST." localSheetId="12" hidden="1">{"VANCVIEW",#N/A,FALSE,"0689"}</definedName>
    <definedName name="wrn.VANC._.FORECAST." localSheetId="13" hidden="1">{"VANCVIEW",#N/A,FALSE,"0689"}</definedName>
    <definedName name="wrn.VANC._.FORECAST." localSheetId="16" hidden="1">{"VANCVIEW",#N/A,FALSE,"0689"}</definedName>
    <definedName name="wrn.VANC._.FORECAST." localSheetId="17" hidden="1">{"VANCVIEW",#N/A,FALSE,"0689"}</definedName>
    <definedName name="wrn.VANC._.FORECAST." localSheetId="18" hidden="1">{"VANCVIEW",#N/A,FALSE,"0689"}</definedName>
    <definedName name="wrn.VANC._.FORECAST." localSheetId="19" hidden="1">{"VANCVIEW",#N/A,FALSE,"0689"}</definedName>
    <definedName name="wrn.VANC._.FORECAST." hidden="1">{"VANCVIEW",#N/A,FALSE,"0689"}</definedName>
    <definedName name="xaxis">[4]DATA!$A$34:$A$115</definedName>
    <definedName name="xbegin">[4]DATA!$A$34</definedName>
    <definedName name="xend">[4]DATA!$A$115</definedName>
    <definedName name="xoh">#REF!</definedName>
    <definedName name="xpr">#REF!</definedName>
    <definedName name="xtrad">#REF!</definedName>
    <definedName name="ytdbudget">#REF!</definedName>
    <definedName name="ytdmonth">#REF!</definedName>
    <definedName name="zar">#REF!</definedName>
    <definedName name="Zero1">[4]DATA!$AM$1:$AM$13</definedName>
    <definedName name="Zero2">[4]DATA!$AN$1:$AN$13</definedName>
    <definedName name="ZERO3">[4]DATA!$AQ$2:$AQ$41</definedName>
    <definedName name="ZEROCORNER">[4]DATA!$Z$35:$Z$35</definedName>
    <definedName name="ZERODATE">[4]DATA!$AJ$2:$AJ$2</definedName>
    <definedName name="ZEROMONTHS">[4]DATA!$AJ$4:$AJ$4</definedName>
    <definedName name="Zerox">[4]DATA!$AL$1:$AL$13</definedName>
    <definedName name="ZeroxEnd">[4]DATA!$AL$13</definedName>
    <definedName name="ZeroxStart">[4]DATA!$AL$1</definedName>
    <definedName name="zion1">'[45]Airport scope'!$A$1:$AZ$15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3" i="22" l="1"/>
  <c r="L244" i="22"/>
  <c r="L253" i="22"/>
  <c r="N315" i="22"/>
  <c r="I315" i="22"/>
  <c r="D315" i="22"/>
  <c r="Q250" i="22"/>
  <c r="I250" i="22"/>
  <c r="N250" i="22"/>
  <c r="L250" i="22"/>
  <c r="W247" i="22"/>
  <c r="U247" i="22"/>
  <c r="V247" i="22" s="1"/>
  <c r="W165" i="22"/>
  <c r="W166" i="22"/>
  <c r="W167" i="22"/>
  <c r="W168" i="22"/>
  <c r="X168" i="22" s="1"/>
  <c r="W169" i="22"/>
  <c r="W170" i="22"/>
  <c r="W171" i="22"/>
  <c r="W172" i="22"/>
  <c r="X172" i="22" s="1"/>
  <c r="W173" i="22"/>
  <c r="W174" i="22"/>
  <c r="W175" i="22"/>
  <c r="W176" i="22"/>
  <c r="W177" i="22"/>
  <c r="W178" i="22"/>
  <c r="W179" i="22"/>
  <c r="W180" i="22"/>
  <c r="X180" i="22" s="1"/>
  <c r="W181" i="22"/>
  <c r="W182" i="22"/>
  <c r="U165" i="22"/>
  <c r="U166" i="22"/>
  <c r="U167" i="22"/>
  <c r="U168" i="22"/>
  <c r="U169" i="22"/>
  <c r="U170" i="22"/>
  <c r="U171" i="22"/>
  <c r="U172" i="22"/>
  <c r="U173" i="22"/>
  <c r="U174" i="22"/>
  <c r="U175" i="22"/>
  <c r="U176" i="22"/>
  <c r="U177" i="22"/>
  <c r="U178" i="22"/>
  <c r="U179" i="22"/>
  <c r="U180" i="22"/>
  <c r="U181" i="22"/>
  <c r="U182" i="22"/>
  <c r="W164" i="22"/>
  <c r="X164" i="22" s="1"/>
  <c r="U164" i="22"/>
  <c r="S165" i="22"/>
  <c r="S166" i="22"/>
  <c r="S167" i="22"/>
  <c r="S168" i="22"/>
  <c r="S169" i="22"/>
  <c r="S170" i="22"/>
  <c r="S171" i="22"/>
  <c r="S172" i="22"/>
  <c r="S173" i="22"/>
  <c r="S174" i="22"/>
  <c r="S175" i="22"/>
  <c r="S176" i="22"/>
  <c r="S177" i="22"/>
  <c r="S178" i="22"/>
  <c r="S179" i="22"/>
  <c r="S180" i="22"/>
  <c r="S181" i="22"/>
  <c r="S182" i="22"/>
  <c r="S164" i="22"/>
  <c r="W89" i="22"/>
  <c r="S89" i="22"/>
  <c r="T89" i="22" s="1"/>
  <c r="W86" i="22"/>
  <c r="W85" i="22"/>
  <c r="U86" i="22"/>
  <c r="U85" i="22"/>
  <c r="S86" i="22"/>
  <c r="S85" i="22"/>
  <c r="W20" i="22"/>
  <c r="W21" i="22"/>
  <c r="W22" i="22"/>
  <c r="W19" i="22"/>
  <c r="U20" i="22"/>
  <c r="U21" i="22"/>
  <c r="U22" i="22"/>
  <c r="U19" i="22"/>
  <c r="S20" i="22"/>
  <c r="S21" i="22"/>
  <c r="S22" i="22"/>
  <c r="T36" i="22"/>
  <c r="S19" i="22"/>
  <c r="T35" i="22"/>
  <c r="T34" i="22"/>
  <c r="X247" i="22"/>
  <c r="S247" i="22"/>
  <c r="T247" i="22" s="1"/>
  <c r="X165" i="22"/>
  <c r="X173" i="22"/>
  <c r="X176" i="22"/>
  <c r="X177" i="22"/>
  <c r="X179" i="22"/>
  <c r="V165" i="22"/>
  <c r="V167" i="22"/>
  <c r="V169" i="22"/>
  <c r="V170" i="22"/>
  <c r="V172" i="22"/>
  <c r="V173" i="22"/>
  <c r="V174" i="22"/>
  <c r="V176" i="22"/>
  <c r="V177" i="22"/>
  <c r="V179" i="22"/>
  <c r="V182" i="22"/>
  <c r="T174" i="22"/>
  <c r="X89" i="22"/>
  <c r="S87" i="22"/>
  <c r="S88" i="22"/>
  <c r="W88" i="22"/>
  <c r="V89" i="22"/>
  <c r="X21" i="22"/>
  <c r="X22" i="22"/>
  <c r="T21" i="22"/>
  <c r="T20" i="22"/>
  <c r="V19" i="22"/>
  <c r="V22" i="22"/>
  <c r="V21" i="22"/>
  <c r="V20" i="22"/>
  <c r="W313" i="22"/>
  <c r="X313" i="22" s="1"/>
  <c r="U313" i="22"/>
  <c r="V313" i="22" s="1"/>
  <c r="V166" i="22"/>
  <c r="X166" i="22"/>
  <c r="X167" i="22"/>
  <c r="V168" i="22"/>
  <c r="X169" i="22"/>
  <c r="X170" i="22"/>
  <c r="V171" i="22"/>
  <c r="X171" i="22"/>
  <c r="X174" i="22"/>
  <c r="V175" i="22"/>
  <c r="X175" i="22"/>
  <c r="V178" i="22"/>
  <c r="X178" i="22"/>
  <c r="V180" i="22"/>
  <c r="V181" i="22"/>
  <c r="X181" i="22"/>
  <c r="X182" i="22"/>
  <c r="X20" i="22"/>
  <c r="S313" i="22"/>
  <c r="T313" i="22" s="1"/>
  <c r="T169" i="22"/>
  <c r="T22" i="22"/>
  <c r="W90" i="22" l="1"/>
  <c r="S184" i="22"/>
  <c r="U184" i="22"/>
  <c r="S90" i="22"/>
  <c r="U90" i="22"/>
  <c r="X184" i="22"/>
  <c r="N183" i="22" s="1"/>
  <c r="Q183" i="22" s="1"/>
  <c r="V164" i="22"/>
  <c r="V184" i="22" s="1"/>
  <c r="I183" i="22" s="1"/>
  <c r="L183" i="22" s="1"/>
  <c r="W184" i="22"/>
  <c r="S24" i="22"/>
  <c r="V24" i="22"/>
  <c r="I24" i="22" s="1"/>
  <c r="L24" i="22" s="1"/>
  <c r="W24" i="22"/>
  <c r="X19" i="22"/>
  <c r="X24" i="22" s="1"/>
  <c r="N24" i="22" s="1"/>
  <c r="Q24" i="22" s="1"/>
  <c r="U24" i="22"/>
  <c r="T19" i="22"/>
  <c r="T24" i="22" s="1"/>
  <c r="D24" i="22" s="1"/>
  <c r="G24" i="22" s="1"/>
  <c r="E88" i="22"/>
  <c r="T88" i="22" s="1"/>
  <c r="D39" i="22"/>
  <c r="N39" i="22" s="1"/>
  <c r="D197" i="22"/>
  <c r="I331" i="22"/>
  <c r="I330" i="22"/>
  <c r="G134" i="22"/>
  <c r="L134" i="22"/>
  <c r="Q134" i="22"/>
  <c r="I60" i="22"/>
  <c r="I364" i="22"/>
  <c r="I39" i="22" l="1"/>
  <c r="I197" i="22"/>
  <c r="G196" i="22"/>
  <c r="L196" i="22"/>
  <c r="Q327" i="22"/>
  <c r="N345" i="22"/>
  <c r="Q345" i="22" s="1"/>
  <c r="N344" i="22"/>
  <c r="Q344" i="22" s="1"/>
  <c r="N343" i="22"/>
  <c r="Q343" i="22" s="1"/>
  <c r="N342" i="22"/>
  <c r="Q342" i="22" s="1"/>
  <c r="N331" i="22"/>
  <c r="Q331" i="22" s="1"/>
  <c r="N330" i="22"/>
  <c r="G327" i="22"/>
  <c r="L327" i="22"/>
  <c r="D67" i="19"/>
  <c r="J60" i="19"/>
  <c r="H60" i="19"/>
  <c r="J58" i="19"/>
  <c r="H58" i="19"/>
  <c r="J57" i="19"/>
  <c r="H57" i="19"/>
  <c r="J48" i="19"/>
  <c r="H48" i="19"/>
  <c r="F9" i="19"/>
  <c r="D9" i="19"/>
  <c r="E9" i="19" s="1"/>
  <c r="H9" i="19" s="1"/>
  <c r="B9" i="19"/>
  <c r="F8" i="19"/>
  <c r="D8" i="19"/>
  <c r="E8" i="19" s="1"/>
  <c r="H8" i="19" s="1"/>
  <c r="B8" i="19"/>
  <c r="F7" i="19"/>
  <c r="D7" i="19"/>
  <c r="E7" i="19" s="1"/>
  <c r="B7" i="19"/>
  <c r="J60" i="18"/>
  <c r="H60" i="18"/>
  <c r="J58" i="18"/>
  <c r="H58" i="18"/>
  <c r="J57" i="18"/>
  <c r="H57" i="18"/>
  <c r="J48" i="18"/>
  <c r="H48" i="18"/>
  <c r="D9" i="18"/>
  <c r="E9" i="18" s="1"/>
  <c r="H9" i="18" s="1"/>
  <c r="B9" i="18"/>
  <c r="D8" i="18"/>
  <c r="E8" i="18" s="1"/>
  <c r="H8" i="18" s="1"/>
  <c r="B8" i="18"/>
  <c r="D7" i="18"/>
  <c r="E7" i="18" s="1"/>
  <c r="B7" i="18"/>
  <c r="D67" i="17"/>
  <c r="J60" i="17"/>
  <c r="H60" i="17"/>
  <c r="J58" i="17"/>
  <c r="H58" i="17"/>
  <c r="J57" i="17"/>
  <c r="H57" i="17"/>
  <c r="J52" i="17"/>
  <c r="H52" i="17"/>
  <c r="J51" i="17"/>
  <c r="H51" i="17"/>
  <c r="J39" i="17"/>
  <c r="H39" i="17"/>
  <c r="J38" i="17"/>
  <c r="H38" i="17"/>
  <c r="J37" i="17"/>
  <c r="H37" i="17"/>
  <c r="J36" i="17"/>
  <c r="H36" i="17"/>
  <c r="J30" i="17"/>
  <c r="H30" i="17"/>
  <c r="J29" i="17"/>
  <c r="H29" i="17"/>
  <c r="J28" i="17"/>
  <c r="H28" i="17"/>
  <c r="F11" i="17"/>
  <c r="D11" i="17"/>
  <c r="E11" i="17" s="1"/>
  <c r="H11" i="17" s="1"/>
  <c r="B11" i="17"/>
  <c r="F10" i="17"/>
  <c r="D10" i="17"/>
  <c r="E10" i="17" s="1"/>
  <c r="E55" i="17" s="1"/>
  <c r="H55" i="17" s="1"/>
  <c r="J55" i="17" s="1"/>
  <c r="B10" i="17"/>
  <c r="F9" i="17"/>
  <c r="D9" i="17"/>
  <c r="E9" i="17" s="1"/>
  <c r="H9" i="17" s="1"/>
  <c r="B9" i="17"/>
  <c r="F8" i="17"/>
  <c r="D8" i="17"/>
  <c r="E8" i="17" s="1"/>
  <c r="H8" i="17" s="1"/>
  <c r="B8" i="17"/>
  <c r="F7" i="17"/>
  <c r="D7" i="17"/>
  <c r="D24" i="17" s="1"/>
  <c r="B7" i="17"/>
  <c r="J60" i="16"/>
  <c r="H60" i="16"/>
  <c r="J58" i="16"/>
  <c r="H58" i="16"/>
  <c r="J57" i="16"/>
  <c r="H57" i="16"/>
  <c r="J52" i="16"/>
  <c r="H52" i="16"/>
  <c r="J51" i="16"/>
  <c r="H51" i="16"/>
  <c r="J39" i="16"/>
  <c r="H39" i="16"/>
  <c r="J38" i="16"/>
  <c r="H38" i="16"/>
  <c r="J37" i="16"/>
  <c r="H37" i="16"/>
  <c r="J36" i="16"/>
  <c r="H36" i="16"/>
  <c r="J30" i="16"/>
  <c r="H30" i="16"/>
  <c r="J29" i="16"/>
  <c r="H29" i="16"/>
  <c r="J28" i="16"/>
  <c r="H28" i="16"/>
  <c r="D11" i="16"/>
  <c r="E11" i="16" s="1"/>
  <c r="H11" i="16" s="1"/>
  <c r="B11" i="16"/>
  <c r="D10" i="16"/>
  <c r="E10" i="16" s="1"/>
  <c r="B10" i="16"/>
  <c r="D9" i="16"/>
  <c r="E9" i="16" s="1"/>
  <c r="H9" i="16" s="1"/>
  <c r="B9" i="16"/>
  <c r="D8" i="16"/>
  <c r="E8" i="16" s="1"/>
  <c r="H8" i="16" s="1"/>
  <c r="B8" i="16"/>
  <c r="D7" i="16"/>
  <c r="B7" i="16"/>
  <c r="D69" i="15"/>
  <c r="D67" i="15"/>
  <c r="F66" i="15"/>
  <c r="E66" i="15"/>
  <c r="D66" i="15"/>
  <c r="D65" i="15"/>
  <c r="D64" i="15"/>
  <c r="J61" i="15"/>
  <c r="H61" i="15"/>
  <c r="J60" i="15"/>
  <c r="H60" i="15"/>
  <c r="J59" i="15"/>
  <c r="H59" i="15"/>
  <c r="E59" i="15"/>
  <c r="J58" i="15"/>
  <c r="H58" i="15"/>
  <c r="J57" i="15"/>
  <c r="H57" i="15"/>
  <c r="J55" i="15"/>
  <c r="H55" i="15"/>
  <c r="E55" i="15"/>
  <c r="J54" i="15"/>
  <c r="H54" i="15"/>
  <c r="E54" i="15"/>
  <c r="J52" i="15"/>
  <c r="H52" i="15"/>
  <c r="J51" i="15"/>
  <c r="H51" i="15"/>
  <c r="J49" i="15"/>
  <c r="H49" i="15"/>
  <c r="J48" i="15"/>
  <c r="H48" i="15"/>
  <c r="J38" i="15"/>
  <c r="H38" i="15"/>
  <c r="E38" i="15"/>
  <c r="J37" i="15"/>
  <c r="H37" i="15"/>
  <c r="E37" i="15"/>
  <c r="J36" i="15"/>
  <c r="H36" i="15"/>
  <c r="E36" i="15"/>
  <c r="J29" i="15"/>
  <c r="H29" i="15"/>
  <c r="F29" i="15"/>
  <c r="E29" i="15"/>
  <c r="J28" i="15"/>
  <c r="H28" i="15"/>
  <c r="F28" i="15"/>
  <c r="E28" i="15"/>
  <c r="L25" i="15"/>
  <c r="L24" i="15"/>
  <c r="J24" i="15"/>
  <c r="H24" i="15"/>
  <c r="E24" i="15"/>
  <c r="L9" i="15"/>
  <c r="J9" i="15"/>
  <c r="H9" i="15"/>
  <c r="D9" i="15"/>
  <c r="N9" i="15" s="1"/>
  <c r="T45" i="20" s="1"/>
  <c r="B9" i="15"/>
  <c r="L8" i="15"/>
  <c r="J8" i="15"/>
  <c r="H8" i="15"/>
  <c r="F8" i="15"/>
  <c r="D8" i="15"/>
  <c r="N8" i="15" s="1"/>
  <c r="T44" i="20" s="1"/>
  <c r="B8" i="15"/>
  <c r="L7" i="15"/>
  <c r="J7" i="15"/>
  <c r="H7" i="15"/>
  <c r="F7" i="15"/>
  <c r="D7" i="15"/>
  <c r="B7" i="15"/>
  <c r="J60" i="14"/>
  <c r="H60" i="14"/>
  <c r="J58" i="14"/>
  <c r="H58" i="14"/>
  <c r="J57" i="14"/>
  <c r="H57" i="14"/>
  <c r="J55" i="14"/>
  <c r="H55" i="14"/>
  <c r="E55" i="14"/>
  <c r="J52" i="14"/>
  <c r="H52" i="14"/>
  <c r="J51" i="14"/>
  <c r="H51" i="14"/>
  <c r="J49" i="14"/>
  <c r="H49" i="14"/>
  <c r="J48" i="14"/>
  <c r="H48" i="14"/>
  <c r="J38" i="14"/>
  <c r="H38" i="14"/>
  <c r="E38" i="14"/>
  <c r="J37" i="14"/>
  <c r="H37" i="14"/>
  <c r="E37" i="14"/>
  <c r="J36" i="14"/>
  <c r="H36" i="14"/>
  <c r="E36" i="14"/>
  <c r="J29" i="14"/>
  <c r="H29" i="14"/>
  <c r="E29" i="14"/>
  <c r="J28" i="14"/>
  <c r="H28" i="14"/>
  <c r="E28" i="14"/>
  <c r="J9" i="14"/>
  <c r="H9" i="14"/>
  <c r="D9" i="14"/>
  <c r="B9" i="14"/>
  <c r="D8" i="14"/>
  <c r="E8" i="14" s="1"/>
  <c r="H8" i="14" s="1"/>
  <c r="B8" i="14"/>
  <c r="J7" i="14"/>
  <c r="H7" i="14"/>
  <c r="D7" i="14"/>
  <c r="D24" i="14" s="1"/>
  <c r="B7" i="14"/>
  <c r="D69" i="13"/>
  <c r="D67" i="13"/>
  <c r="F66" i="13"/>
  <c r="E66" i="13"/>
  <c r="D66" i="13"/>
  <c r="D65" i="13"/>
  <c r="D64" i="13"/>
  <c r="J61" i="13"/>
  <c r="H61" i="13"/>
  <c r="J60" i="13"/>
  <c r="H60" i="13"/>
  <c r="J59" i="13"/>
  <c r="H59" i="13"/>
  <c r="J58" i="13"/>
  <c r="H58" i="13"/>
  <c r="J57" i="13"/>
  <c r="H57" i="13"/>
  <c r="J54" i="13"/>
  <c r="H54" i="13"/>
  <c r="E54" i="13"/>
  <c r="J52" i="13"/>
  <c r="H52" i="13"/>
  <c r="J51" i="13"/>
  <c r="H51" i="13"/>
  <c r="L24" i="13"/>
  <c r="J24" i="13"/>
  <c r="H24" i="13"/>
  <c r="E24" i="13"/>
  <c r="N10" i="13"/>
  <c r="L10" i="13"/>
  <c r="N9" i="13"/>
  <c r="L9" i="13"/>
  <c r="L8" i="13"/>
  <c r="J8" i="13"/>
  <c r="H8" i="13"/>
  <c r="D8" i="13"/>
  <c r="N8" i="13" s="1"/>
  <c r="T40" i="20" s="1"/>
  <c r="B8" i="13"/>
  <c r="L7" i="13"/>
  <c r="J7" i="13"/>
  <c r="H7" i="13"/>
  <c r="E7" i="13"/>
  <c r="D7" i="13"/>
  <c r="D24" i="13" s="1"/>
  <c r="B7" i="13"/>
  <c r="D68" i="12"/>
  <c r="F66" i="12"/>
  <c r="E66" i="12"/>
  <c r="D66" i="12"/>
  <c r="D65" i="12"/>
  <c r="D64" i="12"/>
  <c r="J61" i="12"/>
  <c r="H61" i="12"/>
  <c r="J60" i="12"/>
  <c r="H60" i="12"/>
  <c r="J59" i="12"/>
  <c r="H59" i="12"/>
  <c r="J58" i="12"/>
  <c r="H58" i="12"/>
  <c r="J57" i="12"/>
  <c r="H57" i="12"/>
  <c r="J54" i="12"/>
  <c r="H54" i="12"/>
  <c r="E54" i="12"/>
  <c r="J52" i="12"/>
  <c r="H52" i="12"/>
  <c r="J51" i="12"/>
  <c r="H51" i="12"/>
  <c r="L24" i="12"/>
  <c r="J24" i="12"/>
  <c r="H24" i="12"/>
  <c r="E24" i="12"/>
  <c r="N10" i="12"/>
  <c r="L10" i="12"/>
  <c r="N9" i="12"/>
  <c r="L9" i="12"/>
  <c r="L8" i="12"/>
  <c r="J8" i="12"/>
  <c r="H8" i="12"/>
  <c r="D8" i="12"/>
  <c r="N8" i="12" s="1"/>
  <c r="B40" i="20" s="1"/>
  <c r="B8" i="12"/>
  <c r="L7" i="12"/>
  <c r="J7" i="12"/>
  <c r="H7" i="12"/>
  <c r="E7" i="12"/>
  <c r="D7" i="12"/>
  <c r="N7" i="12" s="1"/>
  <c r="B39" i="20" s="1"/>
  <c r="B7" i="12"/>
  <c r="D69" i="11"/>
  <c r="D67" i="11"/>
  <c r="F66" i="11"/>
  <c r="E66" i="11"/>
  <c r="D66" i="11"/>
  <c r="D65" i="11"/>
  <c r="D64" i="11"/>
  <c r="J61" i="11"/>
  <c r="H61" i="11"/>
  <c r="J60" i="11"/>
  <c r="H60" i="11"/>
  <c r="J59" i="11"/>
  <c r="H59" i="11"/>
  <c r="E59" i="11"/>
  <c r="J58" i="11"/>
  <c r="H58" i="11"/>
  <c r="J57" i="11"/>
  <c r="H57" i="11"/>
  <c r="J55" i="11"/>
  <c r="H55" i="11"/>
  <c r="F55" i="11"/>
  <c r="E55" i="11"/>
  <c r="J54" i="11"/>
  <c r="H54" i="11"/>
  <c r="F54" i="11"/>
  <c r="E54" i="11"/>
  <c r="J52" i="11"/>
  <c r="H52" i="11"/>
  <c r="J51" i="11"/>
  <c r="H51" i="11"/>
  <c r="J48" i="11"/>
  <c r="H48" i="11"/>
  <c r="F48" i="11"/>
  <c r="J37" i="11"/>
  <c r="H37" i="11"/>
  <c r="F37" i="11"/>
  <c r="J36" i="11"/>
  <c r="H36" i="11"/>
  <c r="E36" i="11"/>
  <c r="J29" i="11"/>
  <c r="H29" i="11"/>
  <c r="E29" i="11"/>
  <c r="J28" i="11"/>
  <c r="H28" i="11"/>
  <c r="E28" i="11"/>
  <c r="L24" i="11"/>
  <c r="J24" i="11"/>
  <c r="H24" i="11"/>
  <c r="E24" i="11"/>
  <c r="D24" i="11"/>
  <c r="N10" i="11"/>
  <c r="L10" i="11"/>
  <c r="J10" i="11"/>
  <c r="H10" i="11"/>
  <c r="F10" i="11"/>
  <c r="N9" i="11"/>
  <c r="L9" i="11"/>
  <c r="J9" i="11"/>
  <c r="H9" i="11"/>
  <c r="F9" i="11"/>
  <c r="N8" i="11"/>
  <c r="L8" i="11"/>
  <c r="J8" i="11"/>
  <c r="H8" i="11"/>
  <c r="F8" i="11"/>
  <c r="E8" i="11"/>
  <c r="N7" i="11"/>
  <c r="L7" i="11"/>
  <c r="J7" i="11"/>
  <c r="H7" i="11"/>
  <c r="F7" i="11"/>
  <c r="E7" i="11"/>
  <c r="D68" i="10"/>
  <c r="F66" i="10"/>
  <c r="E66" i="10"/>
  <c r="D66" i="10"/>
  <c r="D65" i="10"/>
  <c r="D64" i="10"/>
  <c r="J61" i="10"/>
  <c r="H61" i="10"/>
  <c r="J60" i="10"/>
  <c r="H60" i="10"/>
  <c r="J59" i="10"/>
  <c r="H59" i="10"/>
  <c r="E59" i="10"/>
  <c r="J58" i="10"/>
  <c r="H58" i="10"/>
  <c r="J57" i="10"/>
  <c r="H57" i="10"/>
  <c r="J55" i="10"/>
  <c r="H55" i="10"/>
  <c r="E55" i="10"/>
  <c r="J54" i="10"/>
  <c r="H54" i="10"/>
  <c r="E54" i="10"/>
  <c r="J52" i="10"/>
  <c r="H52" i="10"/>
  <c r="J51" i="10"/>
  <c r="H51" i="10"/>
  <c r="J48" i="10"/>
  <c r="H48" i="10"/>
  <c r="J37" i="10"/>
  <c r="H37" i="10"/>
  <c r="J36" i="10"/>
  <c r="H36" i="10"/>
  <c r="E36" i="10"/>
  <c r="J29" i="10"/>
  <c r="H29" i="10"/>
  <c r="E29" i="10"/>
  <c r="J28" i="10"/>
  <c r="H28" i="10"/>
  <c r="E28" i="10"/>
  <c r="L24" i="10"/>
  <c r="J24" i="10"/>
  <c r="H24" i="10"/>
  <c r="E24" i="10"/>
  <c r="D24" i="10"/>
  <c r="N10" i="10"/>
  <c r="L10" i="10"/>
  <c r="J10" i="10"/>
  <c r="H10" i="10"/>
  <c r="N9" i="10"/>
  <c r="L9" i="10"/>
  <c r="J9" i="10"/>
  <c r="H9" i="10"/>
  <c r="N8" i="10"/>
  <c r="L8" i="10"/>
  <c r="J8" i="10"/>
  <c r="H8" i="10"/>
  <c r="E8" i="10"/>
  <c r="N7" i="10"/>
  <c r="L7" i="10"/>
  <c r="J7" i="10"/>
  <c r="H7" i="10"/>
  <c r="D69" i="9"/>
  <c r="D67" i="9"/>
  <c r="F66" i="9"/>
  <c r="E66" i="9"/>
  <c r="D66" i="9"/>
  <c r="D65" i="9"/>
  <c r="D64" i="9"/>
  <c r="J61" i="9"/>
  <c r="H61" i="9"/>
  <c r="J60" i="9"/>
  <c r="H60" i="9"/>
  <c r="J59" i="9"/>
  <c r="H59" i="9"/>
  <c r="E59" i="9"/>
  <c r="J58" i="9"/>
  <c r="H58" i="9"/>
  <c r="F58" i="9"/>
  <c r="J57" i="9"/>
  <c r="H57" i="9"/>
  <c r="F57" i="9"/>
  <c r="J55" i="9"/>
  <c r="H55" i="9"/>
  <c r="F55" i="9"/>
  <c r="E55" i="9"/>
  <c r="J54" i="9"/>
  <c r="H54" i="9"/>
  <c r="F54" i="9"/>
  <c r="E54" i="9"/>
  <c r="J52" i="9"/>
  <c r="H52" i="9"/>
  <c r="J51" i="9"/>
  <c r="H51" i="9"/>
  <c r="J49" i="9"/>
  <c r="H49" i="9"/>
  <c r="F49" i="9"/>
  <c r="J48" i="9"/>
  <c r="H48" i="9"/>
  <c r="F48" i="9"/>
  <c r="J46" i="9"/>
  <c r="H46" i="9"/>
  <c r="F46" i="9"/>
  <c r="J45" i="9"/>
  <c r="H45" i="9"/>
  <c r="F45" i="9"/>
  <c r="J44" i="9"/>
  <c r="H44" i="9"/>
  <c r="F44" i="9"/>
  <c r="J43" i="9"/>
  <c r="H43" i="9"/>
  <c r="F43" i="9"/>
  <c r="J42" i="9"/>
  <c r="H42" i="9"/>
  <c r="F42" i="9"/>
  <c r="J40" i="9"/>
  <c r="H40" i="9"/>
  <c r="F40" i="9"/>
  <c r="J39" i="9"/>
  <c r="H39" i="9"/>
  <c r="F39" i="9"/>
  <c r="J38" i="9"/>
  <c r="H38" i="9"/>
  <c r="F38" i="9"/>
  <c r="J37" i="9"/>
  <c r="H37" i="9"/>
  <c r="F37" i="9"/>
  <c r="J36" i="9"/>
  <c r="H36" i="9"/>
  <c r="F36" i="9"/>
  <c r="J34" i="9"/>
  <c r="H34" i="9"/>
  <c r="F34" i="9"/>
  <c r="J33" i="9"/>
  <c r="H33" i="9"/>
  <c r="F33" i="9"/>
  <c r="J32" i="9"/>
  <c r="H32" i="9"/>
  <c r="F32" i="9"/>
  <c r="J31" i="9"/>
  <c r="H31" i="9"/>
  <c r="F31" i="9"/>
  <c r="J30" i="9"/>
  <c r="H30" i="9"/>
  <c r="F30" i="9"/>
  <c r="J29" i="9"/>
  <c r="H29" i="9"/>
  <c r="F29" i="9"/>
  <c r="J28" i="9"/>
  <c r="H28" i="9"/>
  <c r="F28" i="9"/>
  <c r="L24" i="9"/>
  <c r="J24" i="9"/>
  <c r="H24" i="9"/>
  <c r="E24" i="9"/>
  <c r="D24" i="9"/>
  <c r="N23" i="9"/>
  <c r="L23" i="9"/>
  <c r="J23" i="9"/>
  <c r="H23" i="9"/>
  <c r="F23" i="9"/>
  <c r="E23" i="9"/>
  <c r="N22" i="9"/>
  <c r="L22" i="9"/>
  <c r="J22" i="9"/>
  <c r="H22" i="9"/>
  <c r="F22" i="9"/>
  <c r="E22" i="9"/>
  <c r="N21" i="9"/>
  <c r="L21" i="9"/>
  <c r="J21" i="9"/>
  <c r="H21" i="9"/>
  <c r="F21" i="9"/>
  <c r="E21" i="9"/>
  <c r="N20" i="9"/>
  <c r="L20" i="9"/>
  <c r="J20" i="9"/>
  <c r="H20" i="9"/>
  <c r="F20" i="9"/>
  <c r="E20" i="9"/>
  <c r="N19" i="9"/>
  <c r="L19" i="9"/>
  <c r="J19" i="9"/>
  <c r="H19" i="9"/>
  <c r="F19" i="9"/>
  <c r="E19" i="9"/>
  <c r="N18" i="9"/>
  <c r="L18" i="9"/>
  <c r="J18" i="9"/>
  <c r="H18" i="9"/>
  <c r="F18" i="9"/>
  <c r="E18" i="9"/>
  <c r="N17" i="9"/>
  <c r="L17" i="9"/>
  <c r="J17" i="9"/>
  <c r="H17" i="9"/>
  <c r="F17" i="9"/>
  <c r="E17" i="9"/>
  <c r="N16" i="9"/>
  <c r="L16" i="9"/>
  <c r="J16" i="9"/>
  <c r="H16" i="9"/>
  <c r="F16" i="9"/>
  <c r="E16" i="9"/>
  <c r="N15" i="9"/>
  <c r="L15" i="9"/>
  <c r="J15" i="9"/>
  <c r="H15" i="9"/>
  <c r="F15" i="9"/>
  <c r="E15" i="9"/>
  <c r="N14" i="9"/>
  <c r="L14" i="9"/>
  <c r="J14" i="9"/>
  <c r="H14" i="9"/>
  <c r="F14" i="9"/>
  <c r="E14" i="9"/>
  <c r="N13" i="9"/>
  <c r="L13" i="9"/>
  <c r="J13" i="9"/>
  <c r="H13" i="9"/>
  <c r="F13" i="9"/>
  <c r="E13" i="9"/>
  <c r="N12" i="9"/>
  <c r="L12" i="9"/>
  <c r="J12" i="9"/>
  <c r="H12" i="9"/>
  <c r="F12" i="9"/>
  <c r="E12" i="9"/>
  <c r="N11" i="9"/>
  <c r="L11" i="9"/>
  <c r="J11" i="9"/>
  <c r="H11" i="9"/>
  <c r="F11" i="9"/>
  <c r="E11" i="9"/>
  <c r="N10" i="9"/>
  <c r="L10" i="9"/>
  <c r="J10" i="9"/>
  <c r="H10" i="9"/>
  <c r="F10" i="9"/>
  <c r="E10" i="9"/>
  <c r="N9" i="9"/>
  <c r="L9" i="9"/>
  <c r="J9" i="9"/>
  <c r="H9" i="9"/>
  <c r="F9" i="9"/>
  <c r="E9" i="9"/>
  <c r="N8" i="9"/>
  <c r="L8" i="9"/>
  <c r="J8" i="9"/>
  <c r="H8" i="9"/>
  <c r="F8" i="9"/>
  <c r="E8" i="9"/>
  <c r="N7" i="9"/>
  <c r="L7" i="9"/>
  <c r="J7" i="9"/>
  <c r="H7" i="9"/>
  <c r="F7" i="9"/>
  <c r="E7" i="9"/>
  <c r="D68" i="8"/>
  <c r="F66" i="8"/>
  <c r="E66" i="8"/>
  <c r="D66" i="8"/>
  <c r="D65" i="8"/>
  <c r="D64" i="8"/>
  <c r="J61" i="8"/>
  <c r="H61" i="8"/>
  <c r="J60" i="8"/>
  <c r="H60" i="8"/>
  <c r="J59" i="8"/>
  <c r="H59" i="8"/>
  <c r="E59" i="8"/>
  <c r="J58" i="8"/>
  <c r="H58" i="8"/>
  <c r="J57" i="8"/>
  <c r="H57" i="8"/>
  <c r="J55" i="8"/>
  <c r="H55" i="8"/>
  <c r="E55" i="8"/>
  <c r="J54" i="8"/>
  <c r="H54" i="8"/>
  <c r="E54" i="8"/>
  <c r="J52" i="8"/>
  <c r="H52" i="8"/>
  <c r="J51" i="8"/>
  <c r="H51" i="8"/>
  <c r="J49" i="8"/>
  <c r="H49" i="8"/>
  <c r="J48" i="8"/>
  <c r="H48" i="8"/>
  <c r="J46" i="8"/>
  <c r="H46" i="8"/>
  <c r="J45" i="8"/>
  <c r="H45" i="8"/>
  <c r="J44" i="8"/>
  <c r="H44" i="8"/>
  <c r="J43" i="8"/>
  <c r="H43" i="8"/>
  <c r="J42" i="8"/>
  <c r="H42" i="8"/>
  <c r="J40" i="8"/>
  <c r="H40" i="8"/>
  <c r="J39" i="8"/>
  <c r="H39" i="8"/>
  <c r="J38" i="8"/>
  <c r="H38" i="8"/>
  <c r="J37" i="8"/>
  <c r="H37" i="8"/>
  <c r="J36" i="8"/>
  <c r="H36" i="8"/>
  <c r="J34" i="8"/>
  <c r="H34" i="8"/>
  <c r="J33" i="8"/>
  <c r="H33" i="8"/>
  <c r="J32" i="8"/>
  <c r="H32" i="8"/>
  <c r="J31" i="8"/>
  <c r="H31" i="8"/>
  <c r="J30" i="8"/>
  <c r="H30" i="8"/>
  <c r="J29" i="8"/>
  <c r="H29" i="8"/>
  <c r="J28" i="8"/>
  <c r="H28" i="8"/>
  <c r="L24" i="8"/>
  <c r="J24" i="8"/>
  <c r="H24" i="8"/>
  <c r="E24" i="8"/>
  <c r="D24" i="8"/>
  <c r="N23" i="8"/>
  <c r="L23" i="8"/>
  <c r="J23" i="8"/>
  <c r="H23" i="8"/>
  <c r="E23" i="8"/>
  <c r="N22" i="8"/>
  <c r="L22" i="8"/>
  <c r="J22" i="8"/>
  <c r="H22" i="8"/>
  <c r="E22" i="8"/>
  <c r="N21" i="8"/>
  <c r="L21" i="8"/>
  <c r="J21" i="8"/>
  <c r="H21" i="8"/>
  <c r="E21" i="8"/>
  <c r="N20" i="8"/>
  <c r="L20" i="8"/>
  <c r="J20" i="8"/>
  <c r="H20" i="8"/>
  <c r="E20" i="8"/>
  <c r="N19" i="8"/>
  <c r="L19" i="8"/>
  <c r="J19" i="8"/>
  <c r="H19" i="8"/>
  <c r="E19" i="8"/>
  <c r="N18" i="8"/>
  <c r="L18" i="8"/>
  <c r="J18" i="8"/>
  <c r="H18" i="8"/>
  <c r="E18" i="8"/>
  <c r="N17" i="8"/>
  <c r="L17" i="8"/>
  <c r="J17" i="8"/>
  <c r="H17" i="8"/>
  <c r="E17" i="8"/>
  <c r="N16" i="8"/>
  <c r="L16" i="8"/>
  <c r="J16" i="8"/>
  <c r="H16" i="8"/>
  <c r="E16" i="8"/>
  <c r="N15" i="8"/>
  <c r="L15" i="8"/>
  <c r="J15" i="8"/>
  <c r="H15" i="8"/>
  <c r="E15" i="8"/>
  <c r="N14" i="8"/>
  <c r="L14" i="8"/>
  <c r="J14" i="8"/>
  <c r="H14" i="8"/>
  <c r="E14" i="8"/>
  <c r="N13" i="8"/>
  <c r="L13" i="8"/>
  <c r="J13" i="8"/>
  <c r="H13" i="8"/>
  <c r="E13" i="8"/>
  <c r="N12" i="8"/>
  <c r="L12" i="8"/>
  <c r="J12" i="8"/>
  <c r="H12" i="8"/>
  <c r="E12" i="8"/>
  <c r="N11" i="8"/>
  <c r="L11" i="8"/>
  <c r="J11" i="8"/>
  <c r="H11" i="8"/>
  <c r="E11" i="8"/>
  <c r="N10" i="8"/>
  <c r="L10" i="8"/>
  <c r="J10" i="8"/>
  <c r="H10" i="8"/>
  <c r="E10" i="8"/>
  <c r="N9" i="8"/>
  <c r="L9" i="8"/>
  <c r="J9" i="8"/>
  <c r="H9" i="8"/>
  <c r="E9" i="8"/>
  <c r="N8" i="8"/>
  <c r="L8" i="8"/>
  <c r="J8" i="8"/>
  <c r="H8" i="8"/>
  <c r="E8" i="8"/>
  <c r="N7" i="8"/>
  <c r="L7" i="8"/>
  <c r="J7" i="8"/>
  <c r="H7" i="8"/>
  <c r="E7" i="8"/>
  <c r="H114" i="7"/>
  <c r="G114" i="7"/>
  <c r="F114" i="7"/>
  <c r="H113" i="7"/>
  <c r="G113" i="7"/>
  <c r="F113" i="7"/>
  <c r="H112" i="7"/>
  <c r="G112" i="7"/>
  <c r="F112" i="7"/>
  <c r="H111" i="7"/>
  <c r="G111" i="7"/>
  <c r="F111" i="7"/>
  <c r="H110" i="7"/>
  <c r="G110" i="7"/>
  <c r="F110" i="7"/>
  <c r="H109" i="7"/>
  <c r="G109" i="7"/>
  <c r="F109" i="7"/>
  <c r="F108" i="7"/>
  <c r="F107" i="7"/>
  <c r="E105" i="7"/>
  <c r="E103" i="7"/>
  <c r="D103" i="7"/>
  <c r="E102" i="7"/>
  <c r="D102" i="7"/>
  <c r="C102" i="7"/>
  <c r="E101" i="7"/>
  <c r="D101" i="7"/>
  <c r="C101" i="7"/>
  <c r="E100" i="7"/>
  <c r="D100" i="7"/>
  <c r="C100" i="7"/>
  <c r="E99" i="7"/>
  <c r="D99" i="7"/>
  <c r="C99" i="7"/>
  <c r="E98" i="7"/>
  <c r="D98" i="7"/>
  <c r="C98" i="7"/>
  <c r="E97" i="7"/>
  <c r="D97" i="7"/>
  <c r="C97" i="7"/>
  <c r="E96" i="7"/>
  <c r="D96" i="7"/>
  <c r="C96" i="7"/>
  <c r="G91" i="7"/>
  <c r="G90" i="7"/>
  <c r="G89" i="7"/>
  <c r="G88" i="7"/>
  <c r="G87" i="7"/>
  <c r="G86" i="7"/>
  <c r="E86" i="7"/>
  <c r="G85" i="7"/>
  <c r="G84" i="7"/>
  <c r="G83" i="7"/>
  <c r="G78" i="7"/>
  <c r="G77" i="7"/>
  <c r="G76" i="7"/>
  <c r="G75" i="7"/>
  <c r="G74" i="7"/>
  <c r="G73" i="7"/>
  <c r="G68" i="7"/>
  <c r="G67" i="7"/>
  <c r="G66" i="7"/>
  <c r="G65" i="7"/>
  <c r="G64" i="7"/>
  <c r="G63" i="7"/>
  <c r="G62" i="7"/>
  <c r="G61" i="7"/>
  <c r="G56" i="7"/>
  <c r="G55" i="7"/>
  <c r="G54" i="7"/>
  <c r="G53" i="7"/>
  <c r="G52" i="7"/>
  <c r="G51" i="7"/>
  <c r="G50" i="7"/>
  <c r="G49" i="7"/>
  <c r="G44" i="7"/>
  <c r="G43" i="7"/>
  <c r="G42" i="7"/>
  <c r="G41" i="7"/>
  <c r="G40" i="7"/>
  <c r="G39" i="7"/>
  <c r="G34" i="7"/>
  <c r="G33" i="7"/>
  <c r="G32" i="7"/>
  <c r="G31" i="7"/>
  <c r="G30" i="7"/>
  <c r="G29" i="7"/>
  <c r="G24" i="7"/>
  <c r="G23" i="7"/>
  <c r="G22" i="7"/>
  <c r="G21" i="7"/>
  <c r="G20" i="7"/>
  <c r="G19" i="7"/>
  <c r="G18" i="7"/>
  <c r="G17" i="7"/>
  <c r="G16" i="7"/>
  <c r="G15" i="7"/>
  <c r="G14" i="7"/>
  <c r="G13" i="7"/>
  <c r="G12" i="7"/>
  <c r="G11" i="7"/>
  <c r="G10" i="7"/>
  <c r="G9" i="7"/>
  <c r="Q20" i="21"/>
  <c r="O20" i="21"/>
  <c r="L20" i="21"/>
  <c r="J20" i="21"/>
  <c r="G20" i="21"/>
  <c r="E20" i="21"/>
  <c r="Q19" i="21"/>
  <c r="L19" i="21"/>
  <c r="G19" i="21"/>
  <c r="Q18" i="21"/>
  <c r="L18" i="21"/>
  <c r="G18" i="21"/>
  <c r="Q17" i="21"/>
  <c r="L17" i="21"/>
  <c r="G17" i="21"/>
  <c r="Q16" i="21"/>
  <c r="L16" i="21"/>
  <c r="G16" i="21"/>
  <c r="Q15" i="21"/>
  <c r="L15" i="21"/>
  <c r="G15" i="21"/>
  <c r="Q14" i="21"/>
  <c r="L14" i="21"/>
  <c r="G14" i="21"/>
  <c r="Q13" i="21"/>
  <c r="L13" i="21"/>
  <c r="G13" i="21"/>
  <c r="Q12" i="21"/>
  <c r="L12" i="21"/>
  <c r="G12" i="21"/>
  <c r="Q11" i="21"/>
  <c r="L11" i="21"/>
  <c r="G11" i="21"/>
  <c r="Q10" i="21"/>
  <c r="L10" i="21"/>
  <c r="G10" i="21"/>
  <c r="Q9" i="21"/>
  <c r="L9" i="21"/>
  <c r="G9" i="21"/>
  <c r="Q8" i="21"/>
  <c r="L8" i="21"/>
  <c r="G8" i="21"/>
  <c r="Q7" i="21"/>
  <c r="L7" i="21"/>
  <c r="G7" i="21"/>
  <c r="Q6" i="21"/>
  <c r="L6" i="21"/>
  <c r="G6" i="21"/>
  <c r="Q5" i="21"/>
  <c r="L5" i="21"/>
  <c r="G5" i="21"/>
  <c r="Q4" i="21"/>
  <c r="L4" i="21"/>
  <c r="G4" i="21"/>
  <c r="Q3" i="21"/>
  <c r="L3" i="21"/>
  <c r="G3" i="21"/>
  <c r="L345" i="22"/>
  <c r="G345" i="22"/>
  <c r="L344" i="22"/>
  <c r="G344" i="22"/>
  <c r="L343" i="22"/>
  <c r="G343" i="22"/>
  <c r="L342" i="22"/>
  <c r="G342" i="22"/>
  <c r="Q341" i="22"/>
  <c r="L341" i="22"/>
  <c r="G341" i="22"/>
  <c r="N337" i="22"/>
  <c r="Q337" i="22" s="1"/>
  <c r="I337" i="22"/>
  <c r="L337" i="22" s="1"/>
  <c r="G337" i="22"/>
  <c r="N336" i="22"/>
  <c r="Q336" i="22" s="1"/>
  <c r="I336" i="22"/>
  <c r="L336" i="22" s="1"/>
  <c r="G336" i="22"/>
  <c r="Q335" i="22"/>
  <c r="I335" i="22"/>
  <c r="L335" i="22" s="1"/>
  <c r="G335" i="22"/>
  <c r="L331" i="22"/>
  <c r="G331" i="22"/>
  <c r="Q330" i="22"/>
  <c r="L330" i="22"/>
  <c r="G330" i="22"/>
  <c r="Q329" i="22"/>
  <c r="L329" i="22"/>
  <c r="G329" i="22"/>
  <c r="Q328" i="22"/>
  <c r="L328" i="22"/>
  <c r="G328" i="22"/>
  <c r="Q323" i="22"/>
  <c r="L323" i="22"/>
  <c r="G323" i="22"/>
  <c r="Q322" i="22"/>
  <c r="L322" i="22"/>
  <c r="G322" i="22"/>
  <c r="Q321" i="22"/>
  <c r="L321" i="22"/>
  <c r="G321" i="22"/>
  <c r="O318" i="22"/>
  <c r="J318" i="22"/>
  <c r="E318" i="22"/>
  <c r="B318" i="22"/>
  <c r="Q315" i="22"/>
  <c r="L315" i="22"/>
  <c r="G315" i="22"/>
  <c r="Q314" i="22"/>
  <c r="L314" i="22"/>
  <c r="G314" i="22"/>
  <c r="B314" i="22"/>
  <c r="Q313" i="22"/>
  <c r="L313" i="22"/>
  <c r="G313" i="22"/>
  <c r="B313" i="22"/>
  <c r="Q307" i="22"/>
  <c r="L307" i="22"/>
  <c r="G307" i="22"/>
  <c r="Q306" i="22"/>
  <c r="L306" i="22"/>
  <c r="G306" i="22"/>
  <c r="Q305" i="22"/>
  <c r="L305" i="22"/>
  <c r="G305" i="22"/>
  <c r="O302" i="22"/>
  <c r="J302" i="22"/>
  <c r="E302" i="22"/>
  <c r="L301" i="22"/>
  <c r="L300" i="22"/>
  <c r="Q298" i="22"/>
  <c r="L298" i="22"/>
  <c r="G298" i="22"/>
  <c r="Q297" i="22"/>
  <c r="L297" i="22"/>
  <c r="G297" i="22"/>
  <c r="N280" i="22"/>
  <c r="Q280" i="22" s="1"/>
  <c r="I280" i="22"/>
  <c r="L280" i="22" s="1"/>
  <c r="G280" i="22"/>
  <c r="N279" i="22"/>
  <c r="Q279" i="22" s="1"/>
  <c r="I279" i="22"/>
  <c r="L279" i="22" s="1"/>
  <c r="G279" i="22"/>
  <c r="N278" i="22"/>
  <c r="Q278" i="22" s="1"/>
  <c r="I278" i="22"/>
  <c r="L278" i="22" s="1"/>
  <c r="G278" i="22"/>
  <c r="N277" i="22"/>
  <c r="Q277" i="22" s="1"/>
  <c r="I277" i="22"/>
  <c r="L277" i="22" s="1"/>
  <c r="G277" i="22"/>
  <c r="Q276" i="22"/>
  <c r="L276" i="22"/>
  <c r="G276" i="22"/>
  <c r="N272" i="22"/>
  <c r="Q272" i="22" s="1"/>
  <c r="I272" i="22"/>
  <c r="L272" i="22" s="1"/>
  <c r="G272" i="22"/>
  <c r="N271" i="22"/>
  <c r="Q271" i="22" s="1"/>
  <c r="I271" i="22"/>
  <c r="L271" i="22" s="1"/>
  <c r="G271" i="22"/>
  <c r="Q270" i="22"/>
  <c r="I270" i="22"/>
  <c r="L270" i="22" s="1"/>
  <c r="G270" i="22"/>
  <c r="N266" i="22"/>
  <c r="I266" i="22"/>
  <c r="L266" i="22" s="1"/>
  <c r="G266" i="22"/>
  <c r="N265" i="22"/>
  <c r="Q265" i="22" s="1"/>
  <c r="I265" i="22"/>
  <c r="L265" i="22" s="1"/>
  <c r="G265" i="22"/>
  <c r="Q264" i="22"/>
  <c r="L264" i="22"/>
  <c r="G264" i="22"/>
  <c r="Q263" i="22"/>
  <c r="L263" i="22"/>
  <c r="G263" i="22"/>
  <c r="Q262" i="22"/>
  <c r="L262" i="22"/>
  <c r="G262" i="22"/>
  <c r="Q258" i="22"/>
  <c r="L258" i="22"/>
  <c r="G258" i="22"/>
  <c r="Q257" i="22"/>
  <c r="L257" i="22"/>
  <c r="G257" i="22"/>
  <c r="Q256" i="22"/>
  <c r="L256" i="22"/>
  <c r="G256" i="22"/>
  <c r="J253" i="22"/>
  <c r="E253" i="22"/>
  <c r="O251" i="22"/>
  <c r="O249" i="22"/>
  <c r="Q249" i="22" s="1"/>
  <c r="L249" i="22"/>
  <c r="G249" i="22"/>
  <c r="O248" i="22"/>
  <c r="Q248" i="22" s="1"/>
  <c r="L248" i="22"/>
  <c r="G248" i="22"/>
  <c r="O247" i="22"/>
  <c r="Q247" i="22" s="1"/>
  <c r="L247" i="22"/>
  <c r="G247" i="22"/>
  <c r="Q241" i="22"/>
  <c r="L241" i="22"/>
  <c r="G241" i="22"/>
  <c r="Q240" i="22"/>
  <c r="L240" i="22"/>
  <c r="G240" i="22"/>
  <c r="Q239" i="22"/>
  <c r="L239" i="22"/>
  <c r="G239" i="22"/>
  <c r="O236" i="22"/>
  <c r="O266" i="22" s="1"/>
  <c r="J236" i="22"/>
  <c r="E236" i="22"/>
  <c r="L235" i="22"/>
  <c r="L234" i="22"/>
  <c r="Q233" i="22"/>
  <c r="L233" i="22"/>
  <c r="G233" i="22"/>
  <c r="Q232" i="22"/>
  <c r="L232" i="22"/>
  <c r="G232" i="22"/>
  <c r="Q231" i="22"/>
  <c r="L231" i="22"/>
  <c r="G231" i="22"/>
  <c r="N214" i="22"/>
  <c r="Q214" i="22" s="1"/>
  <c r="I214" i="22"/>
  <c r="L214" i="22" s="1"/>
  <c r="G214" i="22"/>
  <c r="N213" i="22"/>
  <c r="Q213" i="22" s="1"/>
  <c r="I213" i="22"/>
  <c r="L213" i="22" s="1"/>
  <c r="G213" i="22"/>
  <c r="N212" i="22"/>
  <c r="Q212" i="22" s="1"/>
  <c r="I212" i="22"/>
  <c r="L212" i="22" s="1"/>
  <c r="G212" i="22"/>
  <c r="Q211" i="22"/>
  <c r="L211" i="22"/>
  <c r="G211" i="22"/>
  <c r="N210" i="22"/>
  <c r="Q210" i="22" s="1"/>
  <c r="I210" i="22"/>
  <c r="L210" i="22" s="1"/>
  <c r="G210" i="22"/>
  <c r="N206" i="22"/>
  <c r="Q206" i="22" s="1"/>
  <c r="I206" i="22"/>
  <c r="L206" i="22" s="1"/>
  <c r="G206" i="22"/>
  <c r="Q205" i="22"/>
  <c r="I205" i="22"/>
  <c r="L205" i="22" s="1"/>
  <c r="G205" i="22"/>
  <c r="N204" i="22"/>
  <c r="Q204" i="22" s="1"/>
  <c r="I204" i="22"/>
  <c r="L204" i="22" s="1"/>
  <c r="G204" i="22"/>
  <c r="N200" i="22"/>
  <c r="Q200" i="22" s="1"/>
  <c r="I200" i="22"/>
  <c r="L200" i="22" s="1"/>
  <c r="G200" i="22"/>
  <c r="Q199" i="22"/>
  <c r="I199" i="22"/>
  <c r="L199" i="22" s="1"/>
  <c r="G199" i="22"/>
  <c r="Q198" i="22"/>
  <c r="I198" i="22"/>
  <c r="L198" i="22" s="1"/>
  <c r="G198" i="22"/>
  <c r="Q196" i="22"/>
  <c r="Q195" i="22"/>
  <c r="L195" i="22"/>
  <c r="G195" i="22"/>
  <c r="N194" i="22"/>
  <c r="Q194" i="22" s="1"/>
  <c r="I194" i="22"/>
  <c r="L194" i="22" s="1"/>
  <c r="G194" i="22"/>
  <c r="N193" i="22"/>
  <c r="Q193" i="22" s="1"/>
  <c r="I193" i="22"/>
  <c r="L193" i="22" s="1"/>
  <c r="G193" i="22"/>
  <c r="N189" i="22"/>
  <c r="Q189" i="22" s="1"/>
  <c r="I189" i="22"/>
  <c r="L189" i="22" s="1"/>
  <c r="G189" i="22"/>
  <c r="Q188" i="22"/>
  <c r="I188" i="22"/>
  <c r="L188" i="22" s="1"/>
  <c r="G188" i="22"/>
  <c r="Q187" i="22"/>
  <c r="I187" i="22"/>
  <c r="L187" i="22" s="1"/>
  <c r="G187" i="22"/>
  <c r="O184" i="22"/>
  <c r="O197" i="22" s="1"/>
  <c r="J184" i="22"/>
  <c r="J197" i="22" s="1"/>
  <c r="B184" i="22"/>
  <c r="Q182" i="22"/>
  <c r="L182" i="22"/>
  <c r="E182" i="22"/>
  <c r="B182" i="22"/>
  <c r="Q181" i="22"/>
  <c r="L181" i="22"/>
  <c r="E181" i="22"/>
  <c r="T181" i="22" s="1"/>
  <c r="B181" i="22"/>
  <c r="Q180" i="22"/>
  <c r="L180" i="22"/>
  <c r="E180" i="22"/>
  <c r="B180" i="22"/>
  <c r="Q179" i="22"/>
  <c r="L179" i="22"/>
  <c r="E179" i="22"/>
  <c r="B179" i="22"/>
  <c r="Q178" i="22"/>
  <c r="L178" i="22"/>
  <c r="E178" i="22"/>
  <c r="B178" i="22"/>
  <c r="Q177" i="22"/>
  <c r="L177" i="22"/>
  <c r="E177" i="22"/>
  <c r="B177" i="22"/>
  <c r="Q176" i="22"/>
  <c r="L176" i="22"/>
  <c r="E176" i="22"/>
  <c r="B176" i="22"/>
  <c r="Q175" i="22"/>
  <c r="L175" i="22"/>
  <c r="E175" i="22"/>
  <c r="B175" i="22"/>
  <c r="Q174" i="22"/>
  <c r="L174" i="22"/>
  <c r="G174" i="22"/>
  <c r="Q173" i="22"/>
  <c r="L173" i="22"/>
  <c r="E173" i="22"/>
  <c r="B173" i="22"/>
  <c r="Q172" i="22"/>
  <c r="L172" i="22"/>
  <c r="E172" i="22"/>
  <c r="B172" i="22"/>
  <c r="Q171" i="22"/>
  <c r="L171" i="22"/>
  <c r="E171" i="22"/>
  <c r="B171" i="22"/>
  <c r="Q170" i="22"/>
  <c r="L170" i="22"/>
  <c r="E170" i="22"/>
  <c r="B170" i="22"/>
  <c r="Q169" i="22"/>
  <c r="L169" i="22"/>
  <c r="G169" i="22"/>
  <c r="Q168" i="22"/>
  <c r="L168" i="22"/>
  <c r="E168" i="22"/>
  <c r="B168" i="22"/>
  <c r="Q167" i="22"/>
  <c r="L167" i="22"/>
  <c r="E167" i="22"/>
  <c r="B167" i="22"/>
  <c r="Q166" i="22"/>
  <c r="L166" i="22"/>
  <c r="E166" i="22"/>
  <c r="B166" i="22"/>
  <c r="Q165" i="22"/>
  <c r="L165" i="22"/>
  <c r="E165" i="22"/>
  <c r="B165" i="22"/>
  <c r="Q164" i="22"/>
  <c r="Q184" i="22" s="1"/>
  <c r="L164" i="22"/>
  <c r="L184" i="22" s="1"/>
  <c r="E164" i="22"/>
  <c r="B164" i="22"/>
  <c r="Q156" i="22"/>
  <c r="L156" i="22"/>
  <c r="G156" i="22"/>
  <c r="Q155" i="22"/>
  <c r="L155" i="22"/>
  <c r="G155" i="22"/>
  <c r="Q154" i="22"/>
  <c r="L154" i="22"/>
  <c r="G154" i="22"/>
  <c r="O151" i="22"/>
  <c r="J151" i="22"/>
  <c r="E151" i="22"/>
  <c r="Q150" i="22"/>
  <c r="L150" i="22"/>
  <c r="G150" i="22"/>
  <c r="Q149" i="22"/>
  <c r="L149" i="22"/>
  <c r="G149" i="22"/>
  <c r="Q148" i="22"/>
  <c r="L148" i="22"/>
  <c r="G148" i="22"/>
  <c r="Q147" i="22"/>
  <c r="L147" i="22"/>
  <c r="G147" i="22"/>
  <c r="Q146" i="22"/>
  <c r="L146" i="22"/>
  <c r="G146" i="22"/>
  <c r="Q145" i="22"/>
  <c r="L145" i="22"/>
  <c r="G145" i="22"/>
  <c r="Q144" i="22"/>
  <c r="L144" i="22"/>
  <c r="G144" i="22"/>
  <c r="Q143" i="22"/>
  <c r="L143" i="22"/>
  <c r="G143" i="22"/>
  <c r="Q142" i="22"/>
  <c r="L142" i="22"/>
  <c r="G142" i="22"/>
  <c r="Q141" i="22"/>
  <c r="L141" i="22"/>
  <c r="G141" i="22"/>
  <c r="Q140" i="22"/>
  <c r="L140" i="22"/>
  <c r="G140" i="22"/>
  <c r="Q139" i="22"/>
  <c r="L139" i="22"/>
  <c r="G139" i="22"/>
  <c r="Q138" i="22"/>
  <c r="L138" i="22"/>
  <c r="G138" i="22"/>
  <c r="Q137" i="22"/>
  <c r="L137" i="22"/>
  <c r="G137" i="22"/>
  <c r="Q136" i="22"/>
  <c r="L136" i="22"/>
  <c r="G136" i="22"/>
  <c r="Q135" i="22"/>
  <c r="L135" i="22"/>
  <c r="G135" i="22"/>
  <c r="N117" i="22"/>
  <c r="Q117" i="22" s="1"/>
  <c r="I117" i="22"/>
  <c r="L117" i="22" s="1"/>
  <c r="G117" i="22"/>
  <c r="N116" i="22"/>
  <c r="Q116" i="22" s="1"/>
  <c r="I116" i="22"/>
  <c r="L116" i="22" s="1"/>
  <c r="G116" i="22"/>
  <c r="N115" i="22"/>
  <c r="Q115" i="22" s="1"/>
  <c r="I115" i="22"/>
  <c r="L115" i="22" s="1"/>
  <c r="G115" i="22"/>
  <c r="N114" i="22"/>
  <c r="Q114" i="22" s="1"/>
  <c r="I114" i="22"/>
  <c r="L114" i="22" s="1"/>
  <c r="G114" i="22"/>
  <c r="N113" i="22"/>
  <c r="Q113" i="22" s="1"/>
  <c r="I113" i="22"/>
  <c r="L113" i="22" s="1"/>
  <c r="G113" i="22"/>
  <c r="N109" i="22"/>
  <c r="Q109" i="22" s="1"/>
  <c r="I109" i="22"/>
  <c r="L109" i="22" s="1"/>
  <c r="G109" i="22"/>
  <c r="N108" i="22"/>
  <c r="Q108" i="22" s="1"/>
  <c r="I108" i="22"/>
  <c r="L108" i="22" s="1"/>
  <c r="G108" i="22"/>
  <c r="N107" i="22"/>
  <c r="Q107" i="22" s="1"/>
  <c r="I107" i="22"/>
  <c r="L107" i="22" s="1"/>
  <c r="G107" i="22"/>
  <c r="N103" i="22"/>
  <c r="Q103" i="22" s="1"/>
  <c r="I103" i="22"/>
  <c r="L103" i="22" s="1"/>
  <c r="G103" i="22"/>
  <c r="Q102" i="22"/>
  <c r="I102" i="22"/>
  <c r="L102" i="22" s="1"/>
  <c r="G102" i="22"/>
  <c r="N101" i="22"/>
  <c r="Q101" i="22" s="1"/>
  <c r="I101" i="22"/>
  <c r="L101" i="22" s="1"/>
  <c r="G101" i="22"/>
  <c r="N100" i="22"/>
  <c r="Q100" i="22" s="1"/>
  <c r="I100" i="22"/>
  <c r="L100" i="22" s="1"/>
  <c r="G100" i="22"/>
  <c r="N99" i="22"/>
  <c r="Q99" i="22" s="1"/>
  <c r="I99" i="22"/>
  <c r="L99" i="22" s="1"/>
  <c r="G99" i="22"/>
  <c r="N95" i="22"/>
  <c r="Q95" i="22" s="1"/>
  <c r="I95" i="22"/>
  <c r="L95" i="22" s="1"/>
  <c r="G95" i="22"/>
  <c r="Q94" i="22"/>
  <c r="I94" i="22"/>
  <c r="L94" i="22" s="1"/>
  <c r="G94" i="22"/>
  <c r="Q93" i="22"/>
  <c r="I93" i="22"/>
  <c r="L93" i="22" s="1"/>
  <c r="G93" i="22"/>
  <c r="B90" i="22"/>
  <c r="Q89" i="22"/>
  <c r="L89" i="22"/>
  <c r="G89" i="22"/>
  <c r="O88" i="22"/>
  <c r="X88" i="22" s="1"/>
  <c r="J88" i="22"/>
  <c r="V88" i="22" s="1"/>
  <c r="G88" i="22"/>
  <c r="B88" i="22"/>
  <c r="O87" i="22"/>
  <c r="X87" i="22" s="1"/>
  <c r="J87" i="22"/>
  <c r="V87" i="22" s="1"/>
  <c r="E87" i="22"/>
  <c r="T87" i="22" s="1"/>
  <c r="B87" i="22"/>
  <c r="O86" i="22"/>
  <c r="X86" i="22" s="1"/>
  <c r="J86" i="22"/>
  <c r="V86" i="22" s="1"/>
  <c r="E86" i="22"/>
  <c r="T86" i="22" s="1"/>
  <c r="B86" i="22"/>
  <c r="O85" i="22"/>
  <c r="X85" i="22" s="1"/>
  <c r="X90" i="22" s="1"/>
  <c r="J85" i="22"/>
  <c r="V85" i="22" s="1"/>
  <c r="V90" i="22" s="1"/>
  <c r="E85" i="22"/>
  <c r="T85" i="22" s="1"/>
  <c r="T90" i="22" s="1"/>
  <c r="B85" i="22"/>
  <c r="Q79" i="22"/>
  <c r="L79" i="22"/>
  <c r="G79" i="22"/>
  <c r="Q78" i="22"/>
  <c r="L78" i="22"/>
  <c r="G78" i="22"/>
  <c r="Q77" i="22"/>
  <c r="L77" i="22"/>
  <c r="G77" i="22"/>
  <c r="O74" i="22"/>
  <c r="J74" i="22"/>
  <c r="E74" i="22"/>
  <c r="Q72" i="22"/>
  <c r="L72" i="22"/>
  <c r="G72" i="22"/>
  <c r="Q71" i="22"/>
  <c r="L71" i="22"/>
  <c r="G71" i="22"/>
  <c r="Q70" i="22"/>
  <c r="L70" i="22"/>
  <c r="G70" i="22"/>
  <c r="Q69" i="22"/>
  <c r="L69" i="22"/>
  <c r="G69" i="22"/>
  <c r="N53" i="22"/>
  <c r="Q53" i="22" s="1"/>
  <c r="I53" i="22"/>
  <c r="L53" i="22" s="1"/>
  <c r="G53" i="22"/>
  <c r="N52" i="22"/>
  <c r="Q52" i="22" s="1"/>
  <c r="I52" i="22"/>
  <c r="L52" i="22" s="1"/>
  <c r="G52" i="22"/>
  <c r="N51" i="22"/>
  <c r="Q51" i="22" s="1"/>
  <c r="I51" i="22"/>
  <c r="L51" i="22" s="1"/>
  <c r="G51" i="22"/>
  <c r="N50" i="22"/>
  <c r="Q50" i="22" s="1"/>
  <c r="I50" i="22"/>
  <c r="L50" i="22" s="1"/>
  <c r="G50" i="22"/>
  <c r="N49" i="22"/>
  <c r="Q49" i="22" s="1"/>
  <c r="I49" i="22"/>
  <c r="L49" i="22" s="1"/>
  <c r="G49" i="22"/>
  <c r="N45" i="22"/>
  <c r="Q45" i="22" s="1"/>
  <c r="I45" i="22"/>
  <c r="L45" i="22" s="1"/>
  <c r="G45" i="22"/>
  <c r="N44" i="22"/>
  <c r="Q44" i="22" s="1"/>
  <c r="I44" i="22"/>
  <c r="L44" i="22" s="1"/>
  <c r="G44" i="22"/>
  <c r="N43" i="22"/>
  <c r="Q43" i="22" s="1"/>
  <c r="I43" i="22"/>
  <c r="L43" i="22" s="1"/>
  <c r="G43" i="22"/>
  <c r="D38" i="22"/>
  <c r="N38" i="22" s="1"/>
  <c r="N37" i="22"/>
  <c r="Q37" i="22" s="1"/>
  <c r="I37" i="22"/>
  <c r="L37" i="22" s="1"/>
  <c r="G37" i="22"/>
  <c r="N36" i="22"/>
  <c r="Q36" i="22" s="1"/>
  <c r="I36" i="22"/>
  <c r="L36" i="22" s="1"/>
  <c r="G36" i="22"/>
  <c r="N35" i="22"/>
  <c r="Q35" i="22" s="1"/>
  <c r="I35" i="22"/>
  <c r="L35" i="22" s="1"/>
  <c r="G35" i="22"/>
  <c r="N34" i="22"/>
  <c r="Q34" i="22" s="1"/>
  <c r="I34" i="22"/>
  <c r="L34" i="22" s="1"/>
  <c r="G34" i="22"/>
  <c r="N30" i="22"/>
  <c r="I30" i="22"/>
  <c r="N29" i="22"/>
  <c r="Q29" i="22" s="1"/>
  <c r="I29" i="22"/>
  <c r="L29" i="22" s="1"/>
  <c r="G29" i="22"/>
  <c r="N28" i="22"/>
  <c r="Q28" i="22" s="1"/>
  <c r="I28" i="22"/>
  <c r="L28" i="22" s="1"/>
  <c r="G28" i="22"/>
  <c r="O25" i="22"/>
  <c r="O30" i="22" s="1"/>
  <c r="J25" i="22"/>
  <c r="J30" i="22" s="1"/>
  <c r="E25" i="22"/>
  <c r="E30" i="22" s="1"/>
  <c r="G30" i="22" s="1"/>
  <c r="Q23" i="22"/>
  <c r="L23" i="22"/>
  <c r="G23" i="22"/>
  <c r="Q22" i="22"/>
  <c r="L22" i="22"/>
  <c r="G22" i="22"/>
  <c r="Q21" i="22"/>
  <c r="L21" i="22"/>
  <c r="G21" i="22"/>
  <c r="Q20" i="22"/>
  <c r="L20" i="22"/>
  <c r="G20" i="22"/>
  <c r="Q19" i="22"/>
  <c r="L19" i="22"/>
  <c r="G19" i="22"/>
  <c r="Q13" i="22"/>
  <c r="L13" i="22"/>
  <c r="G13" i="22"/>
  <c r="Q12" i="22"/>
  <c r="L12" i="22"/>
  <c r="G12" i="22"/>
  <c r="Q11" i="22"/>
  <c r="L11" i="22"/>
  <c r="G11" i="22"/>
  <c r="O8" i="22"/>
  <c r="J8" i="22"/>
  <c r="E8" i="22"/>
  <c r="Q7" i="22"/>
  <c r="L7" i="22"/>
  <c r="G7" i="22"/>
  <c r="Q6" i="22"/>
  <c r="L6" i="22"/>
  <c r="G6" i="22"/>
  <c r="Q5" i="22"/>
  <c r="L5" i="22"/>
  <c r="G5" i="22"/>
  <c r="Q4" i="22"/>
  <c r="L4" i="22"/>
  <c r="G4" i="22"/>
  <c r="Q3" i="22"/>
  <c r="L3" i="22"/>
  <c r="G3" i="22"/>
  <c r="AH57" i="20"/>
  <c r="P57" i="20"/>
  <c r="AH56" i="20"/>
  <c r="P56" i="20"/>
  <c r="AH55" i="20"/>
  <c r="P55" i="20"/>
  <c r="AH52" i="20"/>
  <c r="R52" i="20"/>
  <c r="Q52" i="20"/>
  <c r="P52" i="20"/>
  <c r="AH51" i="20"/>
  <c r="P51" i="20"/>
  <c r="AH50" i="20"/>
  <c r="P50" i="20"/>
  <c r="AH49" i="20"/>
  <c r="P49" i="20"/>
  <c r="AH48" i="20"/>
  <c r="P48" i="20"/>
  <c r="AH45" i="20"/>
  <c r="P45" i="20"/>
  <c r="AH44" i="20"/>
  <c r="P44" i="20"/>
  <c r="AH43" i="20"/>
  <c r="P43" i="20"/>
  <c r="AH40" i="20"/>
  <c r="P40" i="20"/>
  <c r="AH39" i="20"/>
  <c r="P39" i="20"/>
  <c r="T37" i="20"/>
  <c r="B37" i="20"/>
  <c r="AJ36" i="20"/>
  <c r="AI36" i="20"/>
  <c r="AH36" i="20"/>
  <c r="T36" i="20"/>
  <c r="R36" i="20"/>
  <c r="Q36" i="20"/>
  <c r="P36" i="20"/>
  <c r="B36" i="20"/>
  <c r="AJ35" i="20"/>
  <c r="AI35" i="20"/>
  <c r="AH35" i="20"/>
  <c r="T35" i="20"/>
  <c r="R35" i="20"/>
  <c r="Q35" i="20"/>
  <c r="P35" i="20"/>
  <c r="B35" i="20"/>
  <c r="AJ34" i="20"/>
  <c r="AI34" i="20"/>
  <c r="AH34" i="20"/>
  <c r="T34" i="20"/>
  <c r="R34" i="20"/>
  <c r="Q34" i="20"/>
  <c r="P34" i="20"/>
  <c r="B34" i="20"/>
  <c r="AJ33" i="20"/>
  <c r="AI33" i="20"/>
  <c r="AH33" i="20"/>
  <c r="T33" i="20"/>
  <c r="R33" i="20"/>
  <c r="Q33" i="20"/>
  <c r="P33" i="20"/>
  <c r="B33" i="20"/>
  <c r="T31" i="20"/>
  <c r="B31" i="20"/>
  <c r="AJ30" i="20"/>
  <c r="AI30" i="20"/>
  <c r="AH30" i="20"/>
  <c r="T30" i="20"/>
  <c r="R30" i="20"/>
  <c r="Q30" i="20"/>
  <c r="P30" i="20"/>
  <c r="B30" i="20"/>
  <c r="AJ29" i="20"/>
  <c r="AI29" i="20"/>
  <c r="AH29" i="20"/>
  <c r="T29" i="20"/>
  <c r="R29" i="20"/>
  <c r="Q29" i="20"/>
  <c r="P29" i="20"/>
  <c r="B29" i="20"/>
  <c r="AJ28" i="20"/>
  <c r="AI28" i="20"/>
  <c r="AH28" i="20"/>
  <c r="T28" i="20"/>
  <c r="R28" i="20"/>
  <c r="Q28" i="20"/>
  <c r="P28" i="20"/>
  <c r="B28" i="20"/>
  <c r="AJ27" i="20"/>
  <c r="AI27" i="20"/>
  <c r="AH27" i="20"/>
  <c r="T27" i="20"/>
  <c r="R27" i="20"/>
  <c r="Q27" i="20"/>
  <c r="P27" i="20"/>
  <c r="B27" i="20"/>
  <c r="AJ26" i="20"/>
  <c r="AI26" i="20"/>
  <c r="AH26" i="20"/>
  <c r="T26" i="20"/>
  <c r="R26" i="20"/>
  <c r="Q26" i="20"/>
  <c r="P26" i="20"/>
  <c r="B26" i="20"/>
  <c r="AJ25" i="20"/>
  <c r="AI25" i="20"/>
  <c r="AH25" i="20"/>
  <c r="T25" i="20"/>
  <c r="R25" i="20"/>
  <c r="Q25" i="20"/>
  <c r="P25" i="20"/>
  <c r="B25" i="20"/>
  <c r="AJ24" i="20"/>
  <c r="AI24" i="20"/>
  <c r="AH24" i="20"/>
  <c r="T24" i="20"/>
  <c r="R24" i="20"/>
  <c r="Q24" i="20"/>
  <c r="P24" i="20"/>
  <c r="B24" i="20"/>
  <c r="AJ23" i="20"/>
  <c r="AI23" i="20"/>
  <c r="AH23" i="20"/>
  <c r="T23" i="20"/>
  <c r="R23" i="20"/>
  <c r="Q23" i="20"/>
  <c r="P23" i="20"/>
  <c r="B23" i="20"/>
  <c r="AJ22" i="20"/>
  <c r="AI22" i="20"/>
  <c r="AH22" i="20"/>
  <c r="T22" i="20"/>
  <c r="R22" i="20"/>
  <c r="Q22" i="20"/>
  <c r="P22" i="20"/>
  <c r="B22" i="20"/>
  <c r="AJ21" i="20"/>
  <c r="AI21" i="20"/>
  <c r="AH21" i="20"/>
  <c r="T21" i="20"/>
  <c r="R21" i="20"/>
  <c r="Q21" i="20"/>
  <c r="P21" i="20"/>
  <c r="B21" i="20"/>
  <c r="AJ20" i="20"/>
  <c r="AI20" i="20"/>
  <c r="AH20" i="20"/>
  <c r="T20" i="20"/>
  <c r="R20" i="20"/>
  <c r="Q20" i="20"/>
  <c r="P20" i="20"/>
  <c r="B20" i="20"/>
  <c r="AJ19" i="20"/>
  <c r="AI19" i="20"/>
  <c r="AH19" i="20"/>
  <c r="T19" i="20"/>
  <c r="R19" i="20"/>
  <c r="Q19" i="20"/>
  <c r="P19" i="20"/>
  <c r="B19" i="20"/>
  <c r="AJ18" i="20"/>
  <c r="AI18" i="20"/>
  <c r="AH18" i="20"/>
  <c r="T18" i="20"/>
  <c r="R18" i="20"/>
  <c r="Q18" i="20"/>
  <c r="P18" i="20"/>
  <c r="B18" i="20"/>
  <c r="AJ17" i="20"/>
  <c r="AI17" i="20"/>
  <c r="AH17" i="20"/>
  <c r="T17" i="20"/>
  <c r="R17" i="20"/>
  <c r="Q17" i="20"/>
  <c r="P17" i="20"/>
  <c r="B17" i="20"/>
  <c r="AJ16" i="20"/>
  <c r="AI16" i="20"/>
  <c r="AH16" i="20"/>
  <c r="T16" i="20"/>
  <c r="R16" i="20"/>
  <c r="Q16" i="20"/>
  <c r="P16" i="20"/>
  <c r="B16" i="20"/>
  <c r="AJ15" i="20"/>
  <c r="AI15" i="20"/>
  <c r="AH15" i="20"/>
  <c r="T15" i="20"/>
  <c r="R15" i="20"/>
  <c r="Q15" i="20"/>
  <c r="P15" i="20"/>
  <c r="B15" i="20"/>
  <c r="AJ14" i="20"/>
  <c r="AI14" i="20"/>
  <c r="AH14" i="20"/>
  <c r="T14" i="20"/>
  <c r="R14" i="20"/>
  <c r="Q14" i="20"/>
  <c r="P14" i="20"/>
  <c r="B14" i="20"/>
  <c r="T12" i="20"/>
  <c r="B12" i="20"/>
  <c r="R11" i="20"/>
  <c r="Q11" i="20"/>
  <c r="B11" i="20"/>
  <c r="AH57" i="1"/>
  <c r="P57" i="1"/>
  <c r="AH56" i="1"/>
  <c r="P56" i="1"/>
  <c r="AH55" i="1"/>
  <c r="P55" i="1"/>
  <c r="AH52" i="1"/>
  <c r="R52" i="1"/>
  <c r="Q52" i="1"/>
  <c r="P52" i="1"/>
  <c r="AH51" i="1"/>
  <c r="P51" i="1"/>
  <c r="AH50" i="1"/>
  <c r="P50" i="1"/>
  <c r="AH49" i="1"/>
  <c r="P49" i="1"/>
  <c r="AH48" i="1"/>
  <c r="P48" i="1"/>
  <c r="AH45" i="1"/>
  <c r="T45" i="1"/>
  <c r="AJ45" i="1" s="1"/>
  <c r="P45" i="1"/>
  <c r="AH44" i="1"/>
  <c r="T44" i="1"/>
  <c r="AJ44" i="1" s="1"/>
  <c r="P44" i="1"/>
  <c r="AH43" i="1"/>
  <c r="P43" i="1"/>
  <c r="AH40" i="1"/>
  <c r="T40" i="1"/>
  <c r="AJ40" i="1" s="1"/>
  <c r="P40" i="1"/>
  <c r="AH39" i="1"/>
  <c r="P39" i="1"/>
  <c r="B39" i="1"/>
  <c r="R39" i="1" s="1"/>
  <c r="T37" i="1"/>
  <c r="B37" i="1"/>
  <c r="AJ36" i="1"/>
  <c r="AI36" i="1"/>
  <c r="AH36" i="1"/>
  <c r="T36" i="1"/>
  <c r="R36" i="1"/>
  <c r="Q36" i="1"/>
  <c r="P36" i="1"/>
  <c r="B36" i="1"/>
  <c r="AJ35" i="1"/>
  <c r="AI35" i="1"/>
  <c r="AH35" i="1"/>
  <c r="T35" i="1"/>
  <c r="R35" i="1"/>
  <c r="Q35" i="1"/>
  <c r="P35" i="1"/>
  <c r="B35" i="1"/>
  <c r="AJ34" i="1"/>
  <c r="AI34" i="1"/>
  <c r="AH34" i="1"/>
  <c r="T34" i="1"/>
  <c r="R34" i="1"/>
  <c r="Q34" i="1"/>
  <c r="P34" i="1"/>
  <c r="B34" i="1"/>
  <c r="AJ33" i="1"/>
  <c r="AI33" i="1"/>
  <c r="AH33" i="1"/>
  <c r="T33" i="1"/>
  <c r="R33" i="1"/>
  <c r="Q33" i="1"/>
  <c r="P33" i="1"/>
  <c r="B33" i="1"/>
  <c r="T31" i="1"/>
  <c r="B31" i="1"/>
  <c r="AJ30" i="1"/>
  <c r="AI30" i="1"/>
  <c r="AH30" i="1"/>
  <c r="T30" i="1"/>
  <c r="R30" i="1"/>
  <c r="Q30" i="1"/>
  <c r="P30" i="1"/>
  <c r="B30" i="1"/>
  <c r="AJ29" i="1"/>
  <c r="AI29" i="1"/>
  <c r="AH29" i="1"/>
  <c r="T29" i="1"/>
  <c r="R29" i="1"/>
  <c r="Q29" i="1"/>
  <c r="P29" i="1"/>
  <c r="B29" i="1"/>
  <c r="AJ28" i="1"/>
  <c r="AI28" i="1"/>
  <c r="AH28" i="1"/>
  <c r="T28" i="1"/>
  <c r="R28" i="1"/>
  <c r="Q28" i="1"/>
  <c r="P28" i="1"/>
  <c r="B28" i="1"/>
  <c r="AJ27" i="1"/>
  <c r="AI27" i="1"/>
  <c r="AH27" i="1"/>
  <c r="T27" i="1"/>
  <c r="R27" i="1"/>
  <c r="Q27" i="1"/>
  <c r="P27" i="1"/>
  <c r="B27" i="1"/>
  <c r="AJ26" i="1"/>
  <c r="AI26" i="1"/>
  <c r="AH26" i="1"/>
  <c r="T26" i="1"/>
  <c r="R26" i="1"/>
  <c r="Q26" i="1"/>
  <c r="P26" i="1"/>
  <c r="B26" i="1"/>
  <c r="AJ25" i="1"/>
  <c r="AI25" i="1"/>
  <c r="AH25" i="1"/>
  <c r="T25" i="1"/>
  <c r="R25" i="1"/>
  <c r="Q25" i="1"/>
  <c r="P25" i="1"/>
  <c r="B25" i="1"/>
  <c r="AJ24" i="1"/>
  <c r="AI24" i="1"/>
  <c r="AH24" i="1"/>
  <c r="T24" i="1"/>
  <c r="R24" i="1"/>
  <c r="Q24" i="1"/>
  <c r="P24" i="1"/>
  <c r="B24" i="1"/>
  <c r="AJ23" i="1"/>
  <c r="AI23" i="1"/>
  <c r="AH23" i="1"/>
  <c r="T23" i="1"/>
  <c r="R23" i="1"/>
  <c r="Q23" i="1"/>
  <c r="P23" i="1"/>
  <c r="B23" i="1"/>
  <c r="AJ22" i="1"/>
  <c r="AI22" i="1"/>
  <c r="AH22" i="1"/>
  <c r="T22" i="1"/>
  <c r="R22" i="1"/>
  <c r="Q22" i="1"/>
  <c r="P22" i="1"/>
  <c r="B22" i="1"/>
  <c r="AJ21" i="1"/>
  <c r="AI21" i="1"/>
  <c r="AH21" i="1"/>
  <c r="T21" i="1"/>
  <c r="R21" i="1"/>
  <c r="Q21" i="1"/>
  <c r="P21" i="1"/>
  <c r="B21" i="1"/>
  <c r="AJ20" i="1"/>
  <c r="AI20" i="1"/>
  <c r="AH20" i="1"/>
  <c r="T20" i="1"/>
  <c r="R20" i="1"/>
  <c r="Q20" i="1"/>
  <c r="P20" i="1"/>
  <c r="B20" i="1"/>
  <c r="AJ19" i="1"/>
  <c r="AI19" i="1"/>
  <c r="AH19" i="1"/>
  <c r="T19" i="1"/>
  <c r="R19" i="1"/>
  <c r="Q19" i="1"/>
  <c r="P19" i="1"/>
  <c r="B19" i="1"/>
  <c r="AJ18" i="1"/>
  <c r="AI18" i="1"/>
  <c r="AH18" i="1"/>
  <c r="T18" i="1"/>
  <c r="R18" i="1"/>
  <c r="Q18" i="1"/>
  <c r="P18" i="1"/>
  <c r="B18" i="1"/>
  <c r="AJ17" i="1"/>
  <c r="AI17" i="1"/>
  <c r="AH17" i="1"/>
  <c r="T17" i="1"/>
  <c r="R17" i="1"/>
  <c r="Q17" i="1"/>
  <c r="P17" i="1"/>
  <c r="B17" i="1"/>
  <c r="AJ16" i="1"/>
  <c r="AI16" i="1"/>
  <c r="AH16" i="1"/>
  <c r="T16" i="1"/>
  <c r="R16" i="1"/>
  <c r="Q16" i="1"/>
  <c r="P16" i="1"/>
  <c r="B16" i="1"/>
  <c r="AJ15" i="1"/>
  <c r="AI15" i="1"/>
  <c r="AH15" i="1"/>
  <c r="T15" i="1"/>
  <c r="R15" i="1"/>
  <c r="Q15" i="1"/>
  <c r="P15" i="1"/>
  <c r="B15" i="1"/>
  <c r="AJ14" i="1"/>
  <c r="AI14" i="1"/>
  <c r="AH14" i="1"/>
  <c r="T14" i="1"/>
  <c r="R14" i="1"/>
  <c r="Q14" i="1"/>
  <c r="P14" i="1"/>
  <c r="B14" i="1"/>
  <c r="T12" i="1"/>
  <c r="B12" i="1"/>
  <c r="R11" i="1"/>
  <c r="Q11" i="1"/>
  <c r="B11" i="1"/>
  <c r="G12" i="2"/>
  <c r="E12" i="2"/>
  <c r="G11" i="2"/>
  <c r="E11" i="2"/>
  <c r="G10" i="2"/>
  <c r="E10" i="2"/>
  <c r="G25" i="22" l="1"/>
  <c r="Q25" i="22"/>
  <c r="L25" i="22"/>
  <c r="I25" i="22" s="1"/>
  <c r="Q88" i="22"/>
  <c r="G175" i="22"/>
  <c r="T175" i="22"/>
  <c r="G177" i="22"/>
  <c r="T177" i="22"/>
  <c r="G179" i="22"/>
  <c r="T179" i="22"/>
  <c r="G181" i="22"/>
  <c r="G170" i="22"/>
  <c r="T170" i="22"/>
  <c r="G171" i="22"/>
  <c r="T171" i="22"/>
  <c r="G172" i="22"/>
  <c r="T172" i="22"/>
  <c r="G173" i="22"/>
  <c r="T173" i="22"/>
  <c r="O38" i="22"/>
  <c r="Q38" i="22" s="1"/>
  <c r="Q40" i="22" s="1"/>
  <c r="O39" i="22"/>
  <c r="Q39" i="22" s="1"/>
  <c r="Q87" i="22"/>
  <c r="G176" i="22"/>
  <c r="T176" i="22"/>
  <c r="G178" i="22"/>
  <c r="T178" i="22"/>
  <c r="G180" i="22"/>
  <c r="T180" i="22"/>
  <c r="G182" i="22"/>
  <c r="T182" i="22"/>
  <c r="E38" i="22"/>
  <c r="G38" i="22" s="1"/>
  <c r="G40" i="22" s="1"/>
  <c r="E39" i="22"/>
  <c r="G39" i="22" s="1"/>
  <c r="G86" i="22"/>
  <c r="G87" i="22"/>
  <c r="G164" i="22"/>
  <c r="T164" i="22"/>
  <c r="G165" i="22"/>
  <c r="T165" i="22"/>
  <c r="G166" i="22"/>
  <c r="T166" i="22"/>
  <c r="G167" i="22"/>
  <c r="T167" i="22"/>
  <c r="G168" i="22"/>
  <c r="T168" i="22"/>
  <c r="Q86" i="22"/>
  <c r="J38" i="22"/>
  <c r="J39" i="22"/>
  <c r="L39" i="22" s="1"/>
  <c r="L86" i="22"/>
  <c r="L87" i="22"/>
  <c r="L88" i="22"/>
  <c r="E7" i="17"/>
  <c r="E24" i="17" s="1"/>
  <c r="E59" i="17" s="1"/>
  <c r="H59" i="17" s="1"/>
  <c r="J59" i="17" s="1"/>
  <c r="B40" i="1"/>
  <c r="R40" i="1" s="1"/>
  <c r="N7" i="13"/>
  <c r="D24" i="16"/>
  <c r="B41" i="1"/>
  <c r="D24" i="15"/>
  <c r="E7" i="16"/>
  <c r="E54" i="16" s="1"/>
  <c r="H54" i="16" s="1"/>
  <c r="J54" i="16" s="1"/>
  <c r="N197" i="22"/>
  <c r="Q197" i="22" s="1"/>
  <c r="Q201" i="22" s="1"/>
  <c r="L197" i="22"/>
  <c r="L201" i="22" s="1"/>
  <c r="G346" i="22"/>
  <c r="G190" i="22"/>
  <c r="G253" i="22"/>
  <c r="D253" i="22" s="1"/>
  <c r="L190" i="22"/>
  <c r="I253" i="22"/>
  <c r="Q253" i="22"/>
  <c r="Q236" i="22"/>
  <c r="N236" i="22" s="1"/>
  <c r="G308" i="22"/>
  <c r="Q80" i="22"/>
  <c r="G110" i="22"/>
  <c r="G46" i="22"/>
  <c r="L242" i="22"/>
  <c r="Q242" i="22"/>
  <c r="D25" i="22"/>
  <c r="L46" i="22"/>
  <c r="G318" i="22"/>
  <c r="D318" i="22" s="1"/>
  <c r="Q110" i="22"/>
  <c r="L118" i="22"/>
  <c r="Q273" i="22"/>
  <c r="Q74" i="22"/>
  <c r="N74" i="22" s="1"/>
  <c r="G236" i="22"/>
  <c r="D236" i="22" s="1"/>
  <c r="G273" i="22"/>
  <c r="G302" i="22"/>
  <c r="D302" i="22" s="1"/>
  <c r="L308" i="22"/>
  <c r="G338" i="22"/>
  <c r="Q96" i="22"/>
  <c r="L110" i="22"/>
  <c r="Q151" i="22"/>
  <c r="N151" i="22" s="1"/>
  <c r="G157" i="22"/>
  <c r="L157" i="22"/>
  <c r="N184" i="22"/>
  <c r="G267" i="22"/>
  <c r="L338" i="22"/>
  <c r="L54" i="22"/>
  <c r="L318" i="22"/>
  <c r="I318" i="22" s="1"/>
  <c r="L273" i="22"/>
  <c r="L215" i="22"/>
  <c r="G8" i="22"/>
  <c r="D8" i="22" s="1"/>
  <c r="L8" i="22"/>
  <c r="I8" i="22" s="1"/>
  <c r="Q14" i="22"/>
  <c r="I38" i="22"/>
  <c r="L38" i="22" s="1"/>
  <c r="L40" i="22" s="1"/>
  <c r="Q54" i="22"/>
  <c r="G80" i="22"/>
  <c r="E90" i="22"/>
  <c r="Q118" i="22"/>
  <c r="G207" i="22"/>
  <c r="L236" i="22"/>
  <c r="I236" i="22" s="1"/>
  <c r="Q259" i="22"/>
  <c r="Q318" i="22"/>
  <c r="N318" i="22" s="1"/>
  <c r="Q332" i="22"/>
  <c r="Q338" i="22"/>
  <c r="N25" i="22"/>
  <c r="G74" i="22"/>
  <c r="D74" i="22" s="1"/>
  <c r="J90" i="22"/>
  <c r="G96" i="22"/>
  <c r="G151" i="22"/>
  <c r="D151" i="22" s="1"/>
  <c r="L151" i="22"/>
  <c r="I151" i="22" s="1"/>
  <c r="Q157" i="22"/>
  <c r="G242" i="22"/>
  <c r="Q302" i="22"/>
  <c r="N302" i="22" s="1"/>
  <c r="Q308" i="22"/>
  <c r="G324" i="22"/>
  <c r="Q8" i="22"/>
  <c r="N8" i="22" s="1"/>
  <c r="G14" i="22"/>
  <c r="G16" i="22" s="1"/>
  <c r="L14" i="22"/>
  <c r="L74" i="22"/>
  <c r="I74" i="22" s="1"/>
  <c r="L80" i="22"/>
  <c r="O90" i="22"/>
  <c r="G104" i="22"/>
  <c r="G118" i="22"/>
  <c r="I184" i="22"/>
  <c r="G215" i="22"/>
  <c r="O253" i="22"/>
  <c r="G259" i="22"/>
  <c r="L259" i="22"/>
  <c r="Q266" i="22"/>
  <c r="Q267" i="22" s="1"/>
  <c r="G281" i="22"/>
  <c r="L281" i="22"/>
  <c r="G332" i="22"/>
  <c r="L30" i="22"/>
  <c r="G31" i="22" s="1"/>
  <c r="Q46" i="22"/>
  <c r="Q30" i="22"/>
  <c r="Q31" i="22" s="1"/>
  <c r="L104" i="22"/>
  <c r="Q215" i="22"/>
  <c r="L267" i="22"/>
  <c r="Q281" i="22"/>
  <c r="G54" i="22"/>
  <c r="L96" i="22"/>
  <c r="Q104" i="22"/>
  <c r="G85" i="22"/>
  <c r="Q85" i="22"/>
  <c r="Q346" i="22"/>
  <c r="E184" i="22"/>
  <c r="E197" i="22" s="1"/>
  <c r="G197" i="22" s="1"/>
  <c r="G201" i="22" s="1"/>
  <c r="L85" i="22"/>
  <c r="Q190" i="22"/>
  <c r="L207" i="22"/>
  <c r="L324" i="22"/>
  <c r="Q207" i="22"/>
  <c r="Q324" i="22"/>
  <c r="C41" i="1"/>
  <c r="D41" i="1" s="1"/>
  <c r="E41" i="1" s="1"/>
  <c r="F41" i="1" s="1"/>
  <c r="G41" i="1" s="1"/>
  <c r="H41" i="1" s="1"/>
  <c r="I41" i="1" s="1"/>
  <c r="J41" i="1" s="1"/>
  <c r="K41" i="1" s="1"/>
  <c r="L41" i="1" s="1"/>
  <c r="M41" i="1" s="1"/>
  <c r="N41" i="1" s="1"/>
  <c r="O41" i="1" s="1"/>
  <c r="P41" i="1" s="1"/>
  <c r="R41" i="1" s="1"/>
  <c r="E13" i="2"/>
  <c r="Q39" i="1"/>
  <c r="Q40" i="1"/>
  <c r="AI40" i="1"/>
  <c r="R40" i="20"/>
  <c r="Q40" i="20"/>
  <c r="J9" i="16"/>
  <c r="J8" i="17"/>
  <c r="J9" i="17"/>
  <c r="J11" i="17"/>
  <c r="H7" i="18"/>
  <c r="E24" i="18"/>
  <c r="AI44" i="1"/>
  <c r="AI45" i="1"/>
  <c r="J8" i="14"/>
  <c r="J24" i="14" s="1"/>
  <c r="H24" i="14"/>
  <c r="D64" i="14" s="1"/>
  <c r="AJ44" i="20"/>
  <c r="AI44" i="20"/>
  <c r="J8" i="16"/>
  <c r="J11" i="16"/>
  <c r="J9" i="18"/>
  <c r="J9" i="19"/>
  <c r="R39" i="20"/>
  <c r="B41" i="20" s="1"/>
  <c r="Q39" i="20"/>
  <c r="E55" i="16"/>
  <c r="H55" i="16" s="1"/>
  <c r="J55" i="16" s="1"/>
  <c r="H10" i="16"/>
  <c r="E48" i="16"/>
  <c r="H48" i="16" s="1"/>
  <c r="J8" i="18"/>
  <c r="J8" i="19"/>
  <c r="AJ40" i="20"/>
  <c r="AI40" i="20"/>
  <c r="AJ45" i="20"/>
  <c r="AI45" i="20"/>
  <c r="E24" i="19"/>
  <c r="H7" i="19"/>
  <c r="E24" i="14"/>
  <c r="E59" i="14" s="1"/>
  <c r="H59" i="14" s="1"/>
  <c r="J59" i="14" s="1"/>
  <c r="E54" i="14"/>
  <c r="H54" i="14" s="1"/>
  <c r="E54" i="17"/>
  <c r="H54" i="17" s="1"/>
  <c r="J54" i="17" s="1"/>
  <c r="D24" i="19"/>
  <c r="N7" i="15"/>
  <c r="H7" i="16"/>
  <c r="E48" i="17"/>
  <c r="H48" i="17" s="1"/>
  <c r="D24" i="18"/>
  <c r="D24" i="12"/>
  <c r="E24" i="16"/>
  <c r="E59" i="16" s="1"/>
  <c r="H59" i="16" s="1"/>
  <c r="J59" i="16" s="1"/>
  <c r="H7" i="17"/>
  <c r="H10" i="17"/>
  <c r="L302" i="22"/>
  <c r="L346" i="22"/>
  <c r="L332" i="22"/>
  <c r="L90" i="22" l="1"/>
  <c r="Q90" i="22"/>
  <c r="Q120" i="22" s="1"/>
  <c r="G90" i="22"/>
  <c r="G120" i="22" s="1"/>
  <c r="T184" i="22"/>
  <c r="G183" i="22" s="1"/>
  <c r="G184" i="22" s="1"/>
  <c r="T39" i="1"/>
  <c r="T39" i="20"/>
  <c r="Q350" i="22"/>
  <c r="Q352" i="22" s="1"/>
  <c r="L310" i="22"/>
  <c r="I310" i="22" s="1"/>
  <c r="N253" i="22"/>
  <c r="L58" i="22"/>
  <c r="L60" i="22" s="1"/>
  <c r="Q310" i="22"/>
  <c r="P332" i="22" s="1"/>
  <c r="I90" i="22"/>
  <c r="G122" i="22"/>
  <c r="G124" i="22" s="1"/>
  <c r="G159" i="22"/>
  <c r="F207" i="22" s="1"/>
  <c r="Q219" i="22"/>
  <c r="Q221" i="22" s="1"/>
  <c r="Q244" i="22"/>
  <c r="P281" i="22" s="1"/>
  <c r="G56" i="22"/>
  <c r="L16" i="22"/>
  <c r="K46" i="22" s="1"/>
  <c r="Q159" i="22"/>
  <c r="P215" i="22" s="1"/>
  <c r="G285" i="22"/>
  <c r="G287" i="22" s="1"/>
  <c r="K259" i="22"/>
  <c r="G283" i="22"/>
  <c r="L122" i="22"/>
  <c r="L124" i="22" s="1"/>
  <c r="G310" i="22"/>
  <c r="F318" i="22" s="1"/>
  <c r="Q217" i="22"/>
  <c r="L82" i="22"/>
  <c r="K118" i="22" s="1"/>
  <c r="L285" i="22"/>
  <c r="L287" i="22" s="1"/>
  <c r="G219" i="22"/>
  <c r="G221" i="22" s="1"/>
  <c r="G244" i="22"/>
  <c r="F267" i="22" s="1"/>
  <c r="Q122" i="22"/>
  <c r="Q124" i="22" s="1"/>
  <c r="Q285" i="22"/>
  <c r="Q82" i="22"/>
  <c r="P118" i="22" s="1"/>
  <c r="G350" i="22"/>
  <c r="G352" i="22" s="1"/>
  <c r="L31" i="22"/>
  <c r="L56" i="22" s="1"/>
  <c r="G348" i="22"/>
  <c r="L159" i="22"/>
  <c r="K184" i="22" s="1"/>
  <c r="G82" i="22"/>
  <c r="F104" i="22" s="1"/>
  <c r="G58" i="22"/>
  <c r="G60" i="22" s="1"/>
  <c r="L219" i="22"/>
  <c r="L221" i="22" s="1"/>
  <c r="Q16" i="22"/>
  <c r="P40" i="22" s="1"/>
  <c r="Q58" i="22"/>
  <c r="L348" i="22"/>
  <c r="I302" i="22"/>
  <c r="F40" i="22"/>
  <c r="K96" i="22"/>
  <c r="Q283" i="22"/>
  <c r="L283" i="22"/>
  <c r="L120" i="22"/>
  <c r="Q56" i="22"/>
  <c r="Q348" i="22"/>
  <c r="L217" i="22"/>
  <c r="F54" i="22"/>
  <c r="D16" i="22"/>
  <c r="F46" i="22"/>
  <c r="F31" i="22"/>
  <c r="F25" i="22"/>
  <c r="H24" i="16"/>
  <c r="D64" i="16" s="1"/>
  <c r="J7" i="16"/>
  <c r="H61" i="14"/>
  <c r="D65" i="14" s="1"/>
  <c r="J54" i="14"/>
  <c r="J61" i="14" s="1"/>
  <c r="H61" i="16"/>
  <c r="D65" i="16" s="1"/>
  <c r="J48" i="16"/>
  <c r="J61" i="16" s="1"/>
  <c r="C41" i="20"/>
  <c r="D41" i="20" s="1"/>
  <c r="E41" i="20" s="1"/>
  <c r="F41" i="20" s="1"/>
  <c r="G41" i="20" s="1"/>
  <c r="H41" i="20" s="1"/>
  <c r="I41" i="20" s="1"/>
  <c r="J41" i="20" s="1"/>
  <c r="K41" i="20" s="1"/>
  <c r="L41" i="20" s="1"/>
  <c r="M41" i="20" s="1"/>
  <c r="N41" i="20" s="1"/>
  <c r="O41" i="20" s="1"/>
  <c r="P41" i="20" s="1"/>
  <c r="R41" i="20" s="1"/>
  <c r="E59" i="18"/>
  <c r="H59" i="18" s="1"/>
  <c r="J59" i="18" s="1"/>
  <c r="E28" i="18"/>
  <c r="H28" i="18" s="1"/>
  <c r="T43" i="20"/>
  <c r="T43" i="1"/>
  <c r="J10" i="16"/>
  <c r="H24" i="18"/>
  <c r="D64" i="18" s="1"/>
  <c r="J7" i="18"/>
  <c r="J24" i="18" s="1"/>
  <c r="J10" i="17"/>
  <c r="H24" i="19"/>
  <c r="D64" i="19" s="1"/>
  <c r="J7" i="19"/>
  <c r="J24" i="19" s="1"/>
  <c r="J7" i="17"/>
  <c r="H24" i="17"/>
  <c r="D64" i="17" s="1"/>
  <c r="H61" i="17"/>
  <c r="D65" i="17" s="1"/>
  <c r="J48" i="17"/>
  <c r="J61" i="17" s="1"/>
  <c r="E59" i="19"/>
  <c r="H59" i="19" s="1"/>
  <c r="J59" i="19" s="1"/>
  <c r="E28" i="19"/>
  <c r="H28" i="19" s="1"/>
  <c r="D66" i="14"/>
  <c r="D68" i="14" s="1"/>
  <c r="K318" i="22"/>
  <c r="L350" i="22"/>
  <c r="K332" i="22"/>
  <c r="K324" i="22"/>
  <c r="D184" i="22" l="1"/>
  <c r="G217" i="22"/>
  <c r="G360" i="22" s="1"/>
  <c r="P318" i="22"/>
  <c r="P338" i="22"/>
  <c r="N310" i="22"/>
  <c r="D90" i="22"/>
  <c r="P346" i="22"/>
  <c r="N90" i="22"/>
  <c r="P324" i="22"/>
  <c r="K338" i="22"/>
  <c r="K346" i="22"/>
  <c r="Q354" i="22"/>
  <c r="Q356" i="22" s="1"/>
  <c r="J24" i="17"/>
  <c r="AI39" i="20"/>
  <c r="AJ39" i="20"/>
  <c r="T41" i="20" s="1"/>
  <c r="E66" i="14"/>
  <c r="F66" i="14" s="1"/>
  <c r="AJ39" i="1"/>
  <c r="T41" i="1" s="1"/>
  <c r="G13" i="2" s="1"/>
  <c r="AI39" i="1"/>
  <c r="P253" i="22"/>
  <c r="L352" i="22"/>
  <c r="L354" i="22" s="1"/>
  <c r="L356" i="22" s="1"/>
  <c r="L362" i="22"/>
  <c r="K267" i="22"/>
  <c r="K40" i="22"/>
  <c r="I244" i="22"/>
  <c r="I16" i="22"/>
  <c r="K253" i="22"/>
  <c r="K54" i="22"/>
  <c r="P31" i="22"/>
  <c r="K110" i="22"/>
  <c r="G354" i="22"/>
  <c r="G356" i="22" s="1"/>
  <c r="L364" i="22"/>
  <c r="G364" i="22"/>
  <c r="L289" i="22"/>
  <c r="L291" i="22" s="1"/>
  <c r="K25" i="22"/>
  <c r="F190" i="22"/>
  <c r="K281" i="22"/>
  <c r="K273" i="22"/>
  <c r="Q287" i="22"/>
  <c r="Q289" i="22" s="1"/>
  <c r="Q291" i="22" s="1"/>
  <c r="G289" i="22"/>
  <c r="G291" i="22" s="1"/>
  <c r="F215" i="22"/>
  <c r="F201" i="22"/>
  <c r="D159" i="22"/>
  <c r="P259" i="22"/>
  <c r="F184" i="22"/>
  <c r="L223" i="22"/>
  <c r="L225" i="22" s="1"/>
  <c r="Q223" i="22"/>
  <c r="Q225" i="22" s="1"/>
  <c r="F110" i="22"/>
  <c r="F259" i="22"/>
  <c r="L62" i="22"/>
  <c r="L64" i="22" s="1"/>
  <c r="L126" i="22"/>
  <c r="L128" i="22" s="1"/>
  <c r="Q126" i="22"/>
  <c r="Q128" i="22" s="1"/>
  <c r="G126" i="22"/>
  <c r="G128" i="22" s="1"/>
  <c r="K31" i="22"/>
  <c r="N244" i="22"/>
  <c r="P273" i="22"/>
  <c r="P267" i="22"/>
  <c r="P201" i="22"/>
  <c r="N159" i="22"/>
  <c r="P190" i="22"/>
  <c r="P184" i="22"/>
  <c r="P207" i="22"/>
  <c r="G62" i="22"/>
  <c r="G64" i="22" s="1"/>
  <c r="Q60" i="22"/>
  <c r="Q62" i="22" s="1"/>
  <c r="Q64" i="22" s="1"/>
  <c r="F324" i="22"/>
  <c r="F346" i="22"/>
  <c r="D310" i="22"/>
  <c r="F332" i="22"/>
  <c r="F338" i="22"/>
  <c r="D82" i="22"/>
  <c r="F96" i="22"/>
  <c r="F90" i="22"/>
  <c r="K215" i="22"/>
  <c r="K104" i="22"/>
  <c r="I82" i="22"/>
  <c r="Q362" i="22"/>
  <c r="F118" i="22"/>
  <c r="P110" i="22"/>
  <c r="K90" i="22"/>
  <c r="F253" i="22"/>
  <c r="N82" i="22"/>
  <c r="P96" i="22"/>
  <c r="I159" i="22"/>
  <c r="D244" i="22"/>
  <c r="F273" i="22"/>
  <c r="P90" i="22"/>
  <c r="P104" i="22"/>
  <c r="Q360" i="22"/>
  <c r="K190" i="22"/>
  <c r="F281" i="22"/>
  <c r="L360" i="22"/>
  <c r="G362" i="22"/>
  <c r="P46" i="22"/>
  <c r="P54" i="22"/>
  <c r="N16" i="22"/>
  <c r="K207" i="22"/>
  <c r="P25" i="22"/>
  <c r="K201" i="22"/>
  <c r="H61" i="18"/>
  <c r="D65" i="18" s="1"/>
  <c r="J28" i="18"/>
  <c r="J61" i="18" s="1"/>
  <c r="L9" i="14"/>
  <c r="N9" i="14" s="1"/>
  <c r="L7" i="14"/>
  <c r="L8" i="14"/>
  <c r="N8" i="14" s="1"/>
  <c r="AJ43" i="1"/>
  <c r="T46" i="1" s="1"/>
  <c r="AI43" i="1"/>
  <c r="J24" i="16"/>
  <c r="H61" i="19"/>
  <c r="D65" i="19" s="1"/>
  <c r="D66" i="19" s="1"/>
  <c r="D69" i="19" s="1"/>
  <c r="J28" i="19"/>
  <c r="J61" i="19" s="1"/>
  <c r="D66" i="18"/>
  <c r="D68" i="18" s="1"/>
  <c r="AJ43" i="20"/>
  <c r="T46" i="20" s="1"/>
  <c r="AI43" i="20"/>
  <c r="D66" i="17"/>
  <c r="D69" i="17" s="1"/>
  <c r="D66" i="16"/>
  <c r="D68" i="16" s="1"/>
  <c r="G223" i="22" l="1"/>
  <c r="G225" i="22" s="1"/>
  <c r="E66" i="18"/>
  <c r="F66" i="18" s="1"/>
  <c r="E66" i="16"/>
  <c r="F66" i="16" s="1"/>
  <c r="Q364" i="22"/>
  <c r="Q366" i="22" s="1"/>
  <c r="Q368" i="22" s="1"/>
  <c r="L366" i="22"/>
  <c r="L368" i="22" s="1"/>
  <c r="G366" i="22"/>
  <c r="G368" i="22" s="1"/>
  <c r="L9" i="19"/>
  <c r="N9" i="19" s="1"/>
  <c r="L8" i="19"/>
  <c r="N8" i="19" s="1"/>
  <c r="L7" i="19"/>
  <c r="L11" i="16"/>
  <c r="N11" i="16" s="1"/>
  <c r="L9" i="16"/>
  <c r="N9" i="16" s="1"/>
  <c r="L8" i="16"/>
  <c r="N8" i="16" s="1"/>
  <c r="L10" i="16"/>
  <c r="N10" i="16" s="1"/>
  <c r="L7" i="16"/>
  <c r="G14" i="2"/>
  <c r="B44" i="20"/>
  <c r="B44" i="1"/>
  <c r="E66" i="17"/>
  <c r="F66" i="17" s="1"/>
  <c r="L8" i="18"/>
  <c r="N8" i="18" s="1"/>
  <c r="L9" i="18"/>
  <c r="N9" i="18" s="1"/>
  <c r="L7" i="18"/>
  <c r="L24" i="14"/>
  <c r="L25" i="14" s="1"/>
  <c r="N7" i="14"/>
  <c r="E66" i="19"/>
  <c r="F66" i="19" s="1"/>
  <c r="L8" i="17"/>
  <c r="N8" i="17" s="1"/>
  <c r="L11" i="17"/>
  <c r="N11" i="17" s="1"/>
  <c r="L9" i="17"/>
  <c r="N9" i="17" s="1"/>
  <c r="L7" i="17"/>
  <c r="L10" i="17"/>
  <c r="N10" i="17" s="1"/>
  <c r="B45" i="20"/>
  <c r="B45" i="1"/>
  <c r="L24" i="17" l="1"/>
  <c r="N7" i="17"/>
  <c r="B57" i="20"/>
  <c r="B57" i="1"/>
  <c r="R44" i="20"/>
  <c r="Q44" i="20"/>
  <c r="L24" i="16"/>
  <c r="N7" i="16"/>
  <c r="R45" i="1"/>
  <c r="Q45" i="1"/>
  <c r="T50" i="1"/>
  <c r="T50" i="20"/>
  <c r="B43" i="20"/>
  <c r="B43" i="1"/>
  <c r="B56" i="20"/>
  <c r="B56" i="1"/>
  <c r="B51" i="1"/>
  <c r="B51" i="20"/>
  <c r="N7" i="19"/>
  <c r="L24" i="19"/>
  <c r="R45" i="20"/>
  <c r="Q45" i="20"/>
  <c r="T52" i="1"/>
  <c r="T52" i="20"/>
  <c r="B49" i="20"/>
  <c r="B49" i="1"/>
  <c r="T56" i="20"/>
  <c r="T56" i="1"/>
  <c r="T51" i="1"/>
  <c r="T51" i="20"/>
  <c r="T49" i="20"/>
  <c r="T49" i="1"/>
  <c r="N7" i="18"/>
  <c r="L24" i="18"/>
  <c r="R44" i="1"/>
  <c r="Q44" i="1"/>
  <c r="B50" i="1"/>
  <c r="B50" i="20"/>
  <c r="T57" i="20"/>
  <c r="T57" i="1"/>
  <c r="Q50" i="20" l="1"/>
  <c r="R50" i="20"/>
  <c r="AI49" i="20"/>
  <c r="AJ49" i="20"/>
  <c r="AJ56" i="1"/>
  <c r="AI56" i="1"/>
  <c r="AJ52" i="20"/>
  <c r="AI52" i="20"/>
  <c r="R56" i="1"/>
  <c r="Q56" i="1"/>
  <c r="AI50" i="20"/>
  <c r="AJ50" i="20"/>
  <c r="B48" i="20"/>
  <c r="B48" i="1"/>
  <c r="R57" i="1"/>
  <c r="Q57" i="1"/>
  <c r="R50" i="1"/>
  <c r="Q50" i="1"/>
  <c r="AI51" i="20"/>
  <c r="AJ51" i="20"/>
  <c r="AJ56" i="20"/>
  <c r="AI56" i="20"/>
  <c r="AJ52" i="1"/>
  <c r="AI52" i="1"/>
  <c r="T55" i="20"/>
  <c r="T55" i="1"/>
  <c r="R56" i="20"/>
  <c r="Q56" i="20"/>
  <c r="AJ50" i="1"/>
  <c r="AI50" i="1"/>
  <c r="R57" i="20"/>
  <c r="Q57" i="20"/>
  <c r="AJ57" i="1"/>
  <c r="AI57" i="1"/>
  <c r="B55" i="20"/>
  <c r="B55" i="1"/>
  <c r="AJ51" i="1"/>
  <c r="AI51" i="1"/>
  <c r="Q49" i="1"/>
  <c r="R49" i="1"/>
  <c r="Q51" i="20"/>
  <c r="R51" i="20"/>
  <c r="R43" i="1"/>
  <c r="B46" i="1" s="1"/>
  <c r="Q43" i="1"/>
  <c r="T48" i="20"/>
  <c r="T48" i="1"/>
  <c r="AJ57" i="20"/>
  <c r="AI57" i="20"/>
  <c r="AI49" i="1"/>
  <c r="AJ49" i="1"/>
  <c r="Q49" i="20"/>
  <c r="R49" i="20"/>
  <c r="R51" i="1"/>
  <c r="Q51" i="1"/>
  <c r="R43" i="20"/>
  <c r="B46" i="20" s="1"/>
  <c r="Q43" i="20"/>
  <c r="E14" i="2" l="1"/>
  <c r="R55" i="20"/>
  <c r="B58" i="20" s="1"/>
  <c r="Q55" i="20"/>
  <c r="AI48" i="1"/>
  <c r="AJ48" i="1"/>
  <c r="T53" i="1" s="1"/>
  <c r="AJ55" i="1"/>
  <c r="T58" i="1" s="1"/>
  <c r="G16" i="2" s="1"/>
  <c r="AI55" i="1"/>
  <c r="Q48" i="1"/>
  <c r="R48" i="1"/>
  <c r="B53" i="1" s="1"/>
  <c r="E15" i="2" s="1"/>
  <c r="R55" i="1"/>
  <c r="B58" i="1" s="1"/>
  <c r="E16" i="2" s="1"/>
  <c r="Q55" i="1"/>
  <c r="AI48" i="20"/>
  <c r="AJ48" i="20"/>
  <c r="T53" i="20" s="1"/>
  <c r="AJ55" i="20"/>
  <c r="T58" i="20" s="1"/>
  <c r="AI55" i="20"/>
  <c r="Q48" i="20"/>
  <c r="R48" i="20"/>
  <c r="B53" i="20" s="1"/>
  <c r="B59" i="20" s="1"/>
  <c r="T59" i="20" l="1"/>
  <c r="B60" i="20" s="1"/>
  <c r="G15" i="2"/>
  <c r="G17" i="2" s="1"/>
  <c r="G19" i="2" s="1"/>
  <c r="T59" i="1"/>
  <c r="B59" i="1"/>
  <c r="E17" i="2"/>
  <c r="E19" i="2" s="1"/>
  <c r="E20" i="2" l="1"/>
  <c r="B60" i="1"/>
  <c r="E21" i="2" l="1"/>
  <c r="E22" i="2" s="1"/>
</calcChain>
</file>

<file path=xl/sharedStrings.xml><?xml version="1.0" encoding="utf-8"?>
<sst xmlns="http://schemas.openxmlformats.org/spreadsheetml/2006/main" count="1891" uniqueCount="433">
  <si>
    <t>Senior Engineer MEP</t>
  </si>
  <si>
    <t>Supervisor - Electrical</t>
  </si>
  <si>
    <t>Supervisor - Mechanical</t>
  </si>
  <si>
    <t>Supervisor - Light Current</t>
  </si>
  <si>
    <t>Technician - Electrical</t>
  </si>
  <si>
    <t>Technician - Mechanical</t>
  </si>
  <si>
    <t>Technician - Pluming</t>
  </si>
  <si>
    <t>Technician - light Current</t>
  </si>
  <si>
    <t>CAFM - Coordinator</t>
  </si>
  <si>
    <t>Painter</t>
  </si>
  <si>
    <t>Carpenter</t>
  </si>
  <si>
    <t>Helpers</t>
  </si>
  <si>
    <t>M1</t>
  </si>
  <si>
    <t>Contractual Month</t>
  </si>
  <si>
    <t>Contractual Year</t>
  </si>
  <si>
    <t>MEP Services</t>
  </si>
  <si>
    <t>HK Supervisors</t>
  </si>
  <si>
    <t>Janitors</t>
  </si>
  <si>
    <t>Pest Control</t>
  </si>
  <si>
    <t>Gardner</t>
  </si>
  <si>
    <t>Security Services</t>
  </si>
  <si>
    <t>Security Manger</t>
  </si>
  <si>
    <t>CCTV Operator</t>
  </si>
  <si>
    <t>Landscape Supervisor</t>
  </si>
  <si>
    <t>M2</t>
  </si>
  <si>
    <t>M3</t>
  </si>
  <si>
    <t>M4</t>
  </si>
  <si>
    <t>M5</t>
  </si>
  <si>
    <t>M6</t>
  </si>
  <si>
    <t>M7</t>
  </si>
  <si>
    <t>M8</t>
  </si>
  <si>
    <t>M9</t>
  </si>
  <si>
    <t>M10</t>
  </si>
  <si>
    <t>M11</t>
  </si>
  <si>
    <t>M12</t>
  </si>
  <si>
    <t>Year 1</t>
  </si>
  <si>
    <t>Year 2</t>
  </si>
  <si>
    <t>Transportation</t>
  </si>
  <si>
    <t>Zone 2D</t>
  </si>
  <si>
    <t>Zone 2D - 3D &amp; Civic Park</t>
  </si>
  <si>
    <t>Landscape Manager</t>
  </si>
  <si>
    <t>Pest Control Supervisor</t>
  </si>
  <si>
    <t xml:space="preserve">Store keeper </t>
  </si>
  <si>
    <t>FM Manager</t>
  </si>
  <si>
    <t>Pest Control Service</t>
  </si>
  <si>
    <t xml:space="preserve">Purchaser </t>
  </si>
  <si>
    <t xml:space="preserve">Controller </t>
  </si>
  <si>
    <t>Safety Supervisor / Agent</t>
  </si>
  <si>
    <t>Security Guards / per shift</t>
  </si>
  <si>
    <t xml:space="preserve">Golf Car </t>
  </si>
  <si>
    <t xml:space="preserve">Security Patrol Motorcycles / Tricycles </t>
  </si>
  <si>
    <t>Waste Management</t>
  </si>
  <si>
    <t>Security Supervisor /  per shift</t>
  </si>
  <si>
    <t>Facility Management Services for Zone 2D, Zone 3D &amp; Civic Park</t>
  </si>
  <si>
    <t>Housekeeping</t>
  </si>
  <si>
    <t>Total amount for MEP Services /year 1</t>
  </si>
  <si>
    <t>Total amount for Housekeeping /year 1</t>
  </si>
  <si>
    <t>Total amount for Pest Control /year 1</t>
  </si>
  <si>
    <t>Total amount for Landscape /year 1</t>
  </si>
  <si>
    <t>Total amount for Security Services /year 1</t>
  </si>
  <si>
    <t>Total amount for Transportation /year 1</t>
  </si>
  <si>
    <t>Zone</t>
  </si>
  <si>
    <t>Total amount for Transportation /year 2</t>
  </si>
  <si>
    <t>Total amount for MEP Services /year 2</t>
  </si>
  <si>
    <t>Total amount for Housekeeping /year 2</t>
  </si>
  <si>
    <t>Total amount for Pest Control /year 2</t>
  </si>
  <si>
    <t>Total amount for Landscape /year 2</t>
  </si>
  <si>
    <t>Total amount for Security Services /year 2</t>
  </si>
  <si>
    <t>VAT 14%</t>
  </si>
  <si>
    <t>FM Fees Summary</t>
  </si>
  <si>
    <t>includes Variations and Reimbursable Expenses (Provisional Sum) as applicable in</t>
  </si>
  <si>
    <t>accordance with the Agreement.</t>
  </si>
  <si>
    <t>Total FM Fees Including VAT</t>
  </si>
  <si>
    <t>Total FM Fees  Excluding VAT</t>
  </si>
  <si>
    <t>Total FM Fees amount including Provisional Sum/ year 1</t>
  </si>
  <si>
    <t>FM Fees amount/ year 1</t>
  </si>
  <si>
    <t>FM Fees amount/ year 2</t>
  </si>
  <si>
    <t>FM Fees/ year 1</t>
  </si>
  <si>
    <t>FM Fees/ year 2</t>
  </si>
  <si>
    <t>FM Fees Year 1 + Year 2</t>
  </si>
  <si>
    <t>FM Service Provider setting-up and working in the country of the Project, including but not limited to:</t>
  </si>
  <si>
    <t>Reimbursable expenses / Provisional Sum</t>
  </si>
  <si>
    <t>Reimbursable expenses / Provisional Sum are expenses which occurred in connection with provision of Services as set forth in the Scope of Services which are identified as reimbursable/provisional in Schedule 1 – Appendix A, where reimbursement of which are subject to written approval by the Employer’s or his Representative and include but not limited to the following:</t>
  </si>
  <si>
    <t>The Reimbursable / Provisional Sum items shall be reimbursed to the Service Provider on actual cost basis plus a markup of 10% of the actual cost, covering Service provider’s all overheads and profit.</t>
  </si>
  <si>
    <t>The Service Provider shall submit all the documentary evidence and substantiation to the Employer prior to the payment of Reimbursable / Provisional expenses in all cases.</t>
  </si>
  <si>
    <t>·         Accepted Fees: The amount accepted in the Letter of Acceptance for the completion of the FM Services.</t>
  </si>
  <si>
    <t>·         Total FM Fees: The amount payable to the FM Service Provider for the Services and</t>
  </si>
  <si>
    <t>·         Rates are per Person (EGP/Shift) including all required\proposed tools &amp; equipment &amp; consumables related to the Services</t>
  </si>
  <si>
    <t>·         Service Provider shall be responsible for the consumables related to the Services</t>
  </si>
  <si>
    <t>·         The Tenderer’s fee proposal for the Services shall be made on a total Man/Month basis with the total sum as the ceiling for the Contract Sum inclusive of all required\proposed tools &amp; equipment, salaries, social insurance, overheads, direct and indirect expenses, all expected reimbursable, VAT, withholding tax and any other costs or expenditures required in the Arab Republic of Egypt for proper completion of the Scope of Services.</t>
  </si>
  <si>
    <t>·         Monthly payment will be based on the actual attendance for each position at the rates stated in the Manning Schedule accepted by the Service Provider</t>
  </si>
  <si>
    <t>·         Within the stated scope of services and the total Contract duration as stated, the Service Provider to ensure that the staff as per the manning schedule are sufficient to perform and complete the Scope of Services.</t>
  </si>
  <si>
    <t>·         Should the Service Provider fail to cover the required Scope of Services in full satisfactory performance, the Employer reserve the right to instruct The Service Provider’s Representative to increase the staffing to recover such default without any extra cost whatsoever to the Employer.</t>
  </si>
  <si>
    <t>·         A biometric attendance system must be used for daily attendance.</t>
  </si>
  <si>
    <t>·         The Employer has the full right to extract the daily attendance at any time.</t>
  </si>
  <si>
    <t>·         The service provider shall be responsible to cover vacations for all personnel.</t>
  </si>
  <si>
    <t>·         Spare parts cost will be paid by Employer based on the actual cost plus 10% Mark-up calculated from the original invoice, FM Provider is obliged to submit his original purchase invoices (and any other related supportive documents as may require by the Employer) in order to process the spare parts associated costs.</t>
  </si>
  <si>
    <t>·         All Inclusive: The Final Fees are inclusive of all fees and charges resulting from the</t>
  </si>
  <si>
    <t>a)    Sponsorship;</t>
  </si>
  <si>
    <t>b)    Recruitment of staff including mobilisation and demobilisation with all associated flights, transport;</t>
  </si>
  <si>
    <t>c)    Staff Salaries and any allowances payable to staff;</t>
  </si>
  <si>
    <t>d)    Annual Leave including travelling time, salary, allowances, salaries, flights and transport;</t>
  </si>
  <si>
    <t>e)    Sick leave and leave for Public Holidays;</t>
  </si>
  <si>
    <t>f)     Obtaining &amp; maintaining residence &amp; other work/visit visas &amp; ID cards;</t>
  </si>
  <si>
    <t>g)    Exit permits;</t>
  </si>
  <si>
    <t>h)    Accommodation and Transportation;</t>
  </si>
  <si>
    <t>i)      Medical fees and expenses;</t>
  </si>
  <si>
    <t>j)      Compliance with the local Labour Laws;</t>
  </si>
  <si>
    <t>k)    Municipality fees and charges;</t>
  </si>
  <si>
    <t>l)      Water, electricity &amp; telephone deposits and charges;</t>
  </si>
  <si>
    <t>m)   Obtaining driving licences or alternative approved driving permits;</t>
  </si>
  <si>
    <t>n)    Performance Security;</t>
  </si>
  <si>
    <t>o)    Advance Payment Bond, if applicable;</t>
  </si>
  <si>
    <t>p)    Accountants’ and auditors’ fees;</t>
  </si>
  <si>
    <t>q)    All necessary licenses, permits, and authorizations from relevant government or other entities in the country of the Project;</t>
  </si>
  <si>
    <t>r)     All overhead and general expenses incurred during the FM Service Provider Services including, but not limited to, the following:</t>
  </si>
  <si>
    <t>                                          i.    Salaries &amp; other compensation of the FM Service Provider’s personnel,</t>
  </si>
  <si>
    <t>                                         ii.    including but not limited to schedulers, estimators and accountants,</t>
  </si>
  <si>
    <t>                                        iii.    stationed at all of the FM Service Provider’s office or offices;</t>
  </si>
  <si>
    <t>                                       iv.    Expenses for the FM Service Provider’s offices;</t>
  </si>
  <si>
    <t>                                         v.    Costs of insurance premiums or deductibles paid by the FM Service Provider or its Sub-FM Provider</t>
  </si>
  <si>
    <t>·         Costs in connection with provision spare parts, consumables not related to the Services, stationary, buffet goods, medical supplies, any other material approved by the Employer or his representative.</t>
  </si>
  <si>
    <t xml:space="preserve">·         Costs in connection with Utility bills, as issued by the related entities.  </t>
  </si>
  <si>
    <t>Appendix A – Price Framework – FM Fees</t>
  </si>
  <si>
    <t>Pricing Notes</t>
  </si>
  <si>
    <t>Electrician</t>
  </si>
  <si>
    <t>Labor category</t>
  </si>
  <si>
    <t>Maintenance Engineer</t>
  </si>
  <si>
    <t>Electrician Helper</t>
  </si>
  <si>
    <t>HVAC Technician</t>
  </si>
  <si>
    <t>HVAC Helper</t>
  </si>
  <si>
    <t>Plumber</t>
  </si>
  <si>
    <t>Plumber Helper</t>
  </si>
  <si>
    <t>Planting &amp; Irrigator technician</t>
  </si>
  <si>
    <t>24-hour emergency call</t>
  </si>
  <si>
    <t xml:space="preserve">Facility Management Services for Zone 2D, Zone 3D &amp; Civic Park </t>
  </si>
  <si>
    <t>End User &amp; Days Works Rates</t>
  </si>
  <si>
    <t>Road Sweeper</t>
  </si>
  <si>
    <t>Housekeeping &amp; Waste Management</t>
  </si>
  <si>
    <t xml:space="preserve">Security Guards / per shift </t>
  </si>
  <si>
    <t>Pickup Double Cabinet (1 security + 1 MEP)</t>
  </si>
  <si>
    <t>Landscape (optional)</t>
  </si>
  <si>
    <t>Rate</t>
  </si>
  <si>
    <t>Hr</t>
  </si>
  <si>
    <t>Day</t>
  </si>
  <si>
    <t>Trip</t>
  </si>
  <si>
    <t>Visit</t>
  </si>
  <si>
    <t>Sewage Truck</t>
  </si>
  <si>
    <t>Water Tanker 10 m3</t>
  </si>
  <si>
    <t>Mobilization</t>
  </si>
  <si>
    <t>Provisional Sum / reimbursable items / year 1</t>
  </si>
  <si>
    <t>Total FM Fees amount including Provisional Sum / year 2</t>
  </si>
  <si>
    <t>Provisional Sum / reimbursable items / year 2</t>
  </si>
  <si>
    <t>·         Costs in connection to the Maintenance of Specialized Services (i.e., STPs, elevators, Generators, Gate Barriers, Fire Alarms, Fire Fighting Systems, CCTV, HVAC)</t>
  </si>
  <si>
    <t xml:space="preserve">Manlift </t>
  </si>
  <si>
    <t>Construction Waste Disposal from Tenants Units to Outside Project Boundary</t>
  </si>
  <si>
    <t>Landscape Waste Disposal from Tenants Units to Outside Project Boundary</t>
  </si>
  <si>
    <t>Waste Management (Lumpsum item per month)</t>
  </si>
  <si>
    <t>Pest Control Service  (Lumpsum item per month)</t>
  </si>
  <si>
    <t>Total amount for Mobilization /year 1</t>
  </si>
  <si>
    <t>Total amount for Mobilization /year 2</t>
  </si>
  <si>
    <t>Mobilization (Lumpsum item)</t>
  </si>
  <si>
    <t>Unite</t>
  </si>
  <si>
    <t>No. of Shifts /Month</t>
  </si>
  <si>
    <t xml:space="preserve">Total Rate  /Year 2
</t>
  </si>
  <si>
    <t>Mobilization (Not Applicable) / year 2</t>
  </si>
  <si>
    <t>Mobilization (Not Applicable)</t>
  </si>
  <si>
    <t>Total amount/ Year1</t>
  </si>
  <si>
    <t>Total amount/ Year2</t>
  </si>
  <si>
    <t>Total Rate  /Month</t>
  </si>
  <si>
    <t>No. of Shifts/Day</t>
  </si>
  <si>
    <t>Total Rate /Month</t>
  </si>
  <si>
    <t>Total Rate /Year 1</t>
  </si>
  <si>
    <t>No. of Manning/ Shift/ Day</t>
  </si>
  <si>
    <t>RFP Manning Schedule and Rates -Rev 03</t>
  </si>
  <si>
    <t>The Price Framework, Schedule 1 - Appendix A- Rev 03</t>
  </si>
  <si>
    <t>Rate/ Shift/ Day</t>
  </si>
  <si>
    <t>City Gate - FMPLus Mobilization Area</t>
  </si>
  <si>
    <t>Mobilization Area</t>
  </si>
  <si>
    <t>A</t>
  </si>
  <si>
    <t>Caravans</t>
  </si>
  <si>
    <t>#</t>
  </si>
  <si>
    <t>Caravan For</t>
  </si>
  <si>
    <t>Dimensions</t>
  </si>
  <si>
    <t>Cost</t>
  </si>
  <si>
    <t>Dep. Period</t>
  </si>
  <si>
    <t>Monthly Cost</t>
  </si>
  <si>
    <t>Head Of Operations</t>
  </si>
  <si>
    <t>3*6 M</t>
  </si>
  <si>
    <t>Engineering Team</t>
  </si>
  <si>
    <t>3*9 M</t>
  </si>
  <si>
    <t>Helpdesk &amp; admins</t>
  </si>
  <si>
    <t>Quality Team</t>
  </si>
  <si>
    <t>Meeting Room</t>
  </si>
  <si>
    <t>Houskeeping Team</t>
  </si>
  <si>
    <t xml:space="preserve">LS Team </t>
  </si>
  <si>
    <t>Centralized Kitchen</t>
  </si>
  <si>
    <t>Maintenance Team (Lockers Caravan)</t>
  </si>
  <si>
    <t>3*12 M</t>
  </si>
  <si>
    <t>HK Team (Lockers Caravan) - Male</t>
  </si>
  <si>
    <t>HK Team (Lockers Caravan) - Female</t>
  </si>
  <si>
    <t>3*3 M</t>
  </si>
  <si>
    <t>LS Team (Lockers Caravan)</t>
  </si>
  <si>
    <t>Security Management Team</t>
  </si>
  <si>
    <t>Public Toilets Male</t>
  </si>
  <si>
    <t>Public Toilets Female</t>
  </si>
  <si>
    <t>TOTAL</t>
  </si>
  <si>
    <t>B</t>
  </si>
  <si>
    <t>Containers / Stores</t>
  </si>
  <si>
    <t>Container For</t>
  </si>
  <si>
    <t>MEP</t>
  </si>
  <si>
    <t xml:space="preserve">HK &amp; Security </t>
  </si>
  <si>
    <t>Landscape</t>
  </si>
  <si>
    <t>Uniform</t>
  </si>
  <si>
    <t>C</t>
  </si>
  <si>
    <t>Outdoor Area</t>
  </si>
  <si>
    <t>Car Parking Shade</t>
  </si>
  <si>
    <t>3*16 M</t>
  </si>
  <si>
    <t>Outdoor Electrical Sockets</t>
  </si>
  <si>
    <t>LUM</t>
  </si>
  <si>
    <t>Outdoor Lighting</t>
  </si>
  <si>
    <t>Outdoor Interlock &amp; Landscape</t>
  </si>
  <si>
    <t>Concerete Base &amp; Installation</t>
  </si>
  <si>
    <t>D</t>
  </si>
  <si>
    <t>Furniture</t>
  </si>
  <si>
    <t>QTY</t>
  </si>
  <si>
    <t xml:space="preserve">Office </t>
  </si>
  <si>
    <t>WorkSpace</t>
  </si>
  <si>
    <t>Chair</t>
  </si>
  <si>
    <t>AC's</t>
  </si>
  <si>
    <t>Kitchen Eq</t>
  </si>
  <si>
    <t>Meeting Room Fur.</t>
  </si>
  <si>
    <t>LUm</t>
  </si>
  <si>
    <t>Ex. Fans</t>
  </si>
  <si>
    <t>E</t>
  </si>
  <si>
    <t>IT Equipment  &amp; Data Center</t>
  </si>
  <si>
    <t>finger print</t>
  </si>
  <si>
    <t>laptop</t>
  </si>
  <si>
    <t>Camera</t>
  </si>
  <si>
    <t>Routers &amp; Data Networks - Data Center</t>
  </si>
  <si>
    <t>Access Cards &amp;Panel</t>
  </si>
  <si>
    <t>TV Screen</t>
  </si>
  <si>
    <t>3cX Phones</t>
  </si>
  <si>
    <t>F</t>
  </si>
  <si>
    <t>Fire Alarm &amp; Fire Fighting - Emergency Power</t>
  </si>
  <si>
    <t>Fire Alarm Panel</t>
  </si>
  <si>
    <t>Fire alarm sensors &amp; networks</t>
  </si>
  <si>
    <t>FF Extigusher</t>
  </si>
  <si>
    <t>FF Fire Search</t>
  </si>
  <si>
    <t>Gen &amp; ATS</t>
  </si>
  <si>
    <t>G</t>
  </si>
  <si>
    <t>Monthly Consumption &amp; Office Supplies</t>
  </si>
  <si>
    <t>Potable Water</t>
  </si>
  <si>
    <t>Electricity</t>
  </si>
  <si>
    <t>Internet</t>
  </si>
  <si>
    <t>Maintenance 10% - Spare Parts</t>
  </si>
  <si>
    <t>Pantry</t>
  </si>
  <si>
    <t>Paper</t>
  </si>
  <si>
    <t>Printers &amp; Ink</t>
  </si>
  <si>
    <t>Fuel For Generator</t>
  </si>
  <si>
    <t xml:space="preserve">Mobilization Summary </t>
  </si>
  <si>
    <t>Item</t>
  </si>
  <si>
    <t>Annual Cost</t>
  </si>
  <si>
    <t>Total</t>
  </si>
  <si>
    <t>Total Mobilization Costs</t>
  </si>
  <si>
    <t>Rest</t>
  </si>
  <si>
    <t>Value / Month - Y2</t>
  </si>
  <si>
    <t>HK</t>
  </si>
  <si>
    <t>Pest</t>
  </si>
  <si>
    <t>Lands</t>
  </si>
  <si>
    <t>Security</t>
  </si>
  <si>
    <t>Transp</t>
  </si>
  <si>
    <t>City Gate - MEP Budget (Year 1)</t>
  </si>
  <si>
    <t>Head Count</t>
  </si>
  <si>
    <t>Head Cost / CTC</t>
  </si>
  <si>
    <t>Monthly</t>
  </si>
  <si>
    <t>Annualy</t>
  </si>
  <si>
    <t>Direct Costs - As per Pricing Sheet</t>
  </si>
  <si>
    <t>Sheet HC</t>
  </si>
  <si>
    <t>Budget HC</t>
  </si>
  <si>
    <t>FMPlus Rate</t>
  </si>
  <si>
    <t>Rate / Shift</t>
  </si>
  <si>
    <t>Total Direct Manpower - As Per Pricing Sheet</t>
  </si>
  <si>
    <t>Should Be Same</t>
  </si>
  <si>
    <t>Indirect Costs</t>
  </si>
  <si>
    <t>MEP - Tools + Equipment</t>
  </si>
  <si>
    <t>Electrical Tools</t>
  </si>
  <si>
    <t>Carpentry Tools</t>
  </si>
  <si>
    <t>Plumbing Tools</t>
  </si>
  <si>
    <t>Light Current Tools</t>
  </si>
  <si>
    <t>Mechanical Tools</t>
  </si>
  <si>
    <t>Water features Tools</t>
  </si>
  <si>
    <t>MEP Shared Equipment</t>
  </si>
  <si>
    <t xml:space="preserve">MEP - Consumables </t>
  </si>
  <si>
    <t xml:space="preserve">Electrical </t>
  </si>
  <si>
    <t>Plumbing</t>
  </si>
  <si>
    <t>Civil</t>
  </si>
  <si>
    <t xml:space="preserve">LC </t>
  </si>
  <si>
    <t>Mechanical Including Oil Filters …etc</t>
  </si>
  <si>
    <t>Chemicals - Consumables</t>
  </si>
  <si>
    <t>Chlorine</t>
  </si>
  <si>
    <t>Aliga Cide</t>
  </si>
  <si>
    <t>PH Modifier</t>
  </si>
  <si>
    <t>Water Softner</t>
  </si>
  <si>
    <t>Others</t>
  </si>
  <si>
    <t>Water Tanks - Cleaning &amp; Disinfection</t>
  </si>
  <si>
    <t>Zone 3D</t>
  </si>
  <si>
    <t xml:space="preserve">CAFM </t>
  </si>
  <si>
    <t>Software Accounts - Users</t>
  </si>
  <si>
    <t>IT Support</t>
  </si>
  <si>
    <t>Transportation Outside Site</t>
  </si>
  <si>
    <t>Managers Transportation Allowance</t>
  </si>
  <si>
    <t>Supervisors &amp; Technicians Transportation Allowance</t>
  </si>
  <si>
    <t>Arab Fees</t>
  </si>
  <si>
    <t>Sub-Contractors Management</t>
  </si>
  <si>
    <t>HSE</t>
  </si>
  <si>
    <t>Total Of Indirect Costs</t>
  </si>
  <si>
    <t>Costing Sheet Summary</t>
  </si>
  <si>
    <t>Direct Costs</t>
  </si>
  <si>
    <t>In-Direct Costs</t>
  </si>
  <si>
    <t>FMPlus GP</t>
  </si>
  <si>
    <t>In-Direct %</t>
  </si>
  <si>
    <t>City Gate - MEP Budget (Year 2)</t>
  </si>
  <si>
    <t>Mobilization Rate For Y-2</t>
  </si>
  <si>
    <t>City Gate - HK &amp; Waste Management Budget (Year 1)</t>
  </si>
  <si>
    <t>HK - Tools + Equipment</t>
  </si>
  <si>
    <t>HK - Tools</t>
  </si>
  <si>
    <t>HK - Equipment</t>
  </si>
  <si>
    <t xml:space="preserve">HK - Consumables </t>
  </si>
  <si>
    <t>HK - Public Consumables</t>
  </si>
  <si>
    <t>HK - Garbage Bags</t>
  </si>
  <si>
    <t>Management Manpower</t>
  </si>
  <si>
    <t>HK Specialist</t>
  </si>
  <si>
    <t>City Gate - HK &amp; Waste Management Budget (Year 2)</t>
  </si>
  <si>
    <t>City Gate - Pest Control Budget (Year 1)</t>
  </si>
  <si>
    <t>City Gate - Pest Control Budget (Year 2)</t>
  </si>
  <si>
    <t>City Gate - Landscape Year 1</t>
  </si>
  <si>
    <t>LS - Tools + Equipment</t>
  </si>
  <si>
    <t>LS - Tools</t>
  </si>
  <si>
    <t>LS - Equipment</t>
  </si>
  <si>
    <t xml:space="preserve">LS - Consumables </t>
  </si>
  <si>
    <t>LS - Fertilizers</t>
  </si>
  <si>
    <t>LS- Chemicals</t>
  </si>
  <si>
    <t>LS- Petsidies</t>
  </si>
  <si>
    <t>Landscape Wastes</t>
  </si>
  <si>
    <t>Waste Collection</t>
  </si>
  <si>
    <t>Waste Bags</t>
  </si>
  <si>
    <t>City Gate - Landscape Year 2</t>
  </si>
  <si>
    <t>City Gate - Security Y1</t>
  </si>
  <si>
    <t>Security Tools &amp; Equipment</t>
  </si>
  <si>
    <t>Security - عصا</t>
  </si>
  <si>
    <t>Security Lighting</t>
  </si>
  <si>
    <t>Secuirty Walkie Takie</t>
  </si>
  <si>
    <t>Secuirty Consumables</t>
  </si>
  <si>
    <t>Documentation</t>
  </si>
  <si>
    <t>Visitors ID</t>
  </si>
  <si>
    <t>Fuel for Scooters</t>
  </si>
  <si>
    <t>Fuel For Cars</t>
  </si>
  <si>
    <t>Accommodation</t>
  </si>
  <si>
    <t>Apartments for guards &amp; Supervisors</t>
  </si>
  <si>
    <t>City Gate - Security Y2</t>
  </si>
  <si>
    <t>City Gate - TR Y1</t>
  </si>
  <si>
    <t>Drivers</t>
  </si>
  <si>
    <t>Driver 12 HRs</t>
  </si>
  <si>
    <t>Apartments for Drivers</t>
  </si>
  <si>
    <t>City Gate - TR Y2</t>
  </si>
  <si>
    <t>Qty</t>
  </si>
  <si>
    <t>Shift/Month</t>
  </si>
  <si>
    <t xml:space="preserve">  Security Manpower </t>
  </si>
  <si>
    <t>MEP Manpower</t>
  </si>
  <si>
    <t>Pickup Double Cabinet (1 security )</t>
  </si>
  <si>
    <t>Total Revenue</t>
  </si>
  <si>
    <t xml:space="preserve"> Depreciation tools </t>
  </si>
  <si>
    <t>Security Tools&amp;Consumabls&amp;uniform</t>
  </si>
  <si>
    <t>Consumtion documentation</t>
  </si>
  <si>
    <t>Depreciation uniform</t>
  </si>
  <si>
    <t xml:space="preserve"> Total</t>
  </si>
  <si>
    <t xml:space="preserve"> ICT &amp; Others</t>
  </si>
  <si>
    <t>Software Account</t>
  </si>
  <si>
    <t>Depreciation ICT</t>
  </si>
  <si>
    <t>Over Head</t>
  </si>
  <si>
    <t>Meals</t>
  </si>
  <si>
    <t>.</t>
  </si>
  <si>
    <t>Rent Appartment</t>
  </si>
  <si>
    <t>Elec,Water,,,</t>
  </si>
  <si>
    <t>Depreciataion Furniture</t>
  </si>
  <si>
    <t xml:space="preserve"> Accoumedation</t>
  </si>
  <si>
    <t>buss Depreciation</t>
  </si>
  <si>
    <t>Driver</t>
  </si>
  <si>
    <t xml:space="preserve">Jeep </t>
  </si>
  <si>
    <t>Gas, Oil , maintenance</t>
  </si>
  <si>
    <t>Scooter</t>
  </si>
  <si>
    <t xml:space="preserve"> Total Cost</t>
  </si>
  <si>
    <t>GM</t>
  </si>
  <si>
    <t>GM %</t>
  </si>
  <si>
    <t>1) Security Budget Scenarios</t>
  </si>
  <si>
    <t xml:space="preserve">  Housekeeping Manpower </t>
  </si>
  <si>
    <t>HK Tools&amp;Consumabls&amp;uniform</t>
  </si>
  <si>
    <t>Housekeeping Manpower</t>
  </si>
  <si>
    <t xml:space="preserve"> Depreciation tools and equipment</t>
  </si>
  <si>
    <t>Consumables</t>
  </si>
  <si>
    <t xml:space="preserve"> ICT Depriciation</t>
  </si>
  <si>
    <t>housekeeping specialist</t>
  </si>
  <si>
    <t>Pickup Double Cabinet (1 HK )</t>
  </si>
  <si>
    <t xml:space="preserve">Transportation costs </t>
  </si>
  <si>
    <t>2) Housekeeping Budget Scenarios</t>
  </si>
  <si>
    <t>3) MEP Budget Scenarios</t>
  </si>
  <si>
    <t xml:space="preserve">  MEP Manpower </t>
  </si>
  <si>
    <t>MEP Tools&amp;Consumabls&amp;uniform</t>
  </si>
  <si>
    <t>Supervisor - R</t>
  </si>
  <si>
    <t>Technician - R</t>
  </si>
  <si>
    <t xml:space="preserve"> Depreciation tools and equipment all MEP lines</t>
  </si>
  <si>
    <t xml:space="preserve">subcontractors management </t>
  </si>
  <si>
    <t>Pickup Double Cabinet (1 MEP )</t>
  </si>
  <si>
    <t xml:space="preserve">water tanck </t>
  </si>
  <si>
    <t>Transportation costs (Cap)</t>
  </si>
  <si>
    <t>4) Landscape Budget Scenarios</t>
  </si>
  <si>
    <t xml:space="preserve">  Landscape Manpower </t>
  </si>
  <si>
    <t xml:space="preserve">  landscape Manpower </t>
  </si>
  <si>
    <t>landscape Tools&amp;Consumabls&amp;uniform</t>
  </si>
  <si>
    <t>landscape consumables</t>
  </si>
  <si>
    <t xml:space="preserve">  Pest Control Manpower </t>
  </si>
  <si>
    <t>5) Peast Control Budget Scenarios</t>
  </si>
  <si>
    <t>Transportation Costs</t>
  </si>
  <si>
    <t xml:space="preserve"> Consumables</t>
  </si>
  <si>
    <t xml:space="preserve"> ICT suport </t>
  </si>
  <si>
    <t>Over Head (Generators</t>
  </si>
  <si>
    <t>Contracting Insurance</t>
  </si>
  <si>
    <t>Pest Control Tools&amp;Consumabls&amp;uniform</t>
  </si>
  <si>
    <t>Landscape waste</t>
  </si>
  <si>
    <t>Meals 80% (Form 140 Per Meal)</t>
  </si>
  <si>
    <t>Ramadan Meals (140-30)=110 Per Meals</t>
  </si>
  <si>
    <t>Eid Vacation Allowance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</si>
</sst>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00_-;\-[$€]* #,##0.00_-;_-[$€]* &quot;-&quot;??_-;_-@_-"/>
    <numFmt numFmtId="166" formatCode="0.0%"/>
    <numFmt numFmtId="167" formatCode="_(* #,##0_);_(* \(#,##0\);_(* &quot;-&quot;??_);_(@_)"/>
  </numFmts>
  <fonts count="35">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14"/>
      <color theme="1"/>
      <name val="Calibri"/>
      <family val="2"/>
      <scheme val="minor"/>
    </font>
    <font>
      <b/>
      <sz val="12"/>
      <color theme="1"/>
      <name val="Arial"/>
      <family val="2"/>
    </font>
    <font>
      <sz val="11"/>
      <name val="Arial"/>
      <family val="2"/>
    </font>
    <font>
      <sz val="10"/>
      <name val="Arial"/>
      <family val="2"/>
    </font>
    <font>
      <sz val="10"/>
      <name val="Helv"/>
      <charset val="178"/>
    </font>
    <font>
      <sz val="12"/>
      <name val="Arial MT"/>
    </font>
    <font>
      <sz val="10"/>
      <color theme="1"/>
      <name val="DIN-Regular"/>
      <family val="2"/>
    </font>
    <font>
      <sz val="10"/>
      <name val="MS Sans Serif"/>
      <family val="2"/>
      <charset val="178"/>
    </font>
    <font>
      <sz val="12"/>
      <color theme="1"/>
      <name val="Arial"/>
      <family val="2"/>
    </font>
    <font>
      <sz val="12"/>
      <color rgb="FFFFC000"/>
      <name val="Times New Roman"/>
      <family val="1"/>
    </font>
    <font>
      <sz val="12"/>
      <name val="Times New Roman"/>
      <family val="1"/>
    </font>
    <font>
      <sz val="11"/>
      <color theme="1"/>
      <name val="Calibri"/>
      <family val="2"/>
      <scheme val="minor"/>
    </font>
    <font>
      <sz val="11"/>
      <color rgb="FF000000"/>
      <name val="Calibri"/>
      <family val="2"/>
      <charset val="204"/>
    </font>
    <font>
      <b/>
      <sz val="16"/>
      <color rgb="FF000000"/>
      <name val="Calibri"/>
      <family val="2"/>
    </font>
    <font>
      <b/>
      <sz val="12"/>
      <color rgb="FF000000"/>
      <name val="Calibri"/>
      <family val="2"/>
    </font>
    <font>
      <b/>
      <i/>
      <sz val="11"/>
      <color rgb="FF000000"/>
      <name val="Calibri"/>
      <family val="2"/>
    </font>
    <font>
      <b/>
      <sz val="11"/>
      <color rgb="FF000000"/>
      <name val="Calibri"/>
      <family val="2"/>
    </font>
    <font>
      <b/>
      <sz val="14"/>
      <color rgb="FF000000"/>
      <name val="Calibri"/>
      <family val="2"/>
    </font>
    <font>
      <sz val="11"/>
      <color theme="1"/>
      <name val="Arial"/>
      <family val="2"/>
    </font>
    <font>
      <u/>
      <sz val="12"/>
      <color rgb="FFFF0000"/>
      <name val="Calibri"/>
      <family val="2"/>
      <scheme val="minor"/>
    </font>
    <font>
      <b/>
      <sz val="12"/>
      <color theme="1" tint="0.499984740745262"/>
      <name val="Calibri"/>
      <family val="2"/>
      <scheme val="minor"/>
    </font>
    <font>
      <b/>
      <sz val="11"/>
      <color theme="1" tint="0.499984740745262"/>
      <name val="Calibri"/>
      <family val="2"/>
      <scheme val="minor"/>
    </font>
    <font>
      <b/>
      <sz val="12"/>
      <color theme="1"/>
      <name val="Calibri"/>
      <family val="2"/>
      <scheme val="minor"/>
    </font>
    <font>
      <b/>
      <sz val="11"/>
      <color rgb="FFC00000"/>
      <name val="Calibri"/>
      <family val="2"/>
      <scheme val="minor"/>
    </font>
    <font>
      <b/>
      <sz val="11"/>
      <color theme="1"/>
      <name val="Arial"/>
      <family val="2"/>
    </font>
    <font>
      <b/>
      <sz val="14"/>
      <color theme="1"/>
      <name val="Arial"/>
      <family val="2"/>
    </font>
    <font>
      <b/>
      <sz val="11"/>
      <color theme="0"/>
      <name val="Calibri"/>
      <family val="2"/>
      <scheme val="minor"/>
    </font>
    <font>
      <sz val="11"/>
      <color rgb="FFFF0000"/>
      <name val="Calibri"/>
      <family val="2"/>
      <scheme val="minor"/>
    </font>
    <font>
      <sz val="11"/>
      <color theme="0"/>
      <name val="Calibri"/>
      <family val="2"/>
      <scheme val="minor"/>
    </font>
    <font>
      <b/>
      <sz val="11"/>
      <name val="Calibri"/>
      <family val="2"/>
      <scheme val="minor"/>
    </font>
    <font>
      <b/>
      <sz val="11"/>
      <color theme="1" tint="0.34998626667073579"/>
      <name val="Calibri"/>
      <family val="2"/>
      <scheme val="minor"/>
    </font>
  </fonts>
  <fills count="21">
    <fill>
      <patternFill patternType="none"/>
    </fill>
    <fill>
      <patternFill patternType="gray125"/>
    </fill>
    <fill>
      <patternFill patternType="solid">
        <fgColor theme="9"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F4D1"/>
        <bgColor indexed="64"/>
      </patternFill>
    </fill>
    <fill>
      <patternFill patternType="solid">
        <fgColor rgb="FFFFFF00"/>
        <bgColor indexed="64"/>
      </patternFill>
    </fill>
    <fill>
      <patternFill patternType="solid">
        <fgColor theme="0"/>
        <bgColor indexed="64"/>
      </patternFill>
    </fill>
    <fill>
      <patternFill patternType="solid">
        <fgColor theme="2" tint="-0.749992370372631"/>
        <bgColor indexed="64"/>
      </patternFill>
    </fill>
    <fill>
      <patternFill patternType="solid">
        <fgColor theme="1" tint="0.14999847407452621"/>
        <bgColor indexed="64"/>
      </patternFill>
    </fill>
    <fill>
      <patternFill patternType="solid">
        <fgColor theme="2"/>
        <bgColor indexed="64"/>
      </patternFill>
    </fill>
    <fill>
      <patternFill patternType="solid">
        <fgColor theme="1" tint="0.34998626667073579"/>
        <bgColor indexed="64"/>
      </patternFill>
    </fill>
    <fill>
      <patternFill patternType="solid">
        <fgColor theme="0" tint="-0.14999847407452621"/>
        <bgColor indexed="64"/>
      </patternFill>
    </fill>
  </fills>
  <borders count="101">
    <border>
      <left/>
      <right/>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right/>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right/>
      <top style="dashed">
        <color indexed="64"/>
      </top>
      <bottom/>
      <diagonal/>
    </border>
    <border>
      <left/>
      <right/>
      <top style="thin">
        <color theme="4" tint="0.39997558519241921"/>
      </top>
      <bottom style="thin">
        <color indexed="64"/>
      </bottom>
      <diagonal/>
    </border>
    <border>
      <left style="thin">
        <color indexed="64"/>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style="thin">
        <color rgb="FF000000"/>
      </right>
      <top style="dashed">
        <color indexed="64"/>
      </top>
      <bottom/>
      <diagonal/>
    </border>
    <border>
      <left/>
      <right/>
      <top style="thin">
        <color theme="4" tint="0.3999755851924192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theme="4" tint="0.39997558519241921"/>
      </top>
      <bottom style="dashed">
        <color indexed="64"/>
      </bottom>
      <diagonal/>
    </border>
    <border>
      <left style="thin">
        <color rgb="FF000000"/>
      </left>
      <right/>
      <top style="dashed">
        <color indexed="64"/>
      </top>
      <bottom style="dashed">
        <color indexed="64"/>
      </bottom>
      <diagonal/>
    </border>
    <border>
      <left/>
      <right style="thin">
        <color rgb="FF000000"/>
      </right>
      <top style="dashed">
        <color indexed="64"/>
      </top>
      <bottom style="dashed">
        <color indexed="64"/>
      </bottom>
      <diagonal/>
    </border>
    <border>
      <left style="thin">
        <color rgb="FF000000"/>
      </left>
      <right/>
      <top style="dashed">
        <color indexed="64"/>
      </top>
      <bottom style="thin">
        <color rgb="FF000000"/>
      </bottom>
      <diagonal/>
    </border>
    <border>
      <left/>
      <right/>
      <top style="dashed">
        <color indexed="64"/>
      </top>
      <bottom style="thin">
        <color rgb="FF000000"/>
      </bottom>
      <diagonal/>
    </border>
    <border>
      <left/>
      <right/>
      <top style="dashed">
        <color indexed="64"/>
      </top>
      <bottom style="thin">
        <color theme="4" tint="0.39997558519241921"/>
      </bottom>
      <diagonal/>
    </border>
    <border>
      <left/>
      <right style="thin">
        <color rgb="FF000000"/>
      </right>
      <top style="dashed">
        <color indexed="64"/>
      </top>
      <bottom style="thin">
        <color rgb="FF000000"/>
      </bottom>
      <diagonal/>
    </border>
    <border>
      <left style="thin">
        <color indexed="64"/>
      </left>
      <right style="thin">
        <color indexed="64"/>
      </right>
      <top style="thin">
        <color theme="4" tint="0.39997558519241921"/>
      </top>
      <bottom style="thin">
        <color indexed="64"/>
      </bottom>
      <diagonal/>
    </border>
    <border>
      <left style="thin">
        <color indexed="64"/>
      </left>
      <right/>
      <top style="dashed">
        <color indexed="64"/>
      </top>
      <bottom style="thin">
        <color theme="4" tint="0.39997558519241921"/>
      </bottom>
      <diagonal/>
    </border>
    <border>
      <left style="thin">
        <color indexed="64"/>
      </left>
      <right/>
      <top style="thin">
        <color indexed="64"/>
      </top>
      <bottom style="dashed">
        <color indexed="64"/>
      </bottom>
      <diagonal/>
    </border>
    <border>
      <left style="thin">
        <color indexed="64"/>
      </left>
      <right/>
      <top style="thin">
        <color theme="4" tint="0.39997558519241921"/>
      </top>
      <bottom style="dashed">
        <color indexed="64"/>
      </bottom>
      <diagonal/>
    </border>
    <border>
      <left style="thin">
        <color indexed="64"/>
      </left>
      <right style="thin">
        <color indexed="64"/>
      </right>
      <top style="dashed">
        <color indexed="64"/>
      </top>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style="dashed">
        <color indexed="64"/>
      </top>
      <bottom/>
      <diagonal/>
    </border>
  </borders>
  <cellStyleXfs count="21">
    <xf numFmtId="0" fontId="0" fillId="0" borderId="0"/>
    <xf numFmtId="165" fontId="6" fillId="0" borderId="0"/>
    <xf numFmtId="0" fontId="7" fillId="0" borderId="0"/>
    <xf numFmtId="0" fontId="7" fillId="0" borderId="0"/>
    <xf numFmtId="0" fontId="8" fillId="0" borderId="0"/>
    <xf numFmtId="0" fontId="7" fillId="0" borderId="0"/>
    <xf numFmtId="0" fontId="7" fillId="0" borderId="0"/>
    <xf numFmtId="0" fontId="7" fillId="0" borderId="0"/>
    <xf numFmtId="164" fontId="7" fillId="0" borderId="0" applyFont="0" applyFill="0" applyBorder="0" applyAlignment="0" applyProtection="0"/>
    <xf numFmtId="37" fontId="9" fillId="0" borderId="0"/>
    <xf numFmtId="0" fontId="10" fillId="0" borderId="0"/>
    <xf numFmtId="9" fontId="9" fillId="0" borderId="0" applyFont="0" applyFill="0" applyBorder="0" applyAlignment="0" applyProtection="0"/>
    <xf numFmtId="0" fontId="11" fillId="0" borderId="0"/>
    <xf numFmtId="164" fontId="15" fillId="0" borderId="0" applyFont="0" applyFill="0" applyBorder="0" applyAlignment="0" applyProtection="0"/>
    <xf numFmtId="9" fontId="15" fillId="0" borderId="0" applyFont="0" applyFill="0" applyBorder="0" applyAlignment="0" applyProtection="0"/>
    <xf numFmtId="0" fontId="16" fillId="0" borderId="0"/>
    <xf numFmtId="164" fontId="16" fillId="0" borderId="0" applyFont="0" applyFill="0" applyBorder="0" applyAlignment="0" applyProtection="0"/>
    <xf numFmtId="0" fontId="15" fillId="0" borderId="0"/>
    <xf numFmtId="0" fontId="22" fillId="0" borderId="0"/>
    <xf numFmtId="43" fontId="15" fillId="0" borderId="0" applyFont="0" applyFill="0" applyBorder="0" applyAlignment="0" applyProtection="0"/>
    <xf numFmtId="9" fontId="15" fillId="0" borderId="0" applyFont="0" applyFill="0" applyBorder="0" applyAlignment="0" applyProtection="0"/>
  </cellStyleXfs>
  <cellXfs count="542">
    <xf numFmtId="0" fontId="0" fillId="0" borderId="0" xfId="0"/>
    <xf numFmtId="0" fontId="0" fillId="0" borderId="0" xfId="0" applyAlignment="1">
      <alignment vertical="center"/>
    </xf>
    <xf numFmtId="0" fontId="0" fillId="0" borderId="0" xfId="0" applyAlignment="1">
      <alignment vertical="center" wrapText="1"/>
    </xf>
    <xf numFmtId="0" fontId="1" fillId="5" borderId="9" xfId="0" applyFont="1" applyFill="1" applyBorder="1" applyAlignment="1">
      <alignment horizontal="center" vertical="center" wrapText="1"/>
    </xf>
    <xf numFmtId="0" fontId="0" fillId="2" borderId="14" xfId="0" applyFont="1" applyFill="1" applyBorder="1" applyAlignment="1">
      <alignment vertical="center" wrapText="1"/>
    </xf>
    <xf numFmtId="0" fontId="0" fillId="2" borderId="27" xfId="0" applyFont="1" applyFill="1" applyBorder="1" applyAlignment="1">
      <alignment vertical="center" wrapText="1"/>
    </xf>
    <xf numFmtId="0" fontId="0" fillId="4" borderId="20" xfId="0" applyFont="1" applyFill="1" applyBorder="1" applyAlignment="1">
      <alignment vertical="center" wrapText="1"/>
    </xf>
    <xf numFmtId="0" fontId="1" fillId="3" borderId="31" xfId="0" applyFont="1" applyFill="1" applyBorder="1" applyAlignment="1">
      <alignment vertical="center" wrapText="1"/>
    </xf>
    <xf numFmtId="0" fontId="1" fillId="4" borderId="32" xfId="0" applyFont="1" applyFill="1" applyBorder="1" applyAlignment="1">
      <alignment vertical="center" wrapText="1"/>
    </xf>
    <xf numFmtId="0" fontId="1" fillId="5" borderId="37" xfId="0" applyFont="1" applyFill="1" applyBorder="1" applyAlignment="1">
      <alignment vertical="center" wrapText="1"/>
    </xf>
    <xf numFmtId="0" fontId="1" fillId="8" borderId="9" xfId="0" applyFont="1" applyFill="1" applyBorder="1" applyAlignment="1">
      <alignment horizontal="center" vertical="center" wrapText="1"/>
    </xf>
    <xf numFmtId="0" fontId="1" fillId="8" borderId="34" xfId="0" applyFont="1" applyFill="1" applyBorder="1" applyAlignment="1">
      <alignment horizontal="center" vertical="center" wrapText="1"/>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4" borderId="21" xfId="0" applyFont="1" applyFill="1" applyBorder="1" applyAlignment="1">
      <alignment horizontal="center" vertical="center"/>
    </xf>
    <xf numFmtId="0" fontId="1" fillId="4" borderId="22" xfId="0" applyFont="1" applyFill="1" applyBorder="1" applyAlignment="1">
      <alignment horizontal="center" vertical="center"/>
    </xf>
    <xf numFmtId="0" fontId="1" fillId="2" borderId="27" xfId="0" applyFont="1" applyFill="1" applyBorder="1" applyAlignment="1" applyProtection="1">
      <alignment vertical="center" wrapText="1"/>
    </xf>
    <xf numFmtId="0" fontId="0" fillId="0" borderId="0" xfId="0" applyAlignment="1" applyProtection="1">
      <alignment vertical="center"/>
    </xf>
    <xf numFmtId="0" fontId="1" fillId="4" borderId="9" xfId="0" applyFont="1" applyFill="1" applyBorder="1" applyAlignment="1" applyProtection="1">
      <alignment vertical="center" wrapText="1"/>
    </xf>
    <xf numFmtId="0" fontId="1" fillId="0" borderId="0" xfId="0" applyFont="1" applyFill="1" applyBorder="1" applyAlignment="1" applyProtection="1">
      <alignment horizontal="center" vertical="center" wrapText="1"/>
    </xf>
    <xf numFmtId="2" fontId="1" fillId="0" borderId="0" xfId="0" applyNumberFormat="1" applyFont="1" applyFill="1" applyBorder="1" applyAlignment="1" applyProtection="1">
      <alignment horizontal="center" vertical="center"/>
    </xf>
    <xf numFmtId="0" fontId="0" fillId="0" borderId="0" xfId="0" applyFill="1" applyAlignment="1" applyProtection="1">
      <alignment vertical="center"/>
    </xf>
    <xf numFmtId="0" fontId="1" fillId="0" borderId="0" xfId="0" applyFont="1" applyAlignment="1" applyProtection="1">
      <alignment vertical="center" wrapText="1"/>
    </xf>
    <xf numFmtId="0" fontId="0" fillId="0" borderId="0" xfId="0" applyAlignment="1" applyProtection="1">
      <alignment vertical="center" wrapText="1"/>
    </xf>
    <xf numFmtId="0" fontId="3" fillId="0" borderId="0" xfId="0" applyFont="1" applyAlignment="1" applyProtection="1">
      <alignment vertical="center"/>
    </xf>
    <xf numFmtId="0" fontId="0" fillId="6" borderId="27" xfId="0" applyFill="1" applyBorder="1" applyAlignment="1" applyProtection="1">
      <alignment vertical="center" wrapText="1"/>
    </xf>
    <xf numFmtId="0" fontId="0" fillId="6" borderId="17" xfId="0" applyFill="1" applyBorder="1" applyAlignment="1" applyProtection="1">
      <alignment vertical="center" wrapText="1"/>
    </xf>
    <xf numFmtId="0" fontId="0" fillId="6" borderId="23" xfId="0" applyFill="1" applyBorder="1" applyAlignment="1" applyProtection="1">
      <alignment vertical="center" wrapText="1"/>
    </xf>
    <xf numFmtId="0" fontId="1" fillId="2" borderId="14" xfId="0" applyFont="1" applyFill="1" applyBorder="1" applyAlignment="1" applyProtection="1">
      <alignment vertical="center" wrapText="1"/>
    </xf>
    <xf numFmtId="0" fontId="1" fillId="7" borderId="14" xfId="0" applyFont="1" applyFill="1" applyBorder="1" applyAlignment="1" applyProtection="1">
      <alignment vertical="center" wrapText="1"/>
    </xf>
    <xf numFmtId="0" fontId="1" fillId="7" borderId="8" xfId="0" applyFont="1" applyFill="1" applyBorder="1" applyAlignment="1" applyProtection="1">
      <alignment vertical="center"/>
    </xf>
    <xf numFmtId="0" fontId="0" fillId="0" borderId="13" xfId="0" applyBorder="1" applyAlignment="1" applyProtection="1">
      <alignment horizontal="center" vertical="center"/>
    </xf>
    <xf numFmtId="0" fontId="0" fillId="0" borderId="7" xfId="0" applyBorder="1" applyAlignment="1" applyProtection="1">
      <alignment horizontal="center" vertical="center"/>
    </xf>
    <xf numFmtId="0" fontId="0" fillId="0" borderId="3" xfId="0" applyBorder="1" applyAlignment="1" applyProtection="1">
      <alignment horizontal="center" vertical="center"/>
    </xf>
    <xf numFmtId="0" fontId="0" fillId="3" borderId="34" xfId="0" applyFill="1" applyBorder="1" applyAlignment="1" applyProtection="1">
      <alignment vertical="center" wrapText="1"/>
    </xf>
    <xf numFmtId="0" fontId="0" fillId="4" borderId="9" xfId="0" applyFill="1" applyBorder="1" applyAlignment="1" applyProtection="1">
      <alignment vertical="center" wrapText="1"/>
    </xf>
    <xf numFmtId="0" fontId="0" fillId="5" borderId="35" xfId="0" applyFill="1" applyBorder="1" applyAlignment="1" applyProtection="1">
      <alignment vertical="center" wrapText="1"/>
    </xf>
    <xf numFmtId="0" fontId="0" fillId="5" borderId="29" xfId="0" applyFill="1" applyBorder="1" applyAlignment="1" applyProtection="1">
      <alignment horizontal="center" vertical="center"/>
    </xf>
    <xf numFmtId="0" fontId="1" fillId="7" borderId="10" xfId="0" applyFont="1" applyFill="1" applyBorder="1" applyAlignment="1" applyProtection="1">
      <alignment vertical="center" wrapText="1"/>
    </xf>
    <xf numFmtId="0" fontId="1" fillId="7" borderId="11" xfId="0" applyFont="1" applyFill="1" applyBorder="1" applyAlignment="1" applyProtection="1">
      <alignment vertical="center"/>
    </xf>
    <xf numFmtId="0" fontId="1" fillId="0" borderId="0" xfId="0" applyFont="1" applyFill="1" applyBorder="1" applyAlignment="1" applyProtection="1">
      <alignment vertical="center"/>
    </xf>
    <xf numFmtId="0" fontId="0" fillId="9" borderId="20" xfId="0" applyFont="1" applyFill="1" applyBorder="1" applyAlignment="1">
      <alignment vertical="center" wrapText="1"/>
    </xf>
    <xf numFmtId="4" fontId="1" fillId="9" borderId="9" xfId="0" applyNumberFormat="1" applyFont="1" applyFill="1" applyBorder="1" applyAlignment="1">
      <alignment horizontal="center" vertical="center"/>
    </xf>
    <xf numFmtId="0" fontId="0" fillId="10" borderId="9" xfId="0" applyFont="1" applyFill="1" applyBorder="1" applyAlignment="1">
      <alignment vertical="center" wrapText="1"/>
    </xf>
    <xf numFmtId="4" fontId="1" fillId="10" borderId="9" xfId="0" applyNumberFormat="1" applyFont="1" applyFill="1" applyBorder="1" applyAlignment="1">
      <alignment horizontal="center" vertical="center"/>
    </xf>
    <xf numFmtId="0" fontId="5" fillId="0" borderId="0" xfId="0" applyFont="1" applyAlignment="1">
      <alignment horizontal="center" vertical="center"/>
    </xf>
    <xf numFmtId="0" fontId="0" fillId="0" borderId="1" xfId="0" applyBorder="1" applyAlignment="1" applyProtection="1">
      <alignment horizontal="center" vertical="center"/>
    </xf>
    <xf numFmtId="0" fontId="0" fillId="0" borderId="0" xfId="0" applyBorder="1" applyAlignment="1" applyProtection="1">
      <alignment horizontal="center" vertical="center"/>
    </xf>
    <xf numFmtId="0" fontId="0" fillId="0" borderId="2" xfId="0" applyBorder="1" applyAlignment="1" applyProtection="1">
      <alignment horizontal="center" vertical="center"/>
    </xf>
    <xf numFmtId="0" fontId="1" fillId="7" borderId="20" xfId="0" applyFont="1" applyFill="1" applyBorder="1" applyAlignment="1" applyProtection="1">
      <alignment vertical="center"/>
    </xf>
    <xf numFmtId="0" fontId="12" fillId="0" borderId="33" xfId="0" applyFont="1" applyFill="1" applyBorder="1" applyAlignment="1">
      <alignment vertical="center" wrapText="1"/>
    </xf>
    <xf numFmtId="0" fontId="12" fillId="9" borderId="9" xfId="0" applyFont="1" applyFill="1" applyBorder="1" applyAlignment="1">
      <alignment vertical="center" wrapText="1"/>
    </xf>
    <xf numFmtId="0" fontId="12" fillId="11" borderId="35" xfId="0" applyFont="1" applyFill="1" applyBorder="1" applyAlignment="1">
      <alignment vertical="center" wrapText="1"/>
    </xf>
    <xf numFmtId="0" fontId="12" fillId="5" borderId="35" xfId="0" applyFont="1" applyFill="1" applyBorder="1" applyAlignment="1">
      <alignment vertical="center" wrapText="1"/>
    </xf>
    <xf numFmtId="0" fontId="12" fillId="2" borderId="35" xfId="0" applyFont="1" applyFill="1" applyBorder="1" applyAlignment="1">
      <alignment vertical="center" wrapText="1"/>
    </xf>
    <xf numFmtId="0" fontId="14" fillId="2" borderId="19" xfId="0"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4" fillId="9" borderId="22" xfId="0" applyFont="1" applyFill="1" applyBorder="1" applyAlignment="1">
      <alignment horizontal="center" vertical="center" wrapText="1"/>
    </xf>
    <xf numFmtId="0" fontId="0" fillId="4" borderId="35" xfId="0" applyFill="1" applyBorder="1" applyAlignment="1" applyProtection="1">
      <alignment vertical="center" wrapText="1"/>
    </xf>
    <xf numFmtId="0" fontId="0" fillId="5" borderId="41" xfId="0" applyFill="1" applyBorder="1" applyAlignment="1" applyProtection="1">
      <alignment horizontal="center" vertical="center"/>
    </xf>
    <xf numFmtId="0" fontId="0" fillId="5" borderId="30" xfId="0" applyFill="1" applyBorder="1" applyAlignment="1" applyProtection="1">
      <alignment horizontal="center" vertical="center"/>
    </xf>
    <xf numFmtId="4" fontId="0" fillId="0" borderId="0" xfId="0" applyNumberFormat="1" applyAlignment="1" applyProtection="1">
      <alignment vertical="center"/>
    </xf>
    <xf numFmtId="4" fontId="1" fillId="7" borderId="11" xfId="0" applyNumberFormat="1" applyFont="1" applyFill="1" applyBorder="1" applyAlignment="1" applyProtection="1">
      <alignment vertical="center"/>
    </xf>
    <xf numFmtId="4" fontId="1" fillId="7" borderId="8" xfId="0" applyNumberFormat="1" applyFont="1" applyFill="1" applyBorder="1" applyAlignment="1" applyProtection="1">
      <alignment vertical="center"/>
    </xf>
    <xf numFmtId="4" fontId="1" fillId="0" borderId="0" xfId="0" applyNumberFormat="1" applyFont="1" applyFill="1" applyBorder="1" applyAlignment="1" applyProtection="1">
      <alignment horizontal="center" vertical="center"/>
    </xf>
    <xf numFmtId="4" fontId="1" fillId="0" borderId="0" xfId="0" applyNumberFormat="1" applyFont="1" applyAlignment="1" applyProtection="1">
      <alignment vertical="center" wrapText="1"/>
    </xf>
    <xf numFmtId="3" fontId="0" fillId="0" borderId="0" xfId="0" applyNumberFormat="1" applyAlignment="1" applyProtection="1">
      <alignment vertical="center"/>
    </xf>
    <xf numFmtId="3" fontId="1" fillId="7" borderId="11" xfId="0" applyNumberFormat="1" applyFont="1" applyFill="1" applyBorder="1" applyAlignment="1" applyProtection="1">
      <alignment vertical="center"/>
    </xf>
    <xf numFmtId="3" fontId="1" fillId="7" borderId="8" xfId="0" applyNumberFormat="1" applyFont="1" applyFill="1" applyBorder="1" applyAlignment="1" applyProtection="1">
      <alignment vertical="center"/>
    </xf>
    <xf numFmtId="3" fontId="1" fillId="0" borderId="0" xfId="0" applyNumberFormat="1" applyFont="1" applyFill="1" applyBorder="1" applyAlignment="1" applyProtection="1">
      <alignment horizontal="center" vertical="center"/>
    </xf>
    <xf numFmtId="3" fontId="1" fillId="0" borderId="0" xfId="0" applyNumberFormat="1" applyFont="1" applyAlignment="1" applyProtection="1">
      <alignment vertical="center" wrapText="1"/>
    </xf>
    <xf numFmtId="4" fontId="0" fillId="0" borderId="16" xfId="0" applyNumberFormat="1" applyBorder="1" applyAlignment="1" applyProtection="1">
      <alignment horizontal="center" vertical="center"/>
      <protection locked="0"/>
    </xf>
    <xf numFmtId="4" fontId="0" fillId="0" borderId="0" xfId="0" applyNumberFormat="1" applyAlignment="1" applyProtection="1">
      <alignment vertical="center" wrapText="1"/>
    </xf>
    <xf numFmtId="4" fontId="1" fillId="2" borderId="32" xfId="0" applyNumberFormat="1" applyFont="1" applyFill="1" applyBorder="1" applyAlignment="1">
      <alignment horizontal="center" vertical="center"/>
    </xf>
    <xf numFmtId="4" fontId="1" fillId="2" borderId="38" xfId="0" applyNumberFormat="1" applyFont="1" applyFill="1" applyBorder="1" applyAlignment="1">
      <alignment horizontal="center" vertical="center"/>
    </xf>
    <xf numFmtId="4" fontId="1" fillId="2" borderId="36" xfId="0" applyNumberFormat="1" applyFont="1" applyFill="1" applyBorder="1" applyAlignment="1">
      <alignment horizontal="center" vertical="center"/>
    </xf>
    <xf numFmtId="4" fontId="1" fillId="4" borderId="9" xfId="0" applyNumberFormat="1" applyFont="1" applyFill="1" applyBorder="1" applyAlignment="1">
      <alignment horizontal="center" vertical="center"/>
    </xf>
    <xf numFmtId="4" fontId="0" fillId="0" borderId="44" xfId="0" applyNumberFormat="1" applyBorder="1" applyAlignment="1" applyProtection="1">
      <alignment horizontal="center" vertical="center"/>
    </xf>
    <xf numFmtId="4" fontId="0" fillId="0" borderId="45" xfId="0" applyNumberFormat="1" applyBorder="1" applyAlignment="1" applyProtection="1">
      <alignment horizontal="center" vertical="center"/>
    </xf>
    <xf numFmtId="4" fontId="0" fillId="0" borderId="46" xfId="0" applyNumberFormat="1" applyBorder="1" applyAlignment="1" applyProtection="1">
      <alignment horizontal="center" vertical="center"/>
    </xf>
    <xf numFmtId="4" fontId="0" fillId="0" borderId="47" xfId="0" applyNumberFormat="1" applyBorder="1" applyAlignment="1" applyProtection="1">
      <alignment horizontal="center" vertical="center"/>
    </xf>
    <xf numFmtId="4" fontId="0" fillId="0" borderId="48" xfId="0" applyNumberFormat="1" applyBorder="1" applyAlignment="1" applyProtection="1">
      <alignment horizontal="center" vertical="center"/>
    </xf>
    <xf numFmtId="3" fontId="0" fillId="0" borderId="4" xfId="0" applyNumberFormat="1" applyBorder="1" applyAlignment="1" applyProtection="1">
      <alignment horizontal="center" vertical="center"/>
    </xf>
    <xf numFmtId="4" fontId="0" fillId="0" borderId="0" xfId="0" applyNumberFormat="1" applyBorder="1" applyAlignment="1" applyProtection="1">
      <alignment horizontal="center" vertical="center"/>
    </xf>
    <xf numFmtId="3" fontId="0" fillId="0" borderId="5" xfId="0" applyNumberFormat="1" applyBorder="1" applyAlignment="1" applyProtection="1">
      <alignment horizontal="center" vertical="center"/>
    </xf>
    <xf numFmtId="3" fontId="0" fillId="0" borderId="6" xfId="0" applyNumberFormat="1" applyBorder="1" applyAlignment="1" applyProtection="1">
      <alignment horizontal="center" vertical="center"/>
    </xf>
    <xf numFmtId="4" fontId="0" fillId="0" borderId="43" xfId="0" applyNumberFormat="1" applyBorder="1" applyAlignment="1" applyProtection="1">
      <alignment horizontal="center" vertical="center"/>
    </xf>
    <xf numFmtId="3" fontId="0" fillId="0" borderId="42" xfId="0" applyNumberFormat="1" applyBorder="1" applyAlignment="1" applyProtection="1">
      <alignment horizontal="center" vertical="center"/>
    </xf>
    <xf numFmtId="4" fontId="0" fillId="0" borderId="7" xfId="0" applyNumberFormat="1" applyBorder="1" applyAlignment="1" applyProtection="1">
      <alignment horizontal="center" vertical="center"/>
    </xf>
    <xf numFmtId="3" fontId="0" fillId="0" borderId="28" xfId="0" applyNumberFormat="1" applyBorder="1" applyAlignment="1" applyProtection="1">
      <alignment horizontal="center" vertical="center"/>
    </xf>
    <xf numFmtId="0" fontId="16" fillId="0" borderId="0" xfId="15"/>
    <xf numFmtId="0" fontId="18" fillId="0" borderId="49" xfId="15" applyFont="1" applyBorder="1" applyAlignment="1">
      <alignment horizontal="center" vertical="center"/>
    </xf>
    <xf numFmtId="0" fontId="19" fillId="0" borderId="49" xfId="15" applyFont="1" applyBorder="1" applyAlignment="1">
      <alignment horizontal="center" vertical="center"/>
    </xf>
    <xf numFmtId="0" fontId="19" fillId="0" borderId="49" xfId="15" applyFont="1" applyBorder="1"/>
    <xf numFmtId="0" fontId="20" fillId="12" borderId="49" xfId="15" applyFont="1" applyFill="1" applyBorder="1" applyAlignment="1">
      <alignment horizontal="center" vertical="center"/>
    </xf>
    <xf numFmtId="0" fontId="16" fillId="0" borderId="50" xfId="15" applyBorder="1" applyAlignment="1">
      <alignment horizontal="center"/>
    </xf>
    <xf numFmtId="0" fontId="16" fillId="0" borderId="51" xfId="15" applyBorder="1"/>
    <xf numFmtId="0" fontId="16" fillId="0" borderId="51" xfId="15" applyBorder="1" applyAlignment="1">
      <alignment horizontal="center" vertical="center"/>
    </xf>
    <xf numFmtId="164" fontId="0" fillId="0" borderId="51" xfId="16" applyFont="1" applyBorder="1"/>
    <xf numFmtId="164" fontId="0" fillId="0" borderId="52" xfId="16" applyFont="1" applyBorder="1"/>
    <xf numFmtId="0" fontId="16" fillId="0" borderId="53" xfId="15" applyBorder="1" applyAlignment="1">
      <alignment horizontal="center"/>
    </xf>
    <xf numFmtId="0" fontId="16" fillId="0" borderId="54" xfId="15" applyBorder="1"/>
    <xf numFmtId="0" fontId="16" fillId="0" borderId="54" xfId="15" applyBorder="1" applyAlignment="1">
      <alignment horizontal="center" vertical="center"/>
    </xf>
    <xf numFmtId="164" fontId="0" fillId="0" borderId="54" xfId="16" applyFont="1" applyBorder="1"/>
    <xf numFmtId="0" fontId="16" fillId="0" borderId="55" xfId="15" applyBorder="1"/>
    <xf numFmtId="0" fontId="16" fillId="0" borderId="55" xfId="15" applyBorder="1" applyAlignment="1">
      <alignment horizontal="center" vertical="center"/>
    </xf>
    <xf numFmtId="164" fontId="20" fillId="12" borderId="49" xfId="15" applyNumberFormat="1" applyFont="1" applyFill="1" applyBorder="1"/>
    <xf numFmtId="0" fontId="16" fillId="0" borderId="56" xfId="15" applyBorder="1" applyAlignment="1">
      <alignment horizontal="center"/>
    </xf>
    <xf numFmtId="0" fontId="16" fillId="0" borderId="57" xfId="15" applyBorder="1"/>
    <xf numFmtId="0" fontId="16" fillId="0" borderId="57" xfId="15" applyBorder="1" applyAlignment="1">
      <alignment horizontal="center" vertical="center"/>
    </xf>
    <xf numFmtId="164" fontId="0" fillId="0" borderId="57" xfId="16" applyFont="1" applyBorder="1"/>
    <xf numFmtId="164" fontId="0" fillId="0" borderId="58" xfId="16" applyFont="1" applyBorder="1"/>
    <xf numFmtId="0" fontId="16" fillId="0" borderId="59" xfId="15" applyBorder="1" applyAlignment="1">
      <alignment horizontal="center"/>
    </xf>
    <xf numFmtId="0" fontId="16" fillId="0" borderId="60" xfId="15" applyBorder="1"/>
    <xf numFmtId="0" fontId="16" fillId="0" borderId="60" xfId="15" applyBorder="1" applyAlignment="1">
      <alignment horizontal="center" vertical="center"/>
    </xf>
    <xf numFmtId="164" fontId="0" fillId="0" borderId="61" xfId="16" applyFont="1" applyBorder="1"/>
    <xf numFmtId="0" fontId="16" fillId="0" borderId="62" xfId="15" applyBorder="1" applyAlignment="1">
      <alignment horizontal="center"/>
    </xf>
    <xf numFmtId="0" fontId="16" fillId="0" borderId="63" xfId="15" applyBorder="1"/>
    <xf numFmtId="0" fontId="16" fillId="0" borderId="63" xfId="15" applyBorder="1" applyAlignment="1">
      <alignment horizontal="center" vertical="center"/>
    </xf>
    <xf numFmtId="164" fontId="0" fillId="0" borderId="64" xfId="16" applyFont="1" applyBorder="1"/>
    <xf numFmtId="164" fontId="0" fillId="0" borderId="60" xfId="16" applyFont="1" applyBorder="1"/>
    <xf numFmtId="164" fontId="0" fillId="0" borderId="63" xfId="16" applyFont="1" applyBorder="1"/>
    <xf numFmtId="0" fontId="20" fillId="0" borderId="56" xfId="15" applyFont="1" applyBorder="1" applyAlignment="1">
      <alignment horizontal="center" vertical="center"/>
    </xf>
    <xf numFmtId="164" fontId="16" fillId="0" borderId="57" xfId="15" applyNumberFormat="1" applyBorder="1"/>
    <xf numFmtId="164" fontId="16" fillId="0" borderId="58" xfId="15" applyNumberFormat="1" applyBorder="1"/>
    <xf numFmtId="0" fontId="20" fillId="0" borderId="59" xfId="15" applyFont="1" applyBorder="1" applyAlignment="1">
      <alignment horizontal="center" vertical="center"/>
    </xf>
    <xf numFmtId="164" fontId="16" fillId="0" borderId="60" xfId="15" applyNumberFormat="1" applyBorder="1"/>
    <xf numFmtId="164" fontId="16" fillId="0" borderId="61" xfId="15" applyNumberFormat="1" applyBorder="1"/>
    <xf numFmtId="0" fontId="20" fillId="0" borderId="62" xfId="15" applyFont="1" applyBorder="1" applyAlignment="1">
      <alignment horizontal="center" vertical="center"/>
    </xf>
    <xf numFmtId="164" fontId="16" fillId="0" borderId="63" xfId="15" applyNumberFormat="1" applyBorder="1"/>
    <xf numFmtId="164" fontId="16" fillId="0" borderId="64" xfId="15" applyNumberFormat="1" applyBorder="1"/>
    <xf numFmtId="9" fontId="16" fillId="0" borderId="0" xfId="15" applyNumberFormat="1"/>
    <xf numFmtId="164" fontId="16" fillId="0" borderId="0" xfId="15" applyNumberFormat="1"/>
    <xf numFmtId="0" fontId="20" fillId="12" borderId="0" xfId="15" applyFont="1" applyFill="1"/>
    <xf numFmtId="0" fontId="15" fillId="0" borderId="0" xfId="17"/>
    <xf numFmtId="0" fontId="22" fillId="0" borderId="0" xfId="18"/>
    <xf numFmtId="0" fontId="23" fillId="0" borderId="0" xfId="17" applyFont="1"/>
    <xf numFmtId="0" fontId="24" fillId="0" borderId="49" xfId="17" applyFont="1" applyBorder="1" applyAlignment="1">
      <alignment horizontal="center" vertical="center"/>
    </xf>
    <xf numFmtId="0" fontId="25" fillId="0" borderId="0" xfId="17" applyFont="1" applyAlignment="1">
      <alignment horizontal="center" vertical="center"/>
    </xf>
    <xf numFmtId="16" fontId="24" fillId="0" borderId="49" xfId="17" applyNumberFormat="1" applyFont="1" applyBorder="1" applyAlignment="1">
      <alignment horizontal="center" vertical="center"/>
    </xf>
    <xf numFmtId="16" fontId="15" fillId="0" borderId="0" xfId="17" applyNumberFormat="1"/>
    <xf numFmtId="0" fontId="26" fillId="12" borderId="49" xfId="17" applyFont="1" applyFill="1" applyBorder="1" applyAlignment="1">
      <alignment horizontal="center"/>
    </xf>
    <xf numFmtId="43" fontId="15" fillId="0" borderId="0" xfId="19" applyFont="1"/>
    <xf numFmtId="0" fontId="27" fillId="12" borderId="67" xfId="17" applyFont="1" applyFill="1" applyBorder="1" applyAlignment="1">
      <alignment horizontal="center" vertical="center"/>
    </xf>
    <xf numFmtId="43" fontId="15" fillId="12" borderId="67" xfId="19" applyFont="1" applyFill="1" applyBorder="1"/>
    <xf numFmtId="43" fontId="15" fillId="12" borderId="0" xfId="19" applyFont="1" applyFill="1"/>
    <xf numFmtId="0" fontId="28" fillId="12" borderId="49" xfId="18" applyFont="1" applyFill="1" applyBorder="1" applyAlignment="1">
      <alignment horizontal="center" vertical="center"/>
    </xf>
    <xf numFmtId="0" fontId="22" fillId="12" borderId="49" xfId="18" applyFill="1" applyBorder="1" applyAlignment="1">
      <alignment horizontal="center" vertical="center"/>
    </xf>
    <xf numFmtId="0" fontId="1" fillId="0" borderId="0" xfId="17" applyFont="1" applyAlignment="1">
      <alignment horizontal="center" vertical="center"/>
    </xf>
    <xf numFmtId="0" fontId="15" fillId="0" borderId="49" xfId="17" applyBorder="1"/>
    <xf numFmtId="2" fontId="15" fillId="13" borderId="67" xfId="17" applyNumberFormat="1" applyFill="1" applyBorder="1" applyAlignment="1">
      <alignment horizontal="center" vertical="center"/>
    </xf>
    <xf numFmtId="2" fontId="15" fillId="0" borderId="67" xfId="17" applyNumberFormat="1" applyBorder="1" applyAlignment="1">
      <alignment horizontal="center" vertical="center"/>
    </xf>
    <xf numFmtId="43" fontId="15" fillId="0" borderId="67" xfId="19" applyFont="1" applyFill="1" applyBorder="1"/>
    <xf numFmtId="43" fontId="1" fillId="0" borderId="67" xfId="19" applyFont="1" applyBorder="1"/>
    <xf numFmtId="164" fontId="22" fillId="0" borderId="0" xfId="18" applyNumberFormat="1"/>
    <xf numFmtId="164" fontId="22" fillId="0" borderId="0" xfId="13" applyFont="1"/>
    <xf numFmtId="43" fontId="15" fillId="0" borderId="67" xfId="19" applyFont="1" applyBorder="1"/>
    <xf numFmtId="2" fontId="15" fillId="13" borderId="4" xfId="17" applyNumberFormat="1" applyFill="1" applyBorder="1" applyAlignment="1">
      <alignment horizontal="center" vertical="center"/>
    </xf>
    <xf numFmtId="0" fontId="1" fillId="12" borderId="49" xfId="17" applyFont="1" applyFill="1" applyBorder="1" applyAlignment="1">
      <alignment horizontal="left" vertical="center"/>
    </xf>
    <xf numFmtId="43" fontId="15" fillId="0" borderId="49" xfId="19" applyFont="1" applyBorder="1"/>
    <xf numFmtId="2" fontId="27" fillId="14" borderId="49" xfId="17" applyNumberFormat="1" applyFont="1" applyFill="1" applyBorder="1" applyAlignment="1">
      <alignment horizontal="center"/>
    </xf>
    <xf numFmtId="43" fontId="1" fillId="12" borderId="49" xfId="19" applyFont="1" applyFill="1" applyBorder="1"/>
    <xf numFmtId="164" fontId="28" fillId="12" borderId="0" xfId="18" applyNumberFormat="1" applyFont="1" applyFill="1" applyAlignment="1">
      <alignment horizontal="center" vertical="center"/>
    </xf>
    <xf numFmtId="164" fontId="28" fillId="14" borderId="0" xfId="18" applyNumberFormat="1" applyFont="1" applyFill="1" applyAlignment="1">
      <alignment horizontal="center" vertical="center"/>
    </xf>
    <xf numFmtId="43" fontId="15" fillId="0" borderId="0" xfId="19" applyFont="1" applyFill="1" applyBorder="1"/>
    <xf numFmtId="43" fontId="1" fillId="0" borderId="0" xfId="19" applyFont="1" applyFill="1" applyBorder="1"/>
    <xf numFmtId="0" fontId="26" fillId="12" borderId="49" xfId="17" applyFont="1" applyFill="1" applyBorder="1" applyAlignment="1">
      <alignment horizontal="center" vertical="center"/>
    </xf>
    <xf numFmtId="0" fontId="15" fillId="12" borderId="49" xfId="17" applyFill="1" applyBorder="1"/>
    <xf numFmtId="43" fontId="15" fillId="12" borderId="49" xfId="19" applyFont="1" applyFill="1" applyBorder="1"/>
    <xf numFmtId="0" fontId="29" fillId="14" borderId="49" xfId="18" applyFont="1" applyFill="1" applyBorder="1" applyAlignment="1">
      <alignment horizontal="center" vertical="center"/>
    </xf>
    <xf numFmtId="0" fontId="1" fillId="14" borderId="6" xfId="17" applyFont="1" applyFill="1" applyBorder="1" applyAlignment="1">
      <alignment vertical="center"/>
    </xf>
    <xf numFmtId="43" fontId="15" fillId="0" borderId="0" xfId="19" applyFont="1" applyBorder="1"/>
    <xf numFmtId="0" fontId="1" fillId="14" borderId="6" xfId="17" applyFont="1" applyFill="1" applyBorder="1"/>
    <xf numFmtId="3" fontId="15" fillId="0" borderId="49" xfId="17" applyNumberFormat="1" applyBorder="1"/>
    <xf numFmtId="43" fontId="15" fillId="15" borderId="0" xfId="19" applyFont="1" applyFill="1"/>
    <xf numFmtId="4" fontId="15" fillId="0" borderId="6" xfId="17" applyNumberFormat="1" applyBorder="1"/>
    <xf numFmtId="43" fontId="15" fillId="0" borderId="6" xfId="19" applyFont="1" applyFill="1" applyBorder="1"/>
    <xf numFmtId="43" fontId="15" fillId="0" borderId="68" xfId="19" applyFont="1" applyFill="1" applyBorder="1"/>
    <xf numFmtId="43" fontId="1" fillId="0" borderId="68" xfId="19" applyFont="1" applyBorder="1"/>
    <xf numFmtId="43" fontId="15" fillId="0" borderId="49" xfId="19" applyFont="1" applyFill="1" applyBorder="1"/>
    <xf numFmtId="43" fontId="15" fillId="0" borderId="5" xfId="19" applyFont="1" applyFill="1" applyBorder="1"/>
    <xf numFmtId="43" fontId="1" fillId="0" borderId="5" xfId="19" applyFont="1" applyBorder="1"/>
    <xf numFmtId="164" fontId="15" fillId="0" borderId="0" xfId="18" applyNumberFormat="1" applyFont="1"/>
    <xf numFmtId="3" fontId="0" fillId="0" borderId="49" xfId="17" applyNumberFormat="1" applyFont="1" applyBorder="1"/>
    <xf numFmtId="0" fontId="1" fillId="12" borderId="49" xfId="17" applyFont="1" applyFill="1" applyBorder="1"/>
    <xf numFmtId="4" fontId="1" fillId="12" borderId="49" xfId="17" applyNumberFormat="1" applyFont="1" applyFill="1" applyBorder="1"/>
    <xf numFmtId="164" fontId="15" fillId="0" borderId="0" xfId="17" applyNumberFormat="1"/>
    <xf numFmtId="0" fontId="15" fillId="15" borderId="0" xfId="17" applyFill="1"/>
    <xf numFmtId="43" fontId="15" fillId="15" borderId="0" xfId="19" applyFont="1" applyFill="1" applyBorder="1"/>
    <xf numFmtId="43" fontId="1" fillId="15" borderId="0" xfId="19" applyFont="1" applyFill="1" applyBorder="1"/>
    <xf numFmtId="0" fontId="1" fillId="12" borderId="49" xfId="17" applyFont="1" applyFill="1" applyBorder="1" applyAlignment="1">
      <alignment horizontal="center" vertical="center"/>
    </xf>
    <xf numFmtId="43" fontId="1" fillId="0" borderId="0" xfId="19" applyFont="1" applyBorder="1"/>
    <xf numFmtId="43" fontId="15" fillId="0" borderId="0" xfId="17" applyNumberFormat="1"/>
    <xf numFmtId="0" fontId="1" fillId="0" borderId="49" xfId="17" applyFont="1" applyBorder="1"/>
    <xf numFmtId="43" fontId="15" fillId="0" borderId="49" xfId="17" applyNumberFormat="1" applyBorder="1"/>
    <xf numFmtId="0" fontId="0" fillId="0" borderId="0" xfId="17" applyFont="1"/>
    <xf numFmtId="43" fontId="0" fillId="0" borderId="0" xfId="19" applyFont="1" applyFill="1" applyBorder="1"/>
    <xf numFmtId="9" fontId="15" fillId="0" borderId="0" xfId="17" applyNumberFormat="1"/>
    <xf numFmtId="164" fontId="15" fillId="0" borderId="49" xfId="17" applyNumberFormat="1" applyBorder="1"/>
    <xf numFmtId="164" fontId="1" fillId="14" borderId="0" xfId="17" applyNumberFormat="1" applyFont="1" applyFill="1"/>
    <xf numFmtId="43" fontId="1" fillId="12" borderId="0" xfId="19" applyFont="1" applyFill="1" applyBorder="1"/>
    <xf numFmtId="0" fontId="1" fillId="0" borderId="0" xfId="17" applyFont="1"/>
    <xf numFmtId="9" fontId="15" fillId="0" borderId="0" xfId="20" applyFont="1"/>
    <xf numFmtId="166" fontId="1" fillId="12" borderId="49" xfId="14" applyNumberFormat="1" applyFont="1" applyFill="1" applyBorder="1"/>
    <xf numFmtId="43" fontId="1" fillId="0" borderId="0" xfId="17" applyNumberFormat="1" applyFont="1"/>
    <xf numFmtId="0" fontId="1" fillId="0" borderId="4" xfId="17" applyFont="1" applyBorder="1"/>
    <xf numFmtId="164" fontId="15" fillId="0" borderId="4" xfId="17" applyNumberFormat="1" applyBorder="1"/>
    <xf numFmtId="3" fontId="1" fillId="14" borderId="6" xfId="17" applyNumberFormat="1" applyFont="1" applyFill="1" applyBorder="1"/>
    <xf numFmtId="164" fontId="13" fillId="0" borderId="19" xfId="13" applyFont="1" applyFill="1" applyBorder="1" applyAlignment="1">
      <alignment vertical="center" wrapText="1"/>
    </xf>
    <xf numFmtId="164" fontId="13" fillId="0" borderId="22" xfId="13" applyFont="1" applyFill="1" applyBorder="1" applyAlignment="1">
      <alignment vertical="center" wrapText="1"/>
    </xf>
    <xf numFmtId="164" fontId="0" fillId="0" borderId="0" xfId="0" applyNumberFormat="1"/>
    <xf numFmtId="0" fontId="0" fillId="0" borderId="0" xfId="0" applyAlignment="1">
      <alignment horizontal="center" vertical="center"/>
    </xf>
    <xf numFmtId="0" fontId="0" fillId="15" borderId="69" xfId="0" applyFill="1" applyBorder="1" applyAlignment="1">
      <alignment horizontal="center" vertical="center"/>
    </xf>
    <xf numFmtId="0" fontId="0" fillId="15" borderId="71" xfId="0" applyFill="1" applyBorder="1" applyAlignment="1">
      <alignment horizontal="center" vertical="center"/>
    </xf>
    <xf numFmtId="0" fontId="0" fillId="15" borderId="77" xfId="0" applyFill="1" applyBorder="1" applyAlignment="1">
      <alignment horizontal="center" vertical="center"/>
    </xf>
    <xf numFmtId="0" fontId="0" fillId="15" borderId="73" xfId="0" applyFill="1" applyBorder="1" applyAlignment="1">
      <alignment horizontal="center" vertical="center"/>
    </xf>
    <xf numFmtId="164" fontId="0" fillId="0" borderId="0" xfId="13" applyFont="1" applyAlignment="1">
      <alignment horizontal="center" vertical="center"/>
    </xf>
    <xf numFmtId="164" fontId="0" fillId="15" borderId="69" xfId="13" applyFont="1" applyFill="1" applyBorder="1" applyAlignment="1">
      <alignment horizontal="center" vertical="center"/>
    </xf>
    <xf numFmtId="164" fontId="0" fillId="15" borderId="71" xfId="13" applyFont="1" applyFill="1" applyBorder="1" applyAlignment="1">
      <alignment horizontal="center" vertical="center"/>
    </xf>
    <xf numFmtId="164" fontId="0" fillId="15" borderId="77" xfId="13" applyFont="1" applyFill="1" applyBorder="1" applyAlignment="1">
      <alignment horizontal="center" vertical="center"/>
    </xf>
    <xf numFmtId="164" fontId="0" fillId="15" borderId="73" xfId="13" applyFont="1" applyFill="1" applyBorder="1" applyAlignment="1">
      <alignment horizontal="center" vertical="center"/>
    </xf>
    <xf numFmtId="164" fontId="0" fillId="15" borderId="77" xfId="13" applyNumberFormat="1" applyFont="1" applyFill="1" applyBorder="1" applyAlignment="1">
      <alignment horizontal="center" vertical="center"/>
    </xf>
    <xf numFmtId="0" fontId="0" fillId="12" borderId="77" xfId="0" applyFill="1" applyBorder="1" applyAlignment="1">
      <alignment horizontal="center" vertical="center"/>
    </xf>
    <xf numFmtId="0" fontId="3" fillId="12" borderId="43" xfId="0" applyFont="1" applyFill="1" applyBorder="1" applyAlignment="1">
      <alignment horizontal="center" vertical="center"/>
    </xf>
    <xf numFmtId="0" fontId="3" fillId="12" borderId="43" xfId="0" applyFont="1" applyFill="1" applyBorder="1"/>
    <xf numFmtId="164" fontId="0" fillId="12" borderId="77" xfId="0" applyNumberFormat="1" applyFont="1" applyFill="1" applyBorder="1" applyAlignment="1">
      <alignment horizontal="center" vertical="center"/>
    </xf>
    <xf numFmtId="164" fontId="0" fillId="15" borderId="73" xfId="0" applyNumberFormat="1" applyFill="1" applyBorder="1" applyAlignment="1">
      <alignment horizontal="center" vertical="center"/>
    </xf>
    <xf numFmtId="164" fontId="0" fillId="15" borderId="71" xfId="0" applyNumberFormat="1" applyFill="1" applyBorder="1" applyAlignment="1">
      <alignment horizontal="center" vertical="center"/>
    </xf>
    <xf numFmtId="164" fontId="0" fillId="15" borderId="77" xfId="0" applyNumberFormat="1" applyFill="1" applyBorder="1" applyAlignment="1">
      <alignment horizontal="center" vertical="center"/>
    </xf>
    <xf numFmtId="164" fontId="0" fillId="12" borderId="77" xfId="0" applyNumberFormat="1" applyFill="1" applyBorder="1" applyAlignment="1">
      <alignment horizontal="center" vertical="center"/>
    </xf>
    <xf numFmtId="0" fontId="0" fillId="12" borderId="0" xfId="0" applyFill="1" applyAlignment="1">
      <alignment horizontal="center" vertical="center"/>
    </xf>
    <xf numFmtId="164" fontId="0" fillId="15" borderId="69" xfId="0" applyNumberFormat="1" applyFill="1" applyBorder="1" applyAlignment="1">
      <alignment horizontal="center" vertical="center"/>
    </xf>
    <xf numFmtId="164" fontId="0" fillId="0" borderId="74" xfId="13" applyFont="1" applyFill="1" applyBorder="1" applyAlignment="1">
      <alignment horizontal="left"/>
    </xf>
    <xf numFmtId="164" fontId="0" fillId="0" borderId="75" xfId="13" applyFont="1" applyFill="1" applyBorder="1" applyAlignment="1">
      <alignment horizontal="left"/>
    </xf>
    <xf numFmtId="0" fontId="0" fillId="0" borderId="75" xfId="0" applyBorder="1" applyAlignment="1">
      <alignment horizontal="left"/>
    </xf>
    <xf numFmtId="0" fontId="0" fillId="15" borderId="0" xfId="0" applyFill="1" applyAlignment="1">
      <alignment horizontal="center" vertical="center"/>
    </xf>
    <xf numFmtId="164" fontId="0" fillId="15" borderId="71" xfId="13" applyNumberFormat="1" applyFont="1" applyFill="1" applyBorder="1" applyAlignment="1">
      <alignment horizontal="center" vertical="center"/>
    </xf>
    <xf numFmtId="0" fontId="0" fillId="15" borderId="0" xfId="0" applyFill="1"/>
    <xf numFmtId="0" fontId="31" fillId="15" borderId="71" xfId="0" applyFont="1" applyFill="1" applyBorder="1" applyAlignment="1">
      <alignment horizontal="center" vertical="center"/>
    </xf>
    <xf numFmtId="164" fontId="0" fillId="15" borderId="69" xfId="13" applyFont="1" applyFill="1" applyBorder="1" applyAlignment="1">
      <alignment horizontal="left"/>
    </xf>
    <xf numFmtId="164" fontId="0" fillId="15" borderId="71" xfId="13" applyFont="1" applyFill="1" applyBorder="1" applyAlignment="1">
      <alignment horizontal="left"/>
    </xf>
    <xf numFmtId="164" fontId="33" fillId="12" borderId="77" xfId="13" applyFont="1" applyFill="1" applyBorder="1"/>
    <xf numFmtId="0" fontId="1" fillId="12" borderId="49" xfId="0" applyFont="1" applyFill="1" applyBorder="1"/>
    <xf numFmtId="164" fontId="1" fillId="12" borderId="76" xfId="13" applyFont="1" applyFill="1" applyBorder="1"/>
    <xf numFmtId="164" fontId="31" fillId="15" borderId="71" xfId="0" applyNumberFormat="1" applyFont="1" applyFill="1" applyBorder="1" applyAlignment="1">
      <alignment horizontal="center" vertical="center"/>
    </xf>
    <xf numFmtId="164" fontId="3" fillId="15" borderId="71" xfId="0" applyNumberFormat="1" applyFont="1" applyFill="1" applyBorder="1" applyAlignment="1">
      <alignment horizontal="center" vertical="center"/>
    </xf>
    <xf numFmtId="0" fontId="3" fillId="15" borderId="71" xfId="0" applyFont="1" applyFill="1" applyBorder="1" applyAlignment="1">
      <alignment horizontal="center" vertical="center"/>
    </xf>
    <xf numFmtId="0" fontId="0" fillId="15" borderId="69" xfId="0" applyFont="1" applyFill="1" applyBorder="1" applyAlignment="1">
      <alignment horizontal="center" vertical="center"/>
    </xf>
    <xf numFmtId="0" fontId="0" fillId="15" borderId="71" xfId="0" applyFont="1" applyFill="1" applyBorder="1" applyAlignment="1">
      <alignment horizontal="center" vertical="center"/>
    </xf>
    <xf numFmtId="164" fontId="0" fillId="15" borderId="72" xfId="13" applyNumberFormat="1" applyFont="1" applyFill="1" applyBorder="1" applyAlignment="1">
      <alignment horizontal="left"/>
    </xf>
    <xf numFmtId="164" fontId="0" fillId="15" borderId="69" xfId="13" applyNumberFormat="1" applyFont="1" applyFill="1" applyBorder="1" applyAlignment="1">
      <alignment horizontal="left"/>
    </xf>
    <xf numFmtId="164" fontId="0" fillId="15" borderId="71" xfId="13" applyNumberFormat="1" applyFont="1" applyFill="1" applyBorder="1" applyAlignment="1">
      <alignment horizontal="left"/>
    </xf>
    <xf numFmtId="0" fontId="33" fillId="12" borderId="43" xfId="0" applyFont="1" applyFill="1" applyBorder="1"/>
    <xf numFmtId="164" fontId="33" fillId="12" borderId="77" xfId="13" applyNumberFormat="1" applyFont="1" applyFill="1" applyBorder="1"/>
    <xf numFmtId="164" fontId="0" fillId="15" borderId="69" xfId="13" applyNumberFormat="1" applyFont="1" applyFill="1" applyBorder="1" applyAlignment="1">
      <alignment horizontal="center" vertical="center"/>
    </xf>
    <xf numFmtId="164" fontId="0" fillId="15" borderId="69" xfId="0" applyNumberFormat="1" applyFont="1" applyFill="1" applyBorder="1" applyAlignment="1">
      <alignment horizontal="center" vertical="center"/>
    </xf>
    <xf numFmtId="164" fontId="0" fillId="15" borderId="71" xfId="0" applyNumberFormat="1" applyFont="1" applyFill="1" applyBorder="1" applyAlignment="1">
      <alignment horizontal="center" vertical="center"/>
    </xf>
    <xf numFmtId="0" fontId="33" fillId="12" borderId="43" xfId="0" applyFont="1" applyFill="1" applyBorder="1" applyAlignment="1">
      <alignment horizontal="center" vertical="center"/>
    </xf>
    <xf numFmtId="0" fontId="1" fillId="12" borderId="77" xfId="0" applyFont="1" applyFill="1" applyBorder="1" applyAlignment="1">
      <alignment horizontal="center" vertical="center"/>
    </xf>
    <xf numFmtId="164" fontId="33" fillId="12" borderId="71" xfId="13" applyNumberFormat="1" applyFont="1" applyFill="1" applyBorder="1"/>
    <xf numFmtId="164" fontId="1" fillId="12" borderId="71" xfId="0" applyNumberFormat="1" applyFont="1" applyFill="1" applyBorder="1" applyAlignment="1">
      <alignment horizontal="center" vertical="center"/>
    </xf>
    <xf numFmtId="0" fontId="1" fillId="12" borderId="71" xfId="0" applyFont="1" applyFill="1" applyBorder="1" applyAlignment="1">
      <alignment horizontal="center" vertical="center"/>
    </xf>
    <xf numFmtId="0" fontId="0" fillId="15" borderId="77" xfId="0" applyFont="1" applyFill="1" applyBorder="1" applyAlignment="1">
      <alignment horizontal="center" vertical="center"/>
    </xf>
    <xf numFmtId="164" fontId="0" fillId="12" borderId="77" xfId="13" applyNumberFormat="1" applyFont="1" applyFill="1" applyBorder="1" applyAlignment="1">
      <alignment horizontal="center" vertical="center"/>
    </xf>
    <xf numFmtId="0" fontId="0" fillId="12" borderId="77" xfId="0" applyFont="1" applyFill="1" applyBorder="1" applyAlignment="1">
      <alignment horizontal="center" vertical="center"/>
    </xf>
    <xf numFmtId="164" fontId="32" fillId="17" borderId="77" xfId="0" applyNumberFormat="1" applyFont="1" applyFill="1" applyBorder="1" applyAlignment="1">
      <alignment horizontal="center" vertical="center"/>
    </xf>
    <xf numFmtId="0" fontId="32" fillId="17" borderId="77" xfId="0" applyFont="1" applyFill="1" applyBorder="1" applyAlignment="1">
      <alignment horizontal="center" vertical="center"/>
    </xf>
    <xf numFmtId="0" fontId="32" fillId="17" borderId="43" xfId="0" applyFont="1" applyFill="1" applyBorder="1" applyAlignment="1">
      <alignment horizontal="center" vertical="center"/>
    </xf>
    <xf numFmtId="164" fontId="30" fillId="17" borderId="77" xfId="13" applyFont="1" applyFill="1" applyBorder="1"/>
    <xf numFmtId="0" fontId="32" fillId="17" borderId="0" xfId="0" applyFont="1" applyFill="1" applyBorder="1" applyAlignment="1">
      <alignment horizontal="center" vertical="center"/>
    </xf>
    <xf numFmtId="0" fontId="30" fillId="16" borderId="43" xfId="0" applyFont="1" applyFill="1" applyBorder="1"/>
    <xf numFmtId="164" fontId="15" fillId="17" borderId="77" xfId="0" applyNumberFormat="1" applyFont="1" applyFill="1" applyBorder="1" applyAlignment="1">
      <alignment horizontal="center" vertical="center"/>
    </xf>
    <xf numFmtId="164" fontId="32" fillId="17" borderId="0" xfId="13" applyFont="1" applyFill="1" applyBorder="1" applyAlignment="1">
      <alignment horizontal="center" vertical="center"/>
    </xf>
    <xf numFmtId="164" fontId="30" fillId="16" borderId="43" xfId="13" applyFont="1" applyFill="1" applyBorder="1"/>
    <xf numFmtId="0" fontId="30" fillId="17" borderId="77" xfId="0" applyFont="1" applyFill="1" applyBorder="1" applyAlignment="1">
      <alignment horizontal="center" vertical="center"/>
    </xf>
    <xf numFmtId="166" fontId="30" fillId="16" borderId="43" xfId="14" applyNumberFormat="1" applyFont="1" applyFill="1" applyBorder="1" applyAlignment="1">
      <alignment horizontal="center" vertical="center"/>
    </xf>
    <xf numFmtId="0" fontId="32" fillId="17" borderId="43" xfId="0" applyFont="1" applyFill="1" applyBorder="1"/>
    <xf numFmtId="0" fontId="30" fillId="16" borderId="66" xfId="0" applyFont="1" applyFill="1" applyBorder="1"/>
    <xf numFmtId="0" fontId="30" fillId="16" borderId="8" xfId="0" applyFont="1" applyFill="1" applyBorder="1"/>
    <xf numFmtId="0" fontId="30" fillId="16" borderId="78" xfId="0" applyFont="1" applyFill="1" applyBorder="1"/>
    <xf numFmtId="0" fontId="30" fillId="16" borderId="82" xfId="0" applyFont="1" applyFill="1" applyBorder="1"/>
    <xf numFmtId="164" fontId="30" fillId="16" borderId="80" xfId="0" applyNumberFormat="1" applyFont="1" applyFill="1" applyBorder="1"/>
    <xf numFmtId="164" fontId="30" fillId="16" borderId="80" xfId="13" applyFont="1" applyFill="1" applyBorder="1"/>
    <xf numFmtId="0" fontId="32" fillId="17" borderId="0" xfId="0" applyFont="1" applyFill="1" applyBorder="1" applyAlignment="1">
      <alignment horizontal="center"/>
    </xf>
    <xf numFmtId="0" fontId="30" fillId="16" borderId="8" xfId="0" applyFont="1" applyFill="1" applyBorder="1" applyAlignment="1">
      <alignment horizontal="center"/>
    </xf>
    <xf numFmtId="0" fontId="30" fillId="16" borderId="8" xfId="0" applyFont="1" applyFill="1" applyBorder="1" applyAlignment="1">
      <alignment horizontal="center" vertical="center"/>
    </xf>
    <xf numFmtId="0" fontId="30" fillId="16" borderId="78" xfId="0" applyFont="1" applyFill="1" applyBorder="1" applyAlignment="1">
      <alignment horizontal="center"/>
    </xf>
    <xf numFmtId="0" fontId="30" fillId="16" borderId="65" xfId="0" applyFont="1" applyFill="1" applyBorder="1" applyAlignment="1">
      <alignment horizontal="center" vertical="center"/>
    </xf>
    <xf numFmtId="0" fontId="30" fillId="16" borderId="79" xfId="0" applyFont="1" applyFill="1" applyBorder="1" applyAlignment="1">
      <alignment horizontal="center" vertical="center"/>
    </xf>
    <xf numFmtId="0" fontId="0" fillId="18" borderId="69" xfId="0" applyFill="1" applyBorder="1" applyAlignment="1">
      <alignment horizontal="center" vertical="center"/>
    </xf>
    <xf numFmtId="164" fontId="0" fillId="18" borderId="71" xfId="13" applyFont="1" applyFill="1" applyBorder="1" applyAlignment="1">
      <alignment horizontal="center" vertical="center"/>
    </xf>
    <xf numFmtId="0" fontId="31" fillId="18" borderId="71" xfId="0" applyFont="1" applyFill="1" applyBorder="1" applyAlignment="1">
      <alignment horizontal="center" vertical="center"/>
    </xf>
    <xf numFmtId="0" fontId="0" fillId="18" borderId="71" xfId="0" applyFill="1" applyBorder="1" applyAlignment="1">
      <alignment horizontal="center" vertical="center"/>
    </xf>
    <xf numFmtId="164" fontId="0" fillId="18" borderId="70" xfId="13" applyNumberFormat="1" applyFont="1" applyFill="1" applyBorder="1" applyAlignment="1">
      <alignment horizontal="center" vertical="center"/>
    </xf>
    <xf numFmtId="0" fontId="0" fillId="18" borderId="71" xfId="13" applyNumberFormat="1" applyFont="1" applyFill="1" applyBorder="1" applyAlignment="1">
      <alignment horizontal="center" vertical="center"/>
    </xf>
    <xf numFmtId="0" fontId="0" fillId="18" borderId="73" xfId="0" applyFill="1" applyBorder="1" applyAlignment="1">
      <alignment horizontal="center" vertical="center"/>
    </xf>
    <xf numFmtId="0" fontId="0" fillId="18" borderId="71" xfId="0" applyNumberFormat="1" applyFill="1" applyBorder="1" applyAlignment="1">
      <alignment horizontal="center" vertical="center"/>
    </xf>
    <xf numFmtId="0" fontId="30" fillId="16" borderId="43" xfId="0" applyFont="1" applyFill="1" applyBorder="1" applyAlignment="1">
      <alignment horizontal="center" vertical="center"/>
    </xf>
    <xf numFmtId="164" fontId="30" fillId="16" borderId="82" xfId="13" applyFont="1" applyFill="1" applyBorder="1"/>
    <xf numFmtId="164" fontId="0" fillId="18" borderId="71" xfId="13" applyNumberFormat="1" applyFont="1" applyFill="1" applyBorder="1" applyAlignment="1">
      <alignment horizontal="left"/>
    </xf>
    <xf numFmtId="164" fontId="0" fillId="15" borderId="77" xfId="13" applyNumberFormat="1" applyFont="1" applyFill="1" applyBorder="1" applyAlignment="1">
      <alignment horizontal="left"/>
    </xf>
    <xf numFmtId="164" fontId="30" fillId="16" borderId="82" xfId="0" applyNumberFormat="1" applyFont="1" applyFill="1" applyBorder="1"/>
    <xf numFmtId="164" fontId="0" fillId="18" borderId="77" xfId="13" applyNumberFormat="1" applyFont="1" applyFill="1" applyBorder="1" applyAlignment="1">
      <alignment horizontal="left"/>
    </xf>
    <xf numFmtId="0" fontId="0" fillId="18" borderId="77" xfId="13" applyNumberFormat="1" applyFont="1" applyFill="1" applyBorder="1" applyAlignment="1">
      <alignment horizontal="center" vertical="center"/>
    </xf>
    <xf numFmtId="166" fontId="30" fillId="16" borderId="78" xfId="14" applyNumberFormat="1" applyFont="1" applyFill="1" applyBorder="1" applyAlignment="1">
      <alignment horizontal="center" vertical="center"/>
    </xf>
    <xf numFmtId="166" fontId="30" fillId="16" borderId="82" xfId="14" applyNumberFormat="1" applyFont="1" applyFill="1" applyBorder="1" applyAlignment="1">
      <alignment horizontal="center" vertical="center"/>
    </xf>
    <xf numFmtId="166" fontId="30" fillId="17" borderId="77" xfId="0" applyNumberFormat="1" applyFont="1" applyFill="1" applyBorder="1" applyAlignment="1">
      <alignment horizontal="center" vertical="center"/>
    </xf>
    <xf numFmtId="164" fontId="30" fillId="17" borderId="77" xfId="0" applyNumberFormat="1" applyFont="1" applyFill="1" applyBorder="1" applyAlignment="1">
      <alignment horizontal="center" vertical="center"/>
    </xf>
    <xf numFmtId="166" fontId="30" fillId="16" borderId="82" xfId="0" applyNumberFormat="1" applyFont="1" applyFill="1" applyBorder="1" applyAlignment="1">
      <alignment horizontal="center" vertical="center"/>
    </xf>
    <xf numFmtId="166" fontId="30" fillId="16" borderId="43" xfId="0" applyNumberFormat="1" applyFont="1" applyFill="1" applyBorder="1" applyAlignment="1">
      <alignment horizontal="center" vertical="center"/>
    </xf>
    <xf numFmtId="164" fontId="30" fillId="16" borderId="43" xfId="0" applyNumberFormat="1" applyFont="1" applyFill="1" applyBorder="1"/>
    <xf numFmtId="167" fontId="0" fillId="18" borderId="73" xfId="13" applyNumberFormat="1" applyFont="1" applyFill="1" applyBorder="1" applyAlignment="1">
      <alignment horizontal="center" vertical="center"/>
    </xf>
    <xf numFmtId="167" fontId="0" fillId="18" borderId="70" xfId="13" applyNumberFormat="1" applyFont="1" applyFill="1" applyBorder="1" applyAlignment="1">
      <alignment horizontal="center" vertical="center"/>
    </xf>
    <xf numFmtId="0" fontId="0" fillId="0" borderId="18" xfId="0" applyBorder="1"/>
    <xf numFmtId="0" fontId="0" fillId="15" borderId="18" xfId="0" applyFill="1" applyBorder="1"/>
    <xf numFmtId="164" fontId="0" fillId="0" borderId="18" xfId="13" applyFont="1" applyBorder="1" applyAlignment="1">
      <alignment horizontal="center" vertical="center"/>
    </xf>
    <xf numFmtId="0" fontId="0" fillId="0" borderId="18" xfId="0" applyBorder="1" applyAlignment="1">
      <alignment horizontal="center" vertical="center"/>
    </xf>
    <xf numFmtId="0" fontId="0" fillId="15" borderId="18" xfId="0" applyFill="1" applyBorder="1" applyAlignment="1">
      <alignment horizontal="center" vertical="center"/>
    </xf>
    <xf numFmtId="0" fontId="1" fillId="0" borderId="0" xfId="0" applyFont="1"/>
    <xf numFmtId="0" fontId="33" fillId="12" borderId="4" xfId="0" applyFont="1" applyFill="1" applyBorder="1"/>
    <xf numFmtId="164" fontId="0" fillId="15" borderId="4" xfId="13" applyNumberFormat="1" applyFont="1" applyFill="1" applyBorder="1" applyAlignment="1">
      <alignment horizontal="left"/>
    </xf>
    <xf numFmtId="164" fontId="0" fillId="15" borderId="97" xfId="13" applyNumberFormat="1" applyFont="1" applyFill="1" applyBorder="1" applyAlignment="1">
      <alignment horizontal="left"/>
    </xf>
    <xf numFmtId="164" fontId="33" fillId="12" borderId="76" xfId="13" applyNumberFormat="1" applyFont="1" applyFill="1" applyBorder="1"/>
    <xf numFmtId="0" fontId="33" fillId="12" borderId="83" xfId="0" applyFont="1" applyFill="1" applyBorder="1" applyAlignment="1">
      <alignment horizontal="center" vertical="center"/>
    </xf>
    <xf numFmtId="0" fontId="33" fillId="12" borderId="84" xfId="0" applyFont="1" applyFill="1" applyBorder="1" applyAlignment="1">
      <alignment horizontal="center" vertical="center"/>
    </xf>
    <xf numFmtId="0" fontId="33" fillId="12" borderId="85" xfId="0" applyFont="1" applyFill="1" applyBorder="1" applyAlignment="1">
      <alignment horizontal="center" vertical="center"/>
    </xf>
    <xf numFmtId="164" fontId="0" fillId="15" borderId="98" xfId="13" applyNumberFormat="1" applyFont="1" applyFill="1" applyBorder="1" applyAlignment="1">
      <alignment horizontal="center" vertical="center"/>
    </xf>
    <xf numFmtId="0" fontId="0" fillId="15" borderId="7" xfId="0" applyFont="1" applyFill="1" applyBorder="1" applyAlignment="1">
      <alignment horizontal="center" vertical="center"/>
    </xf>
    <xf numFmtId="164" fontId="0" fillId="15" borderId="99" xfId="0" applyNumberFormat="1" applyFont="1" applyFill="1" applyBorder="1" applyAlignment="1">
      <alignment horizontal="center" vertical="center"/>
    </xf>
    <xf numFmtId="164" fontId="0" fillId="15" borderId="100" xfId="13" applyNumberFormat="1" applyFont="1" applyFill="1" applyBorder="1" applyAlignment="1">
      <alignment horizontal="center" vertical="center"/>
    </xf>
    <xf numFmtId="164" fontId="31" fillId="15" borderId="81" xfId="0" applyNumberFormat="1" applyFont="1" applyFill="1" applyBorder="1" applyAlignment="1">
      <alignment horizontal="center" vertical="center"/>
    </xf>
    <xf numFmtId="164" fontId="0" fillId="15" borderId="81" xfId="0" applyNumberFormat="1" applyFont="1" applyFill="1" applyBorder="1" applyAlignment="1">
      <alignment horizontal="center" vertical="center"/>
    </xf>
    <xf numFmtId="164" fontId="1" fillId="12" borderId="89" xfId="0" applyNumberFormat="1" applyFont="1" applyFill="1" applyBorder="1" applyAlignment="1">
      <alignment horizontal="center" vertical="center"/>
    </xf>
    <xf numFmtId="0" fontId="1" fillId="12" borderId="90" xfId="0" applyFont="1" applyFill="1" applyBorder="1" applyAlignment="1">
      <alignment horizontal="center" vertical="center"/>
    </xf>
    <xf numFmtId="164" fontId="1" fillId="12" borderId="92" xfId="0" applyNumberFormat="1" applyFont="1" applyFill="1" applyBorder="1" applyAlignment="1">
      <alignment horizontal="center" vertical="center"/>
    </xf>
    <xf numFmtId="164" fontId="1" fillId="12" borderId="90" xfId="0" applyNumberFormat="1" applyFont="1" applyFill="1" applyBorder="1" applyAlignment="1">
      <alignment horizontal="center" vertical="center"/>
    </xf>
    <xf numFmtId="0" fontId="3" fillId="15" borderId="77" xfId="0" applyFont="1" applyFill="1" applyBorder="1" applyAlignment="1">
      <alignment horizontal="center" vertical="center"/>
    </xf>
    <xf numFmtId="164" fontId="3" fillId="15" borderId="81" xfId="0" applyNumberFormat="1" applyFont="1" applyFill="1" applyBorder="1" applyAlignment="1">
      <alignment horizontal="center" vertical="center"/>
    </xf>
    <xf numFmtId="164" fontId="1" fillId="12" borderId="89" xfId="13" applyNumberFormat="1" applyFont="1" applyFill="1" applyBorder="1" applyAlignment="1">
      <alignment horizontal="center" vertical="center"/>
    </xf>
    <xf numFmtId="164" fontId="1" fillId="12" borderId="87" xfId="13" applyNumberFormat="1" applyFont="1" applyFill="1" applyBorder="1" applyAlignment="1">
      <alignment horizontal="center" vertical="center"/>
    </xf>
    <xf numFmtId="164" fontId="0" fillId="15" borderId="95" xfId="13" applyNumberFormat="1" applyFont="1" applyFill="1" applyBorder="1" applyAlignment="1">
      <alignment horizontal="center" vertical="center"/>
    </xf>
    <xf numFmtId="164" fontId="0" fillId="15" borderId="70" xfId="13" applyNumberFormat="1" applyFont="1" applyFill="1" applyBorder="1" applyAlignment="1">
      <alignment horizontal="center" vertical="center"/>
    </xf>
    <xf numFmtId="164" fontId="0" fillId="15" borderId="94" xfId="13" applyNumberFormat="1" applyFont="1" applyFill="1" applyBorder="1" applyAlignment="1">
      <alignment horizontal="center" vertical="center"/>
    </xf>
    <xf numFmtId="0" fontId="0" fillId="15" borderId="91" xfId="0" applyFont="1" applyFill="1" applyBorder="1" applyAlignment="1">
      <alignment horizontal="center" vertical="center"/>
    </xf>
    <xf numFmtId="164" fontId="0" fillId="15" borderId="96" xfId="13" applyNumberFormat="1" applyFont="1" applyFill="1" applyBorder="1" applyAlignment="1">
      <alignment horizontal="center" vertical="center"/>
    </xf>
    <xf numFmtId="0" fontId="0" fillId="15" borderId="86" xfId="0" applyFont="1" applyFill="1" applyBorder="1" applyAlignment="1">
      <alignment horizontal="center" vertical="center"/>
    </xf>
    <xf numFmtId="0" fontId="30" fillId="17" borderId="4" xfId="0" applyFont="1" applyFill="1" applyBorder="1"/>
    <xf numFmtId="164" fontId="30" fillId="17" borderId="76" xfId="13" applyNumberFormat="1" applyFont="1" applyFill="1" applyBorder="1"/>
    <xf numFmtId="0" fontId="30" fillId="17" borderId="83" xfId="0" applyFont="1" applyFill="1" applyBorder="1" applyAlignment="1">
      <alignment horizontal="center" vertical="center"/>
    </xf>
    <xf numFmtId="0" fontId="30" fillId="17" borderId="84" xfId="0" applyFont="1" applyFill="1" applyBorder="1" applyAlignment="1">
      <alignment horizontal="center" vertical="center"/>
    </xf>
    <xf numFmtId="0" fontId="30" fillId="17" borderId="85" xfId="0" applyFont="1" applyFill="1" applyBorder="1" applyAlignment="1">
      <alignment horizontal="center" vertical="center"/>
    </xf>
    <xf numFmtId="164" fontId="0" fillId="18" borderId="100" xfId="13" applyNumberFormat="1" applyFont="1" applyFill="1" applyBorder="1" applyAlignment="1">
      <alignment horizontal="center" vertical="center"/>
    </xf>
    <xf numFmtId="0" fontId="0" fillId="18" borderId="77" xfId="0" applyFont="1" applyFill="1" applyBorder="1" applyAlignment="1">
      <alignment horizontal="center" vertical="center"/>
    </xf>
    <xf numFmtId="164" fontId="30" fillId="17" borderId="89" xfId="0" applyNumberFormat="1" applyFont="1" applyFill="1" applyBorder="1" applyAlignment="1">
      <alignment horizontal="center" vertical="center"/>
    </xf>
    <xf numFmtId="0" fontId="30" fillId="17" borderId="90" xfId="0" applyFont="1" applyFill="1" applyBorder="1" applyAlignment="1">
      <alignment horizontal="center" vertical="center"/>
    </xf>
    <xf numFmtId="166" fontId="30" fillId="17" borderId="90" xfId="14" applyNumberFormat="1" applyFont="1" applyFill="1" applyBorder="1" applyAlignment="1">
      <alignment horizontal="center" vertical="center"/>
    </xf>
    <xf numFmtId="164" fontId="30" fillId="17" borderId="92" xfId="0" applyNumberFormat="1" applyFont="1" applyFill="1" applyBorder="1" applyAlignment="1">
      <alignment horizontal="center" vertical="center"/>
    </xf>
    <xf numFmtId="164" fontId="30" fillId="17" borderId="90" xfId="0" applyNumberFormat="1" applyFont="1" applyFill="1" applyBorder="1" applyAlignment="1">
      <alignment horizontal="center" vertical="center"/>
    </xf>
    <xf numFmtId="167" fontId="0" fillId="18" borderId="100" xfId="13" applyNumberFormat="1" applyFont="1" applyFill="1" applyBorder="1" applyAlignment="1">
      <alignment horizontal="center" vertical="center"/>
    </xf>
    <xf numFmtId="0" fontId="3" fillId="18" borderId="77" xfId="0" applyFont="1" applyFill="1" applyBorder="1" applyAlignment="1">
      <alignment horizontal="center" vertical="center"/>
    </xf>
    <xf numFmtId="164" fontId="3" fillId="15" borderId="97" xfId="13" applyNumberFormat="1" applyFont="1" applyFill="1" applyBorder="1" applyAlignment="1">
      <alignment horizontal="left"/>
    </xf>
    <xf numFmtId="0" fontId="3" fillId="15" borderId="0" xfId="0" applyFont="1" applyFill="1"/>
    <xf numFmtId="0" fontId="3" fillId="15" borderId="0" xfId="0" applyFont="1" applyFill="1" applyAlignment="1">
      <alignment horizontal="center" vertical="center"/>
    </xf>
    <xf numFmtId="167" fontId="3" fillId="18" borderId="100" xfId="13" applyNumberFormat="1" applyFont="1" applyFill="1" applyBorder="1" applyAlignment="1">
      <alignment horizontal="center" vertical="center"/>
    </xf>
    <xf numFmtId="0" fontId="3" fillId="0" borderId="0" xfId="0" applyFont="1"/>
    <xf numFmtId="0" fontId="30" fillId="16" borderId="4" xfId="0" applyFont="1" applyFill="1" applyBorder="1"/>
    <xf numFmtId="0" fontId="30" fillId="16" borderId="93" xfId="0" applyFont="1" applyFill="1" applyBorder="1"/>
    <xf numFmtId="167" fontId="30" fillId="16" borderId="65" xfId="13" applyNumberFormat="1" applyFont="1" applyFill="1" applyBorder="1" applyAlignment="1">
      <alignment horizontal="center" vertical="center"/>
    </xf>
    <xf numFmtId="164" fontId="31" fillId="15" borderId="71" xfId="13" applyNumberFormat="1" applyFont="1" applyFill="1" applyBorder="1" applyAlignment="1">
      <alignment horizontal="left"/>
    </xf>
    <xf numFmtId="0" fontId="31" fillId="15" borderId="0" xfId="0" applyFont="1" applyFill="1"/>
    <xf numFmtId="164" fontId="31" fillId="18" borderId="71" xfId="13" applyNumberFormat="1" applyFont="1" applyFill="1" applyBorder="1" applyAlignment="1">
      <alignment horizontal="left"/>
    </xf>
    <xf numFmtId="0" fontId="31" fillId="18" borderId="71" xfId="13" applyNumberFormat="1" applyFont="1" applyFill="1" applyBorder="1" applyAlignment="1">
      <alignment horizontal="center" vertical="center"/>
    </xf>
    <xf numFmtId="164" fontId="31" fillId="15" borderId="71" xfId="13" applyFont="1" applyFill="1" applyBorder="1" applyAlignment="1">
      <alignment horizontal="left"/>
    </xf>
    <xf numFmtId="0" fontId="31" fillId="15" borderId="0" xfId="0" applyFont="1" applyFill="1" applyAlignment="1">
      <alignment horizontal="center" vertical="center"/>
    </xf>
    <xf numFmtId="0" fontId="31" fillId="0" borderId="0" xfId="0" applyFont="1"/>
    <xf numFmtId="43" fontId="0" fillId="0" borderId="0" xfId="0" applyNumberFormat="1"/>
    <xf numFmtId="167" fontId="0" fillId="0" borderId="0" xfId="13" applyNumberFormat="1" applyFont="1" applyAlignment="1">
      <alignment horizontal="center" vertical="center"/>
    </xf>
    <xf numFmtId="167" fontId="3" fillId="12" borderId="43" xfId="13" applyNumberFormat="1" applyFont="1" applyFill="1" applyBorder="1" applyAlignment="1">
      <alignment horizontal="center" vertical="center"/>
    </xf>
    <xf numFmtId="167" fontId="0" fillId="15" borderId="73" xfId="13" applyNumberFormat="1" applyFont="1" applyFill="1" applyBorder="1" applyAlignment="1">
      <alignment horizontal="center" vertical="center"/>
    </xf>
    <xf numFmtId="167" fontId="0" fillId="15" borderId="71" xfId="13" applyNumberFormat="1" applyFont="1" applyFill="1" applyBorder="1" applyAlignment="1">
      <alignment horizontal="center" vertical="center"/>
    </xf>
    <xf numFmtId="167" fontId="0" fillId="12" borderId="77" xfId="13" applyNumberFormat="1" applyFont="1" applyFill="1" applyBorder="1" applyAlignment="1">
      <alignment horizontal="center" vertical="center"/>
    </xf>
    <xf numFmtId="167" fontId="33" fillId="12" borderId="43" xfId="13" applyNumberFormat="1" applyFont="1" applyFill="1" applyBorder="1" applyAlignment="1">
      <alignment horizontal="center" vertical="center"/>
    </xf>
    <xf numFmtId="167" fontId="0" fillId="15" borderId="69" xfId="13" applyNumberFormat="1" applyFont="1" applyFill="1" applyBorder="1" applyAlignment="1">
      <alignment horizontal="center" vertical="center"/>
    </xf>
    <xf numFmtId="167" fontId="3" fillId="15" borderId="71" xfId="13" applyNumberFormat="1" applyFont="1" applyFill="1" applyBorder="1" applyAlignment="1">
      <alignment horizontal="center" vertical="center"/>
    </xf>
    <xf numFmtId="167" fontId="0" fillId="15" borderId="77" xfId="13" applyNumberFormat="1" applyFont="1" applyFill="1" applyBorder="1" applyAlignment="1">
      <alignment horizontal="center" vertical="center"/>
    </xf>
    <xf numFmtId="167" fontId="1" fillId="12" borderId="81" xfId="13" applyNumberFormat="1" applyFont="1" applyFill="1" applyBorder="1" applyAlignment="1">
      <alignment horizontal="center" vertical="center"/>
    </xf>
    <xf numFmtId="167" fontId="1" fillId="12" borderId="71" xfId="13" applyNumberFormat="1" applyFont="1" applyFill="1" applyBorder="1" applyAlignment="1">
      <alignment horizontal="center" vertical="center"/>
    </xf>
    <xf numFmtId="167" fontId="32" fillId="17" borderId="43" xfId="13" applyNumberFormat="1" applyFont="1" applyFill="1" applyBorder="1" applyAlignment="1">
      <alignment horizontal="center" vertical="center"/>
    </xf>
    <xf numFmtId="167" fontId="32" fillId="17" borderId="0" xfId="13" applyNumberFormat="1" applyFont="1" applyFill="1" applyBorder="1" applyAlignment="1">
      <alignment horizontal="center" vertical="center"/>
    </xf>
    <xf numFmtId="167" fontId="30" fillId="16" borderId="43" xfId="13" applyNumberFormat="1" applyFont="1" applyFill="1" applyBorder="1"/>
    <xf numFmtId="167" fontId="30" fillId="16" borderId="66" xfId="13" applyNumberFormat="1" applyFont="1" applyFill="1" applyBorder="1" applyAlignment="1">
      <alignment horizontal="center" vertical="center"/>
    </xf>
    <xf numFmtId="167" fontId="0" fillId="15" borderId="72" xfId="13" applyNumberFormat="1" applyFont="1" applyFill="1" applyBorder="1" applyAlignment="1">
      <alignment horizontal="center" vertical="center"/>
    </xf>
    <xf numFmtId="167" fontId="30" fillId="16" borderId="80" xfId="13" applyNumberFormat="1" applyFont="1" applyFill="1" applyBorder="1" applyAlignment="1">
      <alignment horizontal="center" vertical="center"/>
    </xf>
    <xf numFmtId="167" fontId="30" fillId="16" borderId="43" xfId="13" applyNumberFormat="1" applyFont="1" applyFill="1" applyBorder="1" applyAlignment="1">
      <alignment horizontal="center" vertical="center"/>
    </xf>
    <xf numFmtId="167" fontId="0" fillId="15" borderId="71" xfId="13" applyNumberFormat="1" applyFont="1" applyFill="1" applyBorder="1" applyAlignment="1">
      <alignment horizontal="left"/>
    </xf>
    <xf numFmtId="167" fontId="30" fillId="16" borderId="82" xfId="13" applyNumberFormat="1" applyFont="1" applyFill="1" applyBorder="1"/>
    <xf numFmtId="167" fontId="0" fillId="15" borderId="77" xfId="13" applyNumberFormat="1" applyFont="1" applyFill="1" applyBorder="1" applyAlignment="1">
      <alignment horizontal="left"/>
    </xf>
    <xf numFmtId="167" fontId="0" fillId="18" borderId="71" xfId="13" applyNumberFormat="1" applyFont="1" applyFill="1" applyBorder="1" applyAlignment="1">
      <alignment horizontal="center" vertical="center"/>
    </xf>
    <xf numFmtId="167" fontId="0" fillId="0" borderId="18" xfId="13" applyNumberFormat="1" applyFont="1" applyBorder="1" applyAlignment="1">
      <alignment horizontal="center" vertical="center"/>
    </xf>
    <xf numFmtId="167" fontId="33" fillId="12" borderId="85" xfId="13" applyNumberFormat="1" applyFont="1" applyFill="1" applyBorder="1" applyAlignment="1">
      <alignment horizontal="center" vertical="center"/>
    </xf>
    <xf numFmtId="167" fontId="0" fillId="15" borderId="81" xfId="13" applyNumberFormat="1" applyFont="1" applyFill="1" applyBorder="1" applyAlignment="1">
      <alignment horizontal="center" vertical="center"/>
    </xf>
    <xf numFmtId="167" fontId="1" fillId="12" borderId="92" xfId="13" applyNumberFormat="1" applyFont="1" applyFill="1" applyBorder="1" applyAlignment="1">
      <alignment horizontal="center" vertical="center"/>
    </xf>
    <xf numFmtId="167" fontId="0" fillId="15" borderId="99" xfId="13" applyNumberFormat="1" applyFont="1" applyFill="1" applyBorder="1" applyAlignment="1">
      <alignment horizontal="center" vertical="center"/>
    </xf>
    <xf numFmtId="167" fontId="3" fillId="15" borderId="81" xfId="13" applyNumberFormat="1" applyFont="1" applyFill="1" applyBorder="1" applyAlignment="1">
      <alignment horizontal="center" vertical="center"/>
    </xf>
    <xf numFmtId="167" fontId="1" fillId="12" borderId="88" xfId="13" applyNumberFormat="1" applyFont="1" applyFill="1" applyBorder="1" applyAlignment="1">
      <alignment horizontal="center" vertical="center"/>
    </xf>
    <xf numFmtId="167" fontId="30" fillId="17" borderId="85" xfId="13" applyNumberFormat="1" applyFont="1" applyFill="1" applyBorder="1" applyAlignment="1">
      <alignment horizontal="center" vertical="center"/>
    </xf>
    <xf numFmtId="167" fontId="30" fillId="17" borderId="92" xfId="13" applyNumberFormat="1" applyFont="1" applyFill="1" applyBorder="1" applyAlignment="1">
      <alignment horizontal="center" vertical="center"/>
    </xf>
    <xf numFmtId="167" fontId="31" fillId="15" borderId="71" xfId="13" applyNumberFormat="1" applyFont="1" applyFill="1" applyBorder="1" applyAlignment="1">
      <alignment horizontal="left"/>
    </xf>
    <xf numFmtId="0" fontId="0" fillId="18" borderId="71" xfId="0" applyFont="1" applyFill="1" applyBorder="1" applyAlignment="1">
      <alignment horizontal="center" vertical="center"/>
    </xf>
    <xf numFmtId="167" fontId="0" fillId="12" borderId="77" xfId="0" applyNumberFormat="1" applyFont="1" applyFill="1" applyBorder="1" applyAlignment="1">
      <alignment horizontal="center" vertical="center"/>
    </xf>
    <xf numFmtId="166" fontId="32" fillId="17" borderId="77" xfId="0" applyNumberFormat="1" applyFont="1" applyFill="1" applyBorder="1" applyAlignment="1">
      <alignment horizontal="center" vertical="center"/>
    </xf>
    <xf numFmtId="167" fontId="32" fillId="17" borderId="77" xfId="0" applyNumberFormat="1" applyFont="1" applyFill="1" applyBorder="1" applyAlignment="1">
      <alignment horizontal="center" vertical="center"/>
    </xf>
    <xf numFmtId="167" fontId="30" fillId="16" borderId="43" xfId="0" applyNumberFormat="1" applyFont="1" applyFill="1" applyBorder="1"/>
    <xf numFmtId="167" fontId="30" fillId="16" borderId="82" xfId="0" applyNumberFormat="1" applyFont="1" applyFill="1" applyBorder="1"/>
    <xf numFmtId="0" fontId="30" fillId="19" borderId="0" xfId="0" applyFont="1" applyFill="1"/>
    <xf numFmtId="9" fontId="30" fillId="19" borderId="0" xfId="13" applyNumberFormat="1" applyFont="1" applyFill="1" applyAlignment="1">
      <alignment horizontal="center" vertical="center"/>
    </xf>
    <xf numFmtId="0" fontId="34" fillId="19" borderId="0" xfId="0" applyFont="1" applyFill="1" applyAlignment="1">
      <alignment horizontal="center" vertical="center"/>
    </xf>
    <xf numFmtId="0" fontId="30" fillId="19" borderId="0" xfId="0" applyFont="1" applyFill="1" applyAlignment="1">
      <alignment horizontal="center" vertical="center"/>
    </xf>
    <xf numFmtId="164" fontId="30" fillId="19" borderId="0" xfId="0" applyNumberFormat="1" applyFont="1" applyFill="1" applyAlignment="1">
      <alignment horizontal="center" vertical="center"/>
    </xf>
    <xf numFmtId="0" fontId="34" fillId="19" borderId="0" xfId="13" applyNumberFormat="1" applyFont="1" applyFill="1" applyAlignment="1">
      <alignment horizontal="center" vertical="center"/>
    </xf>
    <xf numFmtId="164" fontId="30" fillId="19" borderId="0" xfId="13" applyFont="1" applyFill="1" applyAlignment="1">
      <alignment horizontal="center" vertical="center"/>
    </xf>
    <xf numFmtId="9" fontId="30" fillId="19" borderId="0" xfId="14" applyFont="1" applyFill="1" applyAlignment="1">
      <alignment horizontal="center" vertical="center"/>
    </xf>
    <xf numFmtId="0" fontId="1" fillId="18" borderId="71" xfId="0" applyFont="1" applyFill="1" applyBorder="1"/>
    <xf numFmtId="0" fontId="1" fillId="15" borderId="0" xfId="0" applyFont="1" applyFill="1"/>
    <xf numFmtId="164" fontId="1" fillId="18" borderId="71" xfId="13" applyFont="1" applyFill="1" applyBorder="1" applyAlignment="1">
      <alignment horizontal="center" vertical="center"/>
    </xf>
    <xf numFmtId="0" fontId="1" fillId="18" borderId="71" xfId="0" applyFont="1" applyFill="1" applyBorder="1" applyAlignment="1">
      <alignment horizontal="center" vertical="center"/>
    </xf>
    <xf numFmtId="0" fontId="1" fillId="15" borderId="0" xfId="0" applyFont="1" applyFill="1" applyAlignment="1">
      <alignment horizontal="center" vertical="center"/>
    </xf>
    <xf numFmtId="164" fontId="1" fillId="0" borderId="0" xfId="13" applyFont="1" applyAlignment="1">
      <alignment horizontal="center" vertical="center"/>
    </xf>
    <xf numFmtId="0" fontId="1" fillId="0" borderId="0" xfId="0" applyFont="1" applyAlignment="1">
      <alignment horizontal="center" vertical="center"/>
    </xf>
    <xf numFmtId="166" fontId="1" fillId="18" borderId="71" xfId="14" applyNumberFormat="1" applyFont="1" applyFill="1" applyBorder="1" applyAlignment="1">
      <alignment horizontal="center" vertical="center"/>
    </xf>
    <xf numFmtId="166" fontId="30" fillId="19" borderId="0" xfId="13" applyNumberFormat="1" applyFont="1" applyFill="1" applyAlignment="1">
      <alignment horizontal="center" vertical="center"/>
    </xf>
    <xf numFmtId="0" fontId="1" fillId="0" borderId="0" xfId="0" applyFont="1" applyFill="1" applyBorder="1"/>
    <xf numFmtId="0" fontId="1" fillId="0" borderId="0" xfId="0" applyFont="1" applyFill="1"/>
    <xf numFmtId="164" fontId="1" fillId="0" borderId="0" xfId="13" applyFont="1" applyFill="1" applyBorder="1" applyAlignment="1">
      <alignment horizontal="center" vertical="center"/>
    </xf>
    <xf numFmtId="0" fontId="1" fillId="0" borderId="0" xfId="0" applyFont="1" applyFill="1" applyBorder="1" applyAlignment="1">
      <alignment horizontal="center" vertical="center"/>
    </xf>
    <xf numFmtId="166" fontId="1" fillId="0" borderId="0" xfId="14" applyNumberFormat="1" applyFont="1" applyFill="1" applyBorder="1" applyAlignment="1">
      <alignment horizontal="center" vertical="center"/>
    </xf>
    <xf numFmtId="0" fontId="1" fillId="0" borderId="0" xfId="0" applyFont="1" applyFill="1" applyAlignment="1">
      <alignment horizontal="center" vertical="center"/>
    </xf>
    <xf numFmtId="166" fontId="30" fillId="19" borderId="0" xfId="14" applyNumberFormat="1" applyFont="1" applyFill="1" applyAlignment="1">
      <alignment horizontal="center" vertical="center"/>
    </xf>
    <xf numFmtId="164" fontId="0" fillId="17" borderId="77" xfId="0" applyNumberFormat="1" applyFont="1" applyFill="1" applyBorder="1" applyAlignment="1">
      <alignment horizontal="center" vertical="center"/>
    </xf>
    <xf numFmtId="10" fontId="30" fillId="19" borderId="0" xfId="13" applyNumberFormat="1" applyFont="1" applyFill="1" applyAlignment="1">
      <alignment horizontal="center" vertical="center"/>
    </xf>
    <xf numFmtId="0" fontId="1" fillId="18" borderId="77" xfId="0" applyFont="1" applyFill="1" applyBorder="1"/>
    <xf numFmtId="164" fontId="1" fillId="18" borderId="77" xfId="13" applyFont="1" applyFill="1" applyBorder="1" applyAlignment="1">
      <alignment horizontal="center" vertical="center"/>
    </xf>
    <xf numFmtId="0" fontId="1" fillId="18" borderId="77" xfId="0" applyFont="1" applyFill="1" applyBorder="1" applyAlignment="1">
      <alignment horizontal="center" vertical="center"/>
    </xf>
    <xf numFmtId="166" fontId="1" fillId="18" borderId="77" xfId="14" applyNumberFormat="1" applyFont="1" applyFill="1" applyBorder="1" applyAlignment="1">
      <alignment horizontal="center" vertical="center"/>
    </xf>
    <xf numFmtId="0" fontId="0" fillId="0" borderId="0" xfId="0" applyFill="1"/>
    <xf numFmtId="164" fontId="0" fillId="0" borderId="0" xfId="13" applyFont="1" applyFill="1" applyAlignment="1">
      <alignment horizontal="center" vertical="center"/>
    </xf>
    <xf numFmtId="0" fontId="0" fillId="0" borderId="0" xfId="0" applyFill="1" applyAlignment="1">
      <alignment horizontal="center" vertical="center"/>
    </xf>
    <xf numFmtId="167" fontId="0" fillId="0" borderId="0" xfId="13" applyNumberFormat="1" applyFont="1" applyFill="1" applyAlignment="1">
      <alignment horizontal="center" vertical="center"/>
    </xf>
    <xf numFmtId="167" fontId="0" fillId="0" borderId="0" xfId="0" applyNumberFormat="1"/>
    <xf numFmtId="167" fontId="0" fillId="15" borderId="73" xfId="0" applyNumberFormat="1" applyFill="1" applyBorder="1" applyAlignment="1">
      <alignment horizontal="center" vertical="center"/>
    </xf>
    <xf numFmtId="167" fontId="0" fillId="15" borderId="0" xfId="0" applyNumberFormat="1" applyFill="1" applyAlignment="1">
      <alignment horizontal="center" vertical="center"/>
    </xf>
    <xf numFmtId="167" fontId="31" fillId="15" borderId="71" xfId="0" applyNumberFormat="1" applyFont="1" applyFill="1" applyBorder="1" applyAlignment="1">
      <alignment horizontal="center" vertical="center"/>
    </xf>
    <xf numFmtId="167" fontId="0" fillId="15" borderId="71" xfId="0" applyNumberFormat="1" applyFill="1" applyBorder="1" applyAlignment="1">
      <alignment horizontal="center" vertical="center"/>
    </xf>
    <xf numFmtId="167" fontId="30" fillId="17" borderId="77" xfId="0" applyNumberFormat="1" applyFont="1" applyFill="1" applyBorder="1" applyAlignment="1">
      <alignment horizontal="center" vertical="center"/>
    </xf>
    <xf numFmtId="164" fontId="31" fillId="15" borderId="97" xfId="13" applyNumberFormat="1" applyFont="1" applyFill="1" applyBorder="1" applyAlignment="1">
      <alignment horizontal="left"/>
    </xf>
    <xf numFmtId="167" fontId="31" fillId="18" borderId="70" xfId="13" applyNumberFormat="1" applyFont="1" applyFill="1" applyBorder="1" applyAlignment="1">
      <alignment horizontal="center" vertical="center"/>
    </xf>
    <xf numFmtId="164" fontId="31" fillId="15" borderId="72" xfId="13" applyNumberFormat="1" applyFont="1" applyFill="1" applyBorder="1" applyAlignment="1">
      <alignment horizontal="left"/>
    </xf>
    <xf numFmtId="164" fontId="31" fillId="18" borderId="70" xfId="13" applyNumberFormat="1" applyFont="1" applyFill="1" applyBorder="1" applyAlignment="1">
      <alignment horizontal="center" vertical="center"/>
    </xf>
    <xf numFmtId="9" fontId="1" fillId="18" borderId="71" xfId="14" applyFont="1" applyFill="1" applyBorder="1"/>
    <xf numFmtId="9" fontId="1" fillId="15" borderId="0" xfId="14" applyFont="1" applyFill="1"/>
    <xf numFmtId="9" fontId="1" fillId="18" borderId="71" xfId="14" applyFont="1" applyFill="1" applyBorder="1" applyAlignment="1">
      <alignment horizontal="center" vertical="center"/>
    </xf>
    <xf numFmtId="9" fontId="1" fillId="15" borderId="0" xfId="14" applyFont="1" applyFill="1" applyAlignment="1">
      <alignment horizontal="center" vertical="center"/>
    </xf>
    <xf numFmtId="9" fontId="1" fillId="0" borderId="0" xfId="14" applyFont="1"/>
    <xf numFmtId="4" fontId="1" fillId="8" borderId="24" xfId="0" applyNumberFormat="1" applyFont="1" applyFill="1" applyBorder="1" applyAlignment="1">
      <alignment horizontal="center" vertical="center"/>
    </xf>
    <xf numFmtId="4" fontId="1" fillId="8" borderId="25" xfId="0" applyNumberFormat="1" applyFont="1" applyFill="1" applyBorder="1" applyAlignment="1">
      <alignment horizontal="center" vertical="center"/>
    </xf>
    <xf numFmtId="4" fontId="1" fillId="8" borderId="21" xfId="0" applyNumberFormat="1" applyFont="1" applyFill="1" applyBorder="1" applyAlignment="1">
      <alignment horizontal="center" vertical="center"/>
    </xf>
    <xf numFmtId="4" fontId="1" fillId="8" borderId="22" xfId="0" applyNumberFormat="1" applyFont="1" applyFill="1" applyBorder="1" applyAlignment="1">
      <alignment horizontal="center" vertical="center"/>
    </xf>
    <xf numFmtId="0" fontId="4" fillId="0" borderId="0" xfId="0" applyFont="1" applyAlignment="1">
      <alignment horizontal="center" vertical="center"/>
    </xf>
    <xf numFmtId="1" fontId="4" fillId="0" borderId="0" xfId="0" applyNumberFormat="1" applyFont="1" applyAlignment="1" applyProtection="1">
      <alignment horizontal="center" vertical="center"/>
    </xf>
    <xf numFmtId="0" fontId="4" fillId="0" borderId="0" xfId="0" applyFont="1" applyAlignment="1" applyProtection="1">
      <alignment horizontal="center" vertical="center"/>
    </xf>
    <xf numFmtId="0" fontId="0" fillId="0" borderId="0" xfId="0" applyAlignment="1" applyProtection="1">
      <alignment horizontal="center" vertical="center" wrapText="1"/>
    </xf>
    <xf numFmtId="0" fontId="0" fillId="0" borderId="0" xfId="0" applyAlignment="1" applyProtection="1">
      <alignment horizontal="left" vertical="center" wrapText="1"/>
    </xf>
    <xf numFmtId="4" fontId="1" fillId="2" borderId="14" xfId="0" applyNumberFormat="1" applyFont="1" applyFill="1" applyBorder="1" applyAlignment="1" applyProtection="1">
      <alignment horizontal="center" vertical="center"/>
    </xf>
    <xf numFmtId="4" fontId="1" fillId="2" borderId="8" xfId="0" applyNumberFormat="1" applyFont="1" applyFill="1" applyBorder="1" applyAlignment="1" applyProtection="1">
      <alignment horizontal="center" vertical="center"/>
    </xf>
    <xf numFmtId="0" fontId="1" fillId="4" borderId="21" xfId="0" applyFont="1" applyFill="1" applyBorder="1" applyAlignment="1" applyProtection="1">
      <alignment horizontal="center" vertical="center"/>
    </xf>
    <xf numFmtId="4" fontId="1" fillId="2" borderId="20" xfId="0" applyNumberFormat="1" applyFont="1" applyFill="1" applyBorder="1" applyAlignment="1" applyProtection="1">
      <alignment horizontal="center" vertical="center"/>
    </xf>
    <xf numFmtId="4" fontId="1" fillId="2" borderId="21" xfId="0" applyNumberFormat="1" applyFont="1" applyFill="1" applyBorder="1" applyAlignment="1" applyProtection="1">
      <alignment horizontal="center" vertical="center"/>
    </xf>
    <xf numFmtId="4" fontId="1" fillId="2" borderId="22" xfId="0" applyNumberFormat="1" applyFont="1" applyFill="1" applyBorder="1" applyAlignment="1" applyProtection="1">
      <alignment horizontal="center" vertical="center"/>
    </xf>
    <xf numFmtId="0" fontId="1" fillId="8" borderId="34" xfId="0" applyFont="1" applyFill="1" applyBorder="1" applyAlignment="1" applyProtection="1">
      <alignment horizontal="center" vertical="center" wrapText="1"/>
    </xf>
    <xf numFmtId="0" fontId="1" fillId="8" borderId="35" xfId="0" applyFont="1" applyFill="1" applyBorder="1" applyAlignment="1" applyProtection="1">
      <alignment horizontal="center" vertical="center" wrapText="1"/>
    </xf>
    <xf numFmtId="4" fontId="1" fillId="8" borderId="33" xfId="0" applyNumberFormat="1" applyFont="1" applyFill="1" applyBorder="1" applyAlignment="1" applyProtection="1">
      <alignment horizontal="center" vertical="center"/>
    </xf>
    <xf numFmtId="4" fontId="1" fillId="8" borderId="24" xfId="0" applyNumberFormat="1" applyFont="1" applyFill="1" applyBorder="1" applyAlignment="1" applyProtection="1">
      <alignment horizontal="center" vertical="center"/>
    </xf>
    <xf numFmtId="4" fontId="1" fillId="8" borderId="25" xfId="0" applyNumberFormat="1" applyFont="1" applyFill="1" applyBorder="1" applyAlignment="1" applyProtection="1">
      <alignment horizontal="center" vertical="center"/>
    </xf>
    <xf numFmtId="4" fontId="1" fillId="8" borderId="26" xfId="0" applyNumberFormat="1" applyFont="1" applyFill="1" applyBorder="1" applyAlignment="1" applyProtection="1">
      <alignment horizontal="center" vertical="center"/>
    </xf>
    <xf numFmtId="4" fontId="1" fillId="8" borderId="18" xfId="0" applyNumberFormat="1" applyFont="1" applyFill="1" applyBorder="1" applyAlignment="1" applyProtection="1">
      <alignment horizontal="center" vertical="center"/>
    </xf>
    <xf numFmtId="4" fontId="1" fillId="8" borderId="19" xfId="0" applyNumberFormat="1" applyFont="1" applyFill="1" applyBorder="1" applyAlignment="1" applyProtection="1">
      <alignment horizontal="center" vertical="center"/>
    </xf>
    <xf numFmtId="4" fontId="1" fillId="4" borderId="20" xfId="0" applyNumberFormat="1" applyFont="1" applyFill="1" applyBorder="1" applyAlignment="1" applyProtection="1">
      <alignment horizontal="center" vertical="center"/>
    </xf>
    <xf numFmtId="4" fontId="1" fillId="4" borderId="21" xfId="0" applyNumberFormat="1" applyFont="1" applyFill="1" applyBorder="1" applyAlignment="1" applyProtection="1">
      <alignment horizontal="center" vertical="center"/>
    </xf>
    <xf numFmtId="4" fontId="1" fillId="2" borderId="15" xfId="0" applyNumberFormat="1" applyFont="1" applyFill="1" applyBorder="1" applyAlignment="1" applyProtection="1">
      <alignment horizontal="center" vertical="center"/>
    </xf>
    <xf numFmtId="4" fontId="1" fillId="4" borderId="22" xfId="0" applyNumberFormat="1" applyFont="1" applyFill="1" applyBorder="1" applyAlignment="1" applyProtection="1">
      <alignment horizontal="center" vertical="center"/>
    </xf>
    <xf numFmtId="4" fontId="0" fillId="0" borderId="10" xfId="0" applyNumberFormat="1" applyBorder="1" applyAlignment="1" applyProtection="1">
      <alignment horizontal="center" vertical="center"/>
      <protection locked="0"/>
    </xf>
    <xf numFmtId="4" fontId="0" fillId="0" borderId="11" xfId="0" applyNumberFormat="1" applyBorder="1" applyAlignment="1" applyProtection="1">
      <alignment horizontal="center" vertical="center"/>
      <protection locked="0"/>
    </xf>
    <xf numFmtId="4" fontId="0" fillId="0" borderId="12" xfId="0" applyNumberFormat="1" applyBorder="1" applyAlignment="1" applyProtection="1">
      <alignment horizontal="center" vertical="center"/>
      <protection locked="0"/>
    </xf>
    <xf numFmtId="0" fontId="0" fillId="0" borderId="39" xfId="0" applyBorder="1" applyAlignment="1" applyProtection="1">
      <alignment horizontal="center" vertical="center"/>
    </xf>
    <xf numFmtId="0" fontId="0" fillId="0" borderId="11" xfId="0" applyBorder="1" applyAlignment="1" applyProtection="1">
      <alignment horizontal="center" vertical="center"/>
    </xf>
    <xf numFmtId="0" fontId="0" fillId="0" borderId="40" xfId="0" applyBorder="1" applyAlignment="1" applyProtection="1">
      <alignment horizontal="center" vertical="center"/>
    </xf>
    <xf numFmtId="0" fontId="1" fillId="3" borderId="21" xfId="0" applyFont="1" applyFill="1" applyBorder="1" applyAlignment="1" applyProtection="1">
      <alignment horizontal="center" vertical="center"/>
    </xf>
    <xf numFmtId="0" fontId="1" fillId="3" borderId="22" xfId="0" applyFont="1" applyFill="1" applyBorder="1" applyAlignment="1" applyProtection="1">
      <alignment horizontal="center" vertical="center"/>
    </xf>
    <xf numFmtId="0" fontId="1" fillId="4" borderId="22" xfId="0" applyFont="1" applyFill="1" applyBorder="1" applyAlignment="1" applyProtection="1">
      <alignment horizontal="center" vertical="center"/>
    </xf>
    <xf numFmtId="0" fontId="1" fillId="7" borderId="21" xfId="0" applyFont="1" applyFill="1" applyBorder="1" applyAlignment="1" applyProtection="1">
      <alignment horizontal="center" vertical="center"/>
    </xf>
    <xf numFmtId="0" fontId="1" fillId="7" borderId="22" xfId="0" applyFont="1" applyFill="1" applyBorder="1" applyAlignment="1" applyProtection="1">
      <alignment horizontal="center" vertical="center"/>
    </xf>
    <xf numFmtId="0" fontId="1" fillId="7" borderId="10" xfId="0" applyFont="1" applyFill="1" applyBorder="1" applyAlignment="1" applyProtection="1">
      <alignment horizontal="center" vertical="center"/>
    </xf>
    <xf numFmtId="0" fontId="1" fillId="7" borderId="11" xfId="0" applyFont="1" applyFill="1" applyBorder="1" applyAlignment="1" applyProtection="1">
      <alignment horizontal="center" vertical="center"/>
    </xf>
    <xf numFmtId="0" fontId="1" fillId="7" borderId="12" xfId="0" applyFont="1" applyFill="1" applyBorder="1" applyAlignment="1" applyProtection="1">
      <alignment horizontal="center" vertical="center"/>
    </xf>
    <xf numFmtId="0" fontId="1" fillId="4" borderId="20" xfId="0" applyFont="1" applyFill="1" applyBorder="1" applyAlignment="1" applyProtection="1">
      <alignment horizontal="center" vertical="center"/>
    </xf>
    <xf numFmtId="4" fontId="1" fillId="5" borderId="34" xfId="0" applyNumberFormat="1" applyFont="1" applyFill="1" applyBorder="1" applyAlignment="1" applyProtection="1">
      <alignment horizontal="center" vertical="center" wrapText="1"/>
    </xf>
    <xf numFmtId="4" fontId="1" fillId="5" borderId="35" xfId="0" applyNumberFormat="1" applyFont="1" applyFill="1" applyBorder="1" applyAlignment="1" applyProtection="1">
      <alignment horizontal="center" vertical="center" wrapText="1"/>
    </xf>
    <xf numFmtId="3" fontId="1" fillId="5" borderId="34" xfId="0" applyNumberFormat="1" applyFont="1" applyFill="1" applyBorder="1" applyAlignment="1" applyProtection="1">
      <alignment horizontal="center" vertical="center" wrapText="1"/>
    </xf>
    <xf numFmtId="3" fontId="1" fillId="5" borderId="35" xfId="0" applyNumberFormat="1" applyFont="1" applyFill="1" applyBorder="1" applyAlignment="1" applyProtection="1">
      <alignment horizontal="center" vertical="center" wrapText="1"/>
    </xf>
    <xf numFmtId="4" fontId="1" fillId="5" borderId="34" xfId="0" applyNumberFormat="1" applyFont="1" applyFill="1" applyBorder="1" applyAlignment="1" applyProtection="1">
      <alignment horizontal="center" wrapText="1"/>
    </xf>
    <xf numFmtId="4" fontId="1" fillId="5" borderId="35" xfId="0" applyNumberFormat="1" applyFont="1" applyFill="1" applyBorder="1" applyAlignment="1" applyProtection="1">
      <alignment horizontal="center" wrapText="1"/>
    </xf>
    <xf numFmtId="0" fontId="0" fillId="5" borderId="34" xfId="0" applyFill="1" applyBorder="1" applyAlignment="1" applyProtection="1">
      <alignment horizontal="left" vertical="center" wrapText="1"/>
    </xf>
    <xf numFmtId="0" fontId="0" fillId="5" borderId="35" xfId="0" applyFill="1" applyBorder="1" applyAlignment="1" applyProtection="1">
      <alignment horizontal="left" vertical="center" wrapText="1"/>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5" xfId="0" applyFont="1" applyBorder="1" applyAlignment="1">
      <alignment horizontal="center" vertical="center" wrapText="1"/>
    </xf>
    <xf numFmtId="0" fontId="4" fillId="0" borderId="0" xfId="0" applyFont="1" applyAlignment="1">
      <alignment horizontal="center"/>
    </xf>
    <xf numFmtId="0" fontId="20" fillId="12" borderId="49" xfId="15" applyFont="1" applyFill="1" applyBorder="1" applyAlignment="1">
      <alignment horizontal="center"/>
    </xf>
    <xf numFmtId="0" fontId="17" fillId="12" borderId="49" xfId="15" applyFont="1" applyFill="1" applyBorder="1" applyAlignment="1">
      <alignment horizontal="center" vertical="center"/>
    </xf>
    <xf numFmtId="0" fontId="18" fillId="12" borderId="49" xfId="15" applyFont="1" applyFill="1" applyBorder="1" applyAlignment="1">
      <alignment horizontal="center" vertical="center"/>
    </xf>
    <xf numFmtId="0" fontId="21" fillId="12" borderId="65" xfId="15" applyFont="1" applyFill="1" applyBorder="1" applyAlignment="1">
      <alignment horizontal="center"/>
    </xf>
    <xf numFmtId="0" fontId="21" fillId="12" borderId="8" xfId="15" applyFont="1" applyFill="1" applyBorder="1" applyAlignment="1">
      <alignment horizontal="center"/>
    </xf>
    <xf numFmtId="0" fontId="21" fillId="12" borderId="66" xfId="15" applyFont="1" applyFill="1" applyBorder="1" applyAlignment="1">
      <alignment horizontal="center"/>
    </xf>
    <xf numFmtId="0" fontId="4" fillId="12" borderId="65" xfId="17" applyFont="1" applyFill="1" applyBorder="1" applyAlignment="1">
      <alignment horizontal="center"/>
    </xf>
    <xf numFmtId="0" fontId="4" fillId="12" borderId="8" xfId="17" applyFont="1" applyFill="1" applyBorder="1" applyAlignment="1">
      <alignment horizontal="center"/>
    </xf>
    <xf numFmtId="0" fontId="4" fillId="12" borderId="66" xfId="17" applyFont="1" applyFill="1" applyBorder="1" applyAlignment="1">
      <alignment horizontal="center"/>
    </xf>
    <xf numFmtId="0" fontId="24" fillId="0" borderId="65" xfId="17" applyFont="1" applyBorder="1" applyAlignment="1">
      <alignment horizontal="center" vertical="center"/>
    </xf>
    <xf numFmtId="0" fontId="24" fillId="0" borderId="66" xfId="17" applyFont="1" applyBorder="1" applyAlignment="1">
      <alignment horizontal="center" vertical="center"/>
    </xf>
    <xf numFmtId="43" fontId="1" fillId="0" borderId="0" xfId="0" applyNumberFormat="1" applyFont="1"/>
    <xf numFmtId="164" fontId="1" fillId="0" borderId="0" xfId="0" applyNumberFormat="1" applyFont="1"/>
    <xf numFmtId="164" fontId="0" fillId="18" borderId="98" xfId="13" applyNumberFormat="1" applyFont="1" applyFill="1" applyBorder="1" applyAlignment="1">
      <alignment horizontal="center" vertical="center"/>
    </xf>
    <xf numFmtId="0" fontId="0" fillId="18" borderId="7" xfId="0" applyFont="1" applyFill="1" applyBorder="1" applyAlignment="1">
      <alignment horizontal="center" vertical="center"/>
    </xf>
    <xf numFmtId="0" fontId="31" fillId="18" borderId="77" xfId="0" applyFont="1" applyFill="1" applyBorder="1" applyAlignment="1">
      <alignment horizontal="center" vertical="center"/>
    </xf>
    <xf numFmtId="164" fontId="0" fillId="18" borderId="77" xfId="13" applyNumberFormat="1" applyFont="1" applyFill="1" applyBorder="1" applyAlignment="1">
      <alignment horizontal="center" vertical="center"/>
    </xf>
    <xf numFmtId="167" fontId="0" fillId="18" borderId="100" xfId="13" applyNumberFormat="1" applyFont="1" applyFill="1" applyBorder="1" applyAlignment="1">
      <alignment horizontal="left" vertical="center"/>
    </xf>
    <xf numFmtId="167" fontId="0" fillId="18" borderId="98" xfId="13" applyNumberFormat="1" applyFont="1" applyFill="1" applyBorder="1" applyAlignment="1">
      <alignment horizontal="center" vertical="center"/>
    </xf>
    <xf numFmtId="164" fontId="3" fillId="15" borderId="81" xfId="13" applyNumberFormat="1" applyFont="1" applyFill="1" applyBorder="1" applyAlignment="1">
      <alignment horizontal="center" vertical="center"/>
    </xf>
    <xf numFmtId="164" fontId="0" fillId="0" borderId="71" xfId="13" applyFont="1" applyFill="1" applyBorder="1" applyAlignment="1">
      <alignment horizontal="left"/>
    </xf>
    <xf numFmtId="43" fontId="0" fillId="20" borderId="0" xfId="0" applyNumberFormat="1" applyFill="1"/>
    <xf numFmtId="0" fontId="0" fillId="20" borderId="0" xfId="0" applyNumberFormat="1" applyFill="1"/>
    <xf numFmtId="1" fontId="0" fillId="18" borderId="69" xfId="0" applyNumberFormat="1" applyFill="1" applyBorder="1" applyAlignment="1">
      <alignment horizontal="center" vertical="center"/>
    </xf>
  </cellXfs>
  <cellStyles count="21">
    <cellStyle name="Comma" xfId="13" builtinId="3"/>
    <cellStyle name="Comma 2" xfId="16" xr:uid="{58D98467-955D-422E-ACAB-708C1947A03E}"/>
    <cellStyle name="Comma 2 2" xfId="19" xr:uid="{912556F3-52BD-4B85-95B1-D0BD0759011E}"/>
    <cellStyle name="Comma 2 2 2" xfId="8" xr:uid="{E871E884-3303-4226-8196-4E244D4F1AB0}"/>
    <cellStyle name="Normal" xfId="0" builtinId="0"/>
    <cellStyle name="Normal 11" xfId="3" xr:uid="{D581AA0C-E9FA-4194-8C3B-533182354970}"/>
    <cellStyle name="Normal 2" xfId="12" xr:uid="{365CCF40-DC9E-4996-8DE6-DD922BB5B9EC}"/>
    <cellStyle name="Normal 2 11 10" xfId="10" xr:uid="{F5C33480-3613-413C-ABBA-153CAD325594}"/>
    <cellStyle name="Normal 2 2" xfId="15" xr:uid="{3B265859-CFAD-4FCC-8834-4BB0B7F9413C}"/>
    <cellStyle name="Normal 2 2 2" xfId="7" xr:uid="{4ABF5342-E125-4AE7-850E-50645771F0AB}"/>
    <cellStyle name="Normal 2 2 3" xfId="17" xr:uid="{F0F93084-896C-4C82-AFCD-7973878BA21B}"/>
    <cellStyle name="Normal 2 3" xfId="6" xr:uid="{92E49702-FF15-4C51-9A67-7391AED83B14}"/>
    <cellStyle name="Normal 3" xfId="18" xr:uid="{30180377-4862-4E2D-A15B-1CE8C8D95B86}"/>
    <cellStyle name="Normal 3 3 4" xfId="2" xr:uid="{8B8FBB16-64DF-4178-885A-8E7354BB2C27}"/>
    <cellStyle name="Normal 4" xfId="5" xr:uid="{A989C083-E8E8-416B-8B93-7FC0166CB667}"/>
    <cellStyle name="Normal 6 9" xfId="9" xr:uid="{7916F442-8561-47CC-B781-C5996FB6DAC9}"/>
    <cellStyle name="Normal 88" xfId="1" xr:uid="{D5E154D0-24ED-4329-BC3D-6A772E17ED4D}"/>
    <cellStyle name="Percent" xfId="14" builtinId="5"/>
    <cellStyle name="Percent 2 2" xfId="20" xr:uid="{E30A0925-C4FA-4F35-8CBE-486E9F2D5502}"/>
    <cellStyle name="Percent 5 3" xfId="11" xr:uid="{36BBF69C-818B-46D7-A792-AC85AA45A2FA}"/>
    <cellStyle name="Style 1" xfId="4" xr:uid="{CA2B0061-0457-4727-91DF-FED29C465EAD}"/>
  </cellStyles>
  <dxfs count="1017">
    <dxf>
      <font>
        <b val="0"/>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theme="1" tint="0.1499984740745262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val="0"/>
        <i val="0"/>
        <strike val="0"/>
        <condense val="0"/>
        <extend val="0"/>
        <outline val="0"/>
        <shadow val="0"/>
        <u val="none"/>
        <vertAlign val="baseline"/>
        <sz val="11"/>
        <color theme="1"/>
        <name val="Calibri"/>
        <family val="2"/>
        <scheme val="minor"/>
      </font>
      <numFmt numFmtId="164" formatCode="_(* #,##0.00_);_(* \(#,##0.00\);_(* &quot;-&quot;??_);_(@_)"/>
      <fill>
        <patternFill patternType="none">
          <fgColor indexed="64"/>
          <bgColor indexed="65"/>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theme="1" tint="0.14999847407452621"/>
        </patternFill>
      </fill>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strike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strike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strike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style="thin">
          <color rgb="FF000000"/>
        </right>
        <top style="dashed">
          <color indexed="64"/>
        </top>
        <bottom/>
      </border>
    </dxf>
    <dxf>
      <numFmt numFmtId="167" formatCode="_(* #,##0_);_(* \(#,##0\);_(* &quot;-&quot;??_);_(@_)"/>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dxf>
    <dxf>
      <border outline="0">
        <left style="thin">
          <color rgb="FF000000"/>
        </left>
        <right style="thin">
          <color rgb="FF000000"/>
        </right>
        <top style="thin">
          <color rgb="FF000000"/>
        </top>
        <bottom style="dashed">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ill>
        <patternFill patternType="solid">
          <fgColor indexed="64"/>
          <bgColor rgb="FFFFC000"/>
        </patternFill>
      </fill>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1" tint="0.1499984740745262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bottom style="thin">
          <color indexed="64"/>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theme="1" tint="0.14999847407452621"/>
        </patternFill>
      </fill>
    </dxf>
    <dxf>
      <font>
        <b/>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style="thin">
          <color rgb="FF000000"/>
        </right>
        <top style="dashed">
          <color indexed="64"/>
        </top>
        <bottom/>
      </border>
    </dxf>
    <dxf>
      <numFmt numFmtId="167" formatCode="_(* #,##0_);_(* \(#,##0\);_(* &quot;-&quot;??_);_(@_)"/>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dxf>
    <dxf>
      <border outline="0">
        <left style="thin">
          <color rgb="FF000000"/>
        </left>
        <right style="thin">
          <color rgb="FF000000"/>
        </right>
        <top style="thin">
          <color rgb="FF000000"/>
        </top>
        <bottom style="dashed">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ill>
        <patternFill patternType="solid">
          <fgColor indexed="64"/>
          <bgColor rgb="FFFFC000"/>
        </patternFill>
      </fill>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1" tint="0.1499984740745262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bottom style="thin">
          <color indexed="64"/>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1" tint="0.1499984740745262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style="thin">
          <color rgb="FF000000"/>
        </right>
        <top style="dashed">
          <color indexed="64"/>
        </top>
        <bottom/>
      </border>
    </dxf>
    <dxf>
      <numFmt numFmtId="167" formatCode="_(* #,##0_);_(* \(#,##0\);_(* &quot;-&quot;??_);_(@_)"/>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dxf>
    <dxf>
      <border outline="0">
        <left style="thin">
          <color rgb="FF000000"/>
        </left>
        <right style="thin">
          <color rgb="FF000000"/>
        </right>
        <top style="thin">
          <color rgb="FF000000"/>
        </top>
        <bottom style="dashed">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ill>
        <patternFill patternType="solid">
          <fgColor indexed="64"/>
          <bgColor rgb="FFFFC000"/>
        </patternFill>
      </fill>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dxf>
    <dxf>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style="thin">
          <color theme="4" tint="0.39997558519241921"/>
        </top>
        <bottom/>
      </border>
    </dxf>
    <dxf>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2"/>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theme="2" tint="-0.749992370372631"/>
        </patternFill>
      </fill>
      <border diagonalUp="0" diagonalDown="0" outline="0">
        <left/>
        <right/>
        <top/>
        <bottom style="thin">
          <color indexed="64"/>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_(* #,##0.00_);_(* \(#,##0.00\);_(* &quot;-&quot;??_);_(@_)"/>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numFmt numFmtId="0" formatCode="General"/>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1" tint="0.14999847407452621"/>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theme="1" tint="0.1499984740745262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0"/>
        <name val="Calibri"/>
        <family val="2"/>
        <scheme val="minor"/>
      </font>
      <numFmt numFmtId="166" formatCode="0.0%"/>
      <fill>
        <patternFill patternType="solid">
          <fgColor indexed="64"/>
          <bgColor theme="2" tint="-0.749992370372631"/>
        </patternFill>
      </fill>
      <alignment horizontal="center" vertical="center" textRotation="0" wrapText="0" indent="0" justifyLastLine="0" shrinkToFit="0" readingOrder="0"/>
      <border diagonalUp="0" diagonalDown="0" outline="0">
        <left/>
        <right/>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border diagonalUp="0" diagonalDown="0" outline="0">
        <left/>
        <right/>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2" tint="-0.749992370372631"/>
        </patternFill>
      </fill>
    </dxf>
    <dxf>
      <font>
        <b/>
        <i val="0"/>
        <strike val="0"/>
        <condense val="0"/>
        <extend val="0"/>
        <outline val="0"/>
        <shadow val="0"/>
        <u val="none"/>
        <vertAlign val="baseline"/>
        <sz val="11"/>
        <color theme="1"/>
        <name val="Calibri"/>
        <family val="2"/>
        <scheme val="minor"/>
      </font>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style="thin">
          <color rgb="FF000000"/>
        </right>
        <top style="dashed">
          <color indexed="64"/>
        </top>
        <bottom/>
      </border>
    </dxf>
    <dxf>
      <numFmt numFmtId="167" formatCode="_(* #,##0_);_(* \(#,##0\);_(* &quot;-&quot;??_);_(@_)"/>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dxf>
    <dxf>
      <border outline="0">
        <left style="thin">
          <color rgb="FF000000"/>
        </left>
        <right style="thin">
          <color rgb="FF000000"/>
        </right>
        <top style="thin">
          <color rgb="FF000000"/>
        </top>
        <bottom style="dashed">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border diagonalUp="0" diagonalDown="0">
        <left/>
        <right/>
        <top style="dashed">
          <color indexed="64"/>
        </top>
        <bottom style="dashed">
          <color indexed="64"/>
        </bottom>
        <vertical/>
        <horizontal style="dashed">
          <color indexed="64"/>
        </horizontal>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style="dashed">
          <color indexed="64"/>
        </horizontal>
      </border>
    </dxf>
    <dxf>
      <fill>
        <patternFill patternType="solid">
          <fgColor indexed="64"/>
          <bgColor rgb="FFFFC000"/>
        </patternFill>
      </fill>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top style="dashed">
          <color indexed="64"/>
        </top>
        <bottom style="dashed">
          <color indexed="64"/>
        </bottom>
        <vertical/>
        <horizontal/>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0"/>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right/>
        <top style="dashed">
          <color indexed="64"/>
        </top>
        <bottom style="dashed">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C000"/>
        </patternFill>
      </fill>
    </dxf>
    <dxf>
      <numFmt numFmtId="167" formatCode="_(* #,##0_);_(* \(#,##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7" formatCode="_(* #,##0_);_(* \(#,##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numFmt numFmtId="164" formatCode="_(* #,##0.00_);_(* \(#,##0.00\);_(* &quot;-&quot;??_);_(@_)"/>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ont>
        <b val="0"/>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rgb="FFFFC000"/>
        </patternFill>
      </fill>
      <alignment horizontal="center" vertical="center" textRotation="0" wrapText="0" indent="0" justifyLastLine="0" shrinkToFit="0" readingOrder="0"/>
      <border diagonalUp="0" diagonalDown="0" outline="0">
        <left/>
        <right/>
        <top style="dashed">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indexed="64"/>
        </top>
        <bottom style="dashed">
          <color indexed="64"/>
        </bottom>
      </border>
    </dxf>
    <dxf>
      <fill>
        <patternFill patternType="solid">
          <fgColor rgb="FF000000"/>
          <bgColor rgb="FFFFC000"/>
        </patternFill>
      </fill>
      <alignment horizontal="center"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rgb="FF000000"/>
          <bgColor rgb="FFFFFFFF"/>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42" Type="http://schemas.openxmlformats.org/officeDocument/2006/relationships/externalLink" Target="externalLinks/externalLink22.xml"/><Relationship Id="rId47" Type="http://schemas.openxmlformats.org/officeDocument/2006/relationships/externalLink" Target="externalLinks/externalLink27.xml"/><Relationship Id="rId63" Type="http://schemas.openxmlformats.org/officeDocument/2006/relationships/externalLink" Target="externalLinks/externalLink4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externalLink" Target="externalLinks/externalLink25.xml"/><Relationship Id="rId53" Type="http://schemas.openxmlformats.org/officeDocument/2006/relationships/externalLink" Target="externalLinks/externalLink33.xml"/><Relationship Id="rId58" Type="http://schemas.openxmlformats.org/officeDocument/2006/relationships/externalLink" Target="externalLinks/externalLink38.xml"/><Relationship Id="rId66" Type="http://schemas.openxmlformats.org/officeDocument/2006/relationships/externalLink" Target="externalLinks/externalLink46.xml"/><Relationship Id="rId5" Type="http://schemas.openxmlformats.org/officeDocument/2006/relationships/worksheet" Target="worksheets/sheet5.xml"/><Relationship Id="rId61" Type="http://schemas.openxmlformats.org/officeDocument/2006/relationships/externalLink" Target="externalLinks/externalLink4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externalLink" Target="externalLinks/externalLink23.xml"/><Relationship Id="rId48" Type="http://schemas.openxmlformats.org/officeDocument/2006/relationships/externalLink" Target="externalLinks/externalLink28.xml"/><Relationship Id="rId56" Type="http://schemas.openxmlformats.org/officeDocument/2006/relationships/externalLink" Target="externalLinks/externalLink36.xml"/><Relationship Id="rId64" Type="http://schemas.openxmlformats.org/officeDocument/2006/relationships/externalLink" Target="externalLinks/externalLink4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externalLink" Target="externalLinks/externalLink26.xml"/><Relationship Id="rId59" Type="http://schemas.openxmlformats.org/officeDocument/2006/relationships/externalLink" Target="externalLinks/externalLink3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21.xml"/><Relationship Id="rId54" Type="http://schemas.openxmlformats.org/officeDocument/2006/relationships/externalLink" Target="externalLinks/externalLink34.xml"/><Relationship Id="rId62" Type="http://schemas.openxmlformats.org/officeDocument/2006/relationships/externalLink" Target="externalLinks/externalLink4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externalLink" Target="externalLinks/externalLink29.xml"/><Relationship Id="rId57" Type="http://schemas.openxmlformats.org/officeDocument/2006/relationships/externalLink" Target="externalLinks/externalLink37.xml"/><Relationship Id="rId10" Type="http://schemas.openxmlformats.org/officeDocument/2006/relationships/worksheet" Target="worksheets/sheet10.xml"/><Relationship Id="rId31" Type="http://schemas.openxmlformats.org/officeDocument/2006/relationships/externalLink" Target="externalLinks/externalLink11.xml"/><Relationship Id="rId44" Type="http://schemas.openxmlformats.org/officeDocument/2006/relationships/externalLink" Target="externalLinks/externalLink24.xml"/><Relationship Id="rId52" Type="http://schemas.openxmlformats.org/officeDocument/2006/relationships/externalLink" Target="externalLinks/externalLink32.xml"/><Relationship Id="rId60" Type="http://schemas.openxmlformats.org/officeDocument/2006/relationships/externalLink" Target="externalLinks/externalLink40.xml"/><Relationship Id="rId65" Type="http://schemas.openxmlformats.org/officeDocument/2006/relationships/externalLink" Target="externalLinks/externalLink4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9.xml"/><Relationship Id="rId34" Type="http://schemas.openxmlformats.org/officeDocument/2006/relationships/externalLink" Target="externalLinks/externalLink14.xml"/><Relationship Id="rId50" Type="http://schemas.openxmlformats.org/officeDocument/2006/relationships/externalLink" Target="externalLinks/externalLink30.xml"/><Relationship Id="rId55" Type="http://schemas.openxmlformats.org/officeDocument/2006/relationships/externalLink" Target="externalLinks/externalLink3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X1VSR013/DOCUME~1/mgreen/LOCALS~1/Temp/Rar$DI00.922/PROGREV/Charts/STAA_ch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X1VSR013/Commercial/James/Oldham/Olham%20Cost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DX1VSR013/PROGREV/Charts/STAA_ch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Documents%20and%20Settings/MDG/September/Dubai%20-%2031.10.2007%20mdg/PROGREV/Charts/STAA_ch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eports-2005/FM%20COST-EMRI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DX1VSR013/CBES/5300-5399/5366%20Hubbell%20Sand%20Castings/4.%205366%20Data/5366%20Analysis/5366_MasterDataFile_V9_Update%2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sers/asadanand/Desktop/Internal%20Audit/Internal%20Auditor/Land%20adjustment/Report%20(June%20Forecast)%20250602-Final(Rec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apghnsp02/fmol/CBES/1600-1699/1675%20Hubbell%20Service%20Center%20Steel/Data/Analysis/Hubbell%20Stl%20Master%20Data%20File%2015Aug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Documents%20and%20Settings/lxavier/My%20Documents/Tender%20Bids/MUSANADA%20RE%20TENDER/Mosques%20Pricing%20and%20Cash%20Flows/Copy%20of%20Copy%20of%20Mosques%20Abu%20Dhabi.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radeep/Business%20Development/Proposals/Dubai/Strata%20Global/Le%20Reve%20Tower/Costing%20Model/Le%20Reve%20%20-%20Costing%20Model%20-%2010.10.2012%20-%20Final%20v3%20-%20Revised%20v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mrill-y/data/Acct/Reports-2005/FM%20COST-EMRIL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Q:/USERS/Crosby3/templatenaac3q01.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Budgets/Budgets%20F2005/F2004%20&amp;%20F2005%20Forecast%20&amp;%20Budget%20Summary%20Ver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Web/Public/Program%20Reviews/3q01/AEAB3q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DX1VSR013/MiltonKeynesMidsummerBoulevard/Services/Commercial_Team/CWO/MSCE%2007/MSCN%20Tracker%20-%20RC%20Cop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DX1VSR013/Documents%20and%20Settings/Tariq%20Chauhan/Local%20Settings/Temporary%20Internet%20Files/Content.IE5/PGES29H7/Al%20Fardan%20Version%202%20as%20at%2025%20February%202010%20with%20Cashflow.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maarfs1/data/Finance/Rshyam/monthly/09%20-Sept%2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Documents%20and%20Settings/MDG/September/Dubai%20-%2031.10.2007%20mdg/PROGREV/MASTER/PROGREV.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maarfs2/ntfs2/HR/01%20-%20Corp%20Office%20&amp;%20Dubai%20Ops/03%20-%20Compensation%20&amp;%20Benefits/12%20-%20Payroll/09%20-%202009/Costing/07%20-%20July/MDsouza%20Report/Adhoc/23.08.2009%20Community%20Costing%20-%20Park%20Island%20Manpower%20Budge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sers/asadanand/Desktop/Sgeorge/s&amp;a/treasury/deposits/Summary/2006/March/BANK%20DEPOSITS%200331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Documents%20and%20Settings/bfox/My%20Documents/Proposals/Pearl/20070625%20Vol%201.4%20-%20Price%20Schedule%20-%20Ver30-ManpowerPlanning%20BF%20(version%2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DX1VSR013/Documents%20and%20Settings/saggarj/Local%20Settings/Temporary%20Internet%20Files/OLK80/Mapeley%20Project%20Castle%20SPA%20Mode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DX1VSR013/Business%20Development/Sales/Opportunities/2.%20Quoted%20stage/Sky%20Courts/SKY%20COURTS%20Pricing%20Schedule%20as%20at%2028%20March%20201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DX1VSR013/Operations/SMT/Commercial/Finance/Budget/2008/2008/property%20tracker%202008%20r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Documents%20and%20Settings/Mark%20Tuckey/My%20Documents/My%20Clients/DSG/ECOS/Ty02_03/Accounting&amp;Payroll/TB's/tbco06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DX1VSR013/Documents%20and%20Settings/mdickinson/My%20Documents/National%20Accounts/Tenders/2004/Captia/(PCS)%20Captia%20-%20All%20Locations%20(17Jun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maarfs2/ntfs2/Internal%20Audit/Internal%20Auditor/Land%20adjustment/Report%20(June%20Forecast)%20250602-Final(Reco).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Documents%20and%20Settings/MDG/September/Dubai%20-%2031.10.2007%20mdg/EXCEL/SEA-TAC/PROGREV/2Qcomprevi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DX1VSR013/Users/romulo.panes/AppData/Local/Microsoft/Windows/Temporary%20Internet%20Files/Content.Outlook/IQ2HY3DB/Abu%20Dhabi%20Assest%20%20-%20PKG1.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Pradeep/Business%20Development/Proposals/Abu%20Dhabi/Musanada/Government%20Buildings/Costing%20Model/Musanada%20-%20Govt%20%20Buildings%20(AD%20S4-S5)%20-%20Costing%20Sheet%20-%201%2010%202011%20-%20v4%20-%20Final.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Z:/Documents%20and%20Settings/lxavier/My%20Documents/Tender%20Bids/MUSANADA%20RE%20TENDER/Mosques%20Pricing%20and%20Writeup/Initial%20PricingV14Final%20Pric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EDX1VSR013/Users/U200156/AppData/Local/Microsoft/Windows/Temporary%20Internet%20Files/Content.Outlook/LY42KADL/Copy%20of%20Final%20list%20of%20TFM%20Mosque%20-%20%2020072013%20(2).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I:/Documents%20and%20Settings/Mark%20Tuckey/My%20Documents/Clients/DSG/excel/Year%20End/Dsg03/emccon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I:/DOCUME~1/AnnOr/LOCALS~1/Temp/C.Lotus.Notes.Data/ECOS%20Accounting%20TY03_04%20-%20FY04.Q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Mahmoud/Downloads/CTC%20Test-%20Project-Budget-Tempelate%202020%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I:/Users/Pradeep.jaswani.EFSME/AppData/Local/Microsoft/Windows/Temporary%20Internet%20Files/Content.Outlook/9VJPZH86/List%20of%20Assets%20(V2).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I:/Users/Pradeep.jaswani.EFSME/AppData/Local/Microsoft/Windows/Temporary%20Internet%20Files/Content.Outlook/9VJPZH86/List%20of%20Assets%20(Autosaved)%20(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Emaarfs2/ntfs2/Documents%20and%20Settings/ASJaber/Desktop/10-Yr/Internal%20Audit/Internal%20Auditor/Land%20adjustment/Report%20(June%20Forecast)%20250602-Final(Rec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I:/Users/Martin.Armstrong/AppData/Local/Microsoft/Windows/Temporary%20Internet%20Files/Content.Outlook/35ULTIJE/Sample%20Pricing%20Workbook.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Web/Public/Program%20Reviews/3q01/bath3q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Z:/Documents%20and%20Settings/lxavier/My%20Documents/Al%20Dar%20Al%20Raha%20Villas/aL%20rAHA%20pRICING.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EDX1VSR013/Users/Haris.Shaikh/Desktop/Projects/Bohra%20Mosque/NAKHEEL-DISCOVERY%20GARDEN/VARIABL/NAKHEEL-CONSUMABLES%20COSTING%20.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P:/Users/asadanand/Desktop/Finance/Accounts%20(Sharing%20folder)/Credit_Controle_2004/MF_2006/Q4%20(Final%20P%20&amp;%20L)/SF%20P%20&amp;%20L%20YTD%2031-Dec-06(with%206000SeriesWorko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I:/Copy%20of%20EFS%20Costing%20Model%20Template%20-%20Improvements%20-%2022%20Aug%202012%20(v3).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Z:/Documents%20and%20Settings/mgreen/Local%20Settings/Temporary%20Internet%20Files/Content.Outlook/HWPG8WXJ/MASTER%20PRICING%20SHEET.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FMPlus%20-%20Work\William%20-%20FMPlus\New%20Projects%20Study\2024\43-%20City%20Gate\Budgeting%20&amp;%20Pricing%20Schedules\1-%20City%20Gate%20Budget%20-%20Year%20%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Cost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HART INFO"/>
      <sheetName val="CASHFLOW"/>
      <sheetName val="ZERO"/>
      <sheetName val="BOARDCASHFLOW"/>
      <sheetName val="Macro1"/>
      <sheetName val="Module1"/>
    </sheetNames>
    <sheetDataSet>
      <sheetData sheetId="0" refreshError="1">
        <row r="1">
          <cell r="X1" t="str">
            <v>CTRL+M at any time to activate the (M)enus</v>
          </cell>
          <cell r="AL1" t="str">
            <v>Date</v>
          </cell>
          <cell r="AM1" t="str">
            <v>Previous 4th Quarter</v>
          </cell>
          <cell r="AN1" t="str">
            <v>Actual</v>
          </cell>
        </row>
        <row r="2">
          <cell r="AL2">
            <v>36526</v>
          </cell>
          <cell r="AM2">
            <v>0</v>
          </cell>
          <cell r="AN2">
            <v>0</v>
          </cell>
        </row>
        <row r="3">
          <cell r="F3" t="str">
            <v>SEA-TAC AIRPORT REFURBISHMENT</v>
          </cell>
          <cell r="AL3">
            <v>36585</v>
          </cell>
          <cell r="AM3">
            <v>-5.3641998500866706E-2</v>
          </cell>
          <cell r="AN3">
            <v>-5.3641998500866706E-2</v>
          </cell>
        </row>
        <row r="4">
          <cell r="F4" t="str">
            <v>STAA</v>
          </cell>
          <cell r="AL4">
            <v>36616</v>
          </cell>
          <cell r="AM4">
            <v>-0.25763299775129767</v>
          </cell>
          <cell r="AN4">
            <v>-0.25763299775129767</v>
          </cell>
        </row>
        <row r="5">
          <cell r="F5">
            <v>36495</v>
          </cell>
          <cell r="AL5">
            <v>36646</v>
          </cell>
          <cell r="AM5">
            <v>-3.3917997001731592E-2</v>
          </cell>
          <cell r="AN5">
            <v>-3.3917997001731592E-2</v>
          </cell>
        </row>
        <row r="6">
          <cell r="F6">
            <v>36806</v>
          </cell>
          <cell r="AL6">
            <v>36677</v>
          </cell>
          <cell r="AM6">
            <v>0.48352200374783472</v>
          </cell>
          <cell r="AN6">
            <v>0.48352200374783472</v>
          </cell>
        </row>
        <row r="7">
          <cell r="F7">
            <v>81</v>
          </cell>
          <cell r="AL7">
            <v>36707</v>
          </cell>
          <cell r="AM7">
            <v>0.9722910044974018</v>
          </cell>
          <cell r="AN7">
            <v>0.9722910044974018</v>
          </cell>
        </row>
        <row r="8">
          <cell r="F8">
            <v>36707</v>
          </cell>
          <cell r="AL8">
            <v>36738</v>
          </cell>
          <cell r="AM8">
            <v>1.0221140052469693</v>
          </cell>
          <cell r="AN8">
            <v>1.0221140052469693</v>
          </cell>
        </row>
        <row r="9">
          <cell r="F9">
            <v>1</v>
          </cell>
          <cell r="AL9">
            <v>36769</v>
          </cell>
          <cell r="AM9">
            <v>1.6569760059965351</v>
          </cell>
          <cell r="AN9">
            <v>1.6569760059965351</v>
          </cell>
        </row>
        <row r="10">
          <cell r="AL10">
            <v>36799</v>
          </cell>
          <cell r="AM10">
            <v>3.2059890067461012</v>
          </cell>
          <cell r="AN10">
            <v>3.2059890067461012</v>
          </cell>
        </row>
        <row r="11">
          <cell r="F11">
            <v>0</v>
          </cell>
          <cell r="AL11">
            <v>36830</v>
          </cell>
          <cell r="AM11">
            <v>3.5622050074956668</v>
          </cell>
          <cell r="AN11">
            <v>3.5622050074956668</v>
          </cell>
        </row>
        <row r="12">
          <cell r="AL12">
            <v>36860</v>
          </cell>
          <cell r="AM12">
            <v>4.3130500082452343</v>
          </cell>
          <cell r="AN12">
            <v>4.3130500082452343</v>
          </cell>
        </row>
        <row r="13">
          <cell r="AL13">
            <v>36891</v>
          </cell>
          <cell r="AM13">
            <v>5.9426880089948018</v>
          </cell>
          <cell r="AN13">
            <v>5.9426880089948018</v>
          </cell>
        </row>
        <row r="31">
          <cell r="B31" t="str">
            <v>Original Budgeted</v>
          </cell>
          <cell r="E31" t="str">
            <v>Original Budgeted</v>
          </cell>
          <cell r="V31" t="str">
            <v>Cash Flow</v>
          </cell>
        </row>
        <row r="34">
          <cell r="A34" t="str">
            <v>Date</v>
          </cell>
          <cell r="V34" t="str">
            <v>Budgeted</v>
          </cell>
          <cell r="W34" t="str">
            <v xml:space="preserve">Actual     </v>
          </cell>
          <cell r="X34" t="str">
            <v>Previous 4th Quarter</v>
          </cell>
          <cell r="Y34" t="str">
            <v>Date</v>
          </cell>
          <cell r="Z34" t="str">
            <v>Previous 4th Quarter</v>
          </cell>
          <cell r="AA34" t="str">
            <v>Actual</v>
          </cell>
        </row>
        <row r="35">
          <cell r="A35">
            <v>36495</v>
          </cell>
          <cell r="B35">
            <v>9058488</v>
          </cell>
          <cell r="E35">
            <v>9.0584880000000005</v>
          </cell>
          <cell r="F35">
            <v>9.0584880000000005</v>
          </cell>
          <cell r="G35">
            <v>0</v>
          </cell>
          <cell r="I35">
            <v>9058488</v>
          </cell>
          <cell r="J35">
            <v>9058488</v>
          </cell>
          <cell r="K35">
            <v>0</v>
          </cell>
          <cell r="L35">
            <v>9.0584880000000005</v>
          </cell>
          <cell r="M35">
            <v>9.0584880000000005</v>
          </cell>
          <cell r="N35">
            <v>0</v>
          </cell>
          <cell r="P35">
            <v>9058488</v>
          </cell>
          <cell r="Q35">
            <v>9058488</v>
          </cell>
          <cell r="R35">
            <v>0</v>
          </cell>
          <cell r="S35">
            <v>9.0584880000000005</v>
          </cell>
          <cell r="T35">
            <v>9.0584880000000005</v>
          </cell>
          <cell r="U35">
            <v>0</v>
          </cell>
          <cell r="V35">
            <v>9.0584880000000005</v>
          </cell>
          <cell r="W35">
            <v>9.0584880000000005</v>
          </cell>
          <cell r="X35">
            <v>9.0584880000000005</v>
          </cell>
          <cell r="Y35">
            <v>36495</v>
          </cell>
          <cell r="Z35">
            <v>0</v>
          </cell>
          <cell r="AA35">
            <v>0</v>
          </cell>
        </row>
        <row r="36">
          <cell r="A36">
            <v>36556</v>
          </cell>
          <cell r="E36">
            <v>9.1502100000000013</v>
          </cell>
          <cell r="F36">
            <v>9.1502100000000013</v>
          </cell>
          <cell r="G36">
            <v>0.29571299925043315</v>
          </cell>
          <cell r="I36">
            <v>91722</v>
          </cell>
          <cell r="J36">
            <v>91722</v>
          </cell>
          <cell r="K36">
            <v>295712.99925043317</v>
          </cell>
          <cell r="L36">
            <v>9.1502100000000013</v>
          </cell>
          <cell r="M36">
            <v>9.1502100000000013</v>
          </cell>
          <cell r="N36">
            <v>0.29571299925043315</v>
          </cell>
          <cell r="P36">
            <v>91722</v>
          </cell>
          <cell r="Q36">
            <v>91722</v>
          </cell>
          <cell r="R36">
            <v>295712.99925043317</v>
          </cell>
          <cell r="V36">
            <v>8.8544970007495678</v>
          </cell>
          <cell r="W36">
            <v>8.8544970007495678</v>
          </cell>
          <cell r="X36">
            <v>8.8544970007495678</v>
          </cell>
          <cell r="Y36">
            <v>36556</v>
          </cell>
          <cell r="Z36">
            <v>-0.20399099925043274</v>
          </cell>
          <cell r="AA36">
            <v>-0.20399099925043274</v>
          </cell>
        </row>
        <row r="37">
          <cell r="A37">
            <v>36585</v>
          </cell>
          <cell r="E37">
            <v>9.5962720000000008</v>
          </cell>
          <cell r="F37">
            <v>9.5962720000000008</v>
          </cell>
          <cell r="G37">
            <v>0.5914259985008663</v>
          </cell>
          <cell r="I37">
            <v>446062</v>
          </cell>
          <cell r="J37">
            <v>446062</v>
          </cell>
          <cell r="K37">
            <v>295712.99925043317</v>
          </cell>
          <cell r="L37">
            <v>9.5962720000000008</v>
          </cell>
          <cell r="M37">
            <v>9.5962720000000008</v>
          </cell>
          <cell r="N37">
            <v>0.5914259985008663</v>
          </cell>
          <cell r="P37">
            <v>446062</v>
          </cell>
          <cell r="Q37">
            <v>446062</v>
          </cell>
          <cell r="R37">
            <v>295712.99925043317</v>
          </cell>
          <cell r="V37">
            <v>9.0048460014991338</v>
          </cell>
          <cell r="W37">
            <v>9.0048460014991338</v>
          </cell>
          <cell r="X37">
            <v>9.0048460014991338</v>
          </cell>
          <cell r="Y37">
            <v>36585</v>
          </cell>
          <cell r="Z37">
            <v>-5.3641998500866706E-2</v>
          </cell>
          <cell r="AA37">
            <v>-5.3641998500866706E-2</v>
          </cell>
        </row>
        <row r="38">
          <cell r="A38">
            <v>36616</v>
          </cell>
          <cell r="E38">
            <v>9.6879940000000015</v>
          </cell>
          <cell r="F38">
            <v>9.6879940000000015</v>
          </cell>
          <cell r="G38">
            <v>0.88713899775129945</v>
          </cell>
          <cell r="I38">
            <v>91722</v>
          </cell>
          <cell r="J38">
            <v>91722</v>
          </cell>
          <cell r="K38">
            <v>295712.99925043317</v>
          </cell>
          <cell r="L38">
            <v>9.6879940000000015</v>
          </cell>
          <cell r="M38">
            <v>9.6879940000000015</v>
          </cell>
          <cell r="N38">
            <v>0.88713899775129945</v>
          </cell>
          <cell r="P38">
            <v>91722</v>
          </cell>
          <cell r="Q38">
            <v>91722</v>
          </cell>
          <cell r="R38">
            <v>295712.99925043317</v>
          </cell>
          <cell r="V38">
            <v>8.8008550022487029</v>
          </cell>
          <cell r="W38">
            <v>8.8008550022487029</v>
          </cell>
          <cell r="X38">
            <v>8.8008550022487029</v>
          </cell>
          <cell r="Y38">
            <v>36616</v>
          </cell>
          <cell r="Z38">
            <v>-0.25763299775129767</v>
          </cell>
          <cell r="AA38">
            <v>-0.25763299775129767</v>
          </cell>
        </row>
        <row r="39">
          <cell r="A39">
            <v>36646</v>
          </cell>
          <cell r="E39">
            <v>10.207422000000001</v>
          </cell>
          <cell r="F39">
            <v>10.207422000000001</v>
          </cell>
          <cell r="G39">
            <v>1.1828519970017326</v>
          </cell>
          <cell r="I39">
            <v>519428</v>
          </cell>
          <cell r="J39">
            <v>519428</v>
          </cell>
          <cell r="K39">
            <v>295712.99925043317</v>
          </cell>
          <cell r="L39">
            <v>10.207422000000001</v>
          </cell>
          <cell r="M39">
            <v>10.207422000000001</v>
          </cell>
          <cell r="N39">
            <v>1.1828519970017326</v>
          </cell>
          <cell r="P39">
            <v>519428</v>
          </cell>
          <cell r="Q39">
            <v>519428</v>
          </cell>
          <cell r="R39">
            <v>295712.99925043317</v>
          </cell>
          <cell r="V39">
            <v>9.0245700029982689</v>
          </cell>
          <cell r="W39">
            <v>9.0245700029982689</v>
          </cell>
          <cell r="X39">
            <v>9.0245700029982689</v>
          </cell>
          <cell r="Y39">
            <v>36646</v>
          </cell>
          <cell r="Z39">
            <v>-3.3917997001731592E-2</v>
          </cell>
          <cell r="AA39">
            <v>-3.3917997001731592E-2</v>
          </cell>
        </row>
        <row r="40">
          <cell r="A40">
            <v>36677</v>
          </cell>
          <cell r="E40">
            <v>11.020575000000001</v>
          </cell>
          <cell r="F40">
            <v>11.020575000000001</v>
          </cell>
          <cell r="G40">
            <v>1.4785649962521656</v>
          </cell>
          <cell r="I40">
            <v>813153</v>
          </cell>
          <cell r="J40">
            <v>813153</v>
          </cell>
          <cell r="K40">
            <v>295712.99925043317</v>
          </cell>
          <cell r="L40">
            <v>11.020575000000001</v>
          </cell>
          <cell r="M40">
            <v>11.020575000000001</v>
          </cell>
          <cell r="N40">
            <v>1.4785649962521656</v>
          </cell>
          <cell r="P40">
            <v>813153</v>
          </cell>
          <cell r="Q40">
            <v>813153</v>
          </cell>
          <cell r="R40">
            <v>295712.99925043317</v>
          </cell>
          <cell r="V40">
            <v>9.5420100037478353</v>
          </cell>
          <cell r="W40">
            <v>9.5420100037478353</v>
          </cell>
          <cell r="X40">
            <v>9.5420100037478353</v>
          </cell>
          <cell r="Y40">
            <v>36677</v>
          </cell>
          <cell r="Z40">
            <v>0.48352200374783472</v>
          </cell>
          <cell r="AA40">
            <v>0.48352200374783472</v>
          </cell>
        </row>
        <row r="41">
          <cell r="A41">
            <v>36707</v>
          </cell>
          <cell r="E41">
            <v>11.805057000000001</v>
          </cell>
          <cell r="F41">
            <v>11.805057000000001</v>
          </cell>
          <cell r="G41">
            <v>1.7742779955025987</v>
          </cell>
          <cell r="I41">
            <v>784482</v>
          </cell>
          <cell r="J41">
            <v>784482</v>
          </cell>
          <cell r="K41">
            <v>295712.99925043317</v>
          </cell>
          <cell r="L41">
            <v>11.805057000000001</v>
          </cell>
          <cell r="M41">
            <v>11.805057000000001</v>
          </cell>
          <cell r="N41">
            <v>1.7742779955025987</v>
          </cell>
          <cell r="P41">
            <v>784482</v>
          </cell>
          <cell r="Q41">
            <v>784482</v>
          </cell>
          <cell r="R41">
            <v>295712.99925043317</v>
          </cell>
          <cell r="V41">
            <v>10.030779004497402</v>
          </cell>
          <cell r="W41">
            <v>10.030779004497402</v>
          </cell>
          <cell r="X41">
            <v>10.030779004497402</v>
          </cell>
          <cell r="Y41">
            <v>36707</v>
          </cell>
          <cell r="Z41">
            <v>0.9722910044974018</v>
          </cell>
          <cell r="AA41">
            <v>0.9722910044974018</v>
          </cell>
        </row>
        <row r="42">
          <cell r="A42">
            <v>36738</v>
          </cell>
          <cell r="E42">
            <v>12.150593000000001</v>
          </cell>
          <cell r="F42">
            <v>12.150593000000001</v>
          </cell>
          <cell r="G42">
            <v>2.0699909947530317</v>
          </cell>
          <cell r="I42">
            <v>345536</v>
          </cell>
          <cell r="J42">
            <v>345536</v>
          </cell>
          <cell r="K42">
            <v>295712.99925043317</v>
          </cell>
          <cell r="L42">
            <v>12.150593000000001</v>
          </cell>
          <cell r="M42">
            <v>12.150593000000001</v>
          </cell>
          <cell r="N42">
            <v>2.0699909947530317</v>
          </cell>
          <cell r="P42">
            <v>345536</v>
          </cell>
          <cell r="Q42">
            <v>345536</v>
          </cell>
          <cell r="R42">
            <v>295712.99925043317</v>
          </cell>
          <cell r="V42">
            <v>10.08060200524697</v>
          </cell>
          <cell r="W42">
            <v>10.08060200524697</v>
          </cell>
          <cell r="X42">
            <v>10.08060200524697</v>
          </cell>
          <cell r="Y42">
            <v>36738</v>
          </cell>
          <cell r="Z42">
            <v>1.0221140052469693</v>
          </cell>
          <cell r="AA42">
            <v>1.0221140052469693</v>
          </cell>
        </row>
        <row r="43">
          <cell r="A43">
            <v>36769</v>
          </cell>
          <cell r="E43">
            <v>13.081168</v>
          </cell>
          <cell r="F43">
            <v>13.081168</v>
          </cell>
          <cell r="G43">
            <v>2.3657039940034648</v>
          </cell>
          <cell r="I43">
            <v>930575</v>
          </cell>
          <cell r="J43">
            <v>930575</v>
          </cell>
          <cell r="K43">
            <v>295712.99925043317</v>
          </cell>
          <cell r="L43">
            <v>13.081168</v>
          </cell>
          <cell r="M43">
            <v>13.081168</v>
          </cell>
          <cell r="N43">
            <v>2.3657039940034648</v>
          </cell>
          <cell r="P43">
            <v>930575</v>
          </cell>
          <cell r="Q43">
            <v>930575</v>
          </cell>
          <cell r="R43">
            <v>295712.99925043317</v>
          </cell>
          <cell r="V43">
            <v>10.715464005996536</v>
          </cell>
          <cell r="W43">
            <v>10.715464005996536</v>
          </cell>
          <cell r="X43">
            <v>10.715464005996536</v>
          </cell>
          <cell r="Y43">
            <v>36769</v>
          </cell>
          <cell r="Z43">
            <v>1.6569760059965351</v>
          </cell>
          <cell r="AA43">
            <v>1.6569760059965351</v>
          </cell>
        </row>
        <row r="44">
          <cell r="A44">
            <v>36799</v>
          </cell>
          <cell r="E44">
            <v>14.925894</v>
          </cell>
          <cell r="F44">
            <v>14.925894</v>
          </cell>
          <cell r="G44">
            <v>2.6614169932538978</v>
          </cell>
          <cell r="I44">
            <v>1844726</v>
          </cell>
          <cell r="J44">
            <v>1844726</v>
          </cell>
          <cell r="K44">
            <v>295712.99925043317</v>
          </cell>
          <cell r="L44">
            <v>14.925894</v>
          </cell>
          <cell r="M44">
            <v>14.925894</v>
          </cell>
          <cell r="N44">
            <v>2.6614169932538978</v>
          </cell>
          <cell r="P44">
            <v>1844726</v>
          </cell>
          <cell r="Q44">
            <v>1844726</v>
          </cell>
          <cell r="R44">
            <v>295712.99925043317</v>
          </cell>
          <cell r="V44">
            <v>12.264477006746102</v>
          </cell>
          <cell r="W44">
            <v>12.264477006746102</v>
          </cell>
          <cell r="X44">
            <v>12.264477006746102</v>
          </cell>
          <cell r="Y44">
            <v>36799</v>
          </cell>
          <cell r="Z44">
            <v>3.2059890067461012</v>
          </cell>
          <cell r="AA44">
            <v>3.2059890067461012</v>
          </cell>
        </row>
        <row r="45">
          <cell r="A45">
            <v>36830</v>
          </cell>
          <cell r="E45">
            <v>15.577822999999999</v>
          </cell>
          <cell r="F45">
            <v>15.577822999999999</v>
          </cell>
          <cell r="G45">
            <v>2.9571299925043308</v>
          </cell>
          <cell r="I45">
            <v>651929</v>
          </cell>
          <cell r="J45">
            <v>651929</v>
          </cell>
          <cell r="K45">
            <v>295712.99925043317</v>
          </cell>
          <cell r="L45">
            <v>15.577822999999999</v>
          </cell>
          <cell r="M45">
            <v>15.577822999999999</v>
          </cell>
          <cell r="N45">
            <v>2.9571299925043308</v>
          </cell>
          <cell r="P45">
            <v>651929</v>
          </cell>
          <cell r="Q45">
            <v>651929</v>
          </cell>
          <cell r="R45">
            <v>295712.99925043317</v>
          </cell>
          <cell r="V45">
            <v>12.620693007495667</v>
          </cell>
          <cell r="W45">
            <v>12.620693007495667</v>
          </cell>
          <cell r="X45">
            <v>12.620693007495667</v>
          </cell>
          <cell r="Y45">
            <v>36830</v>
          </cell>
          <cell r="Z45">
            <v>3.5622050074956668</v>
          </cell>
          <cell r="AA45">
            <v>3.5622050074956668</v>
          </cell>
        </row>
        <row r="46">
          <cell r="A46">
            <v>36860</v>
          </cell>
          <cell r="E46">
            <v>16.624381</v>
          </cell>
          <cell r="F46">
            <v>16.624381</v>
          </cell>
          <cell r="G46">
            <v>3.2528429917547639</v>
          </cell>
          <cell r="I46">
            <v>1046558</v>
          </cell>
          <cell r="J46">
            <v>1046558</v>
          </cell>
          <cell r="K46">
            <v>295712.99925043317</v>
          </cell>
          <cell r="L46">
            <v>16.624381</v>
          </cell>
          <cell r="M46">
            <v>16.624381</v>
          </cell>
          <cell r="N46">
            <v>3.2528429917547639</v>
          </cell>
          <cell r="P46">
            <v>1046558</v>
          </cell>
          <cell r="Q46">
            <v>1046558</v>
          </cell>
          <cell r="R46">
            <v>295712.99925043317</v>
          </cell>
          <cell r="V46">
            <v>13.371538008245235</v>
          </cell>
          <cell r="W46">
            <v>13.371538008245235</v>
          </cell>
          <cell r="X46">
            <v>13.371538008245235</v>
          </cell>
          <cell r="Y46">
            <v>36860</v>
          </cell>
          <cell r="Z46">
            <v>4.3130500082452343</v>
          </cell>
          <cell r="AA46">
            <v>4.3130500082452343</v>
          </cell>
        </row>
        <row r="47">
          <cell r="A47">
            <v>36891</v>
          </cell>
          <cell r="E47">
            <v>18.549731999999999</v>
          </cell>
          <cell r="F47">
            <v>18.549731999999999</v>
          </cell>
          <cell r="G47">
            <v>3.5485559910051969</v>
          </cell>
          <cell r="I47">
            <v>1925351</v>
          </cell>
          <cell r="J47">
            <v>1925351</v>
          </cell>
          <cell r="K47">
            <v>295712.99925043317</v>
          </cell>
          <cell r="L47">
            <v>18.549731999999999</v>
          </cell>
          <cell r="M47">
            <v>18.549731999999999</v>
          </cell>
          <cell r="N47">
            <v>3.5485559910051969</v>
          </cell>
          <cell r="P47">
            <v>1925351</v>
          </cell>
          <cell r="Q47">
            <v>1925351</v>
          </cell>
          <cell r="R47">
            <v>295712.99925043317</v>
          </cell>
          <cell r="V47">
            <v>15.001176008994802</v>
          </cell>
          <cell r="W47">
            <v>15.001176008994802</v>
          </cell>
          <cell r="X47">
            <v>15.001176008994802</v>
          </cell>
          <cell r="Y47">
            <v>36891</v>
          </cell>
          <cell r="Z47">
            <v>5.9426880089948018</v>
          </cell>
          <cell r="AA47">
            <v>5.9426880089948018</v>
          </cell>
        </row>
        <row r="48">
          <cell r="A48">
            <v>36922</v>
          </cell>
          <cell r="E48">
            <v>18.883431999999999</v>
          </cell>
          <cell r="F48">
            <v>18.883431999999999</v>
          </cell>
          <cell r="G48">
            <v>4.7814484287142562</v>
          </cell>
          <cell r="I48">
            <v>333700</v>
          </cell>
          <cell r="J48">
            <v>333700</v>
          </cell>
          <cell r="K48">
            <v>1232892.4377090591</v>
          </cell>
          <cell r="L48">
            <v>18.883431999999999</v>
          </cell>
          <cell r="M48">
            <v>18.883431999999999</v>
          </cell>
          <cell r="N48">
            <v>4.7814484287142562</v>
          </cell>
          <cell r="P48">
            <v>333700</v>
          </cell>
          <cell r="Q48">
            <v>333700</v>
          </cell>
          <cell r="R48">
            <v>1232892.4377090591</v>
          </cell>
          <cell r="V48">
            <v>14.101983571285743</v>
          </cell>
          <cell r="W48">
            <v>14.101983571285743</v>
          </cell>
          <cell r="X48">
            <v>14.101983571285743</v>
          </cell>
          <cell r="Y48">
            <v>36922</v>
          </cell>
          <cell r="Z48">
            <v>0</v>
          </cell>
          <cell r="AA48">
            <v>0</v>
          </cell>
        </row>
        <row r="49">
          <cell r="A49">
            <v>36950</v>
          </cell>
          <cell r="E49">
            <v>19.545629999999999</v>
          </cell>
          <cell r="F49">
            <v>19.545629999999999</v>
          </cell>
          <cell r="G49">
            <v>6.0143408664233151</v>
          </cell>
          <cell r="I49">
            <v>662198</v>
          </cell>
          <cell r="J49">
            <v>662198</v>
          </cell>
          <cell r="K49">
            <v>1232892.4377090591</v>
          </cell>
          <cell r="L49">
            <v>19.545629999999999</v>
          </cell>
          <cell r="M49">
            <v>19.545629999999999</v>
          </cell>
          <cell r="N49">
            <v>6.0143408664233151</v>
          </cell>
          <cell r="P49">
            <v>662198</v>
          </cell>
          <cell r="Q49">
            <v>662198</v>
          </cell>
          <cell r="R49">
            <v>1232892.4377090591</v>
          </cell>
          <cell r="V49">
            <v>13.531289133576685</v>
          </cell>
          <cell r="W49">
            <v>13.531289133576685</v>
          </cell>
          <cell r="X49">
            <v>13.531289133576685</v>
          </cell>
          <cell r="Y49">
            <v>36950</v>
          </cell>
          <cell r="Z49">
            <v>0</v>
          </cell>
          <cell r="AA49">
            <v>0</v>
          </cell>
        </row>
        <row r="50">
          <cell r="A50">
            <v>36981</v>
          </cell>
          <cell r="E50">
            <v>19.793187</v>
          </cell>
          <cell r="F50">
            <v>19.793187</v>
          </cell>
          <cell r="G50">
            <v>7.247233304132374</v>
          </cell>
          <cell r="I50">
            <v>247557</v>
          </cell>
          <cell r="J50">
            <v>247557</v>
          </cell>
          <cell r="K50">
            <v>1232892.4377090591</v>
          </cell>
          <cell r="L50">
            <v>19.793187</v>
          </cell>
          <cell r="M50">
            <v>19.793187</v>
          </cell>
          <cell r="N50">
            <v>7.247233304132374</v>
          </cell>
          <cell r="P50">
            <v>247557</v>
          </cell>
          <cell r="Q50">
            <v>247557</v>
          </cell>
          <cell r="R50">
            <v>1232892.4377090591</v>
          </cell>
          <cell r="V50">
            <v>12.545953695867626</v>
          </cell>
          <cell r="W50">
            <v>12.545953695867626</v>
          </cell>
          <cell r="X50">
            <v>12.545953695867626</v>
          </cell>
          <cell r="Y50">
            <v>36981</v>
          </cell>
          <cell r="Z50">
            <v>0</v>
          </cell>
          <cell r="AA50">
            <v>0</v>
          </cell>
        </row>
        <row r="51">
          <cell r="A51">
            <v>37011</v>
          </cell>
          <cell r="E51">
            <v>19.884008999999999</v>
          </cell>
          <cell r="F51">
            <v>19.884008999999999</v>
          </cell>
          <cell r="G51">
            <v>8.4801257418414338</v>
          </cell>
          <cell r="I51">
            <v>90822</v>
          </cell>
          <cell r="J51">
            <v>90822</v>
          </cell>
          <cell r="K51">
            <v>1232892.4377090591</v>
          </cell>
          <cell r="L51">
            <v>19.884008999999999</v>
          </cell>
          <cell r="M51">
            <v>19.884008999999999</v>
          </cell>
          <cell r="N51">
            <v>8.4801257418414338</v>
          </cell>
          <cell r="P51">
            <v>90822</v>
          </cell>
          <cell r="Q51">
            <v>90822</v>
          </cell>
          <cell r="R51">
            <v>1232892.4377090591</v>
          </cell>
          <cell r="V51">
            <v>11.403883258158565</v>
          </cell>
          <cell r="W51">
            <v>11.403883258158565</v>
          </cell>
          <cell r="X51">
            <v>11.403883258158565</v>
          </cell>
          <cell r="Y51">
            <v>37011</v>
          </cell>
          <cell r="Z51">
            <v>0</v>
          </cell>
          <cell r="AA51">
            <v>0</v>
          </cell>
        </row>
        <row r="52">
          <cell r="A52">
            <v>37042</v>
          </cell>
          <cell r="E52">
            <v>20.54984</v>
          </cell>
          <cell r="F52">
            <v>20.54984</v>
          </cell>
          <cell r="G52">
            <v>9.7130181795504935</v>
          </cell>
          <cell r="I52">
            <v>665831</v>
          </cell>
          <cell r="J52">
            <v>665831</v>
          </cell>
          <cell r="K52">
            <v>1232892.4377090591</v>
          </cell>
          <cell r="L52">
            <v>20.54984</v>
          </cell>
          <cell r="M52">
            <v>20.54984</v>
          </cell>
          <cell r="N52">
            <v>9.7130181795504935</v>
          </cell>
          <cell r="P52">
            <v>665831</v>
          </cell>
          <cell r="Q52">
            <v>665831</v>
          </cell>
          <cell r="R52">
            <v>1232892.4377090591</v>
          </cell>
          <cell r="V52">
            <v>10.836821820449506</v>
          </cell>
          <cell r="W52">
            <v>10.836821820449506</v>
          </cell>
          <cell r="X52">
            <v>10.836821820449506</v>
          </cell>
          <cell r="Y52">
            <v>37042</v>
          </cell>
          <cell r="Z52">
            <v>0</v>
          </cell>
          <cell r="AA52">
            <v>0</v>
          </cell>
        </row>
        <row r="53">
          <cell r="A53">
            <v>37072</v>
          </cell>
          <cell r="E53">
            <v>20.868130000000001</v>
          </cell>
          <cell r="F53">
            <v>20.868130000000001</v>
          </cell>
          <cell r="G53">
            <v>10.945910617259553</v>
          </cell>
          <cell r="I53">
            <v>318290</v>
          </cell>
          <cell r="J53">
            <v>318290</v>
          </cell>
          <cell r="K53">
            <v>1232892.4377090591</v>
          </cell>
          <cell r="L53">
            <v>20.868130000000001</v>
          </cell>
          <cell r="M53">
            <v>20.868130000000001</v>
          </cell>
          <cell r="N53">
            <v>10.945910617259553</v>
          </cell>
          <cell r="P53">
            <v>318290</v>
          </cell>
          <cell r="Q53">
            <v>318290</v>
          </cell>
          <cell r="R53">
            <v>1232892.4377090591</v>
          </cell>
          <cell r="V53">
            <v>9.9222193827404475</v>
          </cell>
          <cell r="W53">
            <v>9.9222193827404475</v>
          </cell>
          <cell r="X53">
            <v>9.9222193827404475</v>
          </cell>
          <cell r="Y53">
            <v>37072</v>
          </cell>
          <cell r="Z53">
            <v>0</v>
          </cell>
          <cell r="AA53">
            <v>0</v>
          </cell>
        </row>
        <row r="54">
          <cell r="A54">
            <v>37103</v>
          </cell>
          <cell r="E54">
            <v>21.650135000000002</v>
          </cell>
          <cell r="F54">
            <v>21.650135000000002</v>
          </cell>
          <cell r="G54">
            <v>12.178803054968613</v>
          </cell>
          <cell r="I54">
            <v>782005</v>
          </cell>
          <cell r="J54">
            <v>782005</v>
          </cell>
          <cell r="K54">
            <v>1232892.4377090591</v>
          </cell>
          <cell r="L54">
            <v>21.650135000000002</v>
          </cell>
          <cell r="M54">
            <v>21.650135000000002</v>
          </cell>
          <cell r="N54">
            <v>12.178803054968613</v>
          </cell>
          <cell r="P54">
            <v>782005</v>
          </cell>
          <cell r="Q54">
            <v>782005</v>
          </cell>
          <cell r="R54">
            <v>1232892.4377090591</v>
          </cell>
          <cell r="V54">
            <v>9.4713319450313893</v>
          </cell>
          <cell r="W54">
            <v>9.4713319450313893</v>
          </cell>
          <cell r="X54">
            <v>9.4713319450313893</v>
          </cell>
          <cell r="Y54">
            <v>37103</v>
          </cell>
          <cell r="Z54">
            <v>0</v>
          </cell>
          <cell r="AA54">
            <v>0</v>
          </cell>
        </row>
        <row r="55">
          <cell r="A55">
            <v>37134</v>
          </cell>
          <cell r="E55">
            <v>22.253402000000001</v>
          </cell>
          <cell r="F55">
            <v>22.253402000000001</v>
          </cell>
          <cell r="G55">
            <v>13.411695492677673</v>
          </cell>
          <cell r="I55">
            <v>603267</v>
          </cell>
          <cell r="J55">
            <v>603267</v>
          </cell>
          <cell r="K55">
            <v>1232892.4377090591</v>
          </cell>
          <cell r="L55">
            <v>22.253402000000001</v>
          </cell>
          <cell r="M55">
            <v>22.253402000000001</v>
          </cell>
          <cell r="N55">
            <v>13.411695492677673</v>
          </cell>
          <cell r="P55">
            <v>603267</v>
          </cell>
          <cell r="Q55">
            <v>603267</v>
          </cell>
          <cell r="R55">
            <v>1232892.4377090591</v>
          </cell>
          <cell r="V55">
            <v>8.8417065073223284</v>
          </cell>
          <cell r="W55">
            <v>8.8417065073223284</v>
          </cell>
          <cell r="X55">
            <v>8.8417065073223284</v>
          </cell>
          <cell r="Y55">
            <v>37134</v>
          </cell>
          <cell r="Z55">
            <v>0</v>
          </cell>
          <cell r="AA55">
            <v>0</v>
          </cell>
        </row>
        <row r="56">
          <cell r="A56">
            <v>37164</v>
          </cell>
          <cell r="E56">
            <v>24.419725</v>
          </cell>
          <cell r="F56">
            <v>24.419725</v>
          </cell>
          <cell r="G56">
            <v>14.644587930386733</v>
          </cell>
          <cell r="I56">
            <v>2166323</v>
          </cell>
          <cell r="J56">
            <v>2166323</v>
          </cell>
          <cell r="K56">
            <v>1232892.4377090591</v>
          </cell>
          <cell r="L56">
            <v>24.419725</v>
          </cell>
          <cell r="M56">
            <v>24.419725</v>
          </cell>
          <cell r="N56">
            <v>14.644587930386733</v>
          </cell>
          <cell r="P56">
            <v>2166323</v>
          </cell>
          <cell r="Q56">
            <v>2166323</v>
          </cell>
          <cell r="R56">
            <v>1232892.4377090591</v>
          </cell>
          <cell r="V56">
            <v>9.7751370696132671</v>
          </cell>
          <cell r="W56">
            <v>9.7751370696132671</v>
          </cell>
          <cell r="X56">
            <v>9.7751370696132671</v>
          </cell>
          <cell r="Y56">
            <v>37164</v>
          </cell>
          <cell r="Z56">
            <v>0</v>
          </cell>
          <cell r="AA56">
            <v>0</v>
          </cell>
        </row>
        <row r="57">
          <cell r="A57">
            <v>37195</v>
          </cell>
          <cell r="E57">
            <v>26.645088999999999</v>
          </cell>
          <cell r="F57">
            <v>26.645088999999999</v>
          </cell>
          <cell r="G57">
            <v>15.877480368095792</v>
          </cell>
          <cell r="I57">
            <v>2225364</v>
          </cell>
          <cell r="J57">
            <v>2225364</v>
          </cell>
          <cell r="K57">
            <v>1232892.4377090591</v>
          </cell>
          <cell r="L57">
            <v>26.645088999999999</v>
          </cell>
          <cell r="M57">
            <v>26.645088999999999</v>
          </cell>
          <cell r="N57">
            <v>15.877480368095792</v>
          </cell>
          <cell r="P57">
            <v>2225364</v>
          </cell>
          <cell r="Q57">
            <v>2225364</v>
          </cell>
          <cell r="R57">
            <v>1232892.4377090591</v>
          </cell>
          <cell r="V57">
            <v>10.767608631904206</v>
          </cell>
          <cell r="W57">
            <v>10.767608631904206</v>
          </cell>
          <cell r="X57">
            <v>10.767608631904206</v>
          </cell>
          <cell r="Y57">
            <v>37195</v>
          </cell>
          <cell r="Z57">
            <v>0</v>
          </cell>
          <cell r="AA57">
            <v>0</v>
          </cell>
        </row>
        <row r="58">
          <cell r="A58">
            <v>37225</v>
          </cell>
          <cell r="E58">
            <v>27.920725999999998</v>
          </cell>
          <cell r="F58">
            <v>27.920725999999998</v>
          </cell>
          <cell r="G58">
            <v>17.11037280580485</v>
          </cell>
          <cell r="I58">
            <v>1275637</v>
          </cell>
          <cell r="J58">
            <v>1275637</v>
          </cell>
          <cell r="K58">
            <v>1232892.4377090591</v>
          </cell>
          <cell r="L58">
            <v>27.920725999999998</v>
          </cell>
          <cell r="M58">
            <v>27.920725999999998</v>
          </cell>
          <cell r="N58">
            <v>17.11037280580485</v>
          </cell>
          <cell r="P58">
            <v>1275637</v>
          </cell>
          <cell r="Q58">
            <v>1275637</v>
          </cell>
          <cell r="R58">
            <v>1232892.4377090591</v>
          </cell>
          <cell r="V58">
            <v>10.810353194195148</v>
          </cell>
          <cell r="W58">
            <v>10.810353194195148</v>
          </cell>
          <cell r="X58">
            <v>10.810353194195148</v>
          </cell>
          <cell r="Y58">
            <v>37225</v>
          </cell>
          <cell r="Z58">
            <v>0</v>
          </cell>
          <cell r="AA58">
            <v>0</v>
          </cell>
        </row>
        <row r="59">
          <cell r="A59">
            <v>37256</v>
          </cell>
          <cell r="E59">
            <v>29.222935999999997</v>
          </cell>
          <cell r="F59">
            <v>29.222935999999997</v>
          </cell>
          <cell r="G59">
            <v>18.343265243513908</v>
          </cell>
          <cell r="I59">
            <v>1302210</v>
          </cell>
          <cell r="J59">
            <v>1302210</v>
          </cell>
          <cell r="K59">
            <v>1232892.4377090591</v>
          </cell>
          <cell r="L59">
            <v>29.222935999999997</v>
          </cell>
          <cell r="M59">
            <v>29.222935999999997</v>
          </cell>
          <cell r="N59">
            <v>18.343265243513908</v>
          </cell>
          <cell r="P59">
            <v>1302210</v>
          </cell>
          <cell r="Q59">
            <v>1302210</v>
          </cell>
          <cell r="R59">
            <v>1232892.4377090591</v>
          </cell>
          <cell r="V59">
            <v>10.879670756486089</v>
          </cell>
          <cell r="W59">
            <v>10.879670756486089</v>
          </cell>
          <cell r="X59">
            <v>10.879670756486089</v>
          </cell>
          <cell r="Y59">
            <v>37256</v>
          </cell>
          <cell r="Z59">
            <v>0</v>
          </cell>
          <cell r="AA59">
            <v>0</v>
          </cell>
        </row>
        <row r="60">
          <cell r="A60">
            <v>37287</v>
          </cell>
          <cell r="E60">
            <v>29.660317999999997</v>
          </cell>
          <cell r="F60">
            <v>29.660317999999997</v>
          </cell>
          <cell r="G60">
            <v>19.393460961705721</v>
          </cell>
          <cell r="I60">
            <v>437382</v>
          </cell>
          <cell r="J60">
            <v>437382</v>
          </cell>
          <cell r="K60">
            <v>1050195.7181918118</v>
          </cell>
          <cell r="L60">
            <v>29.660317999999997</v>
          </cell>
          <cell r="M60">
            <v>29.660317999999997</v>
          </cell>
          <cell r="N60">
            <v>19.393460961705721</v>
          </cell>
          <cell r="P60">
            <v>437382</v>
          </cell>
          <cell r="Q60">
            <v>437382</v>
          </cell>
          <cell r="R60">
            <v>1050195.7181918118</v>
          </cell>
          <cell r="V60">
            <v>10.266857038294276</v>
          </cell>
          <cell r="W60">
            <v>10.266857038294276</v>
          </cell>
          <cell r="X60">
            <v>10.266857038294276</v>
          </cell>
          <cell r="Y60">
            <v>37287</v>
          </cell>
          <cell r="Z60">
            <v>0</v>
          </cell>
          <cell r="AA60">
            <v>0</v>
          </cell>
        </row>
        <row r="61">
          <cell r="A61">
            <v>37315</v>
          </cell>
          <cell r="E61">
            <v>30.336939999999995</v>
          </cell>
          <cell r="F61">
            <v>30.336939999999995</v>
          </cell>
          <cell r="G61">
            <v>20.443656679897533</v>
          </cell>
          <cell r="I61">
            <v>676622</v>
          </cell>
          <cell r="J61">
            <v>676622</v>
          </cell>
          <cell r="K61">
            <v>1050195.7181918118</v>
          </cell>
          <cell r="L61">
            <v>30.336939999999995</v>
          </cell>
          <cell r="M61">
            <v>30.336939999999995</v>
          </cell>
          <cell r="N61">
            <v>20.443656679897533</v>
          </cell>
          <cell r="P61">
            <v>676622</v>
          </cell>
          <cell r="Q61">
            <v>676622</v>
          </cell>
          <cell r="R61">
            <v>1050195.7181918118</v>
          </cell>
          <cell r="V61">
            <v>9.8932833201024621</v>
          </cell>
          <cell r="W61">
            <v>9.8932833201024621</v>
          </cell>
          <cell r="X61">
            <v>9.8932833201024621</v>
          </cell>
          <cell r="Y61">
            <v>37315</v>
          </cell>
          <cell r="Z61">
            <v>0</v>
          </cell>
          <cell r="AA61">
            <v>0</v>
          </cell>
        </row>
        <row r="62">
          <cell r="A62">
            <v>37346</v>
          </cell>
          <cell r="E62">
            <v>31.032740999999994</v>
          </cell>
          <cell r="F62">
            <v>31.032740999999994</v>
          </cell>
          <cell r="G62">
            <v>21.493852398089345</v>
          </cell>
          <cell r="I62">
            <v>695801</v>
          </cell>
          <cell r="J62">
            <v>695801</v>
          </cell>
          <cell r="K62">
            <v>1050195.7181918118</v>
          </cell>
          <cell r="L62">
            <v>31.032740999999994</v>
          </cell>
          <cell r="M62">
            <v>31.032740999999994</v>
          </cell>
          <cell r="N62">
            <v>21.493852398089345</v>
          </cell>
          <cell r="P62">
            <v>695801</v>
          </cell>
          <cell r="Q62">
            <v>695801</v>
          </cell>
          <cell r="R62">
            <v>1050195.7181918118</v>
          </cell>
          <cell r="V62">
            <v>9.5388886019106494</v>
          </cell>
          <cell r="W62">
            <v>9.5388886019106494</v>
          </cell>
          <cell r="X62">
            <v>9.5388886019106494</v>
          </cell>
          <cell r="Y62">
            <v>37346</v>
          </cell>
          <cell r="Z62">
            <v>0</v>
          </cell>
          <cell r="AA62">
            <v>0</v>
          </cell>
        </row>
        <row r="63">
          <cell r="A63">
            <v>37376</v>
          </cell>
          <cell r="E63">
            <v>32.505613999999994</v>
          </cell>
          <cell r="F63">
            <v>32.505613999999994</v>
          </cell>
          <cell r="G63">
            <v>22.544048116281157</v>
          </cell>
          <cell r="I63">
            <v>1472873</v>
          </cell>
          <cell r="J63">
            <v>1472873</v>
          </cell>
          <cell r="K63">
            <v>1050195.7181918118</v>
          </cell>
          <cell r="L63">
            <v>32.505613999999994</v>
          </cell>
          <cell r="M63">
            <v>32.505613999999994</v>
          </cell>
          <cell r="N63">
            <v>22.544048116281157</v>
          </cell>
          <cell r="P63">
            <v>1472873</v>
          </cell>
          <cell r="Q63">
            <v>1472873</v>
          </cell>
          <cell r="R63">
            <v>1050195.7181918118</v>
          </cell>
          <cell r="V63">
            <v>9.961565883718837</v>
          </cell>
          <cell r="W63">
            <v>9.961565883718837</v>
          </cell>
          <cell r="X63">
            <v>9.961565883718837</v>
          </cell>
          <cell r="Y63">
            <v>37376</v>
          </cell>
          <cell r="Z63">
            <v>0</v>
          </cell>
          <cell r="AA63">
            <v>0</v>
          </cell>
        </row>
        <row r="64">
          <cell r="A64">
            <v>37407</v>
          </cell>
          <cell r="E64">
            <v>34.775993999999997</v>
          </cell>
          <cell r="F64">
            <v>34.775993999999997</v>
          </cell>
          <cell r="G64">
            <v>23.594243834472969</v>
          </cell>
          <cell r="I64">
            <v>2270380</v>
          </cell>
          <cell r="J64">
            <v>2270380</v>
          </cell>
          <cell r="K64">
            <v>1050195.7181918118</v>
          </cell>
          <cell r="L64">
            <v>34.775993999999997</v>
          </cell>
          <cell r="M64">
            <v>34.775993999999997</v>
          </cell>
          <cell r="N64">
            <v>23.594243834472969</v>
          </cell>
          <cell r="P64">
            <v>2270380</v>
          </cell>
          <cell r="Q64">
            <v>2270380</v>
          </cell>
          <cell r="R64">
            <v>1050195.7181918118</v>
          </cell>
          <cell r="V64">
            <v>11.181750165527028</v>
          </cell>
          <cell r="W64">
            <v>11.181750165527028</v>
          </cell>
          <cell r="X64">
            <v>11.181750165527028</v>
          </cell>
          <cell r="Y64">
            <v>37407</v>
          </cell>
          <cell r="Z64">
            <v>0</v>
          </cell>
          <cell r="AA64">
            <v>0</v>
          </cell>
        </row>
        <row r="65">
          <cell r="A65">
            <v>37437</v>
          </cell>
          <cell r="E65">
            <v>35.771799999999999</v>
          </cell>
          <cell r="F65">
            <v>35.771799999999999</v>
          </cell>
          <cell r="G65">
            <v>24.644439552664782</v>
          </cell>
          <cell r="I65">
            <v>995806</v>
          </cell>
          <cell r="J65">
            <v>995806</v>
          </cell>
          <cell r="K65">
            <v>1050195.7181918118</v>
          </cell>
          <cell r="L65">
            <v>35.771799999999999</v>
          </cell>
          <cell r="M65">
            <v>35.771799999999999</v>
          </cell>
          <cell r="N65">
            <v>24.644439552664782</v>
          </cell>
          <cell r="P65">
            <v>995806</v>
          </cell>
          <cell r="Q65">
            <v>995806</v>
          </cell>
          <cell r="R65">
            <v>1050195.7181918118</v>
          </cell>
          <cell r="V65">
            <v>11.127360447335217</v>
          </cell>
          <cell r="W65">
            <v>11.127360447335217</v>
          </cell>
          <cell r="X65">
            <v>11.127360447335217</v>
          </cell>
          <cell r="Y65">
            <v>37437</v>
          </cell>
          <cell r="Z65">
            <v>0</v>
          </cell>
          <cell r="AA65">
            <v>0</v>
          </cell>
        </row>
        <row r="66">
          <cell r="A66">
            <v>37468</v>
          </cell>
          <cell r="E66">
            <v>38.233511</v>
          </cell>
          <cell r="F66">
            <v>38.233511</v>
          </cell>
          <cell r="G66">
            <v>25.694635270856594</v>
          </cell>
          <cell r="I66">
            <v>2461711</v>
          </cell>
          <cell r="J66">
            <v>2461711</v>
          </cell>
          <cell r="K66">
            <v>1050195.7181918118</v>
          </cell>
          <cell r="L66">
            <v>38.233511</v>
          </cell>
          <cell r="M66">
            <v>38.233511</v>
          </cell>
          <cell r="N66">
            <v>25.694635270856594</v>
          </cell>
          <cell r="P66">
            <v>2461711</v>
          </cell>
          <cell r="Q66">
            <v>2461711</v>
          </cell>
          <cell r="R66">
            <v>1050195.7181918118</v>
          </cell>
          <cell r="V66">
            <v>12.538875729143406</v>
          </cell>
          <cell r="W66">
            <v>12.538875729143406</v>
          </cell>
          <cell r="X66">
            <v>12.538875729143406</v>
          </cell>
          <cell r="Y66">
            <v>37468</v>
          </cell>
          <cell r="Z66">
            <v>0</v>
          </cell>
          <cell r="AA66">
            <v>0</v>
          </cell>
        </row>
        <row r="67">
          <cell r="A67">
            <v>37499</v>
          </cell>
          <cell r="E67">
            <v>40.404598</v>
          </cell>
          <cell r="F67">
            <v>40.404598</v>
          </cell>
          <cell r="G67">
            <v>26.744830989048406</v>
          </cell>
          <cell r="I67">
            <v>2171087</v>
          </cell>
          <cell r="J67">
            <v>2171087</v>
          </cell>
          <cell r="K67">
            <v>1050195.7181918118</v>
          </cell>
          <cell r="L67">
            <v>40.404598</v>
          </cell>
          <cell r="M67">
            <v>40.404598</v>
          </cell>
          <cell r="N67">
            <v>26.744830989048406</v>
          </cell>
          <cell r="P67">
            <v>2171087</v>
          </cell>
          <cell r="Q67">
            <v>2171087</v>
          </cell>
          <cell r="R67">
            <v>1050195.7181918118</v>
          </cell>
          <cell r="V67">
            <v>13.659767010951594</v>
          </cell>
          <cell r="W67">
            <v>13.659767010951594</v>
          </cell>
          <cell r="X67">
            <v>13.659767010951594</v>
          </cell>
          <cell r="Y67">
            <v>37499</v>
          </cell>
          <cell r="Z67">
            <v>0</v>
          </cell>
          <cell r="AA67">
            <v>0</v>
          </cell>
        </row>
        <row r="68">
          <cell r="A68">
            <v>37529</v>
          </cell>
          <cell r="E68">
            <v>42.600569</v>
          </cell>
          <cell r="F68">
            <v>42.600569</v>
          </cell>
          <cell r="G68">
            <v>27.795026707240218</v>
          </cell>
          <cell r="I68">
            <v>2195971</v>
          </cell>
          <cell r="J68">
            <v>2195971</v>
          </cell>
          <cell r="K68">
            <v>1050195.7181918118</v>
          </cell>
          <cell r="L68">
            <v>42.600569</v>
          </cell>
          <cell r="M68">
            <v>42.600569</v>
          </cell>
          <cell r="N68">
            <v>27.795026707240218</v>
          </cell>
          <cell r="P68">
            <v>2195971</v>
          </cell>
          <cell r="Q68">
            <v>2195971</v>
          </cell>
          <cell r="R68">
            <v>1050195.7181918118</v>
          </cell>
          <cell r="V68">
            <v>14.805542292759782</v>
          </cell>
          <cell r="W68">
            <v>14.805542292759782</v>
          </cell>
          <cell r="X68">
            <v>14.805542292759782</v>
          </cell>
          <cell r="Y68">
            <v>37529</v>
          </cell>
          <cell r="Z68">
            <v>0</v>
          </cell>
          <cell r="AA68">
            <v>0</v>
          </cell>
        </row>
        <row r="69">
          <cell r="A69">
            <v>37560</v>
          </cell>
          <cell r="E69">
            <v>43.554344999999998</v>
          </cell>
          <cell r="F69">
            <v>43.554344999999998</v>
          </cell>
          <cell r="G69">
            <v>28.845222425432031</v>
          </cell>
          <cell r="I69">
            <v>953776</v>
          </cell>
          <cell r="J69">
            <v>953776</v>
          </cell>
          <cell r="K69">
            <v>1050195.7181918118</v>
          </cell>
          <cell r="L69">
            <v>43.554344999999998</v>
          </cell>
          <cell r="M69">
            <v>43.554344999999998</v>
          </cell>
          <cell r="N69">
            <v>28.845222425432031</v>
          </cell>
          <cell r="P69">
            <v>953776</v>
          </cell>
          <cell r="Q69">
            <v>953776</v>
          </cell>
          <cell r="R69">
            <v>1050195.7181918118</v>
          </cell>
          <cell r="V69">
            <v>14.709122574567967</v>
          </cell>
          <cell r="W69">
            <v>14.709122574567967</v>
          </cell>
          <cell r="X69">
            <v>14.709122574567967</v>
          </cell>
          <cell r="Y69">
            <v>37560</v>
          </cell>
          <cell r="Z69">
            <v>0</v>
          </cell>
          <cell r="AA69">
            <v>0</v>
          </cell>
        </row>
        <row r="70">
          <cell r="A70">
            <v>37590</v>
          </cell>
          <cell r="E70">
            <v>44.096008999999995</v>
          </cell>
          <cell r="F70">
            <v>44.096008999999995</v>
          </cell>
          <cell r="G70">
            <v>29.895418143623843</v>
          </cell>
          <cell r="I70">
            <v>541664</v>
          </cell>
          <cell r="J70">
            <v>541664</v>
          </cell>
          <cell r="K70">
            <v>1050195.7181918118</v>
          </cell>
          <cell r="L70">
            <v>44.096008999999995</v>
          </cell>
          <cell r="M70">
            <v>44.096008999999995</v>
          </cell>
          <cell r="N70">
            <v>29.895418143623843</v>
          </cell>
          <cell r="P70">
            <v>541664</v>
          </cell>
          <cell r="Q70">
            <v>541664</v>
          </cell>
          <cell r="R70">
            <v>1050195.7181918118</v>
          </cell>
          <cell r="V70">
            <v>14.200590856376152</v>
          </cell>
          <cell r="W70">
            <v>14.200590856376152</v>
          </cell>
          <cell r="X70">
            <v>14.200590856376152</v>
          </cell>
          <cell r="Y70">
            <v>37590</v>
          </cell>
          <cell r="Z70">
            <v>0</v>
          </cell>
          <cell r="AA70">
            <v>0</v>
          </cell>
        </row>
        <row r="71">
          <cell r="A71">
            <v>37621</v>
          </cell>
          <cell r="E71">
            <v>44.736765999999996</v>
          </cell>
          <cell r="F71">
            <v>44.736765999999996</v>
          </cell>
          <cell r="G71">
            <v>30.945613861815655</v>
          </cell>
          <cell r="I71">
            <v>640757</v>
          </cell>
          <cell r="J71">
            <v>640757</v>
          </cell>
          <cell r="K71">
            <v>1050195.7181918118</v>
          </cell>
          <cell r="L71">
            <v>44.736765999999996</v>
          </cell>
          <cell r="M71">
            <v>44.736765999999996</v>
          </cell>
          <cell r="N71">
            <v>30.945613861815655</v>
          </cell>
          <cell r="P71">
            <v>640757</v>
          </cell>
          <cell r="Q71">
            <v>640757</v>
          </cell>
          <cell r="R71">
            <v>1050195.7181918118</v>
          </cell>
          <cell r="V71">
            <v>13.791152138184341</v>
          </cell>
          <cell r="W71">
            <v>13.791152138184341</v>
          </cell>
          <cell r="X71">
            <v>13.791152138184341</v>
          </cell>
          <cell r="Y71">
            <v>37621</v>
          </cell>
          <cell r="Z71">
            <v>0</v>
          </cell>
          <cell r="AA71">
            <v>0</v>
          </cell>
        </row>
        <row r="72">
          <cell r="A72">
            <v>37652</v>
          </cell>
          <cell r="E72">
            <v>45.571793999999997</v>
          </cell>
          <cell r="F72">
            <v>45.571793999999997</v>
          </cell>
          <cell r="G72">
            <v>31.971193413067663</v>
          </cell>
          <cell r="I72">
            <v>835028</v>
          </cell>
          <cell r="J72">
            <v>835028</v>
          </cell>
          <cell r="K72">
            <v>1025579.5512520085</v>
          </cell>
          <cell r="L72">
            <v>45.571793999999997</v>
          </cell>
          <cell r="M72">
            <v>45.571793999999997</v>
          </cell>
          <cell r="N72">
            <v>31.971193413067663</v>
          </cell>
          <cell r="P72">
            <v>835028</v>
          </cell>
          <cell r="Q72">
            <v>835028</v>
          </cell>
          <cell r="R72">
            <v>1025579.5512520085</v>
          </cell>
          <cell r="V72">
            <v>13.600600586932334</v>
          </cell>
          <cell r="W72">
            <v>13.600600586932334</v>
          </cell>
          <cell r="Y72">
            <v>37652</v>
          </cell>
          <cell r="Z72">
            <v>0</v>
          </cell>
          <cell r="AA72">
            <v>0</v>
          </cell>
        </row>
        <row r="73">
          <cell r="A73">
            <v>37680</v>
          </cell>
          <cell r="E73">
            <v>46.206260999999998</v>
          </cell>
          <cell r="F73">
            <v>46.206260999999998</v>
          </cell>
          <cell r="G73">
            <v>32.996772964319675</v>
          </cell>
          <cell r="I73">
            <v>634467</v>
          </cell>
          <cell r="J73">
            <v>634467</v>
          </cell>
          <cell r="K73">
            <v>1025579.5512520085</v>
          </cell>
          <cell r="L73">
            <v>46.206260999999998</v>
          </cell>
          <cell r="M73">
            <v>46.206260999999998</v>
          </cell>
          <cell r="N73">
            <v>32.996772964319675</v>
          </cell>
          <cell r="P73">
            <v>634467</v>
          </cell>
          <cell r="Q73">
            <v>634467</v>
          </cell>
          <cell r="R73">
            <v>1025579.5512520085</v>
          </cell>
          <cell r="V73">
            <v>13.209488035680323</v>
          </cell>
          <cell r="W73">
            <v>13.209488035680323</v>
          </cell>
          <cell r="Y73">
            <v>37680</v>
          </cell>
          <cell r="Z73">
            <v>0</v>
          </cell>
          <cell r="AA73">
            <v>0</v>
          </cell>
        </row>
        <row r="74">
          <cell r="A74">
            <v>37711</v>
          </cell>
          <cell r="E74">
            <v>46.672269</v>
          </cell>
          <cell r="F74">
            <v>46.672269</v>
          </cell>
          <cell r="G74">
            <v>34.022352515571683</v>
          </cell>
          <cell r="I74">
            <v>466008</v>
          </cell>
          <cell r="J74">
            <v>466008</v>
          </cell>
          <cell r="K74">
            <v>1025579.5512520085</v>
          </cell>
          <cell r="L74">
            <v>46.672269</v>
          </cell>
          <cell r="M74">
            <v>46.672269</v>
          </cell>
          <cell r="N74">
            <v>34.022352515571683</v>
          </cell>
          <cell r="P74">
            <v>466008</v>
          </cell>
          <cell r="Q74">
            <v>466008</v>
          </cell>
          <cell r="R74">
            <v>1025579.5512520085</v>
          </cell>
          <cell r="V74">
            <v>12.649916484428317</v>
          </cell>
          <cell r="W74">
            <v>12.649916484428317</v>
          </cell>
          <cell r="Y74">
            <v>37711</v>
          </cell>
          <cell r="Z74">
            <v>0</v>
          </cell>
          <cell r="AA74">
            <v>0</v>
          </cell>
        </row>
        <row r="75">
          <cell r="A75">
            <v>37741</v>
          </cell>
          <cell r="E75">
            <v>46.930898999999997</v>
          </cell>
          <cell r="F75">
            <v>46.930898999999997</v>
          </cell>
          <cell r="G75">
            <v>35.047932066823691</v>
          </cell>
          <cell r="I75">
            <v>258630</v>
          </cell>
          <cell r="J75">
            <v>258630</v>
          </cell>
          <cell r="K75">
            <v>1025579.5512520085</v>
          </cell>
          <cell r="L75">
            <v>46.930898999999997</v>
          </cell>
          <cell r="M75">
            <v>46.930898999999997</v>
          </cell>
          <cell r="N75">
            <v>35.047932066823691</v>
          </cell>
          <cell r="P75">
            <v>258630</v>
          </cell>
          <cell r="Q75">
            <v>258630</v>
          </cell>
          <cell r="R75">
            <v>1025579.5512520085</v>
          </cell>
          <cell r="V75">
            <v>11.882966933176306</v>
          </cell>
          <cell r="W75">
            <v>11.882966933176306</v>
          </cell>
          <cell r="Y75">
            <v>37741</v>
          </cell>
          <cell r="Z75">
            <v>0</v>
          </cell>
          <cell r="AA75">
            <v>0</v>
          </cell>
        </row>
        <row r="76">
          <cell r="A76">
            <v>37772</v>
          </cell>
          <cell r="E76">
            <v>47.457104999999999</v>
          </cell>
          <cell r="F76">
            <v>47.457104999999999</v>
          </cell>
          <cell r="G76">
            <v>36.073511618075699</v>
          </cell>
          <cell r="I76">
            <v>526206</v>
          </cell>
          <cell r="J76">
            <v>526206</v>
          </cell>
          <cell r="K76">
            <v>1025579.5512520085</v>
          </cell>
          <cell r="L76">
            <v>47.457104999999999</v>
          </cell>
          <cell r="M76">
            <v>47.457104999999999</v>
          </cell>
          <cell r="N76">
            <v>36.073511618075699</v>
          </cell>
          <cell r="P76">
            <v>526206</v>
          </cell>
          <cell r="Q76">
            <v>526206</v>
          </cell>
          <cell r="R76">
            <v>1025579.5512520085</v>
          </cell>
          <cell r="V76">
            <v>11.3835933819243</v>
          </cell>
          <cell r="W76">
            <v>11.3835933819243</v>
          </cell>
          <cell r="Y76">
            <v>37772</v>
          </cell>
          <cell r="Z76">
            <v>0</v>
          </cell>
          <cell r="AA76">
            <v>0</v>
          </cell>
        </row>
        <row r="77">
          <cell r="A77">
            <v>37802</v>
          </cell>
          <cell r="E77">
            <v>47.741185000000002</v>
          </cell>
          <cell r="F77">
            <v>47.741185000000002</v>
          </cell>
          <cell r="G77">
            <v>37.099091169327707</v>
          </cell>
          <cell r="I77">
            <v>284080</v>
          </cell>
          <cell r="J77">
            <v>284080</v>
          </cell>
          <cell r="K77">
            <v>1025579.5512520085</v>
          </cell>
          <cell r="L77">
            <v>47.741185000000002</v>
          </cell>
          <cell r="M77">
            <v>47.741185000000002</v>
          </cell>
          <cell r="N77">
            <v>37.099091169327707</v>
          </cell>
          <cell r="P77">
            <v>284080</v>
          </cell>
          <cell r="Q77">
            <v>284080</v>
          </cell>
          <cell r="R77">
            <v>1025579.5512520085</v>
          </cell>
          <cell r="V77">
            <v>10.642093830672295</v>
          </cell>
          <cell r="W77">
            <v>10.642093830672295</v>
          </cell>
          <cell r="Y77">
            <v>37802</v>
          </cell>
          <cell r="Z77">
            <v>0</v>
          </cell>
          <cell r="AA77">
            <v>0</v>
          </cell>
        </row>
        <row r="78">
          <cell r="A78">
            <v>37833</v>
          </cell>
          <cell r="E78">
            <v>48.113689999999998</v>
          </cell>
          <cell r="F78">
            <v>48.113689999999998</v>
          </cell>
          <cell r="G78">
            <v>38.124670720579715</v>
          </cell>
          <cell r="I78">
            <v>372505</v>
          </cell>
          <cell r="J78">
            <v>372505</v>
          </cell>
          <cell r="K78">
            <v>1025579.5512520085</v>
          </cell>
          <cell r="L78">
            <v>48.113689999999998</v>
          </cell>
          <cell r="M78">
            <v>48.113689999999998</v>
          </cell>
          <cell r="N78">
            <v>38.124670720579715</v>
          </cell>
          <cell r="P78">
            <v>372505</v>
          </cell>
          <cell r="Q78">
            <v>372505</v>
          </cell>
          <cell r="R78">
            <v>1025579.5512520085</v>
          </cell>
          <cell r="V78">
            <v>9.9890192794202832</v>
          </cell>
          <cell r="W78">
            <v>9.9890192794202832</v>
          </cell>
          <cell r="Y78">
            <v>37833</v>
          </cell>
          <cell r="Z78">
            <v>0</v>
          </cell>
          <cell r="AA78">
            <v>0</v>
          </cell>
        </row>
        <row r="79">
          <cell r="A79">
            <v>37864</v>
          </cell>
          <cell r="E79">
            <v>48.397770000000001</v>
          </cell>
          <cell r="F79">
            <v>48.397770000000001</v>
          </cell>
          <cell r="G79">
            <v>39.150250271831723</v>
          </cell>
          <cell r="I79">
            <v>284080</v>
          </cell>
          <cell r="J79">
            <v>284080</v>
          </cell>
          <cell r="K79">
            <v>1025579.5512520085</v>
          </cell>
          <cell r="L79">
            <v>48.397770000000001</v>
          </cell>
          <cell r="M79">
            <v>48.397770000000001</v>
          </cell>
          <cell r="N79">
            <v>39.150250271831723</v>
          </cell>
          <cell r="P79">
            <v>284080</v>
          </cell>
          <cell r="Q79">
            <v>284080</v>
          </cell>
          <cell r="R79">
            <v>1025579.5512520085</v>
          </cell>
          <cell r="V79">
            <v>9.2475197281682782</v>
          </cell>
          <cell r="W79">
            <v>9.2475197281682782</v>
          </cell>
          <cell r="Y79">
            <v>37864</v>
          </cell>
          <cell r="Z79">
            <v>0</v>
          </cell>
          <cell r="AA79">
            <v>0</v>
          </cell>
        </row>
        <row r="80">
          <cell r="A80">
            <v>37894</v>
          </cell>
          <cell r="E80">
            <v>48.893149000000001</v>
          </cell>
          <cell r="F80">
            <v>48.893149000000001</v>
          </cell>
          <cell r="G80">
            <v>40.175829823083731</v>
          </cell>
          <cell r="I80">
            <v>495379</v>
          </cell>
          <cell r="J80">
            <v>495379</v>
          </cell>
          <cell r="K80">
            <v>1025579.5512520085</v>
          </cell>
          <cell r="L80">
            <v>48.893149000000001</v>
          </cell>
          <cell r="M80">
            <v>48.893149000000001</v>
          </cell>
          <cell r="N80">
            <v>40.175829823083731</v>
          </cell>
          <cell r="P80">
            <v>495379</v>
          </cell>
          <cell r="Q80">
            <v>495379</v>
          </cell>
          <cell r="R80">
            <v>1025579.5512520085</v>
          </cell>
          <cell r="V80">
            <v>8.7173191769162699</v>
          </cell>
          <cell r="W80">
            <v>8.7173191769162699</v>
          </cell>
          <cell r="Y80">
            <v>37894</v>
          </cell>
          <cell r="Z80">
            <v>0</v>
          </cell>
          <cell r="AA80">
            <v>0</v>
          </cell>
        </row>
        <row r="81">
          <cell r="A81">
            <v>37925</v>
          </cell>
          <cell r="E81">
            <v>49.184432999999999</v>
          </cell>
          <cell r="F81">
            <v>49.184432999999999</v>
          </cell>
          <cell r="G81">
            <v>41.201409374335739</v>
          </cell>
          <cell r="I81">
            <v>291284</v>
          </cell>
          <cell r="J81">
            <v>291284</v>
          </cell>
          <cell r="K81">
            <v>1025579.5512520085</v>
          </cell>
          <cell r="L81">
            <v>49.184432999999999</v>
          </cell>
          <cell r="M81">
            <v>49.184432999999999</v>
          </cell>
          <cell r="N81">
            <v>41.201409374335739</v>
          </cell>
          <cell r="P81">
            <v>291284</v>
          </cell>
          <cell r="Q81">
            <v>291284</v>
          </cell>
          <cell r="R81">
            <v>1025579.5512520085</v>
          </cell>
          <cell r="V81">
            <v>7.9830236256642593</v>
          </cell>
          <cell r="W81">
            <v>7.9830236256642593</v>
          </cell>
          <cell r="Y81">
            <v>37925</v>
          </cell>
          <cell r="Z81">
            <v>0</v>
          </cell>
          <cell r="AA81">
            <v>0</v>
          </cell>
        </row>
        <row r="82">
          <cell r="A82">
            <v>37955</v>
          </cell>
          <cell r="E82">
            <v>49.519346999999996</v>
          </cell>
          <cell r="F82">
            <v>49.519346999999996</v>
          </cell>
          <cell r="G82">
            <v>42.226988925587747</v>
          </cell>
          <cell r="I82">
            <v>334914</v>
          </cell>
          <cell r="J82">
            <v>334914</v>
          </cell>
          <cell r="K82">
            <v>1025579.5512520085</v>
          </cell>
          <cell r="L82">
            <v>49.519346999999996</v>
          </cell>
          <cell r="M82">
            <v>49.519346999999996</v>
          </cell>
          <cell r="N82">
            <v>42.226988925587747</v>
          </cell>
          <cell r="P82">
            <v>334914</v>
          </cell>
          <cell r="Q82">
            <v>334914</v>
          </cell>
          <cell r="R82">
            <v>1025579.5512520085</v>
          </cell>
          <cell r="V82">
            <v>7.2923580744122489</v>
          </cell>
          <cell r="W82">
            <v>7.2923580744122489</v>
          </cell>
          <cell r="Y82">
            <v>37955</v>
          </cell>
          <cell r="Z82">
            <v>0</v>
          </cell>
          <cell r="AA82">
            <v>0</v>
          </cell>
        </row>
        <row r="83">
          <cell r="A83">
            <v>37986</v>
          </cell>
          <cell r="E83">
            <v>49.812456999999995</v>
          </cell>
          <cell r="F83">
            <v>49.812456999999995</v>
          </cell>
          <cell r="G83">
            <v>43.252568476839755</v>
          </cell>
          <cell r="I83">
            <v>293110</v>
          </cell>
          <cell r="J83">
            <v>293110</v>
          </cell>
          <cell r="K83">
            <v>1025579.5512520085</v>
          </cell>
          <cell r="L83">
            <v>49.812456999999995</v>
          </cell>
          <cell r="M83">
            <v>49.812456999999995</v>
          </cell>
          <cell r="N83">
            <v>43.252568476839755</v>
          </cell>
          <cell r="P83">
            <v>293110</v>
          </cell>
          <cell r="Q83">
            <v>293110</v>
          </cell>
          <cell r="R83">
            <v>1025579.5512520085</v>
          </cell>
          <cell r="V83">
            <v>6.5598885231602395</v>
          </cell>
          <cell r="W83">
            <v>6.5598885231602395</v>
          </cell>
          <cell r="Y83">
            <v>37986</v>
          </cell>
          <cell r="Z83">
            <v>0</v>
          </cell>
          <cell r="AA83">
            <v>0</v>
          </cell>
        </row>
        <row r="84">
          <cell r="A84">
            <v>38017</v>
          </cell>
          <cell r="E84">
            <v>50.129236999999996</v>
          </cell>
          <cell r="F84">
            <v>50.129236999999996</v>
          </cell>
          <cell r="G84">
            <v>44.196623119552733</v>
          </cell>
          <cell r="I84">
            <v>316780</v>
          </cell>
          <cell r="J84">
            <v>316780</v>
          </cell>
          <cell r="K84">
            <v>944054.64271297632</v>
          </cell>
          <cell r="L84">
            <v>50.129236999999996</v>
          </cell>
          <cell r="M84">
            <v>50.129236999999996</v>
          </cell>
          <cell r="N84">
            <v>44.196623119552733</v>
          </cell>
          <cell r="P84">
            <v>316780</v>
          </cell>
          <cell r="Q84">
            <v>316780</v>
          </cell>
          <cell r="R84">
            <v>944054.64271297632</v>
          </cell>
          <cell r="V84">
            <v>5.9326138804472635</v>
          </cell>
          <cell r="W84">
            <v>5.9326138804472635</v>
          </cell>
          <cell r="Y84">
            <v>38017</v>
          </cell>
          <cell r="Z84">
            <v>0</v>
          </cell>
          <cell r="AA84">
            <v>0</v>
          </cell>
        </row>
        <row r="85">
          <cell r="A85">
            <v>38046</v>
          </cell>
          <cell r="E85">
            <v>51.638580999999995</v>
          </cell>
          <cell r="F85">
            <v>51.638580999999995</v>
          </cell>
          <cell r="G85">
            <v>45.14067776226571</v>
          </cell>
          <cell r="I85">
            <v>1509344</v>
          </cell>
          <cell r="J85">
            <v>1509344</v>
          </cell>
          <cell r="K85">
            <v>944054.64271297632</v>
          </cell>
          <cell r="L85">
            <v>51.638580999999995</v>
          </cell>
          <cell r="M85">
            <v>51.638580999999995</v>
          </cell>
          <cell r="N85">
            <v>45.14067776226571</v>
          </cell>
          <cell r="P85">
            <v>1509344</v>
          </cell>
          <cell r="Q85">
            <v>1509344</v>
          </cell>
          <cell r="R85">
            <v>944054.64271297632</v>
          </cell>
          <cell r="V85">
            <v>6.4979032377342847</v>
          </cell>
          <cell r="W85">
            <v>6.4979032377342847</v>
          </cell>
          <cell r="Y85">
            <v>38046</v>
          </cell>
          <cell r="Z85">
            <v>0</v>
          </cell>
          <cell r="AA85">
            <v>0</v>
          </cell>
        </row>
        <row r="86">
          <cell r="A86">
            <v>38077</v>
          </cell>
          <cell r="E86">
            <v>54.429594999999992</v>
          </cell>
          <cell r="F86">
            <v>54.429594999999992</v>
          </cell>
          <cell r="G86">
            <v>46.084732404978688</v>
          </cell>
          <cell r="I86">
            <v>2791014</v>
          </cell>
          <cell r="J86">
            <v>2791014</v>
          </cell>
          <cell r="K86">
            <v>944054.64271297632</v>
          </cell>
          <cell r="L86">
            <v>54.429594999999992</v>
          </cell>
          <cell r="M86">
            <v>54.429594999999992</v>
          </cell>
          <cell r="N86">
            <v>46.084732404978688</v>
          </cell>
          <cell r="P86">
            <v>2791014</v>
          </cell>
          <cell r="Q86">
            <v>2791014</v>
          </cell>
          <cell r="R86">
            <v>944054.64271297632</v>
          </cell>
          <cell r="V86">
            <v>8.3448625950213042</v>
          </cell>
          <cell r="W86">
            <v>8.3448625950213042</v>
          </cell>
          <cell r="Y86">
            <v>38077</v>
          </cell>
          <cell r="Z86">
            <v>0</v>
          </cell>
          <cell r="AA86">
            <v>0</v>
          </cell>
        </row>
        <row r="87">
          <cell r="A87">
            <v>38107</v>
          </cell>
          <cell r="E87">
            <v>55.604469999999992</v>
          </cell>
          <cell r="F87">
            <v>55.604469999999992</v>
          </cell>
          <cell r="G87">
            <v>47.028787047691665</v>
          </cell>
          <cell r="I87">
            <v>1174875</v>
          </cell>
          <cell r="J87">
            <v>1174875</v>
          </cell>
          <cell r="K87">
            <v>944054.64271297632</v>
          </cell>
          <cell r="L87">
            <v>55.604469999999992</v>
          </cell>
          <cell r="M87">
            <v>55.604469999999992</v>
          </cell>
          <cell r="N87">
            <v>47.028787047691665</v>
          </cell>
          <cell r="P87">
            <v>1174875</v>
          </cell>
          <cell r="Q87">
            <v>1174875</v>
          </cell>
          <cell r="R87">
            <v>944054.64271297632</v>
          </cell>
          <cell r="V87">
            <v>8.5756829523083269</v>
          </cell>
          <cell r="W87">
            <v>8.5756829523083269</v>
          </cell>
          <cell r="Y87">
            <v>38107</v>
          </cell>
          <cell r="Z87">
            <v>0</v>
          </cell>
          <cell r="AA87">
            <v>0</v>
          </cell>
        </row>
        <row r="88">
          <cell r="A88">
            <v>38138</v>
          </cell>
          <cell r="E88">
            <v>58.183261999999992</v>
          </cell>
          <cell r="F88">
            <v>58.183261999999992</v>
          </cell>
          <cell r="G88">
            <v>47.972841690404643</v>
          </cell>
          <cell r="I88">
            <v>2578792</v>
          </cell>
          <cell r="J88">
            <v>2578792</v>
          </cell>
          <cell r="K88">
            <v>944054.64271297632</v>
          </cell>
          <cell r="L88">
            <v>58.183261999999992</v>
          </cell>
          <cell r="M88">
            <v>58.183261999999992</v>
          </cell>
          <cell r="N88">
            <v>47.972841690404643</v>
          </cell>
          <cell r="P88">
            <v>2578792</v>
          </cell>
          <cell r="Q88">
            <v>2578792</v>
          </cell>
          <cell r="R88">
            <v>944054.64271297632</v>
          </cell>
          <cell r="V88">
            <v>10.210420309595349</v>
          </cell>
          <cell r="W88">
            <v>10.210420309595349</v>
          </cell>
          <cell r="Y88">
            <v>38138</v>
          </cell>
          <cell r="Z88">
            <v>0</v>
          </cell>
          <cell r="AA88">
            <v>0</v>
          </cell>
        </row>
        <row r="89">
          <cell r="A89">
            <v>38168</v>
          </cell>
          <cell r="E89">
            <v>59.729057999999995</v>
          </cell>
          <cell r="F89">
            <v>59.729057999999995</v>
          </cell>
          <cell r="G89">
            <v>48.91689633311762</v>
          </cell>
          <cell r="I89">
            <v>1545796</v>
          </cell>
          <cell r="J89">
            <v>1545796</v>
          </cell>
          <cell r="K89">
            <v>944054.64271297632</v>
          </cell>
          <cell r="L89">
            <v>59.729057999999995</v>
          </cell>
          <cell r="M89">
            <v>59.729057999999995</v>
          </cell>
          <cell r="N89">
            <v>48.91689633311762</v>
          </cell>
          <cell r="P89">
            <v>1545796</v>
          </cell>
          <cell r="Q89">
            <v>1545796</v>
          </cell>
          <cell r="R89">
            <v>944054.64271297632</v>
          </cell>
          <cell r="V89">
            <v>10.812161666882375</v>
          </cell>
          <cell r="W89">
            <v>10.812161666882375</v>
          </cell>
          <cell r="Y89">
            <v>38168</v>
          </cell>
          <cell r="Z89">
            <v>0</v>
          </cell>
          <cell r="AA89">
            <v>0</v>
          </cell>
        </row>
        <row r="90">
          <cell r="A90">
            <v>38199</v>
          </cell>
          <cell r="E90">
            <v>61.301330999999998</v>
          </cell>
          <cell r="F90">
            <v>61.301330999999998</v>
          </cell>
          <cell r="G90">
            <v>49.860950975830598</v>
          </cell>
          <cell r="I90">
            <v>1572273</v>
          </cell>
          <cell r="J90">
            <v>1572273</v>
          </cell>
          <cell r="K90">
            <v>944054.64271297632</v>
          </cell>
          <cell r="L90">
            <v>61.301330999999998</v>
          </cell>
          <cell r="M90">
            <v>61.301330999999998</v>
          </cell>
          <cell r="N90">
            <v>49.860950975830598</v>
          </cell>
          <cell r="P90">
            <v>1572273</v>
          </cell>
          <cell r="Q90">
            <v>1572273</v>
          </cell>
          <cell r="R90">
            <v>944054.64271297632</v>
          </cell>
          <cell r="V90">
            <v>11.4403800241694</v>
          </cell>
          <cell r="W90">
            <v>11.4403800241694</v>
          </cell>
          <cell r="Y90">
            <v>38199</v>
          </cell>
          <cell r="Z90">
            <v>0</v>
          </cell>
          <cell r="AA90">
            <v>0</v>
          </cell>
        </row>
        <row r="91">
          <cell r="A91">
            <v>38230</v>
          </cell>
          <cell r="E91">
            <v>61.953848000000001</v>
          </cell>
          <cell r="F91">
            <v>61.953848000000001</v>
          </cell>
          <cell r="G91">
            <v>50.805005618543575</v>
          </cell>
          <cell r="I91">
            <v>652517</v>
          </cell>
          <cell r="J91">
            <v>652517</v>
          </cell>
          <cell r="K91">
            <v>944054.64271297632</v>
          </cell>
          <cell r="L91">
            <v>61.953848000000001</v>
          </cell>
          <cell r="M91">
            <v>61.953848000000001</v>
          </cell>
          <cell r="N91">
            <v>50.805005618543575</v>
          </cell>
          <cell r="P91">
            <v>652517</v>
          </cell>
          <cell r="Q91">
            <v>652517</v>
          </cell>
          <cell r="R91">
            <v>944054.64271297632</v>
          </cell>
          <cell r="V91">
            <v>11.148842381456426</v>
          </cell>
          <cell r="W91">
            <v>11.148842381456426</v>
          </cell>
          <cell r="Y91">
            <v>38230</v>
          </cell>
          <cell r="Z91">
            <v>0</v>
          </cell>
          <cell r="AA91">
            <v>0</v>
          </cell>
        </row>
        <row r="92">
          <cell r="A92">
            <v>38260</v>
          </cell>
          <cell r="E92">
            <v>62.640064000000002</v>
          </cell>
          <cell r="F92">
            <v>62.640064000000002</v>
          </cell>
          <cell r="G92">
            <v>51.749060261256552</v>
          </cell>
          <cell r="I92">
            <v>686216</v>
          </cell>
          <cell r="J92">
            <v>686216</v>
          </cell>
          <cell r="K92">
            <v>944054.64271297632</v>
          </cell>
          <cell r="L92">
            <v>62.640064000000002</v>
          </cell>
          <cell r="M92">
            <v>62.640064000000002</v>
          </cell>
          <cell r="N92">
            <v>51.749060261256552</v>
          </cell>
          <cell r="P92">
            <v>686216</v>
          </cell>
          <cell r="Q92">
            <v>686216</v>
          </cell>
          <cell r="R92">
            <v>944054.64271297632</v>
          </cell>
          <cell r="V92">
            <v>10.89100373874345</v>
          </cell>
          <cell r="W92">
            <v>10.89100373874345</v>
          </cell>
          <cell r="Y92">
            <v>38260</v>
          </cell>
          <cell r="Z92">
            <v>0</v>
          </cell>
          <cell r="AA92">
            <v>0</v>
          </cell>
        </row>
        <row r="93">
          <cell r="A93">
            <v>38291</v>
          </cell>
          <cell r="E93">
            <v>63.152300000000004</v>
          </cell>
          <cell r="F93">
            <v>63.152300000000004</v>
          </cell>
          <cell r="G93">
            <v>52.69311490396953</v>
          </cell>
          <cell r="I93">
            <v>512236</v>
          </cell>
          <cell r="J93">
            <v>512236</v>
          </cell>
          <cell r="K93">
            <v>944054.64271297632</v>
          </cell>
          <cell r="L93">
            <v>63.152300000000004</v>
          </cell>
          <cell r="M93">
            <v>63.152300000000004</v>
          </cell>
          <cell r="N93">
            <v>52.69311490396953</v>
          </cell>
          <cell r="P93">
            <v>512236</v>
          </cell>
          <cell r="Q93">
            <v>512236</v>
          </cell>
          <cell r="R93">
            <v>944054.64271297632</v>
          </cell>
          <cell r="V93">
            <v>10.459185096030474</v>
          </cell>
          <cell r="W93">
            <v>10.459185096030474</v>
          </cell>
          <cell r="Y93">
            <v>38291</v>
          </cell>
          <cell r="Z93">
            <v>0</v>
          </cell>
          <cell r="AA93">
            <v>0</v>
          </cell>
        </row>
        <row r="94">
          <cell r="A94">
            <v>38321</v>
          </cell>
          <cell r="E94">
            <v>63.559222000000005</v>
          </cell>
          <cell r="F94">
            <v>63.559222000000005</v>
          </cell>
          <cell r="G94">
            <v>53.637169546682507</v>
          </cell>
          <cell r="I94">
            <v>406922</v>
          </cell>
          <cell r="J94">
            <v>406922</v>
          </cell>
          <cell r="K94">
            <v>944054.64271297632</v>
          </cell>
          <cell r="L94">
            <v>63.559222000000005</v>
          </cell>
          <cell r="M94">
            <v>63.559222000000005</v>
          </cell>
          <cell r="N94">
            <v>53.637169546682507</v>
          </cell>
          <cell r="P94">
            <v>406922</v>
          </cell>
          <cell r="Q94">
            <v>406922</v>
          </cell>
          <cell r="R94">
            <v>944054.64271297632</v>
          </cell>
          <cell r="V94">
            <v>9.9220524533174981</v>
          </cell>
          <cell r="W94">
            <v>9.9220524533174981</v>
          </cell>
          <cell r="Y94">
            <v>38321</v>
          </cell>
          <cell r="Z94">
            <v>0</v>
          </cell>
          <cell r="AA94">
            <v>0</v>
          </cell>
        </row>
        <row r="95">
          <cell r="A95">
            <v>38352</v>
          </cell>
          <cell r="I95">
            <v>356464</v>
          </cell>
          <cell r="J95">
            <v>356464</v>
          </cell>
          <cell r="K95">
            <v>944054.64271297632</v>
          </cell>
          <cell r="P95">
            <v>356464</v>
          </cell>
          <cell r="Q95">
            <v>356464</v>
          </cell>
          <cell r="R95">
            <v>944054.64271297632</v>
          </cell>
          <cell r="V95">
            <v>9.3344618106045232</v>
          </cell>
          <cell r="W95">
            <v>9.3344618106045232</v>
          </cell>
          <cell r="Y95">
            <v>38352</v>
          </cell>
          <cell r="Z95">
            <v>0</v>
          </cell>
          <cell r="AA95">
            <v>0</v>
          </cell>
        </row>
        <row r="96">
          <cell r="A96">
            <v>38383</v>
          </cell>
          <cell r="I96">
            <v>354114</v>
          </cell>
          <cell r="J96">
            <v>354114</v>
          </cell>
          <cell r="K96">
            <v>156483.20107631161</v>
          </cell>
          <cell r="P96">
            <v>354114</v>
          </cell>
          <cell r="Q96">
            <v>354114</v>
          </cell>
          <cell r="R96">
            <v>156483.20107631161</v>
          </cell>
          <cell r="V96">
            <v>9.5320926095282061</v>
          </cell>
          <cell r="W96">
            <v>9.5320926095282061</v>
          </cell>
          <cell r="Y96">
            <v>38383</v>
          </cell>
          <cell r="Z96">
            <v>0</v>
          </cell>
          <cell r="AA96">
            <v>0</v>
          </cell>
        </row>
        <row r="97">
          <cell r="A97">
            <v>38411</v>
          </cell>
          <cell r="I97">
            <v>185661</v>
          </cell>
          <cell r="J97">
            <v>185661</v>
          </cell>
          <cell r="K97">
            <v>156483.20107631161</v>
          </cell>
          <cell r="P97">
            <v>185661</v>
          </cell>
          <cell r="Q97">
            <v>185661</v>
          </cell>
          <cell r="R97">
            <v>156483.20107631161</v>
          </cell>
          <cell r="V97">
            <v>9.5612704084518896</v>
          </cell>
          <cell r="W97">
            <v>9.5612704084518896</v>
          </cell>
          <cell r="Y97">
            <v>38411</v>
          </cell>
          <cell r="Z97">
            <v>0</v>
          </cell>
          <cell r="AA97">
            <v>0</v>
          </cell>
        </row>
        <row r="98">
          <cell r="A98">
            <v>38442</v>
          </cell>
          <cell r="I98">
            <v>244280</v>
          </cell>
          <cell r="J98">
            <v>244280</v>
          </cell>
          <cell r="K98">
            <v>156483.20107631161</v>
          </cell>
          <cell r="P98">
            <v>244280</v>
          </cell>
          <cell r="Q98">
            <v>244280</v>
          </cell>
          <cell r="R98">
            <v>156483.20107631161</v>
          </cell>
          <cell r="V98">
            <v>9.6490672073755803</v>
          </cell>
          <cell r="W98">
            <v>9.6490672073755803</v>
          </cell>
          <cell r="Y98">
            <v>38442</v>
          </cell>
          <cell r="Z98">
            <v>0</v>
          </cell>
          <cell r="AA98">
            <v>0</v>
          </cell>
        </row>
        <row r="99">
          <cell r="A99">
            <v>38472</v>
          </cell>
          <cell r="I99">
            <v>65831</v>
          </cell>
          <cell r="J99">
            <v>65831</v>
          </cell>
          <cell r="K99">
            <v>156483.20107631161</v>
          </cell>
          <cell r="P99">
            <v>65831</v>
          </cell>
          <cell r="Q99">
            <v>65831</v>
          </cell>
          <cell r="R99">
            <v>156483.20107631161</v>
          </cell>
          <cell r="V99">
            <v>9.5584150062992705</v>
          </cell>
          <cell r="W99">
            <v>9.5584150062992705</v>
          </cell>
          <cell r="Y99">
            <v>38472</v>
          </cell>
          <cell r="Z99">
            <v>0</v>
          </cell>
          <cell r="AA99">
            <v>0</v>
          </cell>
        </row>
        <row r="100">
          <cell r="A100">
            <v>38503</v>
          </cell>
          <cell r="I100">
            <v>150567</v>
          </cell>
          <cell r="J100">
            <v>150567</v>
          </cell>
          <cell r="K100">
            <v>156483.20107631161</v>
          </cell>
          <cell r="P100">
            <v>150567</v>
          </cell>
          <cell r="Q100">
            <v>150567</v>
          </cell>
          <cell r="R100">
            <v>156483.20107631161</v>
          </cell>
          <cell r="V100">
            <v>9.5524988052229531</v>
          </cell>
          <cell r="W100">
            <v>9.5524988052229531</v>
          </cell>
          <cell r="Y100">
            <v>38503</v>
          </cell>
          <cell r="Z100">
            <v>0</v>
          </cell>
          <cell r="AA100">
            <v>0</v>
          </cell>
        </row>
        <row r="101">
          <cell r="A101">
            <v>38533</v>
          </cell>
          <cell r="I101">
            <v>283293</v>
          </cell>
          <cell r="J101">
            <v>283293</v>
          </cell>
          <cell r="K101">
            <v>156483.20107631161</v>
          </cell>
          <cell r="P101">
            <v>283293</v>
          </cell>
          <cell r="Q101">
            <v>283293</v>
          </cell>
          <cell r="R101">
            <v>156483.20107631161</v>
          </cell>
          <cell r="V101">
            <v>9.679308604146641</v>
          </cell>
          <cell r="W101">
            <v>9.679308604146641</v>
          </cell>
          <cell r="Y101">
            <v>38533</v>
          </cell>
          <cell r="Z101">
            <v>0</v>
          </cell>
          <cell r="AA101">
            <v>0</v>
          </cell>
        </row>
        <row r="102">
          <cell r="A102">
            <v>38564</v>
          </cell>
          <cell r="I102">
            <v>91280</v>
          </cell>
          <cell r="J102">
            <v>91280</v>
          </cell>
          <cell r="K102">
            <v>156483.20107631161</v>
          </cell>
          <cell r="P102">
            <v>91280</v>
          </cell>
          <cell r="Q102">
            <v>91280</v>
          </cell>
          <cell r="R102">
            <v>156483.20107631161</v>
          </cell>
          <cell r="V102">
            <v>9.6141054030703259</v>
          </cell>
          <cell r="W102">
            <v>9.6141054030703259</v>
          </cell>
          <cell r="Y102">
            <v>38564</v>
          </cell>
          <cell r="Z102">
            <v>0</v>
          </cell>
          <cell r="AA102">
            <v>0</v>
          </cell>
        </row>
        <row r="103">
          <cell r="A103">
            <v>38595</v>
          </cell>
          <cell r="I103">
            <v>91280</v>
          </cell>
          <cell r="J103">
            <v>91280</v>
          </cell>
          <cell r="K103">
            <v>156483.20107631161</v>
          </cell>
          <cell r="P103">
            <v>91280</v>
          </cell>
          <cell r="Q103">
            <v>91280</v>
          </cell>
          <cell r="R103">
            <v>156483.20107631161</v>
          </cell>
          <cell r="V103">
            <v>9.5489022019940109</v>
          </cell>
          <cell r="W103">
            <v>9.5489022019940109</v>
          </cell>
          <cell r="Y103">
            <v>38595</v>
          </cell>
          <cell r="Z103">
            <v>0</v>
          </cell>
          <cell r="AA103">
            <v>0</v>
          </cell>
        </row>
        <row r="104">
          <cell r="A104">
            <v>38625</v>
          </cell>
          <cell r="I104">
            <v>91280</v>
          </cell>
          <cell r="J104">
            <v>91280</v>
          </cell>
          <cell r="K104">
            <v>156483.20107631161</v>
          </cell>
          <cell r="P104">
            <v>91280</v>
          </cell>
          <cell r="Q104">
            <v>91280</v>
          </cell>
          <cell r="R104">
            <v>156483.20107631161</v>
          </cell>
          <cell r="V104">
            <v>9.4836990009176958</v>
          </cell>
          <cell r="W104">
            <v>9.4836990009176958</v>
          </cell>
          <cell r="Y104">
            <v>38625</v>
          </cell>
          <cell r="Z104">
            <v>0</v>
          </cell>
          <cell r="AA104">
            <v>0</v>
          </cell>
        </row>
        <row r="105">
          <cell r="A105">
            <v>38656</v>
          </cell>
          <cell r="I105">
            <v>91280</v>
          </cell>
          <cell r="J105">
            <v>91280</v>
          </cell>
          <cell r="K105">
            <v>156483.20107631161</v>
          </cell>
          <cell r="P105">
            <v>91280</v>
          </cell>
          <cell r="Q105">
            <v>91280</v>
          </cell>
          <cell r="R105">
            <v>156483.20107631161</v>
          </cell>
          <cell r="V105">
            <v>9.4184957998413807</v>
          </cell>
          <cell r="W105">
            <v>9.4184957998413807</v>
          </cell>
          <cell r="Y105">
            <v>38656</v>
          </cell>
          <cell r="Z105">
            <v>0</v>
          </cell>
          <cell r="AA105">
            <v>0</v>
          </cell>
        </row>
        <row r="106">
          <cell r="A106">
            <v>38686</v>
          </cell>
          <cell r="I106">
            <v>91280</v>
          </cell>
          <cell r="J106">
            <v>91280</v>
          </cell>
          <cell r="K106">
            <v>156483.20107631161</v>
          </cell>
          <cell r="P106">
            <v>91280</v>
          </cell>
          <cell r="Q106">
            <v>91280</v>
          </cell>
          <cell r="R106">
            <v>156483.20107631161</v>
          </cell>
          <cell r="V106">
            <v>9.3532925987650657</v>
          </cell>
          <cell r="W106">
            <v>9.3532925987650657</v>
          </cell>
          <cell r="Y106">
            <v>38686</v>
          </cell>
          <cell r="Z106">
            <v>0</v>
          </cell>
          <cell r="AA106">
            <v>0</v>
          </cell>
        </row>
        <row r="107">
          <cell r="A107">
            <v>38717</v>
          </cell>
          <cell r="I107">
            <v>100311</v>
          </cell>
          <cell r="J107">
            <v>100311</v>
          </cell>
          <cell r="K107">
            <v>156483.20107631161</v>
          </cell>
          <cell r="P107">
            <v>100311</v>
          </cell>
          <cell r="Q107">
            <v>100311</v>
          </cell>
          <cell r="R107">
            <v>156483.20107631161</v>
          </cell>
          <cell r="V107">
            <v>9.297120397688758</v>
          </cell>
          <cell r="W107">
            <v>9.297120397688758</v>
          </cell>
          <cell r="Y107">
            <v>38717</v>
          </cell>
          <cell r="Z107">
            <v>0</v>
          </cell>
          <cell r="AA107">
            <v>0</v>
          </cell>
        </row>
        <row r="108">
          <cell r="A108">
            <v>38748</v>
          </cell>
          <cell r="I108">
            <v>302579</v>
          </cell>
          <cell r="J108">
            <v>302579</v>
          </cell>
          <cell r="K108">
            <v>186526.85079297831</v>
          </cell>
          <cell r="P108">
            <v>302579</v>
          </cell>
          <cell r="Q108">
            <v>302579</v>
          </cell>
          <cell r="R108">
            <v>186526.85079297831</v>
          </cell>
          <cell r="V108">
            <v>9.4131725468957725</v>
          </cell>
          <cell r="W108">
            <v>9.4131725468957725</v>
          </cell>
          <cell r="Y108">
            <v>38748</v>
          </cell>
          <cell r="Z108">
            <v>0</v>
          </cell>
          <cell r="AA108">
            <v>0</v>
          </cell>
        </row>
        <row r="109">
          <cell r="A109">
            <v>38776</v>
          </cell>
          <cell r="I109">
            <v>91280</v>
          </cell>
          <cell r="J109">
            <v>91280</v>
          </cell>
          <cell r="K109">
            <v>186526.85079297831</v>
          </cell>
          <cell r="P109">
            <v>91280</v>
          </cell>
          <cell r="Q109">
            <v>91280</v>
          </cell>
          <cell r="R109">
            <v>186526.85079297831</v>
          </cell>
          <cell r="V109">
            <v>9.3179256961027903</v>
          </cell>
          <cell r="W109">
            <v>9.3179256961027903</v>
          </cell>
          <cell r="Y109">
            <v>38776</v>
          </cell>
          <cell r="Z109">
            <v>0</v>
          </cell>
          <cell r="AA109">
            <v>0</v>
          </cell>
        </row>
        <row r="110">
          <cell r="A110">
            <v>38807</v>
          </cell>
          <cell r="I110">
            <v>448094</v>
          </cell>
          <cell r="J110">
            <v>448094</v>
          </cell>
          <cell r="K110">
            <v>186526.85079297831</v>
          </cell>
          <cell r="P110">
            <v>448094</v>
          </cell>
          <cell r="Q110">
            <v>448094</v>
          </cell>
          <cell r="R110">
            <v>186526.85079297831</v>
          </cell>
          <cell r="V110">
            <v>9.579492845309808</v>
          </cell>
          <cell r="W110">
            <v>9.579492845309808</v>
          </cell>
          <cell r="Y110">
            <v>38807</v>
          </cell>
          <cell r="Z110">
            <v>0</v>
          </cell>
          <cell r="AA110">
            <v>0</v>
          </cell>
        </row>
        <row r="111">
          <cell r="A111">
            <v>38837</v>
          </cell>
          <cell r="I111">
            <v>70526</v>
          </cell>
          <cell r="J111">
            <v>70526</v>
          </cell>
          <cell r="K111">
            <v>186526.85079297831</v>
          </cell>
          <cell r="P111">
            <v>70526</v>
          </cell>
          <cell r="Q111">
            <v>70526</v>
          </cell>
          <cell r="R111">
            <v>186526.85079297831</v>
          </cell>
          <cell r="V111">
            <v>9.4634919945168292</v>
          </cell>
          <cell r="W111">
            <v>9.4634919945168292</v>
          </cell>
          <cell r="Y111">
            <v>38837</v>
          </cell>
          <cell r="Z111">
            <v>0</v>
          </cell>
          <cell r="AA111">
            <v>0</v>
          </cell>
        </row>
        <row r="112">
          <cell r="A112">
            <v>38868</v>
          </cell>
          <cell r="I112">
            <v>134050</v>
          </cell>
          <cell r="J112">
            <v>134050</v>
          </cell>
          <cell r="K112">
            <v>186526.85079297831</v>
          </cell>
          <cell r="P112">
            <v>134050</v>
          </cell>
          <cell r="Q112">
            <v>134050</v>
          </cell>
          <cell r="R112">
            <v>186526.85079297831</v>
          </cell>
          <cell r="V112">
            <v>9.4110151437238514</v>
          </cell>
          <cell r="W112">
            <v>9.4110151437238514</v>
          </cell>
          <cell r="Y112">
            <v>38868</v>
          </cell>
          <cell r="Z112">
            <v>0</v>
          </cell>
          <cell r="AA112">
            <v>0</v>
          </cell>
        </row>
        <row r="113">
          <cell r="A113">
            <v>38898</v>
          </cell>
          <cell r="I113">
            <v>91280</v>
          </cell>
          <cell r="J113">
            <v>91280</v>
          </cell>
          <cell r="K113">
            <v>186526.85079297831</v>
          </cell>
          <cell r="P113">
            <v>91280</v>
          </cell>
          <cell r="Q113">
            <v>91280</v>
          </cell>
          <cell r="R113">
            <v>186526.85079297831</v>
          </cell>
          <cell r="V113">
            <v>9.3157682929308692</v>
          </cell>
          <cell r="W113">
            <v>9.3157682929308692</v>
          </cell>
          <cell r="Y113">
            <v>38898</v>
          </cell>
          <cell r="Z113">
            <v>0</v>
          </cell>
          <cell r="AA113">
            <v>0</v>
          </cell>
        </row>
        <row r="114">
          <cell r="A114">
            <v>38929</v>
          </cell>
          <cell r="I114">
            <v>91280</v>
          </cell>
          <cell r="J114">
            <v>91280</v>
          </cell>
          <cell r="K114">
            <v>186526.85079297831</v>
          </cell>
          <cell r="P114">
            <v>91280</v>
          </cell>
          <cell r="Q114">
            <v>91280</v>
          </cell>
          <cell r="R114">
            <v>186526.85079297831</v>
          </cell>
          <cell r="V114">
            <v>9.2205214421378869</v>
          </cell>
          <cell r="W114">
            <v>9.2205214421378869</v>
          </cell>
          <cell r="Y114">
            <v>38929</v>
          </cell>
          <cell r="Z114">
            <v>0</v>
          </cell>
          <cell r="AA114">
            <v>0</v>
          </cell>
        </row>
        <row r="115">
          <cell r="A115">
            <v>38960</v>
          </cell>
          <cell r="I115">
            <v>91280</v>
          </cell>
          <cell r="J115">
            <v>91280</v>
          </cell>
          <cell r="K115">
            <v>186526.85079297831</v>
          </cell>
          <cell r="P115">
            <v>91280</v>
          </cell>
          <cell r="Q115">
            <v>91280</v>
          </cell>
          <cell r="R115">
            <v>186526.85079297831</v>
          </cell>
          <cell r="V115">
            <v>9.1252745913449047</v>
          </cell>
          <cell r="W115">
            <v>9.1252745913449047</v>
          </cell>
          <cell r="Y115">
            <v>38960</v>
          </cell>
          <cell r="Z115">
            <v>0</v>
          </cell>
          <cell r="AA115">
            <v>0</v>
          </cell>
        </row>
        <row r="116">
          <cell r="I116">
            <v>130623</v>
          </cell>
          <cell r="J116">
            <v>130623</v>
          </cell>
          <cell r="K116">
            <v>161460.02972086743</v>
          </cell>
          <cell r="P116">
            <v>130623</v>
          </cell>
          <cell r="Q116">
            <v>130623</v>
          </cell>
          <cell r="R116">
            <v>161460.02972086743</v>
          </cell>
          <cell r="Y116">
            <v>38990</v>
          </cell>
          <cell r="Z116">
            <v>0</v>
          </cell>
          <cell r="AA116">
            <v>0</v>
          </cell>
        </row>
        <row r="117">
          <cell r="I117">
            <v>571776</v>
          </cell>
          <cell r="J117">
            <v>571776</v>
          </cell>
          <cell r="K117">
            <v>107911.6031653119</v>
          </cell>
          <cell r="P117">
            <v>571776</v>
          </cell>
          <cell r="Q117">
            <v>571776</v>
          </cell>
          <cell r="R117">
            <v>107911.6031653119</v>
          </cell>
          <cell r="Y117">
            <v>39021</v>
          </cell>
          <cell r="Z117">
            <v>0</v>
          </cell>
          <cell r="AA117">
            <v>0</v>
          </cell>
        </row>
        <row r="118">
          <cell r="I118">
            <v>11008</v>
          </cell>
          <cell r="J118">
            <v>11008</v>
          </cell>
          <cell r="K118">
            <v>107911.6031653119</v>
          </cell>
          <cell r="P118">
            <v>11008</v>
          </cell>
          <cell r="Q118">
            <v>11008</v>
          </cell>
          <cell r="R118">
            <v>107911.6031653119</v>
          </cell>
          <cell r="Y118">
            <v>39051</v>
          </cell>
          <cell r="Z118">
            <v>0</v>
          </cell>
          <cell r="AA118">
            <v>0</v>
          </cell>
        </row>
        <row r="119">
          <cell r="I119">
            <v>0</v>
          </cell>
          <cell r="J119">
            <v>0</v>
          </cell>
          <cell r="K119">
            <v>107911.6031653119</v>
          </cell>
          <cell r="P119">
            <v>0</v>
          </cell>
          <cell r="Q119">
            <v>0</v>
          </cell>
          <cell r="R119">
            <v>107911.6031653119</v>
          </cell>
          <cell r="Y119">
            <v>39082</v>
          </cell>
          <cell r="Z119">
            <v>0</v>
          </cell>
          <cell r="AA119">
            <v>0</v>
          </cell>
        </row>
        <row r="120">
          <cell r="I120">
            <v>0</v>
          </cell>
          <cell r="J120">
            <v>0</v>
          </cell>
          <cell r="K120">
            <v>77289.007326123901</v>
          </cell>
          <cell r="P120">
            <v>0</v>
          </cell>
          <cell r="Q120">
            <v>0</v>
          </cell>
          <cell r="R120">
            <v>77289.007326123901</v>
          </cell>
          <cell r="Y120">
            <v>39113</v>
          </cell>
          <cell r="Z120">
            <v>0</v>
          </cell>
          <cell r="AA120">
            <v>0</v>
          </cell>
        </row>
        <row r="121">
          <cell r="I121">
            <v>0</v>
          </cell>
          <cell r="J121">
            <v>0</v>
          </cell>
          <cell r="K121">
            <v>77289.007326123901</v>
          </cell>
          <cell r="P121">
            <v>0</v>
          </cell>
          <cell r="Q121">
            <v>0</v>
          </cell>
          <cell r="R121">
            <v>77289.007326123901</v>
          </cell>
          <cell r="Y121">
            <v>39141</v>
          </cell>
          <cell r="Z121">
            <v>0</v>
          </cell>
          <cell r="AA121">
            <v>0</v>
          </cell>
        </row>
        <row r="122">
          <cell r="I122">
            <v>0</v>
          </cell>
          <cell r="J122">
            <v>0</v>
          </cell>
          <cell r="K122">
            <v>77289.007326123901</v>
          </cell>
          <cell r="P122">
            <v>0</v>
          </cell>
          <cell r="Q122">
            <v>0</v>
          </cell>
          <cell r="R122">
            <v>77289.007326123901</v>
          </cell>
          <cell r="Y122">
            <v>39172</v>
          </cell>
          <cell r="Z122">
            <v>0</v>
          </cell>
          <cell r="AA122">
            <v>0</v>
          </cell>
        </row>
        <row r="123">
          <cell r="I123">
            <v>0</v>
          </cell>
          <cell r="J123">
            <v>0</v>
          </cell>
          <cell r="K123">
            <v>77289.007326123901</v>
          </cell>
          <cell r="P123">
            <v>0</v>
          </cell>
          <cell r="Q123">
            <v>0</v>
          </cell>
          <cell r="R123">
            <v>77289.007326123901</v>
          </cell>
          <cell r="Y123">
            <v>39202</v>
          </cell>
          <cell r="Z123">
            <v>0</v>
          </cell>
          <cell r="AA123">
            <v>0</v>
          </cell>
        </row>
        <row r="124">
          <cell r="I124">
            <v>0</v>
          </cell>
          <cell r="J124">
            <v>0</v>
          </cell>
          <cell r="K124">
            <v>77289.007326123901</v>
          </cell>
          <cell r="P124">
            <v>0</v>
          </cell>
          <cell r="Q124">
            <v>0</v>
          </cell>
          <cell r="R124">
            <v>77289.007326123901</v>
          </cell>
          <cell r="Y124">
            <v>39233</v>
          </cell>
          <cell r="Z124">
            <v>0</v>
          </cell>
          <cell r="AA124">
            <v>0</v>
          </cell>
        </row>
        <row r="125">
          <cell r="I125">
            <v>0</v>
          </cell>
          <cell r="J125">
            <v>0</v>
          </cell>
          <cell r="K125">
            <v>77289.007326123901</v>
          </cell>
          <cell r="P125">
            <v>0</v>
          </cell>
          <cell r="Q125">
            <v>0</v>
          </cell>
          <cell r="R125">
            <v>77289.007326123901</v>
          </cell>
          <cell r="Y125">
            <v>39263</v>
          </cell>
          <cell r="Z125">
            <v>0</v>
          </cell>
          <cell r="AA125">
            <v>0</v>
          </cell>
        </row>
        <row r="126">
          <cell r="I126">
            <v>0</v>
          </cell>
          <cell r="J126">
            <v>0</v>
          </cell>
          <cell r="K126">
            <v>77289.007326123901</v>
          </cell>
          <cell r="P126">
            <v>0</v>
          </cell>
          <cell r="Q126">
            <v>0</v>
          </cell>
          <cell r="R126">
            <v>77289.007326123901</v>
          </cell>
          <cell r="Y126">
            <v>39294</v>
          </cell>
          <cell r="Z126">
            <v>0</v>
          </cell>
          <cell r="AA126">
            <v>0</v>
          </cell>
        </row>
        <row r="127">
          <cell r="I127">
            <v>0</v>
          </cell>
          <cell r="J127">
            <v>0</v>
          </cell>
          <cell r="K127">
            <v>77289.007326123901</v>
          </cell>
          <cell r="P127">
            <v>0</v>
          </cell>
          <cell r="Q127">
            <v>0</v>
          </cell>
          <cell r="R127">
            <v>77289.007326123901</v>
          </cell>
          <cell r="Y127">
            <v>39325</v>
          </cell>
          <cell r="Z127">
            <v>0</v>
          </cell>
          <cell r="AA127">
            <v>0</v>
          </cell>
        </row>
        <row r="128">
          <cell r="I128">
            <v>0</v>
          </cell>
          <cell r="J128">
            <v>0</v>
          </cell>
          <cell r="K128">
            <v>0</v>
          </cell>
          <cell r="P128">
            <v>0</v>
          </cell>
          <cell r="Q128">
            <v>0</v>
          </cell>
          <cell r="R128">
            <v>0</v>
          </cell>
          <cell r="Y128">
            <v>39355</v>
          </cell>
          <cell r="Z128">
            <v>0</v>
          </cell>
          <cell r="AA128">
            <v>0</v>
          </cell>
        </row>
        <row r="129">
          <cell r="I129">
            <v>0</v>
          </cell>
          <cell r="J129">
            <v>0</v>
          </cell>
          <cell r="K129">
            <v>0</v>
          </cell>
          <cell r="P129">
            <v>0</v>
          </cell>
          <cell r="Q129">
            <v>0</v>
          </cell>
          <cell r="R129">
            <v>0</v>
          </cell>
          <cell r="Y129">
            <v>39386</v>
          </cell>
          <cell r="Z129">
            <v>0</v>
          </cell>
          <cell r="AA129">
            <v>0</v>
          </cell>
        </row>
        <row r="130">
          <cell r="I130">
            <v>0</v>
          </cell>
          <cell r="J130">
            <v>0</v>
          </cell>
          <cell r="K130">
            <v>0</v>
          </cell>
          <cell r="P130">
            <v>0</v>
          </cell>
          <cell r="Q130">
            <v>0</v>
          </cell>
          <cell r="R130">
            <v>0</v>
          </cell>
          <cell r="Y130">
            <v>39416</v>
          </cell>
          <cell r="Z130">
            <v>0</v>
          </cell>
          <cell r="AA130">
            <v>0</v>
          </cell>
        </row>
        <row r="131">
          <cell r="I131">
            <v>0</v>
          </cell>
          <cell r="J131">
            <v>0</v>
          </cell>
          <cell r="K131">
            <v>0</v>
          </cell>
          <cell r="P131">
            <v>0</v>
          </cell>
          <cell r="Q131">
            <v>0</v>
          </cell>
          <cell r="R131">
            <v>0</v>
          </cell>
          <cell r="Y131">
            <v>39447</v>
          </cell>
          <cell r="Z131">
            <v>0</v>
          </cell>
          <cell r="AA131">
            <v>0</v>
          </cell>
        </row>
        <row r="132">
          <cell r="I132">
            <v>0</v>
          </cell>
          <cell r="J132">
            <v>0</v>
          </cell>
          <cell r="K132">
            <v>0</v>
          </cell>
          <cell r="P132">
            <v>0</v>
          </cell>
          <cell r="Q132">
            <v>0</v>
          </cell>
          <cell r="R132">
            <v>0</v>
          </cell>
          <cell r="Y132">
            <v>39478</v>
          </cell>
          <cell r="Z132">
            <v>0</v>
          </cell>
          <cell r="AA132">
            <v>0</v>
          </cell>
        </row>
        <row r="133">
          <cell r="I133">
            <v>0</v>
          </cell>
          <cell r="J133">
            <v>0</v>
          </cell>
          <cell r="K133">
            <v>0</v>
          </cell>
          <cell r="P133">
            <v>0</v>
          </cell>
          <cell r="Q133">
            <v>0</v>
          </cell>
          <cell r="R133">
            <v>0</v>
          </cell>
          <cell r="Y133">
            <v>39507</v>
          </cell>
          <cell r="Z133">
            <v>0</v>
          </cell>
          <cell r="AA133">
            <v>0</v>
          </cell>
        </row>
        <row r="134">
          <cell r="I134">
            <v>0</v>
          </cell>
          <cell r="J134">
            <v>0</v>
          </cell>
          <cell r="K134">
            <v>0</v>
          </cell>
          <cell r="P134">
            <v>0</v>
          </cell>
          <cell r="Q134">
            <v>0</v>
          </cell>
          <cell r="R134">
            <v>0</v>
          </cell>
          <cell r="Y134">
            <v>39538</v>
          </cell>
          <cell r="Z134">
            <v>0</v>
          </cell>
          <cell r="AA134">
            <v>0</v>
          </cell>
        </row>
        <row r="135">
          <cell r="I135">
            <v>0</v>
          </cell>
          <cell r="J135">
            <v>0</v>
          </cell>
          <cell r="K135">
            <v>0</v>
          </cell>
          <cell r="P135">
            <v>0</v>
          </cell>
          <cell r="Q135">
            <v>0</v>
          </cell>
          <cell r="R135">
            <v>0</v>
          </cell>
          <cell r="Y135">
            <v>39568</v>
          </cell>
          <cell r="Z135">
            <v>0</v>
          </cell>
          <cell r="AA135">
            <v>0</v>
          </cell>
        </row>
        <row r="136">
          <cell r="I136">
            <v>0</v>
          </cell>
          <cell r="J136">
            <v>0</v>
          </cell>
          <cell r="K136">
            <v>0</v>
          </cell>
          <cell r="P136">
            <v>0</v>
          </cell>
          <cell r="Q136">
            <v>0</v>
          </cell>
          <cell r="R136">
            <v>0</v>
          </cell>
          <cell r="Y136">
            <v>39599</v>
          </cell>
          <cell r="Z136">
            <v>0</v>
          </cell>
          <cell r="AA136">
            <v>0</v>
          </cell>
        </row>
        <row r="137">
          <cell r="I137">
            <v>0</v>
          </cell>
          <cell r="J137">
            <v>0</v>
          </cell>
          <cell r="K137">
            <v>0</v>
          </cell>
          <cell r="P137">
            <v>0</v>
          </cell>
          <cell r="Q137">
            <v>0</v>
          </cell>
          <cell r="R137">
            <v>0</v>
          </cell>
          <cell r="Y137">
            <v>39629</v>
          </cell>
          <cell r="Z137">
            <v>0</v>
          </cell>
          <cell r="AA137">
            <v>0</v>
          </cell>
        </row>
        <row r="138">
          <cell r="I138">
            <v>0</v>
          </cell>
          <cell r="J138">
            <v>0</v>
          </cell>
          <cell r="K138">
            <v>0</v>
          </cell>
          <cell r="P138">
            <v>0</v>
          </cell>
          <cell r="Q138">
            <v>0</v>
          </cell>
          <cell r="R138">
            <v>0</v>
          </cell>
          <cell r="Y138">
            <v>39660</v>
          </cell>
          <cell r="Z138">
            <v>0</v>
          </cell>
          <cell r="AA138">
            <v>0</v>
          </cell>
        </row>
        <row r="139">
          <cell r="I139">
            <v>0</v>
          </cell>
          <cell r="J139">
            <v>0</v>
          </cell>
          <cell r="K139">
            <v>0</v>
          </cell>
          <cell r="P139">
            <v>0</v>
          </cell>
          <cell r="Q139">
            <v>0</v>
          </cell>
          <cell r="R139">
            <v>0</v>
          </cell>
          <cell r="Y139">
            <v>39691</v>
          </cell>
          <cell r="Z139">
            <v>0</v>
          </cell>
          <cell r="AA139">
            <v>0</v>
          </cell>
        </row>
        <row r="140">
          <cell r="I140">
            <v>0</v>
          </cell>
          <cell r="J140">
            <v>0</v>
          </cell>
          <cell r="K140">
            <v>0</v>
          </cell>
          <cell r="P140">
            <v>0</v>
          </cell>
          <cell r="Q140">
            <v>0</v>
          </cell>
          <cell r="R140">
            <v>0</v>
          </cell>
          <cell r="Y140">
            <v>39721</v>
          </cell>
          <cell r="Z140">
            <v>0</v>
          </cell>
          <cell r="AA140">
            <v>0</v>
          </cell>
        </row>
        <row r="141">
          <cell r="I141">
            <v>0</v>
          </cell>
          <cell r="J141">
            <v>0</v>
          </cell>
          <cell r="K141">
            <v>0</v>
          </cell>
          <cell r="P141">
            <v>0</v>
          </cell>
          <cell r="Q141">
            <v>0</v>
          </cell>
          <cell r="R141">
            <v>0</v>
          </cell>
          <cell r="Y141">
            <v>39752</v>
          </cell>
          <cell r="Z141">
            <v>0</v>
          </cell>
          <cell r="AA141">
            <v>0</v>
          </cell>
        </row>
        <row r="142">
          <cell r="I142">
            <v>0</v>
          </cell>
          <cell r="J142">
            <v>0</v>
          </cell>
          <cell r="K142">
            <v>0</v>
          </cell>
          <cell r="P142">
            <v>0</v>
          </cell>
          <cell r="Q142">
            <v>0</v>
          </cell>
          <cell r="R142">
            <v>0</v>
          </cell>
          <cell r="Y142">
            <v>39782</v>
          </cell>
          <cell r="Z142">
            <v>0</v>
          </cell>
          <cell r="AA142">
            <v>0</v>
          </cell>
        </row>
        <row r="143">
          <cell r="I143">
            <v>0</v>
          </cell>
          <cell r="J143">
            <v>0</v>
          </cell>
          <cell r="K143">
            <v>0</v>
          </cell>
          <cell r="P143">
            <v>0</v>
          </cell>
          <cell r="Q143">
            <v>0</v>
          </cell>
          <cell r="R143">
            <v>0</v>
          </cell>
          <cell r="Y143">
            <v>39813</v>
          </cell>
          <cell r="Z143">
            <v>0</v>
          </cell>
          <cell r="AA143">
            <v>0</v>
          </cell>
        </row>
        <row r="144">
          <cell r="I144">
            <v>0</v>
          </cell>
          <cell r="J144">
            <v>0</v>
          </cell>
          <cell r="K144">
            <v>0</v>
          </cell>
          <cell r="P144">
            <v>0</v>
          </cell>
          <cell r="Q144">
            <v>0</v>
          </cell>
          <cell r="R144">
            <v>0</v>
          </cell>
          <cell r="Y144">
            <v>39844</v>
          </cell>
          <cell r="Z144">
            <v>0</v>
          </cell>
          <cell r="AA144">
            <v>0</v>
          </cell>
        </row>
        <row r="145">
          <cell r="I145">
            <v>0</v>
          </cell>
          <cell r="J145">
            <v>0</v>
          </cell>
          <cell r="K145">
            <v>0</v>
          </cell>
          <cell r="P145">
            <v>0</v>
          </cell>
          <cell r="Q145">
            <v>0</v>
          </cell>
          <cell r="R145">
            <v>0</v>
          </cell>
          <cell r="Y145">
            <v>39872</v>
          </cell>
          <cell r="Z145">
            <v>0</v>
          </cell>
          <cell r="AA145">
            <v>0</v>
          </cell>
        </row>
        <row r="146">
          <cell r="I146">
            <v>0</v>
          </cell>
          <cell r="J146">
            <v>0</v>
          </cell>
          <cell r="K146">
            <v>0</v>
          </cell>
          <cell r="P146">
            <v>0</v>
          </cell>
          <cell r="Q146">
            <v>0</v>
          </cell>
          <cell r="R146">
            <v>0</v>
          </cell>
          <cell r="Y146">
            <v>39903</v>
          </cell>
          <cell r="Z146">
            <v>0</v>
          </cell>
          <cell r="AA146">
            <v>0</v>
          </cell>
        </row>
        <row r="147">
          <cell r="I147">
            <v>0</v>
          </cell>
          <cell r="J147">
            <v>0</v>
          </cell>
          <cell r="K147">
            <v>0</v>
          </cell>
          <cell r="P147">
            <v>0</v>
          </cell>
          <cell r="Q147">
            <v>0</v>
          </cell>
          <cell r="R147">
            <v>0</v>
          </cell>
          <cell r="Y147">
            <v>39933</v>
          </cell>
          <cell r="Z147">
            <v>0</v>
          </cell>
          <cell r="AA147">
            <v>0</v>
          </cell>
        </row>
        <row r="148">
          <cell r="I148">
            <v>0</v>
          </cell>
          <cell r="J148">
            <v>0</v>
          </cell>
          <cell r="K148">
            <v>0</v>
          </cell>
          <cell r="P148">
            <v>0</v>
          </cell>
          <cell r="Q148">
            <v>0</v>
          </cell>
          <cell r="R148">
            <v>0</v>
          </cell>
          <cell r="Y148">
            <v>39964</v>
          </cell>
          <cell r="Z148">
            <v>0</v>
          </cell>
          <cell r="AA148">
            <v>0</v>
          </cell>
        </row>
        <row r="149">
          <cell r="I149">
            <v>0</v>
          </cell>
          <cell r="J149">
            <v>0</v>
          </cell>
          <cell r="K149">
            <v>0</v>
          </cell>
          <cell r="P149">
            <v>0</v>
          </cell>
          <cell r="Q149">
            <v>0</v>
          </cell>
          <cell r="R149">
            <v>0</v>
          </cell>
          <cell r="Y149">
            <v>39994</v>
          </cell>
          <cell r="Z149">
            <v>0</v>
          </cell>
          <cell r="AA149">
            <v>0</v>
          </cell>
        </row>
        <row r="150">
          <cell r="I150">
            <v>0</v>
          </cell>
          <cell r="J150">
            <v>0</v>
          </cell>
          <cell r="K150">
            <v>0</v>
          </cell>
          <cell r="P150">
            <v>0</v>
          </cell>
          <cell r="Q150">
            <v>0</v>
          </cell>
          <cell r="R150">
            <v>0</v>
          </cell>
          <cell r="Y150">
            <v>40025</v>
          </cell>
          <cell r="Z150">
            <v>0</v>
          </cell>
          <cell r="AA150">
            <v>0</v>
          </cell>
        </row>
        <row r="151">
          <cell r="I151">
            <v>0</v>
          </cell>
          <cell r="J151">
            <v>0</v>
          </cell>
          <cell r="K151">
            <v>0</v>
          </cell>
          <cell r="P151">
            <v>0</v>
          </cell>
          <cell r="Q151">
            <v>0</v>
          </cell>
          <cell r="R151">
            <v>0</v>
          </cell>
          <cell r="Y151">
            <v>40056</v>
          </cell>
          <cell r="Z151">
            <v>0</v>
          </cell>
          <cell r="AA151">
            <v>0</v>
          </cell>
        </row>
        <row r="152">
          <cell r="I152">
            <v>0</v>
          </cell>
          <cell r="J152">
            <v>0</v>
          </cell>
          <cell r="K152">
            <v>0</v>
          </cell>
          <cell r="P152">
            <v>0</v>
          </cell>
          <cell r="Q152">
            <v>0</v>
          </cell>
          <cell r="R152">
            <v>0</v>
          </cell>
          <cell r="Y152">
            <v>40086</v>
          </cell>
          <cell r="Z152">
            <v>0</v>
          </cell>
          <cell r="AA152">
            <v>0</v>
          </cell>
        </row>
        <row r="153">
          <cell r="I153">
            <v>0</v>
          </cell>
          <cell r="J153">
            <v>0</v>
          </cell>
          <cell r="K153">
            <v>0</v>
          </cell>
          <cell r="P153">
            <v>0</v>
          </cell>
          <cell r="Q153">
            <v>0</v>
          </cell>
          <cell r="R153">
            <v>0</v>
          </cell>
          <cell r="Y153">
            <v>40117</v>
          </cell>
          <cell r="Z153">
            <v>0</v>
          </cell>
          <cell r="AA153">
            <v>0</v>
          </cell>
        </row>
        <row r="154">
          <cell r="I154">
            <v>0</v>
          </cell>
          <cell r="J154">
            <v>0</v>
          </cell>
          <cell r="K154">
            <v>0</v>
          </cell>
          <cell r="P154">
            <v>0</v>
          </cell>
          <cell r="Q154">
            <v>0</v>
          </cell>
          <cell r="R154">
            <v>0</v>
          </cell>
          <cell r="Y154">
            <v>40147</v>
          </cell>
          <cell r="Z154">
            <v>0</v>
          </cell>
          <cell r="AA154">
            <v>0</v>
          </cell>
        </row>
      </sheetData>
      <sheetData sheetId="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Apr-05"/>
      <sheetName val="summary Apr05"/>
      <sheetName val="May-05"/>
      <sheetName val="summary May 05"/>
      <sheetName val="Sheet1"/>
      <sheetName val="Rev Apr-05"/>
      <sheetName val="Cost Apr-05"/>
      <sheetName val="Rev May-05"/>
      <sheetName val="Cost May -05"/>
      <sheetName val="Jun 05"/>
      <sheetName val="Jun 05 PAY R"/>
      <sheetName val="summary Jun 05"/>
      <sheetName val="Rev Jun 05"/>
      <sheetName val="Cost Jun-05 "/>
      <sheetName val="July 05"/>
      <sheetName val="summary July 05"/>
      <sheetName val="Rev July 05"/>
      <sheetName val="Cost July 05"/>
      <sheetName val="Sheet2"/>
      <sheetName val="Aug 05"/>
      <sheetName val="summary Aug 05"/>
      <sheetName val="Sal Aug 05 "/>
      <sheetName val="Rev Aug 05"/>
      <sheetName val="Cost Aug 05"/>
      <sheetName val="Sep 05"/>
      <sheetName val="Salary Sep 05"/>
      <sheetName val="summary Sep 05"/>
      <sheetName val="summary Sep 05 (R)"/>
      <sheetName val="Cost Sep 05"/>
      <sheetName val="Rev Sep 05"/>
      <sheetName val="summary Apr - Sep 05"/>
      <sheetName val="summary Jan - Sep 05"/>
      <sheetName val="Oct 05"/>
      <sheetName val="summary Oct 05"/>
      <sheetName val="summary Oct 05 (R)"/>
      <sheetName val="Rev OCT 05 "/>
      <sheetName val="Cost OCT 05 "/>
      <sheetName val="Nov 05"/>
      <sheetName val="summary Nov 05"/>
      <sheetName val="summary Nov 05 (R)"/>
      <sheetName val="Nov 05 (2)"/>
      <sheetName val="Rev Nov 05  "/>
      <sheetName val="Cost Nov 05 "/>
      <sheetName val="Dec 05"/>
      <sheetName val="summary Dec 05"/>
      <sheetName val="SALADec 05 (3)"/>
      <sheetName val="Dec 05 (2)"/>
      <sheetName val="Rev Dec 05"/>
      <sheetName val="Cost Dec 05 "/>
      <sheetName val="Jun 05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fil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EMH-20)"/>
      <sheetName val="Balance Sheet (EMH 15)"/>
      <sheetName val="Balance Sheet (EMH 10)"/>
      <sheetName val="P &amp; L Statement"/>
      <sheetName val="P &amp; L Statement (Ver2)"/>
      <sheetName val="Workings (June-New)"/>
      <sheetName val="PA-10 &amp; others Comp"/>
      <sheetName val="PA-10 &amp; Others Summary"/>
      <sheetName val="Comp% (June New)"/>
      <sheetName val="Comp% (June-Old)"/>
      <sheetName val="Completion% (ForYE)"/>
      <sheetName val="Completion% (JuneRevBudget)"/>
      <sheetName val="Completion%( Old-Budget)"/>
      <sheetName val="Original"/>
      <sheetName val="Amended"/>
      <sheetName val="Amended (Land-300)"/>
      <sheetName val="Depreciation"/>
      <sheetName val="Budget&amp; Forecast"/>
      <sheetName val="EMH Plots-30.06.02 "/>
      <sheetName val="DM Plots-30.06.02 "/>
      <sheetName val="DM Condos-30.06.02"/>
      <sheetName val="EMH Plots-31.12.02"/>
      <sheetName val="DM Plots-31.12.02"/>
      <sheetName val="DM Condos-31.12.02"/>
      <sheetName val="Leases GDP"/>
      <sheetName val="Leases EMLakes"/>
      <sheetName val="Summary of Land"/>
      <sheetName val="Value 30.06.2002"/>
      <sheetName val="Land @ 20"/>
      <sheetName val="Land @ 15"/>
      <sheetName val="Rec-Stat"/>
      <sheetName val="Land @ 10 (With Dev Prop)"/>
      <sheetName val="Land @ 10 (With Dev Prop) Reco"/>
      <sheetName val="Land @ 10 "/>
      <sheetName val="D P 2001"/>
      <sheetName val="Land @ 10  (2)"/>
      <sheetName val="I P 2001"/>
      <sheetName val="WIP 2001"/>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row r="8">
          <cell r="T8">
            <v>0.13196412585279399</v>
          </cell>
          <cell r="V8">
            <v>9.070369703218191E-2</v>
          </cell>
        </row>
      </sheetData>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S Slit Coil (Centrali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Master"/>
      <sheetName val="Manpower Estimates"/>
      <sheetName val="Sub Contractors Cost"/>
      <sheetName val="Material Cost"/>
      <sheetName val="Mobilisation Material Costs"/>
      <sheetName val="Consulting "/>
      <sheetName val="Consolidated costs"/>
      <sheetName val="C1"/>
      <sheetName val="Sheet1"/>
    </sheetNames>
    <sheetDataSet>
      <sheetData sheetId="0">
        <row r="57">
          <cell r="O57" t="str">
            <v>Mitsubishi Lancer</v>
          </cell>
        </row>
        <row r="58">
          <cell r="O58" t="str">
            <v>Nissan Tiida</v>
          </cell>
        </row>
        <row r="59">
          <cell r="O59" t="str">
            <v>Toyota Yaris</v>
          </cell>
        </row>
        <row r="60">
          <cell r="O60" t="str">
            <v>Mitsubishi Galant</v>
          </cell>
        </row>
        <row r="61">
          <cell r="O61" t="str">
            <v>Nissan Altima</v>
          </cell>
        </row>
        <row r="62">
          <cell r="O62" t="str">
            <v>Nissan Double Cabin Pickup</v>
          </cell>
        </row>
        <row r="63">
          <cell r="O63" t="str">
            <v>Double Cabin Pickup</v>
          </cell>
        </row>
        <row r="64">
          <cell r="O64" t="str">
            <v>15-seater van</v>
          </cell>
        </row>
        <row r="65">
          <cell r="O65" t="str">
            <v>30-seater bus</v>
          </cell>
        </row>
        <row r="66">
          <cell r="O66" t="str">
            <v>66-seater bus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anpower Estimates"/>
      <sheetName val="DATA_Manpower Master"/>
      <sheetName val="Mobilisation  Costs"/>
      <sheetName val="DATA_Mob_Proc"/>
      <sheetName val="Operational Costs"/>
      <sheetName val="DATA_Ops_Proc"/>
      <sheetName val="Subcontractor Cost"/>
      <sheetName val="DATA_Subcon_Proc"/>
      <sheetName val="Consolidated costs"/>
      <sheetName val="Client Sheet-Option 1 "/>
      <sheetName val="Client Sheet-Option 2"/>
      <sheetName val="Manpower Rates"/>
      <sheetName val="Manpower Unit Rates"/>
      <sheetName val="Manpower Rates (2)"/>
      <sheetName val="Hourly Rates"/>
      <sheetName val="Monthly Manpower Rates"/>
    </sheetNames>
    <sheetDataSet>
      <sheetData sheetId="0">
        <row r="19">
          <cell r="J19" t="str">
            <v>Le Reve Tower, Dubai Marina</v>
          </cell>
        </row>
        <row r="21">
          <cell r="J21" t="str">
            <v>RFP / FM / Le Reve - Dubai Marina</v>
          </cell>
        </row>
      </sheetData>
      <sheetData sheetId="1"/>
      <sheetData sheetId="2">
        <row r="4">
          <cell r="P4">
            <v>825</v>
          </cell>
          <cell r="V4">
            <v>243.75000000000003</v>
          </cell>
          <cell r="W4">
            <v>292.5</v>
          </cell>
          <cell r="X4">
            <v>390</v>
          </cell>
        </row>
        <row r="5">
          <cell r="V5">
            <v>316.875</v>
          </cell>
          <cell r="W5">
            <v>390</v>
          </cell>
          <cell r="X5">
            <v>438.75</v>
          </cell>
        </row>
        <row r="6">
          <cell r="V6">
            <v>438.75</v>
          </cell>
          <cell r="W6">
            <v>536.25</v>
          </cell>
          <cell r="X6">
            <v>633.75</v>
          </cell>
        </row>
        <row r="7">
          <cell r="V7">
            <v>731.25</v>
          </cell>
          <cell r="W7">
            <v>828.75</v>
          </cell>
          <cell r="X7">
            <v>975.00000000000011</v>
          </cell>
        </row>
        <row r="8">
          <cell r="V8">
            <v>780</v>
          </cell>
          <cell r="W8">
            <v>926.25</v>
          </cell>
          <cell r="X8">
            <v>1072.5</v>
          </cell>
        </row>
        <row r="9">
          <cell r="V9">
            <v>0</v>
          </cell>
          <cell r="W9">
            <v>0</v>
          </cell>
          <cell r="X9">
            <v>0</v>
          </cell>
        </row>
        <row r="10">
          <cell r="V10">
            <v>0</v>
          </cell>
          <cell r="W10">
            <v>0</v>
          </cell>
          <cell r="X10">
            <v>0</v>
          </cell>
        </row>
        <row r="11">
          <cell r="V11">
            <v>0</v>
          </cell>
          <cell r="W11">
            <v>0</v>
          </cell>
          <cell r="X11">
            <v>0</v>
          </cell>
        </row>
        <row r="12">
          <cell r="V12">
            <v>0</v>
          </cell>
          <cell r="W12">
            <v>0</v>
          </cell>
          <cell r="X12">
            <v>0</v>
          </cell>
        </row>
        <row r="13">
          <cell r="V13">
            <v>0</v>
          </cell>
          <cell r="W13">
            <v>0</v>
          </cell>
          <cell r="X13">
            <v>0</v>
          </cell>
        </row>
        <row r="14">
          <cell r="V14">
            <v>0</v>
          </cell>
          <cell r="W14">
            <v>0</v>
          </cell>
          <cell r="X14">
            <v>0</v>
          </cell>
        </row>
        <row r="15">
          <cell r="V15">
            <v>0</v>
          </cell>
          <cell r="W15">
            <v>0</v>
          </cell>
          <cell r="X15">
            <v>0</v>
          </cell>
        </row>
        <row r="16">
          <cell r="V16">
            <v>0</v>
          </cell>
          <cell r="W16">
            <v>0</v>
          </cell>
          <cell r="X16">
            <v>0</v>
          </cell>
        </row>
        <row r="17">
          <cell r="V17">
            <v>0</v>
          </cell>
          <cell r="W17">
            <v>0</v>
          </cell>
          <cell r="X17">
            <v>0</v>
          </cell>
        </row>
        <row r="18">
          <cell r="V18">
            <v>0</v>
          </cell>
          <cell r="W18">
            <v>0</v>
          </cell>
          <cell r="X18">
            <v>0</v>
          </cell>
        </row>
        <row r="19">
          <cell r="V19">
            <v>0</v>
          </cell>
          <cell r="W19">
            <v>0</v>
          </cell>
          <cell r="X19">
            <v>0</v>
          </cell>
        </row>
        <row r="20">
          <cell r="V20">
            <v>0</v>
          </cell>
          <cell r="W20">
            <v>0</v>
          </cell>
          <cell r="X20">
            <v>0</v>
          </cell>
        </row>
        <row r="21">
          <cell r="V21">
            <v>0</v>
          </cell>
          <cell r="W21">
            <v>0</v>
          </cell>
          <cell r="X21">
            <v>0</v>
          </cell>
        </row>
        <row r="22">
          <cell r="V22">
            <v>0</v>
          </cell>
          <cell r="W22">
            <v>0</v>
          </cell>
          <cell r="X22">
            <v>0</v>
          </cell>
        </row>
        <row r="23">
          <cell r="V23">
            <v>0</v>
          </cell>
          <cell r="W23">
            <v>0</v>
          </cell>
          <cell r="X23">
            <v>0</v>
          </cell>
        </row>
        <row r="24">
          <cell r="V24">
            <v>0</v>
          </cell>
          <cell r="W24">
            <v>0</v>
          </cell>
          <cell r="X24">
            <v>0</v>
          </cell>
        </row>
        <row r="34">
          <cell r="V34">
            <v>243.75000000000003</v>
          </cell>
          <cell r="W34">
            <v>268.125</v>
          </cell>
          <cell r="X34">
            <v>292.5</v>
          </cell>
        </row>
        <row r="35">
          <cell r="V35">
            <v>341.25</v>
          </cell>
          <cell r="W35">
            <v>390</v>
          </cell>
          <cell r="X35">
            <v>438.75</v>
          </cell>
        </row>
        <row r="36">
          <cell r="V36">
            <v>438.75</v>
          </cell>
          <cell r="W36">
            <v>536.25</v>
          </cell>
          <cell r="X36">
            <v>633.75</v>
          </cell>
        </row>
        <row r="37">
          <cell r="V37">
            <v>682.5</v>
          </cell>
          <cell r="W37">
            <v>828.75</v>
          </cell>
          <cell r="X37">
            <v>975.00000000000011</v>
          </cell>
        </row>
        <row r="38">
          <cell r="V38">
            <v>780</v>
          </cell>
          <cell r="W38">
            <v>975.00000000000011</v>
          </cell>
          <cell r="X38">
            <v>1072.5</v>
          </cell>
        </row>
        <row r="39">
          <cell r="V39">
            <v>0</v>
          </cell>
          <cell r="W39">
            <v>0</v>
          </cell>
          <cell r="X39">
            <v>0</v>
          </cell>
        </row>
        <row r="40">
          <cell r="V40">
            <v>0</v>
          </cell>
          <cell r="W40">
            <v>0</v>
          </cell>
          <cell r="X40">
            <v>0</v>
          </cell>
        </row>
        <row r="41">
          <cell r="V41">
            <v>0</v>
          </cell>
          <cell r="W41">
            <v>0</v>
          </cell>
          <cell r="X41">
            <v>0</v>
          </cell>
        </row>
        <row r="42">
          <cell r="V42">
            <v>0</v>
          </cell>
          <cell r="W42">
            <v>0</v>
          </cell>
          <cell r="X42">
            <v>0</v>
          </cell>
        </row>
        <row r="43">
          <cell r="V43">
            <v>0</v>
          </cell>
          <cell r="W43">
            <v>0</v>
          </cell>
          <cell r="X43">
            <v>0</v>
          </cell>
        </row>
        <row r="44">
          <cell r="V44">
            <v>0</v>
          </cell>
          <cell r="W44">
            <v>0</v>
          </cell>
          <cell r="X44">
            <v>0</v>
          </cell>
        </row>
        <row r="45">
          <cell r="V45">
            <v>0</v>
          </cell>
          <cell r="W45">
            <v>0</v>
          </cell>
          <cell r="X45">
            <v>0</v>
          </cell>
        </row>
        <row r="46">
          <cell r="V46">
            <v>0</v>
          </cell>
          <cell r="W46">
            <v>0</v>
          </cell>
          <cell r="X46">
            <v>0</v>
          </cell>
        </row>
        <row r="47">
          <cell r="V47">
            <v>0</v>
          </cell>
          <cell r="W47">
            <v>0</v>
          </cell>
          <cell r="X47">
            <v>0</v>
          </cell>
        </row>
        <row r="48">
          <cell r="V48">
            <v>0</v>
          </cell>
          <cell r="W48">
            <v>0</v>
          </cell>
          <cell r="X48">
            <v>0</v>
          </cell>
        </row>
        <row r="49">
          <cell r="V49">
            <v>0</v>
          </cell>
          <cell r="W49">
            <v>0</v>
          </cell>
          <cell r="X49">
            <v>0</v>
          </cell>
        </row>
        <row r="50">
          <cell r="V50">
            <v>0</v>
          </cell>
          <cell r="W50">
            <v>0</v>
          </cell>
          <cell r="X50">
            <v>0</v>
          </cell>
        </row>
        <row r="51">
          <cell r="V51">
            <v>0</v>
          </cell>
          <cell r="W51">
            <v>0</v>
          </cell>
          <cell r="X51">
            <v>0</v>
          </cell>
        </row>
        <row r="52">
          <cell r="V52">
            <v>0</v>
          </cell>
          <cell r="W52">
            <v>0</v>
          </cell>
          <cell r="X52">
            <v>0</v>
          </cell>
        </row>
        <row r="53">
          <cell r="V53">
            <v>0</v>
          </cell>
          <cell r="W53">
            <v>0</v>
          </cell>
          <cell r="X53">
            <v>0</v>
          </cell>
        </row>
        <row r="54">
          <cell r="V54">
            <v>0</v>
          </cell>
          <cell r="W54">
            <v>0</v>
          </cell>
          <cell r="X54">
            <v>0</v>
          </cell>
        </row>
      </sheetData>
      <sheetData sheetId="3"/>
      <sheetData sheetId="4">
        <row r="2">
          <cell r="B2" t="str">
            <v>High</v>
          </cell>
          <cell r="C2" t="str">
            <v>Medium</v>
          </cell>
          <cell r="D2" t="str">
            <v>Low</v>
          </cell>
        </row>
        <row r="3">
          <cell r="A3" t="str">
            <v>MEP and Civil Works</v>
          </cell>
        </row>
        <row r="4">
          <cell r="C4" t="str">
            <v>Standard Price</v>
          </cell>
          <cell r="D4" t="str">
            <v>Other Price</v>
          </cell>
        </row>
        <row r="5">
          <cell r="A5" t="str">
            <v>Large size (Heavy Duty)</v>
          </cell>
          <cell r="C5">
            <v>1150</v>
          </cell>
          <cell r="F5" t="str">
            <v>Highest</v>
          </cell>
        </row>
        <row r="6">
          <cell r="A6" t="str">
            <v>Medium size (5 metres)</v>
          </cell>
          <cell r="C6">
            <v>750</v>
          </cell>
          <cell r="F6" t="str">
            <v>Lowest</v>
          </cell>
        </row>
        <row r="7">
          <cell r="A7" t="str">
            <v>Other: Please Specify</v>
          </cell>
          <cell r="C7">
            <v>0</v>
          </cell>
          <cell r="F7" t="str">
            <v>Other Price</v>
          </cell>
        </row>
        <row r="8">
          <cell r="A8" t="str">
            <v>Small size (3 metres)</v>
          </cell>
          <cell r="C8">
            <v>550</v>
          </cell>
          <cell r="F8" t="str">
            <v>Standard Price</v>
          </cell>
        </row>
        <row r="9">
          <cell r="A9">
            <v>0</v>
          </cell>
          <cell r="C9">
            <v>0</v>
          </cell>
        </row>
        <row r="10">
          <cell r="A10">
            <v>0</v>
          </cell>
        </row>
        <row r="12">
          <cell r="A12" t="str">
            <v>Carpentry Tool Kit</v>
          </cell>
          <cell r="C12">
            <v>1084</v>
          </cell>
        </row>
        <row r="13">
          <cell r="A13" t="str">
            <v>Common Major Tool Kit</v>
          </cell>
          <cell r="C13">
            <v>4500</v>
          </cell>
        </row>
        <row r="14">
          <cell r="A14" t="str">
            <v>Electrical Tool Kit</v>
          </cell>
          <cell r="C14">
            <v>2075</v>
          </cell>
        </row>
        <row r="15">
          <cell r="A15" t="str">
            <v>HVAC / AC Tool Kit</v>
          </cell>
          <cell r="C15">
            <v>4283</v>
          </cell>
        </row>
        <row r="16">
          <cell r="A16" t="str">
            <v>Masonry Tool Kit</v>
          </cell>
          <cell r="C16">
            <v>1500</v>
          </cell>
        </row>
        <row r="17">
          <cell r="A17" t="str">
            <v>Mechanical Tool Kit</v>
          </cell>
          <cell r="C17">
            <v>4283</v>
          </cell>
        </row>
        <row r="18">
          <cell r="A18" t="str">
            <v>Other: Please Specify</v>
          </cell>
          <cell r="C18">
            <v>0</v>
          </cell>
        </row>
        <row r="19">
          <cell r="A19" t="str">
            <v>Plumbing Tool Kit</v>
          </cell>
          <cell r="C19">
            <v>1554</v>
          </cell>
        </row>
        <row r="20">
          <cell r="A20" t="str">
            <v>Tool Kit - General</v>
          </cell>
          <cell r="C20">
            <v>3500</v>
          </cell>
        </row>
        <row r="21">
          <cell r="A21">
            <v>0</v>
          </cell>
          <cell r="C21">
            <v>0</v>
          </cell>
        </row>
        <row r="23">
          <cell r="A23" t="str">
            <v>Other: Please Specify</v>
          </cell>
          <cell r="C23">
            <v>0</v>
          </cell>
        </row>
        <row r="24">
          <cell r="A24" t="str">
            <v>PDA - incl. annual maintenance</v>
          </cell>
          <cell r="C24">
            <v>5500</v>
          </cell>
        </row>
        <row r="25">
          <cell r="A25" t="str">
            <v xml:space="preserve">Pressure pump </v>
          </cell>
          <cell r="C25">
            <v>2750</v>
          </cell>
        </row>
        <row r="26">
          <cell r="A26" t="str">
            <v>Testing equipment</v>
          </cell>
          <cell r="C26">
            <v>3750</v>
          </cell>
        </row>
        <row r="27">
          <cell r="A27">
            <v>0</v>
          </cell>
          <cell r="C27">
            <v>0</v>
          </cell>
        </row>
        <row r="29">
          <cell r="A29" t="str">
            <v>Cleaning Equipment</v>
          </cell>
        </row>
        <row r="31">
          <cell r="A31" t="str">
            <v>Other: Please Specify</v>
          </cell>
          <cell r="B31">
            <v>0</v>
          </cell>
          <cell r="C31">
            <v>0</v>
          </cell>
          <cell r="D31">
            <v>0</v>
          </cell>
        </row>
        <row r="32">
          <cell r="A32" t="str">
            <v>Ride On 60 cm width</v>
          </cell>
          <cell r="B32">
            <v>0</v>
          </cell>
          <cell r="C32">
            <v>0</v>
          </cell>
          <cell r="D32">
            <v>0</v>
          </cell>
        </row>
        <row r="33">
          <cell r="A33" t="str">
            <v>Ride On 65 cm width - Hakomatic B650R</v>
          </cell>
          <cell r="B33">
            <v>82000</v>
          </cell>
          <cell r="C33">
            <v>70000</v>
          </cell>
          <cell r="D33">
            <v>58000</v>
          </cell>
        </row>
        <row r="34">
          <cell r="A34" t="str">
            <v>Ride On 650mm - Dulevo H610 Battery Operated (Italy)</v>
          </cell>
          <cell r="B34">
            <v>66000</v>
          </cell>
          <cell r="C34">
            <v>60000</v>
          </cell>
          <cell r="D34">
            <v>54000</v>
          </cell>
        </row>
        <row r="35">
          <cell r="A35" t="str">
            <v>Ride On 70 cm width</v>
          </cell>
          <cell r="B35">
            <v>0</v>
          </cell>
          <cell r="C35">
            <v>0</v>
          </cell>
          <cell r="D35">
            <v>0</v>
          </cell>
        </row>
        <row r="36">
          <cell r="A36" t="str">
            <v>Ride On 75 cm width</v>
          </cell>
          <cell r="B36">
            <v>0</v>
          </cell>
          <cell r="C36">
            <v>0</v>
          </cell>
          <cell r="D36">
            <v>0</v>
          </cell>
        </row>
        <row r="37">
          <cell r="A37" t="str">
            <v>Ride On 750mm - Lavor Comfort XS75 Battery Operated (Italy)</v>
          </cell>
          <cell r="B37">
            <v>53350</v>
          </cell>
          <cell r="C37">
            <v>48500</v>
          </cell>
          <cell r="D37">
            <v>43650</v>
          </cell>
        </row>
        <row r="38">
          <cell r="A38" t="str">
            <v>Ride On 85 cm width</v>
          </cell>
          <cell r="B38">
            <v>0</v>
          </cell>
          <cell r="C38">
            <v>0</v>
          </cell>
          <cell r="D38">
            <v>0</v>
          </cell>
        </row>
        <row r="39">
          <cell r="A39" t="str">
            <v>Ride On 90 cm width</v>
          </cell>
          <cell r="B39">
            <v>0</v>
          </cell>
          <cell r="C39">
            <v>0</v>
          </cell>
          <cell r="D39">
            <v>0</v>
          </cell>
        </row>
        <row r="40">
          <cell r="A40" t="str">
            <v>Walk Behild 45 cm width (Battery Operated)</v>
          </cell>
          <cell r="B40">
            <v>0</v>
          </cell>
          <cell r="C40">
            <v>0</v>
          </cell>
          <cell r="D40">
            <v>0</v>
          </cell>
        </row>
        <row r="41">
          <cell r="A41" t="str">
            <v>Walk Behind Scrubber / Dryer, Battery Operated - H404</v>
          </cell>
          <cell r="B41">
            <v>0</v>
          </cell>
          <cell r="C41">
            <v>15300</v>
          </cell>
          <cell r="D41">
            <v>0</v>
          </cell>
        </row>
        <row r="42">
          <cell r="A42">
            <v>0</v>
          </cell>
          <cell r="B42">
            <v>0</v>
          </cell>
          <cell r="C42">
            <v>0</v>
          </cell>
          <cell r="D42">
            <v>0</v>
          </cell>
        </row>
        <row r="44">
          <cell r="A44" t="str">
            <v>1.35 kw (Battery Operated)</v>
          </cell>
          <cell r="B44">
            <v>0</v>
          </cell>
          <cell r="C44">
            <v>0</v>
          </cell>
          <cell r="D44">
            <v>0</v>
          </cell>
        </row>
        <row r="45">
          <cell r="A45" t="str">
            <v>11.9 kw (Vanguard)</v>
          </cell>
          <cell r="B45">
            <v>0</v>
          </cell>
          <cell r="C45">
            <v>0</v>
          </cell>
          <cell r="D45">
            <v>0</v>
          </cell>
        </row>
        <row r="46">
          <cell r="A46" t="str">
            <v xml:space="preserve">130 Ltrs Ride-on Sweeper (Petrol Engine Driven) - Hako Jonas 1200V </v>
          </cell>
          <cell r="B46">
            <v>132000</v>
          </cell>
          <cell r="C46">
            <v>116000</v>
          </cell>
          <cell r="D46">
            <v>100000</v>
          </cell>
        </row>
        <row r="47">
          <cell r="A47" t="str">
            <v>4.3 kw (Battery Operated)</v>
          </cell>
          <cell r="B47">
            <v>0</v>
          </cell>
          <cell r="C47">
            <v>0</v>
          </cell>
          <cell r="D47">
            <v>0</v>
          </cell>
        </row>
        <row r="48">
          <cell r="A48" t="str">
            <v>4.9 kw (Petrol Engine Driven) - Hako Jonas 900V</v>
          </cell>
          <cell r="B48">
            <v>53000</v>
          </cell>
          <cell r="C48">
            <v>45500</v>
          </cell>
          <cell r="D48">
            <v>38000</v>
          </cell>
        </row>
        <row r="49">
          <cell r="A49" t="str">
            <v>9.8 kw (Lombardini)</v>
          </cell>
          <cell r="B49">
            <v>0</v>
          </cell>
          <cell r="C49">
            <v>0</v>
          </cell>
          <cell r="D49">
            <v>0</v>
          </cell>
        </row>
        <row r="50">
          <cell r="A50" t="str">
            <v>Other: Please Specify</v>
          </cell>
          <cell r="B50">
            <v>0</v>
          </cell>
          <cell r="C50">
            <v>0</v>
          </cell>
          <cell r="D50">
            <v>0</v>
          </cell>
        </row>
        <row r="51">
          <cell r="A51">
            <v>0</v>
          </cell>
          <cell r="B51">
            <v>0</v>
          </cell>
          <cell r="C51">
            <v>0</v>
          </cell>
          <cell r="D51">
            <v>0</v>
          </cell>
        </row>
        <row r="53">
          <cell r="A53" t="str">
            <v>15 Liters Dry - Junior 103</v>
          </cell>
          <cell r="B53">
            <v>0</v>
          </cell>
          <cell r="C53">
            <v>690</v>
          </cell>
          <cell r="D53">
            <v>0</v>
          </cell>
        </row>
        <row r="54">
          <cell r="A54" t="str">
            <v>15 to 20 L Dry</v>
          </cell>
          <cell r="B54">
            <v>0</v>
          </cell>
          <cell r="C54">
            <v>0</v>
          </cell>
          <cell r="D54">
            <v>0</v>
          </cell>
        </row>
        <row r="55">
          <cell r="A55" t="str">
            <v>15 to 20 L Wet</v>
          </cell>
          <cell r="B55">
            <v>0</v>
          </cell>
          <cell r="C55">
            <v>0</v>
          </cell>
          <cell r="D55">
            <v>0</v>
          </cell>
        </row>
        <row r="56">
          <cell r="A56" t="str">
            <v>15 to 20 L Wet &amp; Dry</v>
          </cell>
          <cell r="B56">
            <v>0</v>
          </cell>
          <cell r="C56">
            <v>550</v>
          </cell>
          <cell r="D56">
            <v>0</v>
          </cell>
        </row>
        <row r="57">
          <cell r="A57" t="str">
            <v>25 to 45 L Dry</v>
          </cell>
          <cell r="B57">
            <v>0</v>
          </cell>
          <cell r="C57">
            <v>0</v>
          </cell>
          <cell r="D57">
            <v>0</v>
          </cell>
        </row>
        <row r="58">
          <cell r="A58" t="str">
            <v>25 to 45 L Wet</v>
          </cell>
          <cell r="B58">
            <v>0</v>
          </cell>
          <cell r="C58">
            <v>0</v>
          </cell>
          <cell r="D58">
            <v>0</v>
          </cell>
        </row>
        <row r="59">
          <cell r="A59" t="str">
            <v>25 to 45 L Wet &amp; Dry</v>
          </cell>
          <cell r="B59">
            <v>0</v>
          </cell>
          <cell r="C59">
            <v>900</v>
          </cell>
          <cell r="D59">
            <v>0</v>
          </cell>
        </row>
        <row r="60">
          <cell r="A60" t="str">
            <v>50 to 70 L Dry</v>
          </cell>
          <cell r="B60">
            <v>0</v>
          </cell>
          <cell r="C60">
            <v>0</v>
          </cell>
          <cell r="D60">
            <v>0</v>
          </cell>
        </row>
        <row r="61">
          <cell r="A61" t="str">
            <v>50 to 70 L Wet</v>
          </cell>
          <cell r="B61">
            <v>0</v>
          </cell>
          <cell r="C61">
            <v>0</v>
          </cell>
          <cell r="D61">
            <v>0</v>
          </cell>
        </row>
        <row r="62">
          <cell r="A62" t="str">
            <v>50 to 70 L Wey &amp; Dry</v>
          </cell>
          <cell r="B62">
            <v>0</v>
          </cell>
          <cell r="C62">
            <v>1400</v>
          </cell>
          <cell r="D62">
            <v>0</v>
          </cell>
        </row>
        <row r="63">
          <cell r="A63" t="str">
            <v>75 to 100 L - Heavy Duty</v>
          </cell>
          <cell r="B63">
            <v>0</v>
          </cell>
          <cell r="C63">
            <v>1500</v>
          </cell>
          <cell r="D63">
            <v>0</v>
          </cell>
        </row>
        <row r="64">
          <cell r="A64" t="str">
            <v>63 Liters Wet &amp; Dry - Panda 429</v>
          </cell>
          <cell r="B64">
            <v>0</v>
          </cell>
          <cell r="C64">
            <v>1980</v>
          </cell>
          <cell r="D64">
            <v>0</v>
          </cell>
        </row>
        <row r="65">
          <cell r="A65" t="str">
            <v>Other: Please Specify</v>
          </cell>
          <cell r="B65">
            <v>0</v>
          </cell>
          <cell r="C65">
            <v>0</v>
          </cell>
          <cell r="D65">
            <v>0</v>
          </cell>
        </row>
        <row r="66">
          <cell r="A66">
            <v>0</v>
          </cell>
          <cell r="B66">
            <v>0</v>
          </cell>
          <cell r="C66">
            <v>0</v>
          </cell>
          <cell r="D66">
            <v>0</v>
          </cell>
        </row>
        <row r="68">
          <cell r="A68" t="str">
            <v>Double Disc Scrubbing Machine (----------)</v>
          </cell>
          <cell r="B68">
            <v>0</v>
          </cell>
          <cell r="C68">
            <v>0</v>
          </cell>
          <cell r="D68">
            <v>0</v>
          </cell>
        </row>
        <row r="69">
          <cell r="A69" t="str">
            <v>High Speed Buffing Machine (20 inch; 1.5 HP) - Galaxy 1500</v>
          </cell>
          <cell r="B69">
            <v>0</v>
          </cell>
          <cell r="C69">
            <v>5220</v>
          </cell>
          <cell r="D69">
            <v>0</v>
          </cell>
        </row>
        <row r="70">
          <cell r="A70" t="str">
            <v>Other: Please Specify</v>
          </cell>
          <cell r="B70">
            <v>0</v>
          </cell>
          <cell r="C70">
            <v>0</v>
          </cell>
          <cell r="D70">
            <v>0</v>
          </cell>
        </row>
        <row r="71">
          <cell r="A71" t="str">
            <v>Single Disc Scrubbing Machine (17 inch; 1.5 HP) - Galaxy</v>
          </cell>
          <cell r="B71">
            <v>0</v>
          </cell>
          <cell r="C71">
            <v>3870</v>
          </cell>
          <cell r="D71">
            <v>0</v>
          </cell>
        </row>
        <row r="72">
          <cell r="A72">
            <v>0</v>
          </cell>
          <cell r="B72">
            <v>0</v>
          </cell>
          <cell r="C72">
            <v>0</v>
          </cell>
          <cell r="D72">
            <v>0</v>
          </cell>
        </row>
        <row r="74">
          <cell r="A74" t="str">
            <v>Air Blower (500 watts) - AeroPlus</v>
          </cell>
          <cell r="B74">
            <v>0</v>
          </cell>
          <cell r="C74">
            <v>1260</v>
          </cell>
          <cell r="D74">
            <v>0</v>
          </cell>
        </row>
        <row r="75">
          <cell r="A75" t="str">
            <v>Carpet Shampoo Machine</v>
          </cell>
          <cell r="B75">
            <v>0</v>
          </cell>
          <cell r="C75">
            <v>11000</v>
          </cell>
          <cell r="D75">
            <v>0</v>
          </cell>
        </row>
        <row r="76">
          <cell r="A76" t="str">
            <v>Cold High Pressure Washer (160 bar) - Danubio 1510LP</v>
          </cell>
          <cell r="B76">
            <v>0</v>
          </cell>
          <cell r="C76">
            <v>4500</v>
          </cell>
          <cell r="D76">
            <v>0</v>
          </cell>
        </row>
        <row r="77">
          <cell r="A77" t="str">
            <v>Manual Sweeper (67 cm) - 700M Spirit</v>
          </cell>
          <cell r="B77">
            <v>0</v>
          </cell>
          <cell r="C77">
            <v>3150</v>
          </cell>
          <cell r="D77">
            <v>0</v>
          </cell>
        </row>
        <row r="78">
          <cell r="A78" t="str">
            <v>Other: Please Specify</v>
          </cell>
          <cell r="B78">
            <v>0</v>
          </cell>
          <cell r="C78">
            <v>0</v>
          </cell>
          <cell r="D78">
            <v>0</v>
          </cell>
        </row>
        <row r="79">
          <cell r="A79" t="str">
            <v>Portable Personnel Lift</v>
          </cell>
          <cell r="B79">
            <v>0</v>
          </cell>
          <cell r="C79">
            <v>0</v>
          </cell>
          <cell r="D79">
            <v>0</v>
          </cell>
        </row>
        <row r="80">
          <cell r="A80" t="str">
            <v>Water Jet Sprayer</v>
          </cell>
          <cell r="B80">
            <v>0</v>
          </cell>
          <cell r="C80">
            <v>0</v>
          </cell>
          <cell r="D80">
            <v>0</v>
          </cell>
        </row>
        <row r="81">
          <cell r="A81">
            <v>0</v>
          </cell>
          <cell r="B81">
            <v>0</v>
          </cell>
          <cell r="C81">
            <v>0</v>
          </cell>
          <cell r="D81">
            <v>0</v>
          </cell>
        </row>
        <row r="83">
          <cell r="A83" t="str">
            <v>A - Type Ladder - 10 Step / 6 step</v>
          </cell>
          <cell r="C83">
            <v>210</v>
          </cell>
        </row>
        <row r="84">
          <cell r="A84" t="str">
            <v>Cotton Mop with Handle</v>
          </cell>
          <cell r="C84">
            <v>16</v>
          </cell>
        </row>
        <row r="85">
          <cell r="A85" t="str">
            <v>Dbl Mop Bucket with Trolley/Castors</v>
          </cell>
          <cell r="C85">
            <v>210</v>
          </cell>
        </row>
        <row r="86">
          <cell r="A86" t="str">
            <v>Dry Mop Set with Stick</v>
          </cell>
          <cell r="C86">
            <v>46</v>
          </cell>
        </row>
        <row r="87">
          <cell r="A87" t="str">
            <v>Dust Pan with Brush</v>
          </cell>
          <cell r="C87">
            <v>5.4</v>
          </cell>
        </row>
        <row r="88">
          <cell r="A88" t="str">
            <v>Extension Reel</v>
          </cell>
          <cell r="C88">
            <v>105</v>
          </cell>
        </row>
        <row r="89">
          <cell r="A89" t="str">
            <v>Feather Duster</v>
          </cell>
          <cell r="C89">
            <v>4.5999999999999996</v>
          </cell>
        </row>
        <row r="90">
          <cell r="A90" t="str">
            <v>Floor Scrapper</v>
          </cell>
          <cell r="C90">
            <v>9.5</v>
          </cell>
        </row>
        <row r="91">
          <cell r="A91" t="str">
            <v>Floor Wiper with handle / steel scraper</v>
          </cell>
          <cell r="C91">
            <v>6</v>
          </cell>
        </row>
        <row r="92">
          <cell r="A92" t="str">
            <v>Glass Applicator set</v>
          </cell>
          <cell r="C92">
            <v>21</v>
          </cell>
        </row>
        <row r="93">
          <cell r="A93" t="str">
            <v>Glass Cleaner/ Scrapper</v>
          </cell>
          <cell r="C93">
            <v>10</v>
          </cell>
        </row>
        <row r="94">
          <cell r="A94" t="str">
            <v>Glass Scrapper</v>
          </cell>
          <cell r="C94">
            <v>8</v>
          </cell>
        </row>
        <row r="95">
          <cell r="A95" t="str">
            <v>Glass Wiper</v>
          </cell>
          <cell r="C95">
            <v>10</v>
          </cell>
        </row>
        <row r="96">
          <cell r="A96" t="str">
            <v>Hand Dryer</v>
          </cell>
          <cell r="C96">
            <v>315</v>
          </cell>
        </row>
        <row r="97">
          <cell r="A97" t="str">
            <v>Hard Brush with Handle</v>
          </cell>
          <cell r="C97">
            <v>6.75</v>
          </cell>
        </row>
        <row r="98">
          <cell r="A98" t="str">
            <v>Janitorial trolley</v>
          </cell>
          <cell r="C98">
            <v>450</v>
          </cell>
        </row>
        <row r="99">
          <cell r="A99" t="str">
            <v>Litter Picker</v>
          </cell>
          <cell r="C99">
            <v>74</v>
          </cell>
        </row>
        <row r="100">
          <cell r="A100" t="str">
            <v>Machine Pads (Black/Red/Green)</v>
          </cell>
          <cell r="C100">
            <v>95</v>
          </cell>
        </row>
        <row r="101">
          <cell r="A101" t="str">
            <v>Maxi Roll / Towels  Dispenser</v>
          </cell>
          <cell r="C101">
            <v>165</v>
          </cell>
        </row>
        <row r="102">
          <cell r="A102" t="str">
            <v>Other: Please Specify</v>
          </cell>
          <cell r="C102">
            <v>0</v>
          </cell>
        </row>
        <row r="103">
          <cell r="A103" t="str">
            <v>Plastic Buckets</v>
          </cell>
          <cell r="C103">
            <v>7.5</v>
          </cell>
        </row>
        <row r="104">
          <cell r="A104" t="str">
            <v>Plastic Waste Bins 68 Ltr</v>
          </cell>
          <cell r="C104">
            <v>65</v>
          </cell>
        </row>
        <row r="105">
          <cell r="A105" t="str">
            <v>Red and white tapes</v>
          </cell>
          <cell r="C105">
            <v>20</v>
          </cell>
        </row>
        <row r="106">
          <cell r="A106" t="str">
            <v>Safety Sign 'Keep Out'/Wet Floor / Caution</v>
          </cell>
          <cell r="C106">
            <v>23</v>
          </cell>
        </row>
        <row r="107">
          <cell r="A107" t="str">
            <v xml:space="preserve">Sanitary Disposal Bins </v>
          </cell>
          <cell r="C107">
            <v>115</v>
          </cell>
        </row>
        <row r="108">
          <cell r="A108" t="str">
            <v xml:space="preserve">Single Mop Bucket with Trolley/Castors </v>
          </cell>
          <cell r="C108">
            <v>105</v>
          </cell>
        </row>
        <row r="109">
          <cell r="A109" t="str">
            <v>Soap Dispenser</v>
          </cell>
          <cell r="C109">
            <v>238</v>
          </cell>
        </row>
        <row r="110">
          <cell r="A110" t="str">
            <v>Soft Brush with Handle</v>
          </cell>
          <cell r="C110">
            <v>6.75</v>
          </cell>
        </row>
        <row r="111">
          <cell r="A111" t="str">
            <v>Spray Bottles / Spray Gun</v>
          </cell>
          <cell r="C111">
            <v>2.25</v>
          </cell>
        </row>
        <row r="112">
          <cell r="A112" t="str">
            <v>Toilet Brush with stand</v>
          </cell>
          <cell r="C112">
            <v>3</v>
          </cell>
        </row>
        <row r="113">
          <cell r="A113" t="str">
            <v xml:space="preserve">Waste Wheeler disposal: Glass/Metal/Plastic/Paper </v>
          </cell>
          <cell r="C113">
            <v>250</v>
          </cell>
        </row>
        <row r="114">
          <cell r="A114" t="str">
            <v>Wet Mop set with stick</v>
          </cell>
          <cell r="C114">
            <v>26</v>
          </cell>
        </row>
        <row r="115">
          <cell r="A115">
            <v>0</v>
          </cell>
          <cell r="C115">
            <v>0</v>
          </cell>
        </row>
        <row r="117">
          <cell r="A117" t="str">
            <v>Access Equipment</v>
          </cell>
        </row>
        <row r="118">
          <cell r="A118" t="str">
            <v>Scaffolding / Upright Lift:</v>
          </cell>
        </row>
        <row r="119">
          <cell r="A119" t="str">
            <v>10 Metres</v>
          </cell>
          <cell r="B119">
            <v>0</v>
          </cell>
          <cell r="C119">
            <v>0</v>
          </cell>
          <cell r="D119">
            <v>0</v>
          </cell>
        </row>
        <row r="120">
          <cell r="A120" t="str">
            <v>6 Metres</v>
          </cell>
          <cell r="B120">
            <v>0</v>
          </cell>
          <cell r="C120">
            <v>6000</v>
          </cell>
          <cell r="D120">
            <v>0</v>
          </cell>
        </row>
        <row r="121">
          <cell r="A121" t="str">
            <v>Other: Please Specify</v>
          </cell>
          <cell r="B121">
            <v>0</v>
          </cell>
          <cell r="C121">
            <v>0</v>
          </cell>
          <cell r="D121">
            <v>0</v>
          </cell>
        </row>
        <row r="122">
          <cell r="A122" t="str">
            <v>Upright Lift (Platform: 9.7 m; Working Height: 11.7 m)</v>
          </cell>
          <cell r="B122">
            <v>0</v>
          </cell>
          <cell r="C122">
            <v>31500</v>
          </cell>
          <cell r="D122">
            <v>0</v>
          </cell>
        </row>
        <row r="123">
          <cell r="A123">
            <v>0</v>
          </cell>
          <cell r="B123">
            <v>0</v>
          </cell>
          <cell r="C123">
            <v>0</v>
          </cell>
          <cell r="D123">
            <v>0</v>
          </cell>
        </row>
        <row r="125">
          <cell r="A125" t="str">
            <v>12 meters</v>
          </cell>
          <cell r="B125">
            <v>0</v>
          </cell>
          <cell r="C125">
            <v>65000</v>
          </cell>
          <cell r="D125">
            <v>0</v>
          </cell>
        </row>
        <row r="126">
          <cell r="A126" t="str">
            <v>15 meters</v>
          </cell>
          <cell r="B126">
            <v>0</v>
          </cell>
          <cell r="C126">
            <v>0</v>
          </cell>
          <cell r="D126">
            <v>0</v>
          </cell>
        </row>
        <row r="127">
          <cell r="A127" t="str">
            <v>Other: Please Specify</v>
          </cell>
          <cell r="B127">
            <v>0</v>
          </cell>
          <cell r="C127">
            <v>0</v>
          </cell>
          <cell r="D127">
            <v>0</v>
          </cell>
        </row>
        <row r="128">
          <cell r="A128">
            <v>0</v>
          </cell>
          <cell r="B128">
            <v>0</v>
          </cell>
          <cell r="C128">
            <v>0</v>
          </cell>
          <cell r="D128">
            <v>0</v>
          </cell>
        </row>
        <row r="129">
          <cell r="A129" t="str">
            <v>Common Equipment</v>
          </cell>
        </row>
        <row r="130">
          <cell r="A130" t="str">
            <v>Other: Please Specify</v>
          </cell>
          <cell r="C130">
            <v>0</v>
          </cell>
        </row>
        <row r="131">
          <cell r="A131" t="str">
            <v>Safety equipment</v>
          </cell>
          <cell r="C131">
            <v>500</v>
          </cell>
        </row>
        <row r="132">
          <cell r="A132" t="str">
            <v>Safety goggles (clear)</v>
          </cell>
          <cell r="C132">
            <v>6</v>
          </cell>
        </row>
        <row r="133">
          <cell r="A133" t="str">
            <v>Safety Helmet</v>
          </cell>
          <cell r="C133">
            <v>10</v>
          </cell>
        </row>
        <row r="134">
          <cell r="A134" t="str">
            <v>Safety sign</v>
          </cell>
          <cell r="C134">
            <v>40</v>
          </cell>
        </row>
        <row r="135">
          <cell r="A135" t="str">
            <v>Standard first aid kit</v>
          </cell>
          <cell r="C135">
            <v>350</v>
          </cell>
        </row>
        <row r="136">
          <cell r="A136" t="str">
            <v>Traffic cones</v>
          </cell>
          <cell r="C136">
            <v>40</v>
          </cell>
        </row>
        <row r="137">
          <cell r="A137">
            <v>0</v>
          </cell>
          <cell r="C137">
            <v>0</v>
          </cell>
        </row>
        <row r="138">
          <cell r="A138" t="str">
            <v>Site and Office Setup</v>
          </cell>
        </row>
        <row r="139">
          <cell r="A139" t="str">
            <v>3G Modem</v>
          </cell>
          <cell r="C139">
            <v>699</v>
          </cell>
        </row>
        <row r="140">
          <cell r="A140" t="str">
            <v>3G Router Set Up Costs</v>
          </cell>
          <cell r="C140">
            <v>1000</v>
          </cell>
        </row>
        <row r="141">
          <cell r="A141" t="str">
            <v>Computer</v>
          </cell>
          <cell r="C141">
            <v>4000</v>
          </cell>
        </row>
        <row r="142">
          <cell r="A142" t="str">
            <v>Facsimile</v>
          </cell>
          <cell r="C142">
            <v>1000</v>
          </cell>
        </row>
        <row r="143">
          <cell r="A143" t="str">
            <v>Internet Setup</v>
          </cell>
          <cell r="C143">
            <v>500</v>
          </cell>
        </row>
        <row r="144">
          <cell r="A144" t="str">
            <v>JDE User Account</v>
          </cell>
          <cell r="C144">
            <v>1500</v>
          </cell>
        </row>
        <row r="145">
          <cell r="A145" t="str">
            <v>Laptop</v>
          </cell>
          <cell r="C145">
            <v>4400</v>
          </cell>
        </row>
        <row r="146">
          <cell r="A146" t="str">
            <v>Office Equipment (Whiteboards, Bins, Water Dispenser, Etc)</v>
          </cell>
          <cell r="C146">
            <v>15000</v>
          </cell>
        </row>
        <row r="147">
          <cell r="A147" t="str">
            <v>Office Rent</v>
          </cell>
          <cell r="C147">
            <v>0</v>
          </cell>
        </row>
        <row r="148">
          <cell r="A148" t="str">
            <v>Other: Please Specify</v>
          </cell>
          <cell r="C148">
            <v>0</v>
          </cell>
        </row>
        <row r="149">
          <cell r="A149" t="str">
            <v>Photocopier</v>
          </cell>
          <cell r="C149">
            <v>9500</v>
          </cell>
        </row>
        <row r="150">
          <cell r="A150" t="str">
            <v>Printer</v>
          </cell>
          <cell r="C150">
            <v>7500</v>
          </cell>
        </row>
        <row r="151">
          <cell r="A151" t="str">
            <v>Setup Of Email Account</v>
          </cell>
          <cell r="C151">
            <v>500</v>
          </cell>
        </row>
        <row r="152">
          <cell r="A152" t="str">
            <v>Setup of Telephone Lines</v>
          </cell>
          <cell r="C152">
            <v>200</v>
          </cell>
        </row>
        <row r="153">
          <cell r="A153" t="str">
            <v>Telephone Cards</v>
          </cell>
          <cell r="C153">
            <v>25</v>
          </cell>
        </row>
        <row r="154">
          <cell r="A154" t="str">
            <v>Workstations (Desk, Chair, And Bookshelves)</v>
          </cell>
          <cell r="C154">
            <v>1355</v>
          </cell>
        </row>
        <row r="155">
          <cell r="A155">
            <v>0</v>
          </cell>
          <cell r="C155">
            <v>0</v>
          </cell>
        </row>
        <row r="157">
          <cell r="A157" t="str">
            <v>Call Centre and IT Setup</v>
          </cell>
        </row>
        <row r="158">
          <cell r="A158" t="str">
            <v>Adobe</v>
          </cell>
          <cell r="C158">
            <v>1700</v>
          </cell>
        </row>
        <row r="159">
          <cell r="A159" t="str">
            <v>Antivirus</v>
          </cell>
          <cell r="C159">
            <v>95</v>
          </cell>
        </row>
        <row r="160">
          <cell r="A160" t="str">
            <v>Autocad</v>
          </cell>
          <cell r="C160">
            <v>20000</v>
          </cell>
        </row>
        <row r="161">
          <cell r="A161" t="str">
            <v>CAFM Implementation</v>
          </cell>
          <cell r="C161">
            <v>3000</v>
          </cell>
        </row>
        <row r="162">
          <cell r="A162" t="str">
            <v>CAFM License for base system</v>
          </cell>
          <cell r="C162">
            <v>292500</v>
          </cell>
        </row>
        <row r="163">
          <cell r="A163" t="str">
            <v>CAFM User</v>
          </cell>
          <cell r="C163">
            <v>1000</v>
          </cell>
        </row>
        <row r="164">
          <cell r="A164" t="str">
            <v>Citrix license</v>
          </cell>
          <cell r="C164">
            <v>1500</v>
          </cell>
        </row>
        <row r="165">
          <cell r="A165" t="str">
            <v>Citrix server</v>
          </cell>
          <cell r="C165">
            <v>20000</v>
          </cell>
        </row>
        <row r="166">
          <cell r="A166" t="str">
            <v>Communication equipment</v>
          </cell>
          <cell r="C166">
            <v>200</v>
          </cell>
        </row>
        <row r="167">
          <cell r="A167" t="str">
            <v>Concept License</v>
          </cell>
          <cell r="C167">
            <v>7500</v>
          </cell>
        </row>
        <row r="168">
          <cell r="A168" t="str">
            <v>Copier</v>
          </cell>
          <cell r="C168">
            <v>16065</v>
          </cell>
        </row>
        <row r="169">
          <cell r="A169" t="str">
            <v>Email Account setup</v>
          </cell>
          <cell r="C169">
            <v>500</v>
          </cell>
        </row>
        <row r="170">
          <cell r="A170" t="str">
            <v>Facsimile</v>
          </cell>
          <cell r="C170">
            <v>1000</v>
          </cell>
        </row>
        <row r="171">
          <cell r="A171" t="str">
            <v>Microsoft License - Professional</v>
          </cell>
          <cell r="C171">
            <v>2000</v>
          </cell>
        </row>
        <row r="172">
          <cell r="A172" t="str">
            <v>Microsoft License - Standard</v>
          </cell>
          <cell r="C172">
            <v>890</v>
          </cell>
        </row>
        <row r="173">
          <cell r="A173" t="str">
            <v>Microsoft Project</v>
          </cell>
          <cell r="C173">
            <v>2000</v>
          </cell>
        </row>
        <row r="174">
          <cell r="A174" t="str">
            <v>Mobile set</v>
          </cell>
          <cell r="C174">
            <v>100</v>
          </cell>
        </row>
        <row r="175">
          <cell r="A175" t="str">
            <v>Office Equipment</v>
          </cell>
          <cell r="C175">
            <v>8000</v>
          </cell>
        </row>
        <row r="176">
          <cell r="A176" t="str">
            <v>Other: Please Specify</v>
          </cell>
          <cell r="C176">
            <v>0</v>
          </cell>
        </row>
        <row r="177">
          <cell r="A177" t="str">
            <v>Personal computers</v>
          </cell>
          <cell r="C177">
            <v>5000</v>
          </cell>
        </row>
        <row r="178">
          <cell r="A178" t="str">
            <v>Printer</v>
          </cell>
          <cell r="C178">
            <v>7500</v>
          </cell>
        </row>
        <row r="179">
          <cell r="A179" t="str">
            <v>SQL license</v>
          </cell>
          <cell r="C179">
            <v>6500</v>
          </cell>
        </row>
        <row r="180">
          <cell r="A180" t="str">
            <v>SQL server</v>
          </cell>
          <cell r="C180">
            <v>26000</v>
          </cell>
        </row>
        <row r="181">
          <cell r="A181" t="str">
            <v>Staff Training</v>
          </cell>
          <cell r="C181">
            <v>1500</v>
          </cell>
        </row>
        <row r="182">
          <cell r="A182" t="str">
            <v>Telephone system</v>
          </cell>
          <cell r="C182">
            <v>2200</v>
          </cell>
        </row>
        <row r="183">
          <cell r="A183" t="str">
            <v>Telephony with headsets</v>
          </cell>
          <cell r="C183">
            <v>2200</v>
          </cell>
        </row>
        <row r="184">
          <cell r="A184" t="str">
            <v>User account setup</v>
          </cell>
          <cell r="C184">
            <v>110</v>
          </cell>
        </row>
        <row r="185">
          <cell r="A185" t="str">
            <v>Visio</v>
          </cell>
          <cell r="C185">
            <v>1000</v>
          </cell>
        </row>
        <row r="186">
          <cell r="A186" t="str">
            <v>Windows 2010 server</v>
          </cell>
          <cell r="C186">
            <v>4800</v>
          </cell>
        </row>
        <row r="187">
          <cell r="A187">
            <v>0</v>
          </cell>
          <cell r="C187">
            <v>0</v>
          </cell>
        </row>
        <row r="188">
          <cell r="A188" t="str">
            <v>Tender Bond and Contingencies</v>
          </cell>
        </row>
        <row r="189">
          <cell r="A189" t="str">
            <v xml:space="preserve">Interest on Tender Bond </v>
          </cell>
          <cell r="C189">
            <v>0</v>
          </cell>
        </row>
        <row r="190">
          <cell r="A190" t="str">
            <v>Other: Contingency,  etc.</v>
          </cell>
          <cell r="C190">
            <v>0</v>
          </cell>
        </row>
        <row r="191">
          <cell r="A191">
            <v>0</v>
          </cell>
          <cell r="C191">
            <v>0</v>
          </cell>
        </row>
        <row r="192">
          <cell r="A192">
            <v>0</v>
          </cell>
          <cell r="C192">
            <v>0</v>
          </cell>
        </row>
        <row r="193">
          <cell r="A193">
            <v>0</v>
          </cell>
          <cell r="C193">
            <v>0</v>
          </cell>
        </row>
        <row r="194">
          <cell r="A194">
            <v>0</v>
          </cell>
          <cell r="C194">
            <v>0</v>
          </cell>
        </row>
        <row r="195">
          <cell r="A195">
            <v>0</v>
          </cell>
          <cell r="C195">
            <v>0</v>
          </cell>
        </row>
      </sheetData>
      <sheetData sheetId="5"/>
      <sheetData sheetId="6">
        <row r="6">
          <cell r="A6" t="str">
            <v>3 Tonne Pick-up</v>
          </cell>
          <cell r="C6">
            <v>4350</v>
          </cell>
        </row>
        <row r="7">
          <cell r="A7" t="str">
            <v>Bus 14-seater</v>
          </cell>
          <cell r="C7">
            <v>3000</v>
          </cell>
        </row>
        <row r="8">
          <cell r="A8" t="str">
            <v>Bus 30-seater</v>
          </cell>
          <cell r="C8">
            <v>6100</v>
          </cell>
        </row>
        <row r="9">
          <cell r="A9" t="str">
            <v>Bus 60-seater</v>
          </cell>
          <cell r="C9">
            <v>8150</v>
          </cell>
        </row>
        <row r="10">
          <cell r="A10" t="str">
            <v>Double Cabin Pick-up</v>
          </cell>
          <cell r="C10">
            <v>2100</v>
          </cell>
        </row>
        <row r="11">
          <cell r="A11" t="str">
            <v>Other: Please Specify</v>
          </cell>
          <cell r="C11">
            <v>0</v>
          </cell>
        </row>
        <row r="12">
          <cell r="A12" t="str">
            <v>Single Cabin Pick-up</v>
          </cell>
          <cell r="C12">
            <v>2340</v>
          </cell>
        </row>
        <row r="13">
          <cell r="A13" t="str">
            <v>Supervisor's Car</v>
          </cell>
          <cell r="C13">
            <v>1500</v>
          </cell>
        </row>
        <row r="14">
          <cell r="A14" t="str">
            <v>Van</v>
          </cell>
          <cell r="C14">
            <v>2350</v>
          </cell>
        </row>
        <row r="15">
          <cell r="A15">
            <v>0</v>
          </cell>
          <cell r="C15">
            <v>0</v>
          </cell>
        </row>
        <row r="17">
          <cell r="A17" t="str">
            <v>Driver - Heavy Duty</v>
          </cell>
          <cell r="B17">
            <v>5000</v>
          </cell>
          <cell r="C17">
            <v>4500</v>
          </cell>
          <cell r="D17">
            <v>4000</v>
          </cell>
        </row>
        <row r="18">
          <cell r="A18" t="str">
            <v>Driver - Light Duty</v>
          </cell>
          <cell r="B18">
            <v>10000</v>
          </cell>
          <cell r="C18">
            <v>4200</v>
          </cell>
          <cell r="D18">
            <v>1000</v>
          </cell>
        </row>
        <row r="19">
          <cell r="A19" t="str">
            <v>Fuel</v>
          </cell>
          <cell r="B19">
            <v>0</v>
          </cell>
          <cell r="C19">
            <v>0</v>
          </cell>
          <cell r="D19">
            <v>0</v>
          </cell>
        </row>
        <row r="20">
          <cell r="A20" t="str">
            <v>Others: Please specify</v>
          </cell>
          <cell r="B20">
            <v>0</v>
          </cell>
          <cell r="C20">
            <v>0</v>
          </cell>
          <cell r="D20">
            <v>0</v>
          </cell>
        </row>
        <row r="21">
          <cell r="A21" t="str">
            <v>Salik</v>
          </cell>
          <cell r="B21">
            <v>0</v>
          </cell>
          <cell r="C21">
            <v>0</v>
          </cell>
          <cell r="D21">
            <v>0</v>
          </cell>
        </row>
        <row r="22">
          <cell r="A22">
            <v>0</v>
          </cell>
          <cell r="B22">
            <v>0</v>
          </cell>
          <cell r="C22">
            <v>0</v>
          </cell>
          <cell r="D22">
            <v>0</v>
          </cell>
        </row>
        <row r="24">
          <cell r="A24" t="str">
            <v>Cleaning Consumables</v>
          </cell>
          <cell r="B24">
            <v>0</v>
          </cell>
          <cell r="C24">
            <v>0</v>
          </cell>
          <cell r="D24">
            <v>0</v>
          </cell>
          <cell r="F24" t="str">
            <v>As % of Manpower Cost</v>
          </cell>
        </row>
        <row r="25">
          <cell r="A25" t="str">
            <v>Landscaping Consumables</v>
          </cell>
          <cell r="B25">
            <v>0</v>
          </cell>
          <cell r="C25">
            <v>0</v>
          </cell>
          <cell r="D25">
            <v>0</v>
          </cell>
          <cell r="F25" t="str">
            <v>Lump Sum</v>
          </cell>
        </row>
        <row r="26">
          <cell r="A26" t="str">
            <v>MEP and Civil Consumables</v>
          </cell>
          <cell r="B26">
            <v>0</v>
          </cell>
          <cell r="C26">
            <v>0</v>
          </cell>
          <cell r="D26">
            <v>0</v>
          </cell>
          <cell r="F26" t="str">
            <v>Other Price</v>
          </cell>
        </row>
        <row r="27">
          <cell r="A27" t="str">
            <v>Office Supplies (client)</v>
          </cell>
          <cell r="B27">
            <v>0</v>
          </cell>
          <cell r="C27">
            <v>0</v>
          </cell>
          <cell r="D27">
            <v>0</v>
          </cell>
          <cell r="F27">
            <v>0</v>
          </cell>
        </row>
        <row r="28">
          <cell r="A28" t="str">
            <v>Other: Please Specify</v>
          </cell>
          <cell r="B28">
            <v>0</v>
          </cell>
          <cell r="C28">
            <v>0</v>
          </cell>
          <cell r="D28">
            <v>0</v>
          </cell>
        </row>
        <row r="29">
          <cell r="A29" t="str">
            <v>Pantry Supplies (client)</v>
          </cell>
          <cell r="B29">
            <v>0</v>
          </cell>
          <cell r="C29">
            <v>0</v>
          </cell>
          <cell r="D29">
            <v>0</v>
          </cell>
        </row>
        <row r="30">
          <cell r="A30" t="str">
            <v>Personal Hygiene Products</v>
          </cell>
          <cell r="B30">
            <v>0</v>
          </cell>
          <cell r="C30">
            <v>0</v>
          </cell>
          <cell r="D30">
            <v>0</v>
          </cell>
        </row>
        <row r="31">
          <cell r="A31">
            <v>0</v>
          </cell>
          <cell r="B31">
            <v>0</v>
          </cell>
          <cell r="C31">
            <v>0</v>
          </cell>
          <cell r="D31">
            <v>0</v>
          </cell>
        </row>
        <row r="34">
          <cell r="A34" t="str">
            <v>Civil / Minor Works Spares</v>
          </cell>
          <cell r="B34">
            <v>0</v>
          </cell>
          <cell r="C34">
            <v>0</v>
          </cell>
          <cell r="D34">
            <v>0</v>
          </cell>
          <cell r="F34" t="str">
            <v>Fully Comprehensive</v>
          </cell>
        </row>
        <row r="35">
          <cell r="A35" t="str">
            <v>Electrical Spares</v>
          </cell>
          <cell r="B35">
            <v>0</v>
          </cell>
          <cell r="C35">
            <v>0</v>
          </cell>
          <cell r="D35">
            <v>0</v>
          </cell>
          <cell r="F35" t="str">
            <v>Non-Comprehensive</v>
          </cell>
        </row>
        <row r="36">
          <cell r="A36" t="str">
            <v>HVAC Spares</v>
          </cell>
          <cell r="B36">
            <v>0</v>
          </cell>
          <cell r="C36">
            <v>0</v>
          </cell>
          <cell r="D36">
            <v>0</v>
          </cell>
          <cell r="F36" t="str">
            <v>Others: Spares Threshold</v>
          </cell>
        </row>
        <row r="37">
          <cell r="A37" t="str">
            <v>Mechanical Spares</v>
          </cell>
          <cell r="B37">
            <v>0</v>
          </cell>
          <cell r="C37">
            <v>0</v>
          </cell>
          <cell r="D37">
            <v>0</v>
          </cell>
          <cell r="F37">
            <v>0</v>
          </cell>
        </row>
        <row r="38">
          <cell r="A38" t="str">
            <v>MEP and Civil Spares - Overall</v>
          </cell>
          <cell r="B38">
            <v>0</v>
          </cell>
          <cell r="C38">
            <v>0</v>
          </cell>
          <cell r="D38">
            <v>0</v>
          </cell>
        </row>
        <row r="39">
          <cell r="A39" t="str">
            <v>Other: Please Specify</v>
          </cell>
          <cell r="B39">
            <v>0</v>
          </cell>
          <cell r="C39">
            <v>0</v>
          </cell>
          <cell r="D39">
            <v>0</v>
          </cell>
        </row>
        <row r="40">
          <cell r="A40" t="str">
            <v>Plumibing Spares</v>
          </cell>
          <cell r="B40">
            <v>0</v>
          </cell>
          <cell r="C40">
            <v>0</v>
          </cell>
          <cell r="D40">
            <v>0</v>
          </cell>
        </row>
        <row r="41">
          <cell r="A41">
            <v>0</v>
          </cell>
          <cell r="B41">
            <v>0</v>
          </cell>
          <cell r="C41">
            <v>0</v>
          </cell>
          <cell r="D41">
            <v>0</v>
          </cell>
        </row>
        <row r="44">
          <cell r="A44" t="str">
            <v>3 pin Plug</v>
          </cell>
          <cell r="B44">
            <v>0</v>
          </cell>
          <cell r="C44">
            <v>2</v>
          </cell>
          <cell r="D44">
            <v>0</v>
          </cell>
        </row>
        <row r="45">
          <cell r="A45" t="str">
            <v>3 pin socket</v>
          </cell>
          <cell r="B45">
            <v>0</v>
          </cell>
          <cell r="C45">
            <v>2</v>
          </cell>
          <cell r="D45">
            <v>0</v>
          </cell>
        </row>
        <row r="46">
          <cell r="A46" t="str">
            <v>50 Gm Toilet Blocks</v>
          </cell>
          <cell r="B46">
            <v>0</v>
          </cell>
          <cell r="C46">
            <v>3</v>
          </cell>
          <cell r="D46">
            <v>0</v>
          </cell>
        </row>
        <row r="47">
          <cell r="A47" t="str">
            <v>Air Freshner</v>
          </cell>
          <cell r="B47">
            <v>0</v>
          </cell>
          <cell r="C47">
            <v>0.97333333333333327</v>
          </cell>
          <cell r="D47">
            <v>0</v>
          </cell>
        </row>
        <row r="48">
          <cell r="A48" t="str">
            <v>All Purpose Cleaner</v>
          </cell>
          <cell r="B48">
            <v>0</v>
          </cell>
          <cell r="C48">
            <v>1</v>
          </cell>
          <cell r="D48">
            <v>0</v>
          </cell>
        </row>
        <row r="49">
          <cell r="A49" t="str">
            <v>As % of Manpower</v>
          </cell>
          <cell r="B49">
            <v>0</v>
          </cell>
          <cell r="C49">
            <v>0</v>
          </cell>
          <cell r="D49">
            <v>0</v>
          </cell>
        </row>
        <row r="50">
          <cell r="A50" t="str">
            <v>Bleach</v>
          </cell>
          <cell r="B50">
            <v>0</v>
          </cell>
          <cell r="C50">
            <v>4.67</v>
          </cell>
          <cell r="D50">
            <v>0</v>
          </cell>
        </row>
        <row r="51">
          <cell r="A51" t="str">
            <v>Carpet Powder</v>
          </cell>
          <cell r="B51">
            <v>0</v>
          </cell>
          <cell r="C51">
            <v>12</v>
          </cell>
          <cell r="D51">
            <v>0</v>
          </cell>
        </row>
        <row r="52">
          <cell r="A52" t="str">
            <v>Deck Scrapper</v>
          </cell>
          <cell r="B52">
            <v>0</v>
          </cell>
          <cell r="C52">
            <v>3.4</v>
          </cell>
          <cell r="D52">
            <v>0</v>
          </cell>
        </row>
        <row r="53">
          <cell r="A53" t="str">
            <v>Degreaser</v>
          </cell>
          <cell r="B53">
            <v>0</v>
          </cell>
          <cell r="C53">
            <v>2</v>
          </cell>
          <cell r="D53">
            <v>0</v>
          </cell>
        </row>
        <row r="54">
          <cell r="A54" t="str">
            <v>Disinfectant</v>
          </cell>
          <cell r="B54">
            <v>0</v>
          </cell>
          <cell r="C54">
            <v>1</v>
          </cell>
          <cell r="D54">
            <v>0</v>
          </cell>
        </row>
        <row r="55">
          <cell r="A55" t="str">
            <v>Dust Control Mop (Dry Mop)</v>
          </cell>
          <cell r="B55">
            <v>0</v>
          </cell>
          <cell r="C55">
            <v>17</v>
          </cell>
          <cell r="D55">
            <v>0</v>
          </cell>
        </row>
        <row r="56">
          <cell r="A56" t="str">
            <v>Dustbin Liner (white)</v>
          </cell>
          <cell r="B56">
            <v>0</v>
          </cell>
          <cell r="C56">
            <v>0.03</v>
          </cell>
          <cell r="D56">
            <v>0</v>
          </cell>
        </row>
        <row r="57">
          <cell r="A57" t="str">
            <v>Dustbins with Brush</v>
          </cell>
          <cell r="B57">
            <v>0</v>
          </cell>
          <cell r="C57">
            <v>5</v>
          </cell>
          <cell r="D57">
            <v>0</v>
          </cell>
        </row>
        <row r="58">
          <cell r="A58" t="str">
            <v>Face mask</v>
          </cell>
          <cell r="B58">
            <v>0</v>
          </cell>
          <cell r="C58">
            <v>0.25</v>
          </cell>
          <cell r="D58">
            <v>0</v>
          </cell>
        </row>
        <row r="59">
          <cell r="A59" t="str">
            <v>Facial Tissue Box</v>
          </cell>
          <cell r="B59">
            <v>0</v>
          </cell>
          <cell r="C59">
            <v>1.4</v>
          </cell>
          <cell r="D59">
            <v>0</v>
          </cell>
        </row>
        <row r="60">
          <cell r="A60" t="str">
            <v>Feather Duster</v>
          </cell>
          <cell r="B60">
            <v>0</v>
          </cell>
          <cell r="C60">
            <v>4</v>
          </cell>
          <cell r="D60">
            <v>0</v>
          </cell>
        </row>
        <row r="61">
          <cell r="A61" t="str">
            <v>Floor Steel Scraper</v>
          </cell>
          <cell r="B61">
            <v>0</v>
          </cell>
          <cell r="C61">
            <v>3</v>
          </cell>
          <cell r="D61">
            <v>0</v>
          </cell>
        </row>
        <row r="62">
          <cell r="A62" t="str">
            <v>Floor Viper with Handle (Colour Coded)</v>
          </cell>
          <cell r="B62">
            <v>0</v>
          </cell>
          <cell r="C62">
            <v>5</v>
          </cell>
          <cell r="D62">
            <v>0</v>
          </cell>
        </row>
        <row r="63">
          <cell r="A63" t="str">
            <v>Furniture Polish</v>
          </cell>
          <cell r="B63">
            <v>0</v>
          </cell>
          <cell r="C63">
            <v>1.1100000000000001</v>
          </cell>
          <cell r="D63">
            <v>0</v>
          </cell>
        </row>
        <row r="64">
          <cell r="A64" t="str">
            <v>Garbage Bag Large (95*110) Black</v>
          </cell>
          <cell r="B64">
            <v>0</v>
          </cell>
          <cell r="C64">
            <v>0.26</v>
          </cell>
          <cell r="D64">
            <v>0</v>
          </cell>
        </row>
        <row r="65">
          <cell r="A65" t="str">
            <v>Garbage Bag Small (65*90) Black</v>
          </cell>
          <cell r="B65">
            <v>0</v>
          </cell>
          <cell r="C65">
            <v>0.1</v>
          </cell>
          <cell r="D65">
            <v>0</v>
          </cell>
        </row>
        <row r="66">
          <cell r="A66" t="str">
            <v>Garden Fork</v>
          </cell>
          <cell r="B66">
            <v>0</v>
          </cell>
          <cell r="C66">
            <v>50</v>
          </cell>
          <cell r="D66">
            <v>0</v>
          </cell>
        </row>
        <row r="67">
          <cell r="A67" t="str">
            <v>Glass Applicator set</v>
          </cell>
          <cell r="B67">
            <v>0</v>
          </cell>
          <cell r="C67">
            <v>20</v>
          </cell>
          <cell r="D67">
            <v>0</v>
          </cell>
        </row>
        <row r="68">
          <cell r="A68" t="str">
            <v>Glass Scraper</v>
          </cell>
          <cell r="B68">
            <v>0</v>
          </cell>
          <cell r="C68">
            <v>6</v>
          </cell>
          <cell r="D68">
            <v>0</v>
          </cell>
        </row>
        <row r="69">
          <cell r="A69" t="str">
            <v>Hand Lotion</v>
          </cell>
          <cell r="B69">
            <v>0</v>
          </cell>
          <cell r="C69">
            <v>54.4</v>
          </cell>
          <cell r="D69">
            <v>0</v>
          </cell>
        </row>
        <row r="70">
          <cell r="A70" t="str">
            <v>Hand Sanitizers</v>
          </cell>
          <cell r="B70">
            <v>0</v>
          </cell>
          <cell r="C70">
            <v>54.4</v>
          </cell>
          <cell r="D70">
            <v>0</v>
          </cell>
        </row>
        <row r="71">
          <cell r="A71" t="str">
            <v>Handsoap</v>
          </cell>
          <cell r="B71">
            <v>0</v>
          </cell>
          <cell r="C71">
            <v>1</v>
          </cell>
          <cell r="D71">
            <v>0</v>
          </cell>
        </row>
        <row r="72">
          <cell r="A72" t="str">
            <v>Hard Brush - External Area</v>
          </cell>
          <cell r="B72">
            <v>0</v>
          </cell>
          <cell r="C72">
            <v>6</v>
          </cell>
          <cell r="D72">
            <v>0</v>
          </cell>
        </row>
        <row r="73">
          <cell r="A73" t="str">
            <v>Hard Brush (Yellow &amp; Red)</v>
          </cell>
          <cell r="B73">
            <v>0</v>
          </cell>
          <cell r="C73">
            <v>5.5</v>
          </cell>
          <cell r="D73">
            <v>0</v>
          </cell>
        </row>
        <row r="74">
          <cell r="A74" t="str">
            <v>Litter Picker</v>
          </cell>
          <cell r="B74">
            <v>0</v>
          </cell>
          <cell r="C74">
            <v>72</v>
          </cell>
          <cell r="D74">
            <v>0</v>
          </cell>
        </row>
        <row r="75">
          <cell r="A75" t="str">
            <v>Low Sampoo foam (carpet)</v>
          </cell>
          <cell r="B75">
            <v>0</v>
          </cell>
          <cell r="C75">
            <v>0.26</v>
          </cell>
          <cell r="D75">
            <v>0</v>
          </cell>
        </row>
        <row r="76">
          <cell r="A76" t="str">
            <v>Microfibre Cloth (Color Coded)</v>
          </cell>
          <cell r="B76">
            <v>0</v>
          </cell>
          <cell r="C76">
            <v>3.5</v>
          </cell>
          <cell r="D76">
            <v>0</v>
          </cell>
        </row>
        <row r="77">
          <cell r="A77" t="str">
            <v>Other: Please Specify</v>
          </cell>
          <cell r="B77">
            <v>0</v>
          </cell>
          <cell r="C77">
            <v>0</v>
          </cell>
          <cell r="D77">
            <v>0</v>
          </cell>
        </row>
        <row r="78">
          <cell r="A78" t="str">
            <v>Paper hand Towels C Fold</v>
          </cell>
          <cell r="B78">
            <v>0</v>
          </cell>
          <cell r="C78">
            <v>2.1</v>
          </cell>
          <cell r="D78">
            <v>0</v>
          </cell>
        </row>
        <row r="79">
          <cell r="A79" t="str">
            <v>Plastic Waste Bins</v>
          </cell>
          <cell r="B79">
            <v>0</v>
          </cell>
          <cell r="C79">
            <v>4</v>
          </cell>
          <cell r="D79">
            <v>0</v>
          </cell>
        </row>
        <row r="80">
          <cell r="A80" t="str">
            <v>Rubber Gloves (Colour Coded)</v>
          </cell>
          <cell r="B80">
            <v>0</v>
          </cell>
          <cell r="C80">
            <v>0.3</v>
          </cell>
          <cell r="D80">
            <v>0</v>
          </cell>
        </row>
        <row r="81">
          <cell r="A81" t="str">
            <v>Scrubbing Pad (Colour Coded)</v>
          </cell>
          <cell r="B81">
            <v>0</v>
          </cell>
          <cell r="C81">
            <v>0.18</v>
          </cell>
          <cell r="D81">
            <v>0</v>
          </cell>
        </row>
        <row r="82">
          <cell r="A82" t="str">
            <v>Soft Brush (Colour Coded-Only Stick)</v>
          </cell>
          <cell r="B82">
            <v>0</v>
          </cell>
          <cell r="C82">
            <v>4.4000000000000004</v>
          </cell>
          <cell r="D82">
            <v>0</v>
          </cell>
        </row>
        <row r="83">
          <cell r="A83" t="str">
            <v>Steel Polish</v>
          </cell>
          <cell r="B83">
            <v>0</v>
          </cell>
          <cell r="C83">
            <v>17</v>
          </cell>
          <cell r="D83">
            <v>0</v>
          </cell>
        </row>
        <row r="84">
          <cell r="A84" t="str">
            <v>Tissue Roll  / M Tork</v>
          </cell>
          <cell r="B84">
            <v>0</v>
          </cell>
          <cell r="C84">
            <v>3.6666666666666665</v>
          </cell>
          <cell r="D84">
            <v>0</v>
          </cell>
        </row>
        <row r="85">
          <cell r="A85" t="str">
            <v xml:space="preserve">Toilet Cleaner </v>
          </cell>
          <cell r="B85">
            <v>0</v>
          </cell>
          <cell r="C85">
            <v>10.75</v>
          </cell>
          <cell r="D85">
            <v>0</v>
          </cell>
        </row>
        <row r="86">
          <cell r="A86" t="str">
            <v>Toilet Roll</v>
          </cell>
          <cell r="B86">
            <v>0</v>
          </cell>
          <cell r="C86">
            <v>0.4</v>
          </cell>
          <cell r="D86">
            <v>0</v>
          </cell>
        </row>
        <row r="87">
          <cell r="A87" t="str">
            <v>Water Suction Pump</v>
          </cell>
          <cell r="B87">
            <v>0</v>
          </cell>
          <cell r="C87">
            <v>3</v>
          </cell>
          <cell r="D87">
            <v>0</v>
          </cell>
        </row>
        <row r="88">
          <cell r="A88" t="str">
            <v xml:space="preserve">Wet Mop </v>
          </cell>
          <cell r="B88">
            <v>0</v>
          </cell>
          <cell r="C88">
            <v>10.666666666666666</v>
          </cell>
          <cell r="D88">
            <v>0</v>
          </cell>
        </row>
        <row r="89">
          <cell r="A89">
            <v>0</v>
          </cell>
          <cell r="B89">
            <v>0</v>
          </cell>
          <cell r="C89">
            <v>0</v>
          </cell>
          <cell r="D89">
            <v>0</v>
          </cell>
        </row>
        <row r="92">
          <cell r="A92" t="str">
            <v>3G Router running costs</v>
          </cell>
          <cell r="B92">
            <v>0</v>
          </cell>
          <cell r="C92">
            <v>0</v>
          </cell>
          <cell r="D92">
            <v>0</v>
          </cell>
        </row>
        <row r="93">
          <cell r="A93" t="str">
            <v>CAFM cost</v>
          </cell>
          <cell r="B93">
            <v>0</v>
          </cell>
          <cell r="C93">
            <v>0</v>
          </cell>
          <cell r="D93">
            <v>0</v>
          </cell>
        </row>
        <row r="94">
          <cell r="A94" t="str">
            <v>Cleaning supplies</v>
          </cell>
          <cell r="B94">
            <v>0</v>
          </cell>
          <cell r="C94">
            <v>0</v>
          </cell>
          <cell r="D94">
            <v>0</v>
          </cell>
        </row>
        <row r="95">
          <cell r="A95" t="str">
            <v>Email Costs</v>
          </cell>
          <cell r="B95">
            <v>0</v>
          </cell>
          <cell r="C95">
            <v>0</v>
          </cell>
          <cell r="D95">
            <v>0</v>
          </cell>
        </row>
        <row r="96">
          <cell r="A96" t="str">
            <v>Incoming lines</v>
          </cell>
          <cell r="B96">
            <v>0</v>
          </cell>
          <cell r="C96">
            <v>0</v>
          </cell>
          <cell r="D96">
            <v>0</v>
          </cell>
        </row>
        <row r="97">
          <cell r="A97" t="str">
            <v>Internet charges</v>
          </cell>
          <cell r="B97">
            <v>0</v>
          </cell>
          <cell r="C97">
            <v>0</v>
          </cell>
          <cell r="D97">
            <v>0</v>
          </cell>
        </row>
        <row r="98">
          <cell r="A98" t="str">
            <v>JD Edwards License and Maintenance Costs</v>
          </cell>
          <cell r="B98">
            <v>0</v>
          </cell>
          <cell r="C98">
            <v>0</v>
          </cell>
          <cell r="D98">
            <v>0</v>
          </cell>
        </row>
        <row r="99">
          <cell r="A99" t="str">
            <v>Office supplies amd stationery</v>
          </cell>
          <cell r="B99">
            <v>0</v>
          </cell>
          <cell r="C99">
            <v>0</v>
          </cell>
          <cell r="D99">
            <v>0</v>
          </cell>
        </row>
        <row r="100">
          <cell r="A100" t="str">
            <v>Other: Please Specify</v>
          </cell>
          <cell r="B100">
            <v>0</v>
          </cell>
          <cell r="C100">
            <v>0</v>
          </cell>
          <cell r="D100">
            <v>0</v>
          </cell>
        </row>
        <row r="101">
          <cell r="A101" t="str">
            <v>Outgoing lines</v>
          </cell>
          <cell r="B101">
            <v>0</v>
          </cell>
          <cell r="C101">
            <v>0</v>
          </cell>
          <cell r="D101">
            <v>0</v>
          </cell>
        </row>
        <row r="102">
          <cell r="A102" t="str">
            <v xml:space="preserve">Pantry supplies </v>
          </cell>
          <cell r="B102">
            <v>0</v>
          </cell>
          <cell r="C102">
            <v>0</v>
          </cell>
          <cell r="D102">
            <v>0</v>
          </cell>
        </row>
        <row r="103">
          <cell r="A103" t="str">
            <v>Printer Maintenance Costs</v>
          </cell>
          <cell r="B103">
            <v>0</v>
          </cell>
          <cell r="C103">
            <v>0</v>
          </cell>
          <cell r="D103">
            <v>0</v>
          </cell>
        </row>
        <row r="104">
          <cell r="A104" t="str">
            <v>Site Administration Costs</v>
          </cell>
          <cell r="B104">
            <v>0</v>
          </cell>
          <cell r="C104">
            <v>0</v>
          </cell>
          <cell r="D104">
            <v>0</v>
          </cell>
        </row>
        <row r="105">
          <cell r="A105" t="str">
            <v>SMS Charge</v>
          </cell>
          <cell r="B105">
            <v>0</v>
          </cell>
          <cell r="C105">
            <v>0</v>
          </cell>
          <cell r="D105">
            <v>0</v>
          </cell>
        </row>
        <row r="106">
          <cell r="A106" t="str">
            <v>Telephone / Fax rental</v>
          </cell>
          <cell r="B106">
            <v>0</v>
          </cell>
          <cell r="C106">
            <v>0</v>
          </cell>
          <cell r="D106">
            <v>0</v>
          </cell>
        </row>
        <row r="107">
          <cell r="A107" t="str">
            <v>Telephone / Fax rental</v>
          </cell>
          <cell r="B107">
            <v>0</v>
          </cell>
          <cell r="C107">
            <v>0</v>
          </cell>
          <cell r="D107">
            <v>0</v>
          </cell>
        </row>
        <row r="108">
          <cell r="A108" t="str">
            <v>Telephone cards</v>
          </cell>
          <cell r="B108">
            <v>0</v>
          </cell>
          <cell r="C108">
            <v>0</v>
          </cell>
          <cell r="D108">
            <v>0</v>
          </cell>
        </row>
        <row r="109">
          <cell r="A109" t="str">
            <v>Training centre expenses</v>
          </cell>
          <cell r="B109">
            <v>0</v>
          </cell>
          <cell r="C109">
            <v>0</v>
          </cell>
          <cell r="D109">
            <v>0</v>
          </cell>
        </row>
        <row r="110">
          <cell r="A110" t="str">
            <v>Utilities (electricity, water)</v>
          </cell>
          <cell r="B110">
            <v>0</v>
          </cell>
          <cell r="C110">
            <v>0</v>
          </cell>
          <cell r="D110">
            <v>0</v>
          </cell>
        </row>
        <row r="111">
          <cell r="A111">
            <v>0</v>
          </cell>
          <cell r="B111">
            <v>0</v>
          </cell>
          <cell r="C111">
            <v>0</v>
          </cell>
          <cell r="D111">
            <v>0</v>
          </cell>
        </row>
        <row r="114">
          <cell r="A114" t="str">
            <v>Comprehensive General Liability</v>
          </cell>
          <cell r="B114">
            <v>0</v>
          </cell>
          <cell r="C114">
            <v>0</v>
          </cell>
          <cell r="D114">
            <v>0</v>
          </cell>
          <cell r="F114" t="str">
            <v>Based on Contract Value</v>
          </cell>
        </row>
        <row r="115">
          <cell r="A115" t="str">
            <v>Erection All Risks Insurance</v>
          </cell>
          <cell r="B115">
            <v>0</v>
          </cell>
          <cell r="C115">
            <v>0</v>
          </cell>
          <cell r="D115">
            <v>0</v>
          </cell>
          <cell r="F115" t="str">
            <v>Lump Sum</v>
          </cell>
        </row>
        <row r="116">
          <cell r="A116" t="str">
            <v>Other: Please Specify</v>
          </cell>
          <cell r="B116">
            <v>0</v>
          </cell>
          <cell r="C116">
            <v>0</v>
          </cell>
          <cell r="D116">
            <v>0</v>
          </cell>
          <cell r="F116" t="str">
            <v>Other Price</v>
          </cell>
        </row>
        <row r="117">
          <cell r="A117" t="str">
            <v>Performance Bond Interest</v>
          </cell>
          <cell r="B117">
            <v>0</v>
          </cell>
          <cell r="C117">
            <v>0</v>
          </cell>
          <cell r="D117">
            <v>0</v>
          </cell>
          <cell r="F117">
            <v>0</v>
          </cell>
        </row>
        <row r="118">
          <cell r="A118" t="str">
            <v>Professional Indemnity</v>
          </cell>
          <cell r="B118">
            <v>0</v>
          </cell>
          <cell r="C118">
            <v>0</v>
          </cell>
          <cell r="D118">
            <v>0</v>
          </cell>
        </row>
        <row r="119">
          <cell r="A119" t="str">
            <v>Public Liability Insurance</v>
          </cell>
          <cell r="B119">
            <v>0</v>
          </cell>
          <cell r="C119">
            <v>0</v>
          </cell>
          <cell r="D119">
            <v>0</v>
          </cell>
        </row>
        <row r="120">
          <cell r="A120">
            <v>0</v>
          </cell>
          <cell r="B120">
            <v>0</v>
          </cell>
          <cell r="C120">
            <v>0</v>
          </cell>
          <cell r="D120">
            <v>0</v>
          </cell>
        </row>
        <row r="123">
          <cell r="A123" t="str">
            <v>Please Specify</v>
          </cell>
          <cell r="B123">
            <v>0</v>
          </cell>
          <cell r="C123">
            <v>0</v>
          </cell>
          <cell r="D123">
            <v>0</v>
          </cell>
        </row>
        <row r="124">
          <cell r="A124">
            <v>0</v>
          </cell>
          <cell r="B124">
            <v>0</v>
          </cell>
          <cell r="C124">
            <v>0</v>
          </cell>
          <cell r="D124">
            <v>0</v>
          </cell>
        </row>
        <row r="125">
          <cell r="A125">
            <v>0</v>
          </cell>
          <cell r="B125">
            <v>0</v>
          </cell>
          <cell r="C125">
            <v>0</v>
          </cell>
          <cell r="D125">
            <v>0</v>
          </cell>
        </row>
        <row r="126">
          <cell r="A126">
            <v>0</v>
          </cell>
          <cell r="B126">
            <v>0</v>
          </cell>
          <cell r="C126">
            <v>0</v>
          </cell>
          <cell r="D126">
            <v>0</v>
          </cell>
        </row>
        <row r="127">
          <cell r="A127">
            <v>0</v>
          </cell>
          <cell r="B127">
            <v>0</v>
          </cell>
          <cell r="C127">
            <v>0</v>
          </cell>
          <cell r="D127">
            <v>0</v>
          </cell>
        </row>
        <row r="128">
          <cell r="A128">
            <v>0</v>
          </cell>
          <cell r="B128">
            <v>0</v>
          </cell>
          <cell r="C128">
            <v>0</v>
          </cell>
          <cell r="D128">
            <v>0</v>
          </cell>
        </row>
        <row r="129">
          <cell r="A129">
            <v>0</v>
          </cell>
          <cell r="B129">
            <v>0</v>
          </cell>
          <cell r="C129">
            <v>0</v>
          </cell>
          <cell r="D129">
            <v>0</v>
          </cell>
        </row>
        <row r="130">
          <cell r="A130">
            <v>0</v>
          </cell>
          <cell r="B130">
            <v>0</v>
          </cell>
          <cell r="C130">
            <v>0</v>
          </cell>
          <cell r="D130">
            <v>0</v>
          </cell>
        </row>
        <row r="131">
          <cell r="A131">
            <v>0</v>
          </cell>
          <cell r="B131">
            <v>0</v>
          </cell>
          <cell r="C131">
            <v>0</v>
          </cell>
          <cell r="D131">
            <v>0</v>
          </cell>
        </row>
        <row r="132">
          <cell r="A132">
            <v>0</v>
          </cell>
          <cell r="B132">
            <v>0</v>
          </cell>
          <cell r="C132">
            <v>0</v>
          </cell>
          <cell r="D132">
            <v>0</v>
          </cell>
        </row>
        <row r="133">
          <cell r="A133">
            <v>0</v>
          </cell>
          <cell r="B133">
            <v>0</v>
          </cell>
          <cell r="C133">
            <v>0</v>
          </cell>
          <cell r="D133">
            <v>0</v>
          </cell>
        </row>
        <row r="134">
          <cell r="A134">
            <v>0</v>
          </cell>
          <cell r="B134">
            <v>0</v>
          </cell>
          <cell r="C134">
            <v>0</v>
          </cell>
          <cell r="D134">
            <v>0</v>
          </cell>
        </row>
        <row r="135">
          <cell r="A135">
            <v>0</v>
          </cell>
          <cell r="B135">
            <v>0</v>
          </cell>
          <cell r="C135">
            <v>0</v>
          </cell>
          <cell r="D135">
            <v>0</v>
          </cell>
        </row>
        <row r="136">
          <cell r="A136">
            <v>0</v>
          </cell>
          <cell r="B136">
            <v>0</v>
          </cell>
          <cell r="C136">
            <v>0</v>
          </cell>
          <cell r="D136">
            <v>0</v>
          </cell>
        </row>
      </sheetData>
      <sheetData sheetId="7"/>
      <sheetData sheetId="8">
        <row r="4">
          <cell r="A4" t="str">
            <v>Access Control System</v>
          </cell>
          <cell r="B4">
            <v>0</v>
          </cell>
          <cell r="C4">
            <v>10000</v>
          </cell>
          <cell r="D4">
            <v>0</v>
          </cell>
        </row>
        <row r="5">
          <cell r="A5" t="str">
            <v>Aircraft Warning Lights</v>
          </cell>
          <cell r="B5">
            <v>0</v>
          </cell>
          <cell r="C5">
            <v>0</v>
          </cell>
          <cell r="D5">
            <v>0</v>
          </cell>
        </row>
        <row r="6">
          <cell r="A6" t="str">
            <v>Automatic / Sliding / Swing Doors / Roller Shutters</v>
          </cell>
          <cell r="B6">
            <v>0</v>
          </cell>
          <cell r="C6">
            <v>2000</v>
          </cell>
          <cell r="D6">
            <v>0</v>
          </cell>
        </row>
        <row r="7">
          <cell r="A7" t="str">
            <v>AV System</v>
          </cell>
          <cell r="B7">
            <v>0</v>
          </cell>
          <cell r="C7">
            <v>5000</v>
          </cell>
          <cell r="D7">
            <v>0</v>
          </cell>
        </row>
        <row r="8">
          <cell r="A8" t="str">
            <v>BMS</v>
          </cell>
          <cell r="B8">
            <v>0</v>
          </cell>
          <cell r="C8">
            <v>40000</v>
          </cell>
          <cell r="D8">
            <v>0</v>
          </cell>
        </row>
        <row r="9">
          <cell r="A9" t="str">
            <v>Building Signage - all schools</v>
          </cell>
          <cell r="B9">
            <v>0</v>
          </cell>
          <cell r="C9">
            <v>5000</v>
          </cell>
          <cell r="D9">
            <v>0</v>
          </cell>
        </row>
        <row r="10">
          <cell r="A10" t="str">
            <v>Carpet Cleaning</v>
          </cell>
          <cell r="B10">
            <v>0</v>
          </cell>
          <cell r="C10">
            <v>0</v>
          </cell>
          <cell r="D10">
            <v>0</v>
          </cell>
        </row>
        <row r="11">
          <cell r="A11" t="str">
            <v>CCTV</v>
          </cell>
          <cell r="B11">
            <v>0</v>
          </cell>
          <cell r="C11">
            <v>200</v>
          </cell>
          <cell r="D11">
            <v>0</v>
          </cell>
        </row>
        <row r="12">
          <cell r="A12" t="str">
            <v>Central Battery System</v>
          </cell>
          <cell r="B12">
            <v>0</v>
          </cell>
          <cell r="C12">
            <v>10000</v>
          </cell>
          <cell r="D12">
            <v>0</v>
          </cell>
        </row>
        <row r="13">
          <cell r="A13" t="str">
            <v>Central Clock</v>
          </cell>
          <cell r="B13">
            <v>0</v>
          </cell>
          <cell r="C13">
            <v>10000</v>
          </cell>
          <cell r="D13">
            <v>0</v>
          </cell>
        </row>
        <row r="14">
          <cell r="A14" t="str">
            <v>Chilliers</v>
          </cell>
          <cell r="B14">
            <v>0</v>
          </cell>
          <cell r="C14">
            <v>40000</v>
          </cell>
          <cell r="D14">
            <v>0</v>
          </cell>
        </row>
        <row r="15">
          <cell r="A15" t="str">
            <v>Cooling Tower - consumables only</v>
          </cell>
          <cell r="B15">
            <v>0</v>
          </cell>
          <cell r="C15">
            <v>0</v>
          </cell>
          <cell r="D15">
            <v>0</v>
          </cell>
        </row>
        <row r="16">
          <cell r="A16" t="str">
            <v>Corian Cleaning</v>
          </cell>
          <cell r="B16">
            <v>0</v>
          </cell>
          <cell r="C16">
            <v>0</v>
          </cell>
          <cell r="D16">
            <v>0</v>
          </cell>
        </row>
        <row r="17">
          <cell r="A17" t="str">
            <v>Dimmers</v>
          </cell>
          <cell r="B17">
            <v>0</v>
          </cell>
          <cell r="C17">
            <v>0</v>
          </cell>
          <cell r="D17">
            <v>0</v>
          </cell>
        </row>
        <row r="18">
          <cell r="A18" t="str">
            <v>Emergency Lighting Maintenance</v>
          </cell>
          <cell r="B18">
            <v>0</v>
          </cell>
          <cell r="C18">
            <v>10000</v>
          </cell>
          <cell r="D18">
            <v>0</v>
          </cell>
        </row>
        <row r="19">
          <cell r="A19" t="str">
            <v>Façade / Window Cleaning</v>
          </cell>
          <cell r="B19">
            <v>0</v>
          </cell>
          <cell r="C19">
            <v>40000</v>
          </cell>
          <cell r="D19">
            <v>0</v>
          </cell>
        </row>
        <row r="20">
          <cell r="A20" t="str">
            <v xml:space="preserve">Fire AlarmSystem </v>
          </cell>
          <cell r="B20">
            <v>0</v>
          </cell>
          <cell r="C20">
            <v>10000</v>
          </cell>
          <cell r="D20">
            <v>0</v>
          </cell>
        </row>
        <row r="21">
          <cell r="A21" t="str">
            <v>Fire Fighting System</v>
          </cell>
          <cell r="B21">
            <v>0</v>
          </cell>
          <cell r="C21">
            <v>10000</v>
          </cell>
          <cell r="D21">
            <v>0</v>
          </cell>
        </row>
        <row r="22">
          <cell r="A22" t="str">
            <v>Garage Doors Maintenance</v>
          </cell>
          <cell r="B22">
            <v>0</v>
          </cell>
          <cell r="C22">
            <v>0</v>
          </cell>
          <cell r="D22">
            <v>0</v>
          </cell>
        </row>
        <row r="23">
          <cell r="A23" t="str">
            <v>Gate Barriers / Car Park Barriers</v>
          </cell>
          <cell r="B23">
            <v>0</v>
          </cell>
          <cell r="C23">
            <v>0</v>
          </cell>
          <cell r="D23">
            <v>0</v>
          </cell>
        </row>
        <row r="24">
          <cell r="A24" t="str">
            <v>Generators</v>
          </cell>
          <cell r="B24">
            <v>0</v>
          </cell>
          <cell r="C24">
            <v>10000</v>
          </cell>
          <cell r="D24">
            <v>0</v>
          </cell>
        </row>
        <row r="25">
          <cell r="A25" t="str">
            <v>Grease Trap Cleaning</v>
          </cell>
          <cell r="B25">
            <v>0</v>
          </cell>
          <cell r="C25">
            <v>0</v>
          </cell>
          <cell r="D25">
            <v>0</v>
          </cell>
        </row>
        <row r="26">
          <cell r="A26" t="str">
            <v>Intercom System</v>
          </cell>
          <cell r="B26">
            <v>0</v>
          </cell>
          <cell r="C26">
            <v>5000</v>
          </cell>
          <cell r="D26">
            <v>0</v>
          </cell>
        </row>
        <row r="27">
          <cell r="A27" t="str">
            <v>Kitchen Equipment</v>
          </cell>
          <cell r="B27">
            <v>0</v>
          </cell>
          <cell r="C27">
            <v>0</v>
          </cell>
          <cell r="D27">
            <v>0</v>
          </cell>
        </row>
        <row r="28">
          <cell r="A28" t="str">
            <v>Landscaping</v>
          </cell>
          <cell r="B28">
            <v>0</v>
          </cell>
          <cell r="C28">
            <v>42000</v>
          </cell>
          <cell r="D28">
            <v>0</v>
          </cell>
        </row>
        <row r="29">
          <cell r="A29" t="str">
            <v>Lifts / Escalators</v>
          </cell>
          <cell r="B29">
            <v>0</v>
          </cell>
          <cell r="C29">
            <v>0</v>
          </cell>
          <cell r="D29">
            <v>0</v>
          </cell>
        </row>
        <row r="30">
          <cell r="A30" t="str">
            <v>Lighting Control System</v>
          </cell>
          <cell r="B30">
            <v>0</v>
          </cell>
          <cell r="C30">
            <v>10000</v>
          </cell>
          <cell r="D30">
            <v>0</v>
          </cell>
        </row>
        <row r="31">
          <cell r="A31" t="str">
            <v>Lightning Protection System</v>
          </cell>
          <cell r="B31">
            <v>0</v>
          </cell>
          <cell r="C31">
            <v>0</v>
          </cell>
          <cell r="D31">
            <v>0</v>
          </cell>
        </row>
        <row r="32">
          <cell r="A32" t="str">
            <v>LPG System</v>
          </cell>
          <cell r="B32">
            <v>0</v>
          </cell>
          <cell r="C32">
            <v>0</v>
          </cell>
          <cell r="D32">
            <v>0</v>
          </cell>
        </row>
        <row r="33">
          <cell r="A33" t="str">
            <v>Others: please specify</v>
          </cell>
          <cell r="B33">
            <v>0</v>
          </cell>
          <cell r="C33">
            <v>0</v>
          </cell>
          <cell r="D33">
            <v>0</v>
          </cell>
        </row>
        <row r="34">
          <cell r="A34" t="str">
            <v>Pest Control</v>
          </cell>
          <cell r="B34">
            <v>0</v>
          </cell>
          <cell r="C34">
            <v>0</v>
          </cell>
          <cell r="D34">
            <v>0</v>
          </cell>
        </row>
        <row r="35">
          <cell r="A35" t="str">
            <v>Public Address System</v>
          </cell>
          <cell r="B35">
            <v>0</v>
          </cell>
          <cell r="C35">
            <v>10000</v>
          </cell>
          <cell r="D35">
            <v>0</v>
          </cell>
        </row>
        <row r="36">
          <cell r="A36" t="str">
            <v>Signage Maintenance</v>
          </cell>
          <cell r="B36">
            <v>0</v>
          </cell>
          <cell r="C36">
            <v>5000</v>
          </cell>
          <cell r="D36">
            <v>0</v>
          </cell>
        </row>
        <row r="37">
          <cell r="A37" t="str">
            <v>Swimming Pools Maintenance</v>
          </cell>
          <cell r="B37">
            <v>0</v>
          </cell>
          <cell r="C37">
            <v>18000</v>
          </cell>
          <cell r="D37">
            <v>0</v>
          </cell>
        </row>
        <row r="38">
          <cell r="A38" t="str">
            <v>UPS</v>
          </cell>
          <cell r="B38">
            <v>0</v>
          </cell>
          <cell r="C38">
            <v>20000</v>
          </cell>
          <cell r="D38">
            <v>0</v>
          </cell>
        </row>
        <row r="39">
          <cell r="A39" t="str">
            <v>Waste Management</v>
          </cell>
          <cell r="B39">
            <v>0</v>
          </cell>
          <cell r="C39">
            <v>0</v>
          </cell>
          <cell r="D39">
            <v>0</v>
          </cell>
        </row>
        <row r="40">
          <cell r="A40" t="str">
            <v>Water Tank cleaning and testing</v>
          </cell>
          <cell r="B40">
            <v>0</v>
          </cell>
          <cell r="C40">
            <v>2500</v>
          </cell>
          <cell r="D40">
            <v>0</v>
          </cell>
        </row>
        <row r="41">
          <cell r="A41" t="str">
            <v>Water Treatment - Chilled / Domestic Water</v>
          </cell>
          <cell r="B41">
            <v>0</v>
          </cell>
          <cell r="C41">
            <v>0</v>
          </cell>
          <cell r="D41">
            <v>0</v>
          </cell>
        </row>
        <row r="42">
          <cell r="A42">
            <v>0</v>
          </cell>
          <cell r="B42">
            <v>0</v>
          </cell>
          <cell r="C42">
            <v>0</v>
          </cell>
          <cell r="D42">
            <v>0</v>
          </cell>
        </row>
      </sheetData>
      <sheetData sheetId="9"/>
      <sheetData sheetId="10"/>
      <sheetData sheetId="11"/>
      <sheetData sheetId="12"/>
      <sheetData sheetId="13"/>
      <sheetData sheetId="14"/>
      <sheetData sheetId="15"/>
      <sheetData sheetId="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us Summary"/>
      <sheetName val="Status Summary (E)"/>
      <sheetName val="Financial Overview"/>
      <sheetName val="Financial Overview (E)"/>
      <sheetName val="FCS - Group Consolidated"/>
      <sheetName val="FCS - Group Consolidated (E)"/>
      <sheetName val="FCS - Project Consolidated"/>
      <sheetName val="FCS - Project Consolidated (E)"/>
      <sheetName val="Variance Explanations"/>
      <sheetName val="Variance Explanations (E)"/>
      <sheetName val="Risk &amp; Opportunities"/>
      <sheetName val="Risk &amp; Opportunities (E)"/>
      <sheetName val="Cash Flow"/>
      <sheetName val="Cash Flow (E)"/>
      <sheetName val="Project Execution"/>
      <sheetName val="Project Execution (E)"/>
      <sheetName val="DOUBLE CHECK"/>
      <sheetName val="Default"/>
      <sheetName val="MACROS"/>
      <sheetName val="Cost Rates"/>
      <sheetName val="OH Var."/>
      <sheetName val="Overheads"/>
      <sheetName val="TC - Act 1200"/>
      <sheetName val="TC - Actuals"/>
      <sheetName val="MH - Actuals"/>
      <sheetName val="TC - ATS"/>
      <sheetName val="MH - ATS"/>
      <sheetName val="FCS - ATS"/>
      <sheetName val="TC - CUS"/>
      <sheetName val="MH - CUS"/>
      <sheetName val="FCS - CUS"/>
      <sheetName val="TC - DRI"/>
      <sheetName val="MH - DRI"/>
      <sheetName val="FCS - DRI"/>
      <sheetName val="TC - ICT"/>
      <sheetName val="MH - ICT"/>
      <sheetName val="FCS - ICT"/>
      <sheetName val="TC - LOC"/>
      <sheetName val="MH - LOC"/>
      <sheetName val="FCS - LOC"/>
      <sheetName val="TC - MET"/>
      <sheetName val="MH - MET"/>
      <sheetName val="FCS - MET"/>
      <sheetName val="TC - PRP"/>
      <sheetName val="MH - PRP"/>
      <sheetName val="FCS - PRP"/>
      <sheetName val="TC - REG"/>
      <sheetName val="MH - REG"/>
      <sheetName val="FCS - REG"/>
      <sheetName val="TC - SIG"/>
      <sheetName val="MH - SIG"/>
      <sheetName val="FCS - SIG"/>
      <sheetName val="TC - TCC"/>
      <sheetName val="MH - TCC"/>
      <sheetName val="FCS - TCC"/>
      <sheetName val="TC - TRS"/>
      <sheetName val="MH - TRS"/>
      <sheetName val="FCS - TRS"/>
      <sheetName val="TC - CP"/>
      <sheetName val="MH - CP"/>
      <sheetName val="FCS - CP"/>
      <sheetName val="TC - Summary"/>
      <sheetName val="MH - Summary"/>
      <sheetName val="FCS - Summary"/>
      <sheetName val="FCS View"/>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57">
          <cell r="C57" t="str">
            <v>ats</v>
          </cell>
        </row>
        <row r="58">
          <cell r="C58" t="str">
            <v>sig</v>
          </cell>
        </row>
        <row r="59">
          <cell r="C59" t="str">
            <v>trs</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Key Highlights"/>
      <sheetName val="FCast F2004 and Budget F2005"/>
      <sheetName val="Budget recon"/>
      <sheetName val="New business"/>
      <sheetName val="Recon on costs"/>
      <sheetName val="Overheads Forecast"/>
      <sheetName val="IALCH"/>
      <sheetName val="Sustainable"/>
      <sheetName val="Budget Assumptions"/>
      <sheetName val="Top 5"/>
      <sheetName val="Cash Recon"/>
      <sheetName val="Key Assumptions F2005 6 7 8"/>
      <sheetName val="Assumptions Cashflow"/>
      <sheetName val="If business closes"/>
      <sheetName val="Monthly Cash chart"/>
      <sheetName val="ScatterGraph"/>
      <sheetName val="Daily bank balances ACTUAL"/>
      <sheetName val="Scattergraph Data"/>
      <sheetName val="Daily bank balances PROJ"/>
      <sheetName val="Daily Cash balances"/>
      <sheetName val="Cash Peaks&amp; Lows"/>
      <sheetName val="Assumptions FCast2"/>
      <sheetName val="Interest"/>
      <sheetName val="Sheet2"/>
      <sheetName val="Scenario Modelling"/>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us Summary"/>
      <sheetName val="Status Summary (E)"/>
      <sheetName val="Financial Overview"/>
      <sheetName val="Financial Overview (E)"/>
      <sheetName val="FCS - Group Consolidated"/>
      <sheetName val="FCS - Group Consolidated (E)"/>
      <sheetName val="FCS - Project Consolidated"/>
      <sheetName val="FCS - Project Consolidated (E)"/>
      <sheetName val="Variance Explanations"/>
      <sheetName val="Variance Explanations (E)"/>
      <sheetName val="Risk &amp; Opportunities"/>
      <sheetName val="Risk &amp; Opportunities (E)"/>
      <sheetName val="Cash Flow"/>
      <sheetName val="Cash Flow (E)"/>
      <sheetName val="Project Execution"/>
      <sheetName val="Project Execution (E)"/>
      <sheetName val="DOUBLE CHECK"/>
      <sheetName val="Default"/>
      <sheetName val="MACROS"/>
      <sheetName val="Cost Rates"/>
      <sheetName val="Overheads"/>
      <sheetName val="TC - Act 1200"/>
      <sheetName val="TC - Actuals"/>
      <sheetName val="MH - Actuals"/>
      <sheetName val="MH - ATS"/>
      <sheetName val="TC - ATS"/>
      <sheetName val="FCS - ATS"/>
      <sheetName val="TC - CUS"/>
      <sheetName val="MH - CUS"/>
      <sheetName val="FCS - CUS"/>
      <sheetName val="TC - DRI"/>
      <sheetName val="MH - DRI"/>
      <sheetName val="FCS - DRI"/>
      <sheetName val="TC - ICT"/>
      <sheetName val="MH - ICT"/>
      <sheetName val="FCS - ICT"/>
      <sheetName val="TC - LOC"/>
      <sheetName val="MH - LOC"/>
      <sheetName val="FCS - LOC"/>
      <sheetName val="TC - MET"/>
      <sheetName val="MH - MET"/>
      <sheetName val="FCS - MET"/>
      <sheetName val="TC - PRP"/>
      <sheetName val="MH - PRP"/>
      <sheetName val="FCS - PRP"/>
      <sheetName val="TC - REG"/>
      <sheetName val="MH - REG"/>
      <sheetName val="FCS - REG"/>
      <sheetName val="TC - SIG"/>
      <sheetName val="MH - SIG"/>
      <sheetName val="FCS - SIG"/>
      <sheetName val="TC - TCC"/>
      <sheetName val="MH - TCC"/>
      <sheetName val="FCS - TCC"/>
      <sheetName val="TC - TRS"/>
      <sheetName val="MH - TRS"/>
      <sheetName val="FCS - TRS"/>
      <sheetName val="TC - CP"/>
      <sheetName val="MH - CP"/>
      <sheetName val="FCS - CP"/>
      <sheetName val="TC - Summary"/>
      <sheetName val="MH - Summary"/>
      <sheetName val="phase1"/>
      <sheetName val="Ph1view"/>
      <sheetName val="FCS - Summary"/>
      <sheetName val="FCS View"/>
      <sheetName val="He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D8" t="str">
            <v>Madrid Barajas APM</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Tables"/>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inputs"/>
      <sheetName val="lookup tables"/>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 REV"/>
    </sheetNames>
    <sheetDataSet>
      <sheetData sheetId="0" refreshError="1">
        <row r="13">
          <cell r="T13">
            <v>9</v>
          </cell>
        </row>
        <row r="14">
          <cell r="T14">
            <v>30</v>
          </cell>
        </row>
        <row r="15">
          <cell r="T15">
            <v>98</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ducation"/>
      <sheetName val="Furniture"/>
      <sheetName val="Gratuity"/>
      <sheetName val="Leave Encashment"/>
      <sheetName val="Insurance"/>
      <sheetName val=" LTA"/>
      <sheetName val="Medical-1"/>
      <sheetName val="Mobilisation Cost"/>
      <sheetName val="Recruitment Cost"/>
      <sheetName val="Training Cost"/>
      <sheetName val="Visa 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xed Deposits"/>
      <sheetName val="Pivot Table - Daily"/>
      <sheetName val="Pivot Table - Mthly"/>
      <sheetName val="Matured"/>
      <sheetName val="Pivot Chart - Mthly"/>
      <sheetName val="Placement Summary"/>
      <sheetName val="Withdraw"/>
      <sheetName val="Compare"/>
      <sheetName val="Deposit Reco"/>
      <sheetName val="Accrued Interest"/>
      <sheetName val="Re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D4">
            <v>37987</v>
          </cell>
        </row>
        <row r="5">
          <cell r="D5">
            <v>38353</v>
          </cell>
        </row>
      </sheetData>
      <sheetData sheetId="1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Time Series"/>
      <sheetName val="Price Summary"/>
      <sheetName val="Data"/>
      <sheetName val="RES"/>
      <sheetName val="EQ&amp;M"/>
      <sheetName val="S2_PS"/>
      <sheetName val="MA_PS"/>
      <sheetName val="S3_PS"/>
      <sheetName val="S4_PS"/>
      <sheetName val="BE_PS"/>
      <sheetName val="OS_PS"/>
      <sheetName val="IM_PS"/>
      <sheetName val="CD_PS"/>
      <sheetName val="CP_PS"/>
      <sheetName val="WM_PS"/>
      <sheetName val="Delight"/>
      <sheetName val="Help"/>
      <sheetName val="EP"/>
    </sheetNames>
    <sheetDataSet>
      <sheetData sheetId="0" refreshError="1"/>
      <sheetData sheetId="1" refreshError="1"/>
      <sheetData sheetId="2" refreshError="1"/>
      <sheetData sheetId="3" refreshError="1"/>
      <sheetData sheetId="4">
        <row r="7">
          <cell r="B7" t="str">
            <v>FM Director</v>
          </cell>
        </row>
        <row r="8">
          <cell r="B8" t="str">
            <v>PA/Office Manager</v>
          </cell>
        </row>
        <row r="9">
          <cell r="B9" t="str">
            <v>Senior Executive</v>
          </cell>
        </row>
        <row r="10">
          <cell r="B10" t="str">
            <v>Head FM Operations</v>
          </cell>
        </row>
        <row r="11">
          <cell r="B11" t="str">
            <v>Security Manager</v>
          </cell>
        </row>
        <row r="12">
          <cell r="B12" t="str">
            <v>Asst. Security Manager</v>
          </cell>
        </row>
        <row r="13">
          <cell r="B13" t="str">
            <v>Security Supervisor</v>
          </cell>
        </row>
        <row r="14">
          <cell r="B14" t="str">
            <v>Security Personnel</v>
          </cell>
        </row>
        <row r="15">
          <cell r="B15" t="str">
            <v>Monitoring Security Personnel</v>
          </cell>
        </row>
        <row r="16">
          <cell r="B16" t="str">
            <v>Concierge</v>
          </cell>
        </row>
        <row r="17">
          <cell r="B17" t="str">
            <v>Concierge Supervisor</v>
          </cell>
        </row>
        <row r="18">
          <cell r="B18" t="str">
            <v>Marina Security</v>
          </cell>
        </row>
        <row r="19">
          <cell r="B19" t="str">
            <v>Parking Attendant</v>
          </cell>
        </row>
        <row r="20">
          <cell r="B20" t="str">
            <v>Soft Service Manager</v>
          </cell>
        </row>
        <row r="21">
          <cell r="B21" t="str">
            <v>Open Space Manager</v>
          </cell>
        </row>
        <row r="22">
          <cell r="B22" t="str">
            <v>Asst. Manager Inspection</v>
          </cell>
        </row>
        <row r="23">
          <cell r="B23" t="str">
            <v>Traffic Controller</v>
          </cell>
        </row>
        <row r="24">
          <cell r="B24" t="str">
            <v>Cleaning Manager</v>
          </cell>
        </row>
        <row r="25">
          <cell r="B25" t="str">
            <v>Cleaner Building</v>
          </cell>
        </row>
        <row r="26">
          <cell r="B26" t="str">
            <v>Cleaner Hardscape</v>
          </cell>
        </row>
        <row r="27">
          <cell r="B27" t="str">
            <v>Cleaner PA</v>
          </cell>
        </row>
        <row r="28">
          <cell r="B28" t="str">
            <v>Cleaner VB &amp; MC</v>
          </cell>
        </row>
        <row r="29">
          <cell r="B29" t="str">
            <v>Cleaner QQ &amp; AQ</v>
          </cell>
        </row>
        <row r="30">
          <cell r="B30" t="str">
            <v>Cleaner Softscape</v>
          </cell>
        </row>
        <row r="31">
          <cell r="B31" t="str">
            <v>Cleaner Boardwalk</v>
          </cell>
        </row>
        <row r="32">
          <cell r="B32" t="str">
            <v>Cleaner Beaches</v>
          </cell>
        </row>
        <row r="33">
          <cell r="B33" t="str">
            <v>Irrigation Supervisor</v>
          </cell>
        </row>
        <row r="34">
          <cell r="B34" t="str">
            <v>Cleaner Infrastructure</v>
          </cell>
        </row>
        <row r="35">
          <cell r="B35" t="str">
            <v>Cleaning Team Leader</v>
          </cell>
        </row>
        <row r="36">
          <cell r="B36" t="str">
            <v>Cleaning Supervisor</v>
          </cell>
        </row>
        <row r="37">
          <cell r="B37" t="str">
            <v>Pest Control Team Leader</v>
          </cell>
        </row>
        <row r="38">
          <cell r="B38" t="str">
            <v>Pest Controller</v>
          </cell>
        </row>
        <row r="39">
          <cell r="B39" t="str">
            <v>Waste Management Manager</v>
          </cell>
        </row>
        <row r="40">
          <cell r="B40" t="str">
            <v>Waste Management Supervisor</v>
          </cell>
        </row>
        <row r="41">
          <cell r="B41" t="str">
            <v>Waste Collection Personnel</v>
          </cell>
        </row>
        <row r="42">
          <cell r="B42" t="str">
            <v>Gardner</v>
          </cell>
        </row>
        <row r="43">
          <cell r="B43" t="str">
            <v>Marine Engineer</v>
          </cell>
        </row>
        <row r="44">
          <cell r="B44" t="str">
            <v>Engineering Technician</v>
          </cell>
        </row>
        <row r="45">
          <cell r="B45" t="str">
            <v>Settlement Monitoring Supervisor</v>
          </cell>
        </row>
        <row r="46">
          <cell r="B46" t="str">
            <v>Marine Inspector</v>
          </cell>
        </row>
        <row r="47">
          <cell r="B47" t="str">
            <v>Hard Services Manager</v>
          </cell>
        </row>
        <row r="48">
          <cell r="B48" t="str">
            <v>Road Inspection Engineer</v>
          </cell>
        </row>
        <row r="49">
          <cell r="B49" t="str">
            <v>Mechanical, HVAC, Plumbing Manager</v>
          </cell>
        </row>
        <row r="50">
          <cell r="B50" t="str">
            <v>Utilities Coordinator</v>
          </cell>
        </row>
        <row r="51">
          <cell r="B51" t="str">
            <v>Workshop Manager</v>
          </cell>
        </row>
        <row r="52">
          <cell r="B52" t="str">
            <v>Vertical Transport Manager</v>
          </cell>
        </row>
        <row r="53">
          <cell r="B53" t="str">
            <v>Vertical Transport Supervisor</v>
          </cell>
        </row>
        <row r="54">
          <cell r="B54" t="str">
            <v>Plumbing Manager</v>
          </cell>
        </row>
        <row r="55">
          <cell r="B55" t="str">
            <v>HVAC Manager</v>
          </cell>
        </row>
        <row r="56">
          <cell r="B56" t="str">
            <v>Swimming Pool Supervisor</v>
          </cell>
        </row>
        <row r="57">
          <cell r="B57" t="str">
            <v>Fire System Manager</v>
          </cell>
        </row>
        <row r="58">
          <cell r="B58" t="str">
            <v>Mechanical Supervisor</v>
          </cell>
        </row>
        <row r="59">
          <cell r="B59" t="str">
            <v>Fire System Technician</v>
          </cell>
        </row>
        <row r="60">
          <cell r="B60" t="str">
            <v>Fire System Plumber</v>
          </cell>
        </row>
        <row r="61">
          <cell r="B61" t="str">
            <v>Electrical Supervisor</v>
          </cell>
        </row>
        <row r="62">
          <cell r="B62" t="str">
            <v>Infrastructure Supervisor</v>
          </cell>
        </row>
        <row r="63">
          <cell r="B63" t="str">
            <v>Plumbing Supervisor</v>
          </cell>
        </row>
        <row r="64">
          <cell r="B64" t="str">
            <v>Soft Landscaping Supervisor</v>
          </cell>
        </row>
        <row r="65">
          <cell r="B65" t="str">
            <v>Hard Landscaping Supervisor</v>
          </cell>
        </row>
        <row r="66">
          <cell r="B66" t="str">
            <v>HVAC Supervisor</v>
          </cell>
        </row>
        <row r="67">
          <cell r="B67" t="str">
            <v>Carpenter</v>
          </cell>
        </row>
        <row r="68">
          <cell r="B68" t="str">
            <v>Plumber</v>
          </cell>
        </row>
        <row r="69">
          <cell r="B69" t="str">
            <v>Civil Work Supervisor</v>
          </cell>
        </row>
        <row r="70">
          <cell r="B70" t="str">
            <v>Infrastructure Supervisor</v>
          </cell>
        </row>
        <row r="71">
          <cell r="B71" t="str">
            <v>Electronics Technician</v>
          </cell>
        </row>
        <row r="72">
          <cell r="B72" t="str">
            <v>Mechanic Elevator</v>
          </cell>
        </row>
        <row r="73">
          <cell r="B73" t="str">
            <v>Mechanic General</v>
          </cell>
        </row>
        <row r="74">
          <cell r="B74" t="str">
            <v>Electrical Technician</v>
          </cell>
        </row>
        <row r="75">
          <cell r="B75" t="str">
            <v>Electrical Technician HV</v>
          </cell>
        </row>
        <row r="76">
          <cell r="B76" t="str">
            <v>Electrical Technician MV</v>
          </cell>
        </row>
        <row r="77">
          <cell r="B77" t="str">
            <v>Technician Air Conditioning</v>
          </cell>
        </row>
        <row r="78">
          <cell r="B78" t="str">
            <v>Technician Appliance</v>
          </cell>
        </row>
        <row r="79">
          <cell r="B79" t="str">
            <v>Technician Instrumentation</v>
          </cell>
        </row>
        <row r="80">
          <cell r="B80" t="str">
            <v>Technician Marine</v>
          </cell>
        </row>
        <row r="81">
          <cell r="B81" t="str">
            <v>Technician Telephone/Comms</v>
          </cell>
        </row>
        <row r="82">
          <cell r="B82" t="str">
            <v>Technician Swimming pool</v>
          </cell>
        </row>
        <row r="83">
          <cell r="B83" t="str">
            <v>Pipe Fitter</v>
          </cell>
        </row>
        <row r="84">
          <cell r="B84" t="str">
            <v>Tiller</v>
          </cell>
        </row>
        <row r="85">
          <cell r="B85" t="str">
            <v>Helper</v>
          </cell>
        </row>
        <row r="86">
          <cell r="B86" t="str">
            <v>Labour</v>
          </cell>
        </row>
        <row r="87">
          <cell r="B87" t="str">
            <v>Mason</v>
          </cell>
        </row>
        <row r="88">
          <cell r="B88" t="str">
            <v>Painter</v>
          </cell>
        </row>
        <row r="89">
          <cell r="B89" t="str">
            <v>Welder</v>
          </cell>
        </row>
        <row r="90">
          <cell r="B90" t="str">
            <v>Machinist</v>
          </cell>
        </row>
        <row r="91">
          <cell r="B91" t="str">
            <v>OCCC/Call Centre Manager</v>
          </cell>
        </row>
        <row r="92">
          <cell r="B92" t="str">
            <v>OCCC Supervisor</v>
          </cell>
        </row>
        <row r="93">
          <cell r="B93" t="str">
            <v>OCCC operators</v>
          </cell>
        </row>
        <row r="94">
          <cell r="B94" t="str">
            <v>Customer Service Manager</v>
          </cell>
        </row>
        <row r="95">
          <cell r="B95" t="str">
            <v>Customer Service Operators</v>
          </cell>
        </row>
        <row r="96">
          <cell r="B96" t="str">
            <v>Help Desk Manager</v>
          </cell>
        </row>
        <row r="97">
          <cell r="B97" t="str">
            <v>Help Desk Operator</v>
          </cell>
        </row>
        <row r="98">
          <cell r="B98" t="str">
            <v>Monitoring Supervisor</v>
          </cell>
        </row>
        <row r="99">
          <cell r="B99" t="str">
            <v>BMS Monitoring Operator</v>
          </cell>
        </row>
        <row r="100">
          <cell r="B100" t="str">
            <v>Building/Infrastructure Manager</v>
          </cell>
        </row>
        <row r="101">
          <cell r="B101" t="str">
            <v>Joinery Supervisor</v>
          </cell>
        </row>
        <row r="102">
          <cell r="B102" t="str">
            <v>Civil Supervisor</v>
          </cell>
        </row>
        <row r="103">
          <cell r="B103" t="str">
            <v>Painting/ Decoration Supervisor</v>
          </cell>
        </row>
        <row r="104">
          <cell r="B104" t="str">
            <v>Electrical Manager</v>
          </cell>
        </row>
        <row r="105">
          <cell r="B105" t="str">
            <v>Comms and AV Supervisor</v>
          </cell>
        </row>
        <row r="106">
          <cell r="B106" t="str">
            <v>Electrical Auto Vehicle Supervisor</v>
          </cell>
        </row>
        <row r="107">
          <cell r="B107" t="str">
            <v>HV Supervisor</v>
          </cell>
        </row>
        <row r="108">
          <cell r="B108" t="str">
            <v>MV/LV Supervisor</v>
          </cell>
        </row>
        <row r="109">
          <cell r="B109" t="str">
            <v>Fire &amp; Safety Control Supervisor</v>
          </cell>
        </row>
        <row r="110">
          <cell r="B110" t="str">
            <v>Integrated System Supervisor</v>
          </cell>
        </row>
        <row r="111">
          <cell r="B111" t="str">
            <v>Mechanical Engineer</v>
          </cell>
        </row>
        <row r="112">
          <cell r="B112" t="str">
            <v>Electrical Engineer</v>
          </cell>
        </row>
        <row r="113">
          <cell r="B113" t="str">
            <v>Civil Engineer</v>
          </cell>
        </row>
        <row r="114">
          <cell r="B114" t="str">
            <v>Finishes Engineer</v>
          </cell>
        </row>
        <row r="115">
          <cell r="B115" t="str">
            <v>Transition Manager</v>
          </cell>
        </row>
        <row r="116">
          <cell r="B116" t="str">
            <v>BMS Technician</v>
          </cell>
        </row>
        <row r="117">
          <cell r="B117" t="str">
            <v>Head of Administration</v>
          </cell>
        </row>
        <row r="118">
          <cell r="B118" t="str">
            <v>Finance &amp; Admin Manager</v>
          </cell>
        </row>
        <row r="119">
          <cell r="B119" t="str">
            <v>Senior Accountant</v>
          </cell>
        </row>
        <row r="120">
          <cell r="B120" t="str">
            <v>Financial Accountant</v>
          </cell>
        </row>
        <row r="121">
          <cell r="B121" t="str">
            <v>Management Accountant</v>
          </cell>
        </row>
        <row r="122">
          <cell r="B122" t="str">
            <v>AP Staff</v>
          </cell>
        </row>
        <row r="123">
          <cell r="B123" t="str">
            <v>Payroll Manager</v>
          </cell>
        </row>
        <row r="124">
          <cell r="B124" t="str">
            <v>Payroll Staff</v>
          </cell>
        </row>
        <row r="125">
          <cell r="B125" t="str">
            <v>Fleet Manager</v>
          </cell>
        </row>
        <row r="126">
          <cell r="B126" t="str">
            <v>HR &amp; Training Manager</v>
          </cell>
        </row>
        <row r="127">
          <cell r="B127" t="str">
            <v>HR Recruitment Coordinator</v>
          </cell>
        </row>
        <row r="128">
          <cell r="B128" t="str">
            <v>Training Coordinator</v>
          </cell>
        </row>
        <row r="129">
          <cell r="B129" t="str">
            <v>Trainer</v>
          </cell>
        </row>
        <row r="130">
          <cell r="B130" t="str">
            <v>Transport &amp; Accommodation Manager</v>
          </cell>
        </row>
        <row r="131">
          <cell r="B131" t="str">
            <v>HR Staff</v>
          </cell>
        </row>
        <row r="132">
          <cell r="B132" t="str">
            <v>Driver Heavy Vehicle</v>
          </cell>
        </row>
        <row r="133">
          <cell r="B133" t="str">
            <v>Driver Machineries</v>
          </cell>
        </row>
        <row r="134">
          <cell r="B134" t="str">
            <v>Driver Cleaning Vehicle</v>
          </cell>
        </row>
        <row r="135">
          <cell r="B135" t="str">
            <v>Driver Waste Vehicle</v>
          </cell>
        </row>
        <row r="136">
          <cell r="B136" t="str">
            <v>Drivers Bus</v>
          </cell>
        </row>
        <row r="137">
          <cell r="B137" t="str">
            <v>Maintenance Clark</v>
          </cell>
        </row>
        <row r="138">
          <cell r="B138" t="str">
            <v>Office Staff</v>
          </cell>
        </row>
        <row r="139">
          <cell r="B139" t="str">
            <v>Oracle ERP Data Entry Clark</v>
          </cell>
        </row>
        <row r="140">
          <cell r="B140" t="str">
            <v>Procurement Manager</v>
          </cell>
        </row>
        <row r="141">
          <cell r="B141" t="str">
            <v>Inventory Manager</v>
          </cell>
        </row>
        <row r="142">
          <cell r="B142" t="str">
            <v>Procurement Coordinator</v>
          </cell>
        </row>
        <row r="143">
          <cell r="B143" t="str">
            <v>Information System Manager</v>
          </cell>
        </row>
        <row r="144">
          <cell r="B144" t="str">
            <v>IT Network Engineer</v>
          </cell>
        </row>
        <row r="145">
          <cell r="B145" t="str">
            <v>System Support</v>
          </cell>
        </row>
        <row r="146">
          <cell r="B146" t="str">
            <v>Data Collection Coordinator</v>
          </cell>
        </row>
        <row r="147">
          <cell r="B147" t="str">
            <v>Head of Governance</v>
          </cell>
        </row>
        <row r="148">
          <cell r="B148" t="str">
            <v>Quality Manager</v>
          </cell>
        </row>
        <row r="149">
          <cell r="B149" t="str">
            <v>Quality Auditors</v>
          </cell>
        </row>
        <row r="150">
          <cell r="B150" t="str">
            <v>Risk Manager</v>
          </cell>
        </row>
        <row r="151">
          <cell r="B151" t="str">
            <v>Environmental Manager</v>
          </cell>
        </row>
        <row r="152">
          <cell r="B152" t="str">
            <v>Health &amp; Safety Manager</v>
          </cell>
        </row>
        <row r="153">
          <cell r="B153" t="str">
            <v>Asset Manager</v>
          </cell>
        </row>
        <row r="154">
          <cell r="B154" t="str">
            <v>Planner</v>
          </cell>
        </row>
        <row r="155">
          <cell r="B155" t="str">
            <v>Analyst</v>
          </cell>
        </row>
        <row r="156">
          <cell r="B156" t="str">
            <v>Document Controller</v>
          </cell>
        </row>
        <row r="157">
          <cell r="B157" t="str">
            <v>CAD Operator</v>
          </cell>
        </row>
        <row r="158">
          <cell r="B158" t="str">
            <v>Mobilisation Manager</v>
          </cell>
        </row>
        <row r="159">
          <cell r="B159" t="str">
            <v>Admin Assistant</v>
          </cell>
        </row>
        <row r="160">
          <cell r="B160" t="str">
            <v>Gardening Supervisor</v>
          </cell>
        </row>
        <row r="161">
          <cell r="B161" t="str">
            <v>Horticulturist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3">
          <cell r="B3" t="str">
            <v>THE PEARL QATAR</v>
          </cell>
        </row>
        <row r="4">
          <cell r="H4" t="str">
            <v>TPQ-00</v>
          </cell>
        </row>
        <row r="5">
          <cell r="H5" t="str">
            <v>TPQ-1a</v>
          </cell>
        </row>
        <row r="6">
          <cell r="H6" t="str">
            <v>TPQ-1b</v>
          </cell>
        </row>
        <row r="7">
          <cell r="H7" t="str">
            <v>TPQ-2</v>
          </cell>
        </row>
        <row r="8">
          <cell r="H8" t="str">
            <v>TPQ-3</v>
          </cell>
        </row>
        <row r="9">
          <cell r="H9" t="str">
            <v>TPQ-M</v>
          </cell>
        </row>
        <row r="10">
          <cell r="H10" t="str">
            <v>AQ-00</v>
          </cell>
        </row>
        <row r="11">
          <cell r="H11" t="str">
            <v>AQ-01</v>
          </cell>
        </row>
        <row r="12">
          <cell r="H12" t="str">
            <v>AQ-02</v>
          </cell>
        </row>
        <row r="13">
          <cell r="H13" t="str">
            <v>AQ-03 BeachClub</v>
          </cell>
        </row>
        <row r="14">
          <cell r="H14" t="str">
            <v>AQ-04 Beach Club</v>
          </cell>
        </row>
        <row r="15">
          <cell r="H15" t="str">
            <v>AQ-03 Beach Club Retail</v>
          </cell>
        </row>
        <row r="16">
          <cell r="H16" t="str">
            <v>AQ-04 Beach Club Retail</v>
          </cell>
        </row>
        <row r="17">
          <cell r="H17" t="str">
            <v>AQ-05</v>
          </cell>
        </row>
        <row r="18">
          <cell r="H18" t="str">
            <v>AQ-06</v>
          </cell>
        </row>
        <row r="19">
          <cell r="H19" t="str">
            <v>AQ-07</v>
          </cell>
        </row>
        <row r="20">
          <cell r="H20" t="str">
            <v>BVN-00</v>
          </cell>
        </row>
        <row r="21">
          <cell r="H21" t="str">
            <v>BVN-01</v>
          </cell>
        </row>
        <row r="22">
          <cell r="H22" t="str">
            <v>BVN-02</v>
          </cell>
        </row>
        <row r="23">
          <cell r="H23" t="str">
            <v>BVN-03</v>
          </cell>
        </row>
        <row r="24">
          <cell r="H24" t="str">
            <v>BVN-04</v>
          </cell>
        </row>
        <row r="25">
          <cell r="H25" t="str">
            <v>BVN-05</v>
          </cell>
        </row>
        <row r="26">
          <cell r="H26" t="str">
            <v>BVN-06</v>
          </cell>
        </row>
        <row r="27">
          <cell r="H27" t="str">
            <v>BVN-07</v>
          </cell>
        </row>
        <row r="28">
          <cell r="H28" t="str">
            <v>BVN-08</v>
          </cell>
        </row>
        <row r="29">
          <cell r="H29" t="str">
            <v>BVN-09</v>
          </cell>
        </row>
        <row r="30">
          <cell r="H30" t="str">
            <v>BVN-10</v>
          </cell>
        </row>
        <row r="31">
          <cell r="H31" t="str">
            <v>BVN-11</v>
          </cell>
        </row>
        <row r="32">
          <cell r="H32" t="str">
            <v>BVN-12</v>
          </cell>
        </row>
        <row r="33">
          <cell r="H33" t="str">
            <v>BVN-13</v>
          </cell>
        </row>
        <row r="34">
          <cell r="H34" t="str">
            <v>BVN-14</v>
          </cell>
        </row>
        <row r="35">
          <cell r="H35" t="str">
            <v>BVN-15</v>
          </cell>
        </row>
        <row r="36">
          <cell r="H36" t="str">
            <v>BVN-16</v>
          </cell>
        </row>
        <row r="37">
          <cell r="H37" t="str">
            <v>BVN-17</v>
          </cell>
        </row>
        <row r="38">
          <cell r="H38" t="str">
            <v>BVN-18</v>
          </cell>
        </row>
        <row r="39">
          <cell r="H39" t="str">
            <v>BVN-19</v>
          </cell>
        </row>
        <row r="40">
          <cell r="H40" t="str">
            <v>BVN-20</v>
          </cell>
        </row>
        <row r="41">
          <cell r="H41" t="str">
            <v>BVN-21</v>
          </cell>
        </row>
        <row r="42">
          <cell r="H42" t="str">
            <v>BVN-22</v>
          </cell>
        </row>
        <row r="43">
          <cell r="H43" t="str">
            <v>BVN-23</v>
          </cell>
        </row>
        <row r="44">
          <cell r="H44" t="str">
            <v>BVN-24</v>
          </cell>
        </row>
        <row r="45">
          <cell r="H45" t="str">
            <v>BVN-25</v>
          </cell>
        </row>
        <row r="46">
          <cell r="H46" t="str">
            <v>BVN-26</v>
          </cell>
        </row>
        <row r="47">
          <cell r="H47" t="str">
            <v>BVN-27</v>
          </cell>
        </row>
        <row r="48">
          <cell r="H48" t="str">
            <v>BVN-28</v>
          </cell>
        </row>
        <row r="49">
          <cell r="H49" t="str">
            <v>BVN-29</v>
          </cell>
        </row>
        <row r="50">
          <cell r="H50" t="str">
            <v>BVN-30</v>
          </cell>
        </row>
        <row r="51">
          <cell r="H51" t="str">
            <v>BVN-31</v>
          </cell>
        </row>
        <row r="52">
          <cell r="H52" t="str">
            <v>BVN-32</v>
          </cell>
        </row>
        <row r="53">
          <cell r="H53" t="str">
            <v>BVN-33</v>
          </cell>
        </row>
        <row r="54">
          <cell r="H54" t="str">
            <v>BVN-34</v>
          </cell>
        </row>
        <row r="55">
          <cell r="H55" t="str">
            <v>BVN-35</v>
          </cell>
        </row>
        <row r="56">
          <cell r="H56" t="str">
            <v>BVN-36</v>
          </cell>
        </row>
        <row r="57">
          <cell r="H57" t="str">
            <v>BVN-37</v>
          </cell>
        </row>
        <row r="58">
          <cell r="H58" t="str">
            <v>BVN-38</v>
          </cell>
        </row>
        <row r="59">
          <cell r="H59" t="str">
            <v>BVN-39</v>
          </cell>
        </row>
        <row r="60">
          <cell r="H60" t="str">
            <v>BVN-40</v>
          </cell>
        </row>
        <row r="61">
          <cell r="H61" t="str">
            <v>BVN-41</v>
          </cell>
        </row>
        <row r="62">
          <cell r="H62" t="str">
            <v>BVN-42</v>
          </cell>
        </row>
        <row r="63">
          <cell r="H63" t="str">
            <v>BVN-43</v>
          </cell>
        </row>
        <row r="64">
          <cell r="H64" t="str">
            <v>BVN-44</v>
          </cell>
        </row>
        <row r="65">
          <cell r="H65" t="str">
            <v>BVN-45</v>
          </cell>
        </row>
        <row r="66">
          <cell r="H66" t="str">
            <v>BVN-46</v>
          </cell>
        </row>
        <row r="67">
          <cell r="H67" t="str">
            <v>BVN-47</v>
          </cell>
        </row>
        <row r="68">
          <cell r="H68" t="str">
            <v>BVN-48</v>
          </cell>
        </row>
        <row r="69">
          <cell r="H69" t="str">
            <v>BVN-49</v>
          </cell>
        </row>
        <row r="70">
          <cell r="H70" t="str">
            <v>BVN-50</v>
          </cell>
        </row>
        <row r="71">
          <cell r="H71" t="str">
            <v>BVN-51</v>
          </cell>
        </row>
        <row r="72">
          <cell r="H72" t="str">
            <v>BVN-52</v>
          </cell>
        </row>
        <row r="73">
          <cell r="H73" t="str">
            <v>BVN-53</v>
          </cell>
        </row>
        <row r="74">
          <cell r="H74" t="str">
            <v>BVN-54</v>
          </cell>
        </row>
        <row r="75">
          <cell r="H75" t="str">
            <v>BVN-55</v>
          </cell>
        </row>
        <row r="76">
          <cell r="H76" t="str">
            <v>BVN-56</v>
          </cell>
        </row>
        <row r="77">
          <cell r="H77" t="str">
            <v>BVN-57</v>
          </cell>
        </row>
        <row r="78">
          <cell r="H78" t="str">
            <v>BVN-58</v>
          </cell>
        </row>
        <row r="79">
          <cell r="H79" t="str">
            <v>BVN-59</v>
          </cell>
        </row>
        <row r="80">
          <cell r="H80" t="str">
            <v>BVN-60</v>
          </cell>
        </row>
        <row r="81">
          <cell r="H81" t="str">
            <v>BVN-61</v>
          </cell>
        </row>
        <row r="82">
          <cell r="H82" t="str">
            <v>BVN-62</v>
          </cell>
        </row>
        <row r="83">
          <cell r="H83" t="str">
            <v>BVS-00</v>
          </cell>
        </row>
        <row r="84">
          <cell r="H84" t="str">
            <v>BVS-01</v>
          </cell>
        </row>
        <row r="85">
          <cell r="H85" t="str">
            <v>BVS-02</v>
          </cell>
        </row>
        <row r="86">
          <cell r="H86" t="str">
            <v>BVS-03</v>
          </cell>
        </row>
        <row r="87">
          <cell r="H87" t="str">
            <v>BVS-04</v>
          </cell>
        </row>
        <row r="88">
          <cell r="H88" t="str">
            <v>BVS-05</v>
          </cell>
        </row>
        <row r="89">
          <cell r="H89" t="str">
            <v>BVS-06</v>
          </cell>
        </row>
        <row r="90">
          <cell r="H90" t="str">
            <v>BVS-07</v>
          </cell>
        </row>
        <row r="91">
          <cell r="H91" t="str">
            <v>BVS-08</v>
          </cell>
        </row>
        <row r="92">
          <cell r="H92" t="str">
            <v>BVS-09</v>
          </cell>
        </row>
        <row r="93">
          <cell r="H93" t="str">
            <v>BVS-10</v>
          </cell>
        </row>
        <row r="94">
          <cell r="H94" t="str">
            <v>BVS-11</v>
          </cell>
        </row>
        <row r="95">
          <cell r="H95" t="str">
            <v>BVS-12</v>
          </cell>
        </row>
        <row r="96">
          <cell r="H96" t="str">
            <v>BVS-13</v>
          </cell>
        </row>
        <row r="97">
          <cell r="H97" t="str">
            <v>BVS-14</v>
          </cell>
        </row>
        <row r="98">
          <cell r="H98" t="str">
            <v>BVS-15</v>
          </cell>
        </row>
        <row r="99">
          <cell r="H99" t="str">
            <v>BVS-16</v>
          </cell>
        </row>
        <row r="100">
          <cell r="H100" t="str">
            <v>BVS-17</v>
          </cell>
        </row>
        <row r="101">
          <cell r="H101" t="str">
            <v>BVS-18</v>
          </cell>
        </row>
        <row r="102">
          <cell r="H102" t="str">
            <v>BVS-19</v>
          </cell>
        </row>
        <row r="103">
          <cell r="H103" t="str">
            <v>BVS-20</v>
          </cell>
        </row>
        <row r="104">
          <cell r="H104" t="str">
            <v>BVS-21</v>
          </cell>
        </row>
        <row r="105">
          <cell r="H105" t="str">
            <v>BVS-22</v>
          </cell>
        </row>
        <row r="106">
          <cell r="H106" t="str">
            <v>BVS-23</v>
          </cell>
        </row>
        <row r="107">
          <cell r="H107" t="str">
            <v>BVS-24</v>
          </cell>
        </row>
        <row r="108">
          <cell r="H108" t="str">
            <v>BVS-25</v>
          </cell>
        </row>
        <row r="109">
          <cell r="H109" t="str">
            <v>BVS-26</v>
          </cell>
        </row>
        <row r="110">
          <cell r="H110" t="str">
            <v>BVS-27</v>
          </cell>
        </row>
        <row r="111">
          <cell r="H111" t="str">
            <v>BVS-28</v>
          </cell>
        </row>
        <row r="112">
          <cell r="H112" t="str">
            <v>BVS-29</v>
          </cell>
        </row>
        <row r="113">
          <cell r="H113" t="str">
            <v>BVS-30</v>
          </cell>
        </row>
        <row r="114">
          <cell r="H114" t="str">
            <v>BVS-31</v>
          </cell>
        </row>
        <row r="115">
          <cell r="H115" t="str">
            <v>BVS-32</v>
          </cell>
        </row>
        <row r="116">
          <cell r="H116" t="str">
            <v>BVS-33</v>
          </cell>
        </row>
        <row r="117">
          <cell r="H117" t="str">
            <v>BVS-34</v>
          </cell>
        </row>
        <row r="118">
          <cell r="H118" t="str">
            <v>BVS-35</v>
          </cell>
        </row>
        <row r="119">
          <cell r="H119" t="str">
            <v>BVS-36</v>
          </cell>
        </row>
        <row r="120">
          <cell r="H120" t="str">
            <v>BVS-37</v>
          </cell>
        </row>
        <row r="121">
          <cell r="H121" t="str">
            <v>BVS-38</v>
          </cell>
        </row>
        <row r="122">
          <cell r="H122" t="str">
            <v>BVS-39</v>
          </cell>
        </row>
        <row r="123">
          <cell r="H123" t="str">
            <v>BVS-40</v>
          </cell>
        </row>
        <row r="124">
          <cell r="H124" t="str">
            <v>BVS-41</v>
          </cell>
        </row>
        <row r="125">
          <cell r="H125" t="str">
            <v>BVS-42</v>
          </cell>
        </row>
        <row r="126">
          <cell r="H126" t="str">
            <v>BVS-43</v>
          </cell>
        </row>
        <row r="127">
          <cell r="H127" t="str">
            <v>BVS-44</v>
          </cell>
        </row>
        <row r="128">
          <cell r="H128" t="str">
            <v>BVS-45</v>
          </cell>
        </row>
        <row r="129">
          <cell r="H129" t="str">
            <v>BVS-46</v>
          </cell>
        </row>
        <row r="130">
          <cell r="H130" t="str">
            <v>BVS-47</v>
          </cell>
        </row>
        <row r="131">
          <cell r="H131" t="str">
            <v>BVS-48</v>
          </cell>
        </row>
        <row r="132">
          <cell r="H132" t="str">
            <v>BVS-49</v>
          </cell>
        </row>
        <row r="133">
          <cell r="H133" t="str">
            <v>BVS-50</v>
          </cell>
        </row>
        <row r="134">
          <cell r="H134" t="str">
            <v>BVS-51</v>
          </cell>
        </row>
        <row r="135">
          <cell r="H135" t="str">
            <v>BVS-52</v>
          </cell>
        </row>
        <row r="136">
          <cell r="H136" t="str">
            <v>BVS-53</v>
          </cell>
        </row>
        <row r="137">
          <cell r="H137" t="str">
            <v>BVS-54</v>
          </cell>
        </row>
        <row r="138">
          <cell r="H138" t="str">
            <v>BVS-55</v>
          </cell>
        </row>
        <row r="139">
          <cell r="H139" t="str">
            <v>BVS-56</v>
          </cell>
        </row>
        <row r="140">
          <cell r="H140" t="str">
            <v>BVS-57</v>
          </cell>
        </row>
        <row r="141">
          <cell r="H141" t="str">
            <v>BVS-58</v>
          </cell>
        </row>
        <row r="142">
          <cell r="H142" t="str">
            <v>BVS-59</v>
          </cell>
        </row>
        <row r="143">
          <cell r="H143" t="str">
            <v>BVS-60</v>
          </cell>
        </row>
        <row r="144">
          <cell r="H144" t="str">
            <v>BVS-61</v>
          </cell>
        </row>
        <row r="145">
          <cell r="H145" t="str">
            <v>BVS-62</v>
          </cell>
        </row>
        <row r="146">
          <cell r="H146" t="str">
            <v>BVS-63</v>
          </cell>
        </row>
        <row r="147">
          <cell r="H147" t="str">
            <v>BVS-64</v>
          </cell>
        </row>
        <row r="148">
          <cell r="H148" t="str">
            <v>BVS-65</v>
          </cell>
        </row>
        <row r="149">
          <cell r="H149" t="str">
            <v>BVS-66</v>
          </cell>
        </row>
        <row r="150">
          <cell r="H150" t="str">
            <v>BVS-67</v>
          </cell>
        </row>
        <row r="151">
          <cell r="H151" t="str">
            <v>BVS-68</v>
          </cell>
        </row>
        <row r="152">
          <cell r="H152" t="str">
            <v>CM-00</v>
          </cell>
        </row>
        <row r="153">
          <cell r="H153" t="str">
            <v>CM-01</v>
          </cell>
        </row>
        <row r="154">
          <cell r="H154" t="str">
            <v>CM-02</v>
          </cell>
        </row>
        <row r="155">
          <cell r="H155" t="str">
            <v>CM-03</v>
          </cell>
        </row>
        <row r="156">
          <cell r="H156" t="str">
            <v>CM-04</v>
          </cell>
        </row>
        <row r="157">
          <cell r="H157" t="str">
            <v>CM-05</v>
          </cell>
        </row>
        <row r="158">
          <cell r="H158" t="str">
            <v>CM-06</v>
          </cell>
        </row>
        <row r="159">
          <cell r="H159" t="str">
            <v>CM-07</v>
          </cell>
        </row>
        <row r="160">
          <cell r="H160" t="str">
            <v>CM-08</v>
          </cell>
        </row>
        <row r="161">
          <cell r="H161" t="str">
            <v>CM-09</v>
          </cell>
        </row>
        <row r="162">
          <cell r="H162" t="str">
            <v>CM-10</v>
          </cell>
        </row>
        <row r="163">
          <cell r="H163" t="str">
            <v>CM-11</v>
          </cell>
        </row>
        <row r="164">
          <cell r="H164" t="str">
            <v>CM-12</v>
          </cell>
        </row>
        <row r="165">
          <cell r="H165" t="str">
            <v>CM-13</v>
          </cell>
        </row>
        <row r="166">
          <cell r="H166" t="str">
            <v>CM-14</v>
          </cell>
        </row>
        <row r="167">
          <cell r="H167" t="str">
            <v>CM-15</v>
          </cell>
        </row>
        <row r="168">
          <cell r="H168" t="str">
            <v>CM-16</v>
          </cell>
        </row>
        <row r="169">
          <cell r="H169" t="str">
            <v>CM-17</v>
          </cell>
        </row>
        <row r="170">
          <cell r="H170" t="str">
            <v>CM-18</v>
          </cell>
        </row>
        <row r="171">
          <cell r="H171" t="str">
            <v>CM-19</v>
          </cell>
        </row>
        <row r="172">
          <cell r="H172" t="str">
            <v>CM-20</v>
          </cell>
        </row>
        <row r="173">
          <cell r="H173" t="str">
            <v>CM-21</v>
          </cell>
        </row>
        <row r="174">
          <cell r="H174" t="str">
            <v>CM-22</v>
          </cell>
        </row>
        <row r="175">
          <cell r="H175" t="str">
            <v>CM-23</v>
          </cell>
        </row>
        <row r="176">
          <cell r="H176" t="str">
            <v>CM-24</v>
          </cell>
        </row>
        <row r="177">
          <cell r="H177" t="str">
            <v>CM-25</v>
          </cell>
        </row>
        <row r="178">
          <cell r="H178" t="str">
            <v>CM-26</v>
          </cell>
        </row>
        <row r="179">
          <cell r="H179" t="str">
            <v>CM-27</v>
          </cell>
        </row>
        <row r="180">
          <cell r="H180" t="str">
            <v>CM-28</v>
          </cell>
        </row>
        <row r="181">
          <cell r="H181" t="str">
            <v>CM-29</v>
          </cell>
        </row>
        <row r="182">
          <cell r="H182" t="str">
            <v>CM-30</v>
          </cell>
        </row>
        <row r="183">
          <cell r="H183" t="str">
            <v>CM-31</v>
          </cell>
        </row>
        <row r="184">
          <cell r="H184" t="str">
            <v>CM-32</v>
          </cell>
        </row>
        <row r="185">
          <cell r="H185" t="str">
            <v>CM-33</v>
          </cell>
        </row>
        <row r="186">
          <cell r="H186" t="str">
            <v>CM-34</v>
          </cell>
        </row>
        <row r="187">
          <cell r="H187" t="str">
            <v>CM-35</v>
          </cell>
        </row>
        <row r="188">
          <cell r="H188" t="str">
            <v>CM-36</v>
          </cell>
        </row>
        <row r="189">
          <cell r="H189" t="str">
            <v>CM-37</v>
          </cell>
        </row>
        <row r="190">
          <cell r="H190" t="str">
            <v>CM-38</v>
          </cell>
        </row>
        <row r="191">
          <cell r="H191" t="str">
            <v>CM-39</v>
          </cell>
        </row>
        <row r="192">
          <cell r="H192" t="str">
            <v>CM-40</v>
          </cell>
        </row>
        <row r="193">
          <cell r="H193" t="str">
            <v>CM-41</v>
          </cell>
        </row>
        <row r="194">
          <cell r="H194" t="str">
            <v>CM-42</v>
          </cell>
        </row>
        <row r="195">
          <cell r="H195" t="str">
            <v>CM-43</v>
          </cell>
        </row>
        <row r="196">
          <cell r="H196" t="str">
            <v>CM-44</v>
          </cell>
        </row>
        <row r="197">
          <cell r="H197" t="str">
            <v>CM-45</v>
          </cell>
        </row>
        <row r="198">
          <cell r="H198" t="str">
            <v>CM-46</v>
          </cell>
        </row>
        <row r="199">
          <cell r="H199" t="str">
            <v>CM-47</v>
          </cell>
        </row>
        <row r="200">
          <cell r="H200" t="str">
            <v>FF-00</v>
          </cell>
        </row>
        <row r="201">
          <cell r="H201" t="str">
            <v>FF-01</v>
          </cell>
        </row>
        <row r="202">
          <cell r="H202" t="str">
            <v>FF-02</v>
          </cell>
        </row>
        <row r="203">
          <cell r="H203" t="str">
            <v>FF-03</v>
          </cell>
        </row>
        <row r="204">
          <cell r="H204" t="str">
            <v>FF-04</v>
          </cell>
        </row>
        <row r="205">
          <cell r="H205" t="str">
            <v>FF-05</v>
          </cell>
        </row>
        <row r="206">
          <cell r="H206" t="str">
            <v>FF-06</v>
          </cell>
        </row>
        <row r="207">
          <cell r="H207" t="str">
            <v>FF-07</v>
          </cell>
        </row>
        <row r="208">
          <cell r="H208" t="str">
            <v>FF-08</v>
          </cell>
        </row>
        <row r="209">
          <cell r="H209" t="str">
            <v>FF-09</v>
          </cell>
        </row>
        <row r="210">
          <cell r="H210" t="str">
            <v>FF-10</v>
          </cell>
        </row>
        <row r="211">
          <cell r="H211" t="str">
            <v>FF-11</v>
          </cell>
        </row>
        <row r="212">
          <cell r="H212" t="str">
            <v>FF-12</v>
          </cell>
        </row>
        <row r="213">
          <cell r="H213" t="str">
            <v>FF-13</v>
          </cell>
        </row>
        <row r="214">
          <cell r="H214" t="str">
            <v>FF-14</v>
          </cell>
        </row>
        <row r="215">
          <cell r="H215" t="str">
            <v>FF-15</v>
          </cell>
        </row>
        <row r="216">
          <cell r="H216" t="str">
            <v>FF-16</v>
          </cell>
        </row>
        <row r="217">
          <cell r="H217" t="str">
            <v>FF-17</v>
          </cell>
        </row>
        <row r="218">
          <cell r="H218" t="str">
            <v>FF-18</v>
          </cell>
        </row>
        <row r="219">
          <cell r="H219" t="str">
            <v>FF-19</v>
          </cell>
        </row>
        <row r="220">
          <cell r="H220" t="str">
            <v>FF-20</v>
          </cell>
        </row>
        <row r="221">
          <cell r="H221" t="str">
            <v>FT-00</v>
          </cell>
        </row>
        <row r="222">
          <cell r="H222" t="str">
            <v>FT-01</v>
          </cell>
        </row>
        <row r="223">
          <cell r="H223" t="str">
            <v>GV-00</v>
          </cell>
        </row>
        <row r="224">
          <cell r="H224" t="str">
            <v>GV-01</v>
          </cell>
        </row>
        <row r="225">
          <cell r="H225" t="str">
            <v>ID-00</v>
          </cell>
        </row>
        <row r="226">
          <cell r="H226" t="str">
            <v>ID-01</v>
          </cell>
        </row>
        <row r="227">
          <cell r="H227" t="str">
            <v>ID-02</v>
          </cell>
        </row>
        <row r="228">
          <cell r="H228" t="str">
            <v>ID-03</v>
          </cell>
        </row>
        <row r="229">
          <cell r="H229" t="str">
            <v>ID-04</v>
          </cell>
        </row>
        <row r="230">
          <cell r="H230" t="str">
            <v>ID-05</v>
          </cell>
        </row>
        <row r="231">
          <cell r="H231" t="str">
            <v>ID-06</v>
          </cell>
        </row>
        <row r="232">
          <cell r="H232" t="str">
            <v>ID-07</v>
          </cell>
        </row>
        <row r="233">
          <cell r="H233" t="str">
            <v>ID-08</v>
          </cell>
        </row>
        <row r="234">
          <cell r="H234" t="str">
            <v>ID-09</v>
          </cell>
        </row>
        <row r="235">
          <cell r="H235" t="str">
            <v>LPC-00</v>
          </cell>
        </row>
        <row r="236">
          <cell r="H236" t="str">
            <v>LPC-01</v>
          </cell>
        </row>
        <row r="237">
          <cell r="H237" t="str">
            <v>LPC-02</v>
          </cell>
        </row>
        <row r="238">
          <cell r="H238" t="str">
            <v>LPC-03</v>
          </cell>
        </row>
        <row r="239">
          <cell r="H239" t="str">
            <v>LPC-04</v>
          </cell>
        </row>
        <row r="240">
          <cell r="H240" t="str">
            <v>LPC-05</v>
          </cell>
        </row>
        <row r="241">
          <cell r="H241" t="str">
            <v>LPC-06</v>
          </cell>
        </row>
        <row r="242">
          <cell r="H242" t="str">
            <v>LPC-07</v>
          </cell>
        </row>
        <row r="243">
          <cell r="H243" t="str">
            <v>LPC-08</v>
          </cell>
        </row>
        <row r="244">
          <cell r="H244" t="str">
            <v>LPC-09</v>
          </cell>
        </row>
        <row r="245">
          <cell r="H245" t="str">
            <v>LPC-10</v>
          </cell>
        </row>
        <row r="246">
          <cell r="H246" t="str">
            <v>LPC-11</v>
          </cell>
        </row>
        <row r="247">
          <cell r="H247" t="str">
            <v>LPC-12</v>
          </cell>
        </row>
        <row r="248">
          <cell r="H248" t="str">
            <v>LPC-13</v>
          </cell>
        </row>
        <row r="249">
          <cell r="H249" t="str">
            <v>LPC-14</v>
          </cell>
        </row>
        <row r="250">
          <cell r="H250" t="str">
            <v>LPC-15</v>
          </cell>
        </row>
        <row r="251">
          <cell r="H251" t="str">
            <v>LPC-16</v>
          </cell>
        </row>
        <row r="252">
          <cell r="H252" t="str">
            <v>LPC-17</v>
          </cell>
        </row>
        <row r="253">
          <cell r="H253" t="str">
            <v>LPC-18</v>
          </cell>
        </row>
        <row r="254">
          <cell r="H254" t="str">
            <v>LPC-19</v>
          </cell>
        </row>
        <row r="255">
          <cell r="H255" t="str">
            <v>LPC-20</v>
          </cell>
        </row>
        <row r="256">
          <cell r="H256" t="str">
            <v>LPC-21</v>
          </cell>
        </row>
        <row r="257">
          <cell r="H257" t="str">
            <v>LPC-22</v>
          </cell>
        </row>
        <row r="258">
          <cell r="H258" t="str">
            <v>LPC-23</v>
          </cell>
        </row>
        <row r="259">
          <cell r="H259" t="str">
            <v>LPC-24</v>
          </cell>
        </row>
        <row r="260">
          <cell r="H260" t="str">
            <v>LPC-25</v>
          </cell>
        </row>
        <row r="261">
          <cell r="H261" t="str">
            <v>LPC-26</v>
          </cell>
        </row>
        <row r="262">
          <cell r="H262" t="str">
            <v>LPC-27</v>
          </cell>
        </row>
        <row r="263">
          <cell r="H263" t="str">
            <v>LPC-28</v>
          </cell>
        </row>
        <row r="264">
          <cell r="H264" t="str">
            <v>LPC-29</v>
          </cell>
        </row>
        <row r="265">
          <cell r="H265" t="str">
            <v>LPC-30</v>
          </cell>
        </row>
        <row r="266">
          <cell r="H266" t="str">
            <v>LPC-31</v>
          </cell>
        </row>
        <row r="267">
          <cell r="H267" t="str">
            <v>LPC-32</v>
          </cell>
        </row>
        <row r="268">
          <cell r="H268" t="str">
            <v>LPC-33</v>
          </cell>
        </row>
        <row r="269">
          <cell r="H269" t="str">
            <v>LPC-34</v>
          </cell>
        </row>
        <row r="270">
          <cell r="H270" t="str">
            <v>LPC-35</v>
          </cell>
        </row>
        <row r="271">
          <cell r="H271" t="str">
            <v>LPC-36</v>
          </cell>
        </row>
        <row r="272">
          <cell r="H272" t="str">
            <v>LPC-37</v>
          </cell>
        </row>
        <row r="273">
          <cell r="H273" t="str">
            <v>LPC-38</v>
          </cell>
        </row>
        <row r="274">
          <cell r="H274" t="str">
            <v>LPC-39</v>
          </cell>
        </row>
        <row r="275">
          <cell r="H275" t="str">
            <v>LPC-40</v>
          </cell>
        </row>
        <row r="276">
          <cell r="H276" t="str">
            <v>LPC-41</v>
          </cell>
        </row>
        <row r="277">
          <cell r="H277" t="str">
            <v>LPC-42</v>
          </cell>
        </row>
        <row r="278">
          <cell r="H278" t="str">
            <v>LPC-43</v>
          </cell>
        </row>
        <row r="279">
          <cell r="H279" t="str">
            <v>LPC-44</v>
          </cell>
        </row>
        <row r="280">
          <cell r="H280" t="str">
            <v>LPC-45</v>
          </cell>
        </row>
        <row r="281">
          <cell r="H281" t="str">
            <v>LPC-46</v>
          </cell>
        </row>
        <row r="282">
          <cell r="H282" t="str">
            <v>LPC-47</v>
          </cell>
        </row>
        <row r="283">
          <cell r="H283" t="str">
            <v>LPC-48</v>
          </cell>
        </row>
        <row r="284">
          <cell r="H284" t="str">
            <v>LPC-49</v>
          </cell>
        </row>
        <row r="285">
          <cell r="H285" t="str">
            <v>LPC-50</v>
          </cell>
        </row>
        <row r="286">
          <cell r="H286" t="str">
            <v>LPE-00</v>
          </cell>
        </row>
        <row r="287">
          <cell r="H287" t="str">
            <v>LPE-01</v>
          </cell>
        </row>
        <row r="288">
          <cell r="H288" t="str">
            <v>LPE-02</v>
          </cell>
        </row>
        <row r="289">
          <cell r="H289" t="str">
            <v>LPE-03</v>
          </cell>
        </row>
        <row r="290">
          <cell r="H290" t="str">
            <v>LPE-04</v>
          </cell>
        </row>
        <row r="291">
          <cell r="H291" t="str">
            <v>LPE-05</v>
          </cell>
        </row>
        <row r="292">
          <cell r="H292" t="str">
            <v>LPE-06</v>
          </cell>
        </row>
        <row r="293">
          <cell r="H293" t="str">
            <v>LPE-07</v>
          </cell>
        </row>
        <row r="294">
          <cell r="H294" t="str">
            <v>LPE-08</v>
          </cell>
        </row>
        <row r="295">
          <cell r="H295" t="str">
            <v>LPE-09</v>
          </cell>
        </row>
        <row r="296">
          <cell r="H296" t="str">
            <v>LPE-10</v>
          </cell>
        </row>
        <row r="297">
          <cell r="H297" t="str">
            <v>LPE-11</v>
          </cell>
        </row>
        <row r="298">
          <cell r="H298" t="str">
            <v>LPE-12</v>
          </cell>
        </row>
        <row r="299">
          <cell r="H299" t="str">
            <v>LPE-13</v>
          </cell>
        </row>
        <row r="300">
          <cell r="H300" t="str">
            <v>LPE-14</v>
          </cell>
        </row>
        <row r="301">
          <cell r="H301" t="str">
            <v>LPE-15</v>
          </cell>
        </row>
        <row r="302">
          <cell r="H302" t="str">
            <v>LPE-16</v>
          </cell>
        </row>
        <row r="303">
          <cell r="H303" t="str">
            <v>LPE-17</v>
          </cell>
        </row>
        <row r="304">
          <cell r="H304" t="str">
            <v>LPE-18</v>
          </cell>
        </row>
        <row r="305">
          <cell r="H305" t="str">
            <v>LPE-19</v>
          </cell>
        </row>
        <row r="306">
          <cell r="H306" t="str">
            <v>LPE-20</v>
          </cell>
        </row>
        <row r="307">
          <cell r="H307" t="str">
            <v>LPE-21</v>
          </cell>
        </row>
        <row r="308">
          <cell r="H308" t="str">
            <v>LPE-22</v>
          </cell>
        </row>
        <row r="309">
          <cell r="H309" t="str">
            <v>LPE-23</v>
          </cell>
        </row>
        <row r="310">
          <cell r="H310" t="str">
            <v>LPE-24</v>
          </cell>
        </row>
        <row r="311">
          <cell r="H311" t="str">
            <v>LPE-25</v>
          </cell>
        </row>
        <row r="312">
          <cell r="H312" t="str">
            <v>LPE-26</v>
          </cell>
        </row>
        <row r="313">
          <cell r="H313" t="str">
            <v>LPE-27</v>
          </cell>
        </row>
        <row r="314">
          <cell r="H314" t="str">
            <v>LPE-28</v>
          </cell>
        </row>
        <row r="315">
          <cell r="H315" t="str">
            <v>LPE-29</v>
          </cell>
        </row>
        <row r="316">
          <cell r="H316" t="str">
            <v>LPE-30</v>
          </cell>
        </row>
        <row r="317">
          <cell r="H317" t="str">
            <v>LPE-31</v>
          </cell>
        </row>
        <row r="318">
          <cell r="H318" t="str">
            <v>LPE-32</v>
          </cell>
        </row>
        <row r="319">
          <cell r="H319" t="str">
            <v>LPE-33</v>
          </cell>
        </row>
        <row r="320">
          <cell r="H320" t="str">
            <v>LPE-34</v>
          </cell>
        </row>
        <row r="321">
          <cell r="H321" t="str">
            <v>LPE-35</v>
          </cell>
        </row>
        <row r="322">
          <cell r="H322" t="str">
            <v>LPE-36</v>
          </cell>
        </row>
        <row r="323">
          <cell r="H323" t="str">
            <v>LPE-37</v>
          </cell>
        </row>
        <row r="324">
          <cell r="H324" t="str">
            <v>LPE-38</v>
          </cell>
        </row>
        <row r="325">
          <cell r="H325" t="str">
            <v>LPE-39</v>
          </cell>
        </row>
        <row r="326">
          <cell r="H326" t="str">
            <v>LPE-40</v>
          </cell>
        </row>
        <row r="327">
          <cell r="H327" t="str">
            <v>LPE-41</v>
          </cell>
        </row>
        <row r="328">
          <cell r="H328" t="str">
            <v>LPE-42</v>
          </cell>
        </row>
        <row r="329">
          <cell r="H329" t="str">
            <v>LPE-43</v>
          </cell>
        </row>
        <row r="330">
          <cell r="H330" t="str">
            <v>LPE-44</v>
          </cell>
        </row>
        <row r="331">
          <cell r="H331" t="str">
            <v>LPE-45</v>
          </cell>
        </row>
        <row r="332">
          <cell r="H332" t="str">
            <v>LPE-46</v>
          </cell>
        </row>
        <row r="333">
          <cell r="H333" t="str">
            <v>LPE-47</v>
          </cell>
        </row>
        <row r="334">
          <cell r="H334" t="str">
            <v>LPE-48</v>
          </cell>
        </row>
        <row r="335">
          <cell r="H335" t="str">
            <v>LPE-49</v>
          </cell>
        </row>
        <row r="336">
          <cell r="H336" t="str">
            <v>LPE-50</v>
          </cell>
        </row>
        <row r="337">
          <cell r="H337" t="str">
            <v>LPE-51</v>
          </cell>
        </row>
        <row r="338">
          <cell r="H338" t="str">
            <v>LPE-52</v>
          </cell>
        </row>
        <row r="339">
          <cell r="H339" t="str">
            <v>LPE-53</v>
          </cell>
        </row>
        <row r="340">
          <cell r="H340" t="str">
            <v>LPE-54</v>
          </cell>
        </row>
        <row r="341">
          <cell r="H341" t="str">
            <v>LPE-55</v>
          </cell>
        </row>
        <row r="342">
          <cell r="H342" t="str">
            <v>LPE-56</v>
          </cell>
        </row>
        <row r="343">
          <cell r="H343" t="str">
            <v>LPE-57</v>
          </cell>
        </row>
        <row r="344">
          <cell r="H344" t="str">
            <v>LPE-58</v>
          </cell>
        </row>
        <row r="345">
          <cell r="H345" t="str">
            <v>LPE-59</v>
          </cell>
        </row>
        <row r="346">
          <cell r="H346" t="str">
            <v>LPE-60</v>
          </cell>
        </row>
        <row r="347">
          <cell r="H347" t="str">
            <v>LPS-00</v>
          </cell>
        </row>
        <row r="348">
          <cell r="H348" t="str">
            <v>LPS-01</v>
          </cell>
        </row>
        <row r="349">
          <cell r="H349" t="str">
            <v>LPW-00</v>
          </cell>
        </row>
        <row r="350">
          <cell r="H350" t="str">
            <v>LPW-01</v>
          </cell>
        </row>
        <row r="351">
          <cell r="H351" t="str">
            <v>LPW-02</v>
          </cell>
        </row>
        <row r="352">
          <cell r="H352" t="str">
            <v>LPW-03</v>
          </cell>
        </row>
        <row r="353">
          <cell r="H353" t="str">
            <v>LPW-04</v>
          </cell>
        </row>
        <row r="354">
          <cell r="H354" t="str">
            <v>LPW-05</v>
          </cell>
        </row>
        <row r="355">
          <cell r="H355" t="str">
            <v>LPW-06</v>
          </cell>
        </row>
        <row r="356">
          <cell r="H356" t="str">
            <v>LPW-07</v>
          </cell>
        </row>
        <row r="357">
          <cell r="H357" t="str">
            <v>LPW-08</v>
          </cell>
        </row>
        <row r="358">
          <cell r="H358" t="str">
            <v>LPW-09</v>
          </cell>
        </row>
        <row r="359">
          <cell r="H359" t="str">
            <v>LPW-10</v>
          </cell>
        </row>
        <row r="360">
          <cell r="H360" t="str">
            <v>LPW-11</v>
          </cell>
        </row>
        <row r="361">
          <cell r="H361" t="str">
            <v>LPW-12</v>
          </cell>
        </row>
        <row r="362">
          <cell r="H362" t="str">
            <v>LPW-13</v>
          </cell>
        </row>
        <row r="363">
          <cell r="H363" t="str">
            <v>LPW-14</v>
          </cell>
        </row>
        <row r="364">
          <cell r="H364" t="str">
            <v>LPW-15</v>
          </cell>
        </row>
        <row r="365">
          <cell r="H365" t="str">
            <v>LPW-16</v>
          </cell>
        </row>
        <row r="366">
          <cell r="H366" t="str">
            <v>LPW-17</v>
          </cell>
        </row>
        <row r="367">
          <cell r="H367" t="str">
            <v>LPW-18</v>
          </cell>
        </row>
        <row r="368">
          <cell r="H368" t="str">
            <v>LPW-19</v>
          </cell>
        </row>
        <row r="369">
          <cell r="H369" t="str">
            <v>LPW-20</v>
          </cell>
        </row>
        <row r="370">
          <cell r="H370" t="str">
            <v>LPW-21</v>
          </cell>
        </row>
        <row r="371">
          <cell r="H371" t="str">
            <v>LPW-22</v>
          </cell>
        </row>
        <row r="372">
          <cell r="H372" t="str">
            <v>LPW-23</v>
          </cell>
        </row>
        <row r="373">
          <cell r="H373" t="str">
            <v>LPW-24</v>
          </cell>
        </row>
        <row r="374">
          <cell r="H374" t="str">
            <v>LPW-25</v>
          </cell>
        </row>
        <row r="375">
          <cell r="H375" t="str">
            <v>LPW-26</v>
          </cell>
        </row>
        <row r="376">
          <cell r="H376" t="str">
            <v>LPW-27</v>
          </cell>
        </row>
        <row r="377">
          <cell r="H377" t="str">
            <v>LPW-28</v>
          </cell>
        </row>
        <row r="378">
          <cell r="H378" t="str">
            <v>LPW-29</v>
          </cell>
        </row>
        <row r="379">
          <cell r="H379" t="str">
            <v>LPW-30</v>
          </cell>
        </row>
        <row r="380">
          <cell r="H380" t="str">
            <v>LPW-31</v>
          </cell>
        </row>
        <row r="381">
          <cell r="H381" t="str">
            <v>LPW-32</v>
          </cell>
        </row>
        <row r="382">
          <cell r="H382" t="str">
            <v>LPW-33</v>
          </cell>
        </row>
        <row r="383">
          <cell r="H383" t="str">
            <v>LPW-34</v>
          </cell>
        </row>
        <row r="384">
          <cell r="H384" t="str">
            <v>LPW-35</v>
          </cell>
        </row>
        <row r="385">
          <cell r="H385" t="str">
            <v>LPW-36</v>
          </cell>
        </row>
        <row r="386">
          <cell r="H386" t="str">
            <v>LPW-37</v>
          </cell>
        </row>
        <row r="387">
          <cell r="H387" t="str">
            <v>LPW-38</v>
          </cell>
        </row>
        <row r="388">
          <cell r="H388" t="str">
            <v>LPW-39</v>
          </cell>
        </row>
        <row r="389">
          <cell r="H389" t="str">
            <v>LPW-40</v>
          </cell>
        </row>
        <row r="390">
          <cell r="H390" t="str">
            <v>LPW-41</v>
          </cell>
        </row>
        <row r="391">
          <cell r="H391" t="str">
            <v>LPW-42</v>
          </cell>
        </row>
        <row r="392">
          <cell r="H392" t="str">
            <v>LPW-43</v>
          </cell>
        </row>
        <row r="393">
          <cell r="H393" t="str">
            <v>MA-00 HOTEL</v>
          </cell>
        </row>
        <row r="394">
          <cell r="H394" t="str">
            <v>MA-01 HOTEL</v>
          </cell>
        </row>
        <row r="395">
          <cell r="H395" t="str">
            <v>MC-00</v>
          </cell>
        </row>
        <row r="396">
          <cell r="H396" t="str">
            <v>MC-01</v>
          </cell>
        </row>
        <row r="397">
          <cell r="H397" t="str">
            <v>MM-00 HOTEL</v>
          </cell>
        </row>
        <row r="398">
          <cell r="H398" t="str">
            <v>MM-01 HOTEL</v>
          </cell>
        </row>
        <row r="399">
          <cell r="H399" t="str">
            <v>OS-00</v>
          </cell>
        </row>
        <row r="400">
          <cell r="H400" t="str">
            <v>OS-01</v>
          </cell>
        </row>
        <row r="401">
          <cell r="H401" t="str">
            <v>OS-02</v>
          </cell>
        </row>
        <row r="402">
          <cell r="H402" t="str">
            <v>OS-03</v>
          </cell>
        </row>
        <row r="403">
          <cell r="H403" t="str">
            <v>OS-04</v>
          </cell>
        </row>
        <row r="404">
          <cell r="H404" t="str">
            <v>OS-05</v>
          </cell>
        </row>
        <row r="405">
          <cell r="H405" t="str">
            <v>OS-06</v>
          </cell>
        </row>
        <row r="406">
          <cell r="H406" t="str">
            <v>OS-07</v>
          </cell>
        </row>
        <row r="407">
          <cell r="H407" t="str">
            <v>OS-08</v>
          </cell>
        </row>
        <row r="408">
          <cell r="H408" t="str">
            <v>OS-09</v>
          </cell>
        </row>
        <row r="409">
          <cell r="H409" t="str">
            <v>OS-10</v>
          </cell>
        </row>
        <row r="410">
          <cell r="H410" t="str">
            <v>OS-11</v>
          </cell>
        </row>
        <row r="411">
          <cell r="H411" t="str">
            <v>OS-12</v>
          </cell>
        </row>
        <row r="412">
          <cell r="H412" t="str">
            <v>OS-13</v>
          </cell>
        </row>
        <row r="413">
          <cell r="H413" t="str">
            <v>OS-14</v>
          </cell>
        </row>
        <row r="414">
          <cell r="H414" t="str">
            <v>OS-15</v>
          </cell>
        </row>
        <row r="415">
          <cell r="H415" t="str">
            <v>OS-16</v>
          </cell>
        </row>
        <row r="416">
          <cell r="H416" t="str">
            <v>OS-17</v>
          </cell>
        </row>
        <row r="417">
          <cell r="H417" t="str">
            <v>OS-18</v>
          </cell>
        </row>
        <row r="418">
          <cell r="H418" t="str">
            <v>OS-19</v>
          </cell>
        </row>
        <row r="419">
          <cell r="H419" t="str">
            <v>OS-20</v>
          </cell>
        </row>
        <row r="420">
          <cell r="H420" t="str">
            <v>OS-21</v>
          </cell>
        </row>
        <row r="421">
          <cell r="H421" t="str">
            <v>OS-22</v>
          </cell>
        </row>
        <row r="422">
          <cell r="H422" t="str">
            <v>OS-23 Beach Club Parking 95</v>
          </cell>
        </row>
        <row r="423">
          <cell r="H423" t="str">
            <v>OS-24</v>
          </cell>
        </row>
        <row r="424">
          <cell r="H424" t="str">
            <v>OS-25</v>
          </cell>
        </row>
        <row r="425">
          <cell r="H425" t="str">
            <v>OS-26</v>
          </cell>
        </row>
        <row r="426">
          <cell r="H426" t="str">
            <v>OS-27</v>
          </cell>
        </row>
        <row r="427">
          <cell r="H427" t="str">
            <v>OS-28</v>
          </cell>
        </row>
        <row r="428">
          <cell r="H428" t="str">
            <v>OS-29</v>
          </cell>
        </row>
        <row r="429">
          <cell r="H429" t="str">
            <v>OS-30</v>
          </cell>
        </row>
        <row r="430">
          <cell r="H430" t="str">
            <v>OS-31</v>
          </cell>
        </row>
        <row r="431">
          <cell r="H431" t="str">
            <v>OS-32</v>
          </cell>
        </row>
        <row r="432">
          <cell r="H432" t="str">
            <v>OS-33</v>
          </cell>
        </row>
        <row r="433">
          <cell r="H433" t="str">
            <v>OS-34</v>
          </cell>
        </row>
        <row r="434">
          <cell r="H434" t="str">
            <v>OS-35</v>
          </cell>
        </row>
        <row r="435">
          <cell r="H435" t="str">
            <v>OS-36</v>
          </cell>
        </row>
        <row r="436">
          <cell r="H436" t="str">
            <v>OS-37</v>
          </cell>
        </row>
        <row r="437">
          <cell r="H437" t="str">
            <v>OS-38</v>
          </cell>
        </row>
        <row r="438">
          <cell r="H438" t="str">
            <v>OS-39</v>
          </cell>
        </row>
        <row r="439">
          <cell r="H439" t="str">
            <v>OS-40</v>
          </cell>
        </row>
        <row r="440">
          <cell r="H440" t="str">
            <v>OS-41</v>
          </cell>
        </row>
        <row r="441">
          <cell r="H441" t="str">
            <v>OS-42</v>
          </cell>
        </row>
        <row r="442">
          <cell r="H442" t="str">
            <v>OS-43</v>
          </cell>
        </row>
        <row r="443">
          <cell r="H443" t="str">
            <v>OS-44</v>
          </cell>
        </row>
        <row r="444">
          <cell r="H444" t="str">
            <v>OS-45</v>
          </cell>
        </row>
        <row r="445">
          <cell r="H445" t="str">
            <v>OS-46</v>
          </cell>
        </row>
        <row r="446">
          <cell r="H446" t="str">
            <v>OS-47</v>
          </cell>
        </row>
        <row r="447">
          <cell r="H447" t="str">
            <v>OS-48</v>
          </cell>
        </row>
        <row r="448">
          <cell r="H448" t="str">
            <v>OS-49</v>
          </cell>
        </row>
        <row r="449">
          <cell r="H449" t="str">
            <v>OS-50</v>
          </cell>
        </row>
        <row r="450">
          <cell r="H450" t="str">
            <v>OS-51</v>
          </cell>
        </row>
        <row r="451">
          <cell r="H451" t="str">
            <v>OS-52</v>
          </cell>
        </row>
        <row r="452">
          <cell r="H452" t="str">
            <v>OS-53</v>
          </cell>
        </row>
        <row r="453">
          <cell r="H453" t="str">
            <v>OS-54</v>
          </cell>
        </row>
        <row r="454">
          <cell r="H454" t="str">
            <v>OS-55</v>
          </cell>
        </row>
        <row r="455">
          <cell r="H455" t="str">
            <v>OS-56</v>
          </cell>
        </row>
        <row r="456">
          <cell r="H456" t="str">
            <v>OS-57</v>
          </cell>
        </row>
        <row r="457">
          <cell r="H457" t="str">
            <v>OS-58</v>
          </cell>
        </row>
        <row r="458">
          <cell r="H458" t="str">
            <v>OS-59</v>
          </cell>
        </row>
        <row r="459">
          <cell r="H459" t="str">
            <v>OS-60</v>
          </cell>
        </row>
        <row r="460">
          <cell r="H460" t="str">
            <v>OS-61</v>
          </cell>
        </row>
        <row r="461">
          <cell r="H461" t="str">
            <v>OS-62</v>
          </cell>
        </row>
        <row r="462">
          <cell r="H462" t="str">
            <v>OS-63</v>
          </cell>
        </row>
        <row r="463">
          <cell r="H463" t="str">
            <v>OS-64</v>
          </cell>
        </row>
        <row r="464">
          <cell r="H464" t="str">
            <v>OS-65</v>
          </cell>
        </row>
        <row r="465">
          <cell r="H465" t="str">
            <v>OS-66</v>
          </cell>
        </row>
        <row r="466">
          <cell r="H466" t="str">
            <v>OS-67</v>
          </cell>
        </row>
        <row r="467">
          <cell r="H467" t="str">
            <v>OS-68</v>
          </cell>
        </row>
        <row r="468">
          <cell r="H468" t="str">
            <v>OS-69</v>
          </cell>
        </row>
        <row r="469">
          <cell r="H469" t="str">
            <v>OS-70</v>
          </cell>
        </row>
        <row r="470">
          <cell r="H470" t="str">
            <v>OS-71</v>
          </cell>
        </row>
        <row r="471">
          <cell r="H471" t="str">
            <v>OS-72</v>
          </cell>
        </row>
        <row r="472">
          <cell r="H472" t="str">
            <v>OS-73</v>
          </cell>
        </row>
        <row r="473">
          <cell r="H473" t="str">
            <v>OS-74</v>
          </cell>
        </row>
        <row r="474">
          <cell r="H474" t="str">
            <v>OS-75</v>
          </cell>
        </row>
        <row r="475">
          <cell r="H475" t="str">
            <v>OS-76</v>
          </cell>
        </row>
        <row r="476">
          <cell r="H476" t="str">
            <v>OS-77</v>
          </cell>
        </row>
        <row r="477">
          <cell r="H477" t="str">
            <v>OS-78</v>
          </cell>
        </row>
        <row r="478">
          <cell r="H478" t="str">
            <v>OS-79</v>
          </cell>
        </row>
        <row r="479">
          <cell r="H479" t="str">
            <v>OS-80</v>
          </cell>
        </row>
        <row r="480">
          <cell r="H480" t="str">
            <v>P-00</v>
          </cell>
        </row>
        <row r="481">
          <cell r="H481" t="str">
            <v>P-01</v>
          </cell>
        </row>
        <row r="482">
          <cell r="H482" t="str">
            <v>P-02</v>
          </cell>
        </row>
        <row r="483">
          <cell r="H483" t="str">
            <v>P-03</v>
          </cell>
        </row>
        <row r="484">
          <cell r="H484" t="str">
            <v>P-04</v>
          </cell>
        </row>
        <row r="485">
          <cell r="H485" t="str">
            <v>P-05</v>
          </cell>
        </row>
        <row r="486">
          <cell r="H486" t="str">
            <v>P-06</v>
          </cell>
        </row>
        <row r="487">
          <cell r="H487" t="str">
            <v>P-07</v>
          </cell>
        </row>
        <row r="488">
          <cell r="H488" t="str">
            <v>P-08</v>
          </cell>
        </row>
        <row r="489">
          <cell r="H489" t="str">
            <v>P-09</v>
          </cell>
        </row>
        <row r="490">
          <cell r="H490" t="str">
            <v>PA-00 UDC 1a</v>
          </cell>
        </row>
        <row r="491">
          <cell r="H491" t="str">
            <v>PA-00 UDC 1b</v>
          </cell>
        </row>
        <row r="492">
          <cell r="H492" t="str">
            <v>PA-00 NUDC 1a</v>
          </cell>
        </row>
        <row r="493">
          <cell r="H493" t="str">
            <v>PA-00 NUDC 1b</v>
          </cell>
        </row>
        <row r="494">
          <cell r="H494" t="str">
            <v>PA-00 Retail</v>
          </cell>
        </row>
        <row r="495">
          <cell r="H495" t="str">
            <v>PA-00 Townhouses</v>
          </cell>
        </row>
        <row r="496">
          <cell r="H496" t="str">
            <v>PA-01 Boardwalk</v>
          </cell>
        </row>
        <row r="497">
          <cell r="H497" t="str">
            <v>PA-01 Tower 01</v>
          </cell>
        </row>
        <row r="498">
          <cell r="H498" t="str">
            <v>PA-01 Retail</v>
          </cell>
        </row>
        <row r="499">
          <cell r="H499" t="str">
            <v>PA-01 Townhouses</v>
          </cell>
        </row>
        <row r="500">
          <cell r="H500" t="str">
            <v>PA-02 Boardwalk</v>
          </cell>
        </row>
        <row r="501">
          <cell r="H501" t="str">
            <v>PA-02 Tower 02A</v>
          </cell>
        </row>
        <row r="502">
          <cell r="H502" t="str">
            <v>PA-02 Tower 02B</v>
          </cell>
        </row>
        <row r="503">
          <cell r="H503" t="str">
            <v>PA-02 Retail</v>
          </cell>
        </row>
        <row r="504">
          <cell r="H504" t="str">
            <v>PA-02 Townhouses</v>
          </cell>
        </row>
        <row r="505">
          <cell r="H505" t="str">
            <v>PA-03 Boardwalk</v>
          </cell>
        </row>
        <row r="506">
          <cell r="H506" t="str">
            <v>PA-03 Tower 03A</v>
          </cell>
        </row>
        <row r="507">
          <cell r="H507" t="str">
            <v>PA-03 Tower 03B</v>
          </cell>
        </row>
        <row r="508">
          <cell r="H508" t="str">
            <v>PA-03 Retail</v>
          </cell>
        </row>
        <row r="509">
          <cell r="H509" t="str">
            <v>PA-03 Townhouses</v>
          </cell>
        </row>
        <row r="510">
          <cell r="H510" t="str">
            <v>PA-04 Boardwalk</v>
          </cell>
        </row>
        <row r="511">
          <cell r="H511" t="str">
            <v>PA-04 Tower 04</v>
          </cell>
        </row>
        <row r="512">
          <cell r="H512" t="str">
            <v>PA-04 Tower 04A</v>
          </cell>
        </row>
        <row r="513">
          <cell r="H513" t="str">
            <v>PA-04 Tower 04B</v>
          </cell>
        </row>
        <row r="514">
          <cell r="H514" t="str">
            <v>PA-04 Retail</v>
          </cell>
        </row>
        <row r="515">
          <cell r="H515" t="str">
            <v>PA-04 Townhouses</v>
          </cell>
        </row>
        <row r="516">
          <cell r="H516" t="str">
            <v>PA-05 Boardwalk</v>
          </cell>
        </row>
        <row r="517">
          <cell r="H517" t="str">
            <v>PA-05 Tower 05</v>
          </cell>
        </row>
        <row r="518">
          <cell r="H518" t="str">
            <v>PA-05 Tower 05A</v>
          </cell>
        </row>
        <row r="519">
          <cell r="H519" t="str">
            <v>PA-05 Tower 05B</v>
          </cell>
        </row>
        <row r="520">
          <cell r="H520" t="str">
            <v>PA-05 Retail</v>
          </cell>
        </row>
        <row r="521">
          <cell r="H521" t="str">
            <v>PA-05 Townhouses</v>
          </cell>
        </row>
        <row r="522">
          <cell r="H522" t="str">
            <v>PA-06 Boardwalk</v>
          </cell>
        </row>
        <row r="523">
          <cell r="H523" t="str">
            <v>PA-06 Tower 06A</v>
          </cell>
        </row>
        <row r="524">
          <cell r="H524" t="str">
            <v>PA-06 Tower 06B</v>
          </cell>
        </row>
        <row r="525">
          <cell r="H525" t="str">
            <v>PA-06 Tower 06C</v>
          </cell>
        </row>
        <row r="526">
          <cell r="H526" t="str">
            <v>PA-06 Retail</v>
          </cell>
        </row>
        <row r="527">
          <cell r="H527" t="str">
            <v>PA-06 Townhouses</v>
          </cell>
        </row>
        <row r="528">
          <cell r="H528" t="str">
            <v>PA-07 Boardwalk</v>
          </cell>
        </row>
        <row r="529">
          <cell r="H529" t="str">
            <v>PA-07 Car Park</v>
          </cell>
        </row>
        <row r="530">
          <cell r="H530" t="str">
            <v>PA-07 Tower 07A</v>
          </cell>
        </row>
        <row r="531">
          <cell r="H531" t="str">
            <v>PA-07 Tower 07B</v>
          </cell>
        </row>
        <row r="532">
          <cell r="H532" t="str">
            <v>PA-07 Retail</v>
          </cell>
        </row>
        <row r="533">
          <cell r="H533" t="str">
            <v>PA-07 Townhouses</v>
          </cell>
        </row>
        <row r="534">
          <cell r="H534" t="str">
            <v>PA-08 Boardwalk</v>
          </cell>
        </row>
        <row r="535">
          <cell r="H535" t="str">
            <v>PA-08 Tower 08A</v>
          </cell>
        </row>
        <row r="536">
          <cell r="H536" t="str">
            <v>PA-08 Tower 08B</v>
          </cell>
        </row>
        <row r="537">
          <cell r="H537" t="str">
            <v>PA-08 Retail</v>
          </cell>
        </row>
        <row r="538">
          <cell r="H538" t="str">
            <v>PA-08 Townhouses</v>
          </cell>
        </row>
        <row r="539">
          <cell r="H539" t="str">
            <v>PA-09 Boardwalk</v>
          </cell>
        </row>
        <row r="540">
          <cell r="H540" t="str">
            <v>PA-09 Tower 09A</v>
          </cell>
        </row>
        <row r="541">
          <cell r="H541" t="str">
            <v>PA-09 Tower 09B</v>
          </cell>
        </row>
        <row r="542">
          <cell r="H542" t="str">
            <v>PA-09 Retail</v>
          </cell>
        </row>
        <row r="543">
          <cell r="H543" t="str">
            <v>PA-09 Townhouses</v>
          </cell>
        </row>
        <row r="544">
          <cell r="H544" t="str">
            <v>PA-10 Boardwalk</v>
          </cell>
        </row>
        <row r="545">
          <cell r="H545" t="str">
            <v>PA-10 Car Park</v>
          </cell>
        </row>
        <row r="546">
          <cell r="H546" t="str">
            <v>PA-10 Tower 10A</v>
          </cell>
        </row>
        <row r="547">
          <cell r="H547" t="str">
            <v>PA-10 Tower 10B</v>
          </cell>
        </row>
        <row r="548">
          <cell r="H548" t="str">
            <v>PA-10 Retail</v>
          </cell>
        </row>
        <row r="549">
          <cell r="H549" t="str">
            <v>PA-10 Townhouses</v>
          </cell>
        </row>
        <row r="550">
          <cell r="H550" t="str">
            <v>PA-11 Boardwalk</v>
          </cell>
        </row>
        <row r="551">
          <cell r="H551" t="str">
            <v>PA-11 Tower 11A</v>
          </cell>
        </row>
        <row r="552">
          <cell r="H552" t="str">
            <v>PA-11 Tower 11B</v>
          </cell>
        </row>
        <row r="553">
          <cell r="H553" t="str">
            <v>PA-11 Retail</v>
          </cell>
        </row>
        <row r="554">
          <cell r="H554" t="str">
            <v>PA-11 Townhouses</v>
          </cell>
        </row>
        <row r="555">
          <cell r="H555" t="str">
            <v>PA-12 Boardwalk</v>
          </cell>
        </row>
        <row r="556">
          <cell r="H556" t="str">
            <v>PA-12 Car Park</v>
          </cell>
        </row>
        <row r="557">
          <cell r="H557" t="str">
            <v>PA-12 Tower 12</v>
          </cell>
        </row>
        <row r="558">
          <cell r="H558" t="str">
            <v>PA-12 Retail</v>
          </cell>
        </row>
        <row r="559">
          <cell r="H559" t="str">
            <v>PA-12 Townhouses</v>
          </cell>
        </row>
        <row r="560">
          <cell r="H560" t="str">
            <v>PA-13 Boardwalk</v>
          </cell>
        </row>
        <row r="561">
          <cell r="H561" t="str">
            <v>PA-13 Tower 13A</v>
          </cell>
        </row>
        <row r="562">
          <cell r="H562" t="str">
            <v>PA-13 Tower 13B</v>
          </cell>
        </row>
        <row r="563">
          <cell r="H563" t="str">
            <v>PA-13 Retail</v>
          </cell>
        </row>
        <row r="564">
          <cell r="H564" t="str">
            <v>PA-13 Townhouses</v>
          </cell>
        </row>
        <row r="565">
          <cell r="H565" t="str">
            <v>PA-14 Boardwalk</v>
          </cell>
        </row>
        <row r="566">
          <cell r="H566" t="str">
            <v>PA-14 Tower 14A</v>
          </cell>
        </row>
        <row r="567">
          <cell r="H567" t="str">
            <v>PA-14 Tower 14B</v>
          </cell>
        </row>
        <row r="568">
          <cell r="H568" t="str">
            <v>PA-14 Retail</v>
          </cell>
        </row>
        <row r="569">
          <cell r="H569" t="str">
            <v>PA-14 Townhouses</v>
          </cell>
        </row>
        <row r="570">
          <cell r="H570" t="str">
            <v>PA-15 Boardwalk</v>
          </cell>
        </row>
        <row r="571">
          <cell r="H571" t="str">
            <v>PA-15 Tower 15A</v>
          </cell>
        </row>
        <row r="572">
          <cell r="H572" t="str">
            <v>PA-15 Tower 16B</v>
          </cell>
        </row>
        <row r="573">
          <cell r="H573" t="str">
            <v>PA-15 Retail</v>
          </cell>
        </row>
        <row r="574">
          <cell r="H574" t="str">
            <v>PA-15 Townhouses</v>
          </cell>
        </row>
        <row r="575">
          <cell r="H575" t="str">
            <v>PA-16 Boardwalk</v>
          </cell>
        </row>
        <row r="576">
          <cell r="H576" t="str">
            <v>PA-16 Tower 16A</v>
          </cell>
        </row>
        <row r="577">
          <cell r="H577" t="str">
            <v>PA-16 Tower 16B</v>
          </cell>
        </row>
        <row r="578">
          <cell r="H578" t="str">
            <v>PA-16 Retail</v>
          </cell>
        </row>
        <row r="579">
          <cell r="H579" t="str">
            <v>PA-16 Townhouses</v>
          </cell>
        </row>
        <row r="580">
          <cell r="H580" t="str">
            <v>PA-17 Boardwalk</v>
          </cell>
        </row>
        <row r="581">
          <cell r="H581" t="str">
            <v>PA-17 Tower 17</v>
          </cell>
        </row>
        <row r="582">
          <cell r="H582" t="str">
            <v>PA-17 Retail</v>
          </cell>
        </row>
        <row r="583">
          <cell r="H583" t="str">
            <v>PA-17 Townhouses</v>
          </cell>
        </row>
        <row r="584">
          <cell r="H584" t="str">
            <v>PA-18 Boardwalk</v>
          </cell>
        </row>
        <row r="585">
          <cell r="H585" t="str">
            <v>PA-18 Tower 18</v>
          </cell>
        </row>
        <row r="586">
          <cell r="H586" t="str">
            <v>PA-18 Retail</v>
          </cell>
        </row>
        <row r="587">
          <cell r="H587" t="str">
            <v>PA-18 Townhouses</v>
          </cell>
        </row>
        <row r="588">
          <cell r="H588" t="str">
            <v>PA-19</v>
          </cell>
        </row>
        <row r="589">
          <cell r="H589" t="str">
            <v>PS-00</v>
          </cell>
        </row>
        <row r="590">
          <cell r="H590" t="str">
            <v>PS-01</v>
          </cell>
        </row>
        <row r="591">
          <cell r="H591" t="str">
            <v>PS-02</v>
          </cell>
        </row>
        <row r="592">
          <cell r="H592" t="str">
            <v>PS-03</v>
          </cell>
        </row>
        <row r="593">
          <cell r="H593" t="str">
            <v>PS-04</v>
          </cell>
        </row>
        <row r="594">
          <cell r="H594" t="str">
            <v>PS-05 Mosque</v>
          </cell>
        </row>
        <row r="595">
          <cell r="H595" t="str">
            <v>PV-00</v>
          </cell>
        </row>
        <row r="596">
          <cell r="H596" t="str">
            <v>PV-01</v>
          </cell>
        </row>
        <row r="597">
          <cell r="H597" t="str">
            <v>QQ-00</v>
          </cell>
        </row>
        <row r="598">
          <cell r="H598" t="str">
            <v>QQ-01</v>
          </cell>
        </row>
        <row r="599">
          <cell r="H599" t="str">
            <v>QQ-02</v>
          </cell>
        </row>
        <row r="600">
          <cell r="H600" t="str">
            <v>QQ-03</v>
          </cell>
        </row>
        <row r="601">
          <cell r="H601" t="str">
            <v>QQ-04 UDC HOTEL</v>
          </cell>
        </row>
        <row r="602">
          <cell r="H602" t="str">
            <v>QQ-05</v>
          </cell>
        </row>
        <row r="603">
          <cell r="H603" t="str">
            <v>QQ-06</v>
          </cell>
        </row>
        <row r="604">
          <cell r="H604" t="str">
            <v>QQ-07</v>
          </cell>
        </row>
        <row r="605">
          <cell r="H605" t="str">
            <v>QQ-08</v>
          </cell>
        </row>
        <row r="606">
          <cell r="H606" t="str">
            <v>QQ-09A</v>
          </cell>
        </row>
        <row r="607">
          <cell r="H607" t="str">
            <v>QQ-09B</v>
          </cell>
        </row>
        <row r="608">
          <cell r="H608" t="str">
            <v>R-00</v>
          </cell>
        </row>
        <row r="609">
          <cell r="H609" t="str">
            <v>R-01</v>
          </cell>
        </row>
        <row r="610">
          <cell r="H610" t="str">
            <v>S-00</v>
          </cell>
        </row>
        <row r="611">
          <cell r="H611" t="str">
            <v>S-01</v>
          </cell>
        </row>
        <row r="612">
          <cell r="H612" t="str">
            <v>S-02</v>
          </cell>
        </row>
        <row r="613">
          <cell r="H613" t="str">
            <v>U-00</v>
          </cell>
        </row>
        <row r="614">
          <cell r="H614" t="str">
            <v>U-01</v>
          </cell>
        </row>
        <row r="615">
          <cell r="H615" t="str">
            <v>U-02 Common area (Water Tank)</v>
          </cell>
        </row>
        <row r="616">
          <cell r="H616" t="str">
            <v>U-03</v>
          </cell>
        </row>
        <row r="617">
          <cell r="H617" t="str">
            <v>U-04</v>
          </cell>
        </row>
        <row r="618">
          <cell r="H618" t="str">
            <v>U-05</v>
          </cell>
        </row>
        <row r="619">
          <cell r="H619" t="str">
            <v>U-06</v>
          </cell>
        </row>
        <row r="620">
          <cell r="H620" t="str">
            <v>U-07</v>
          </cell>
        </row>
        <row r="621">
          <cell r="H621" t="str">
            <v>U-08</v>
          </cell>
        </row>
        <row r="622">
          <cell r="H622" t="str">
            <v>U-09</v>
          </cell>
        </row>
        <row r="623">
          <cell r="H623" t="str">
            <v>U-10</v>
          </cell>
        </row>
        <row r="624">
          <cell r="H624" t="str">
            <v>U-11</v>
          </cell>
        </row>
        <row r="625">
          <cell r="H625" t="str">
            <v>U-12</v>
          </cell>
        </row>
        <row r="626">
          <cell r="H626" t="str">
            <v>U-13</v>
          </cell>
        </row>
        <row r="627">
          <cell r="H627" t="str">
            <v>U-14</v>
          </cell>
        </row>
        <row r="628">
          <cell r="H628" t="str">
            <v>U-15</v>
          </cell>
        </row>
        <row r="629">
          <cell r="H629" t="str">
            <v>U-16</v>
          </cell>
        </row>
        <row r="630">
          <cell r="H630" t="str">
            <v>VB-00</v>
          </cell>
        </row>
        <row r="631">
          <cell r="H631" t="str">
            <v>VB-01</v>
          </cell>
        </row>
        <row r="632">
          <cell r="H632" t="str">
            <v>VB-02</v>
          </cell>
        </row>
        <row r="633">
          <cell r="H633" t="str">
            <v>VB-03</v>
          </cell>
        </row>
        <row r="634">
          <cell r="H634" t="str">
            <v>VB-04</v>
          </cell>
        </row>
        <row r="635">
          <cell r="H635" t="str">
            <v>VB-05</v>
          </cell>
        </row>
        <row r="636">
          <cell r="H636" t="str">
            <v>VB-06</v>
          </cell>
        </row>
        <row r="637">
          <cell r="H637" t="str">
            <v>VB-07</v>
          </cell>
        </row>
        <row r="638">
          <cell r="H638" t="str">
            <v>VB-08</v>
          </cell>
        </row>
        <row r="639">
          <cell r="H639" t="str">
            <v>VB-09</v>
          </cell>
        </row>
        <row r="640">
          <cell r="H640" t="str">
            <v>VB-10</v>
          </cell>
        </row>
        <row r="641">
          <cell r="H641" t="str">
            <v>VB-11</v>
          </cell>
        </row>
        <row r="642">
          <cell r="H642" t="str">
            <v>VB-12</v>
          </cell>
        </row>
        <row r="643">
          <cell r="H643" t="str">
            <v>VB-13</v>
          </cell>
        </row>
        <row r="644">
          <cell r="H644" t="str">
            <v>VB-14</v>
          </cell>
        </row>
        <row r="645">
          <cell r="H645" t="str">
            <v>VB-15</v>
          </cell>
        </row>
        <row r="646">
          <cell r="H646" t="str">
            <v>VB-16</v>
          </cell>
        </row>
        <row r="647">
          <cell r="H647" t="str">
            <v>VB-17</v>
          </cell>
        </row>
        <row r="648">
          <cell r="H648" t="str">
            <v>VB-18</v>
          </cell>
        </row>
        <row r="649">
          <cell r="H649" t="str">
            <v>VB-19</v>
          </cell>
        </row>
        <row r="650">
          <cell r="H650" t="str">
            <v>VB-20</v>
          </cell>
        </row>
        <row r="651">
          <cell r="H651" t="str">
            <v>VB-21</v>
          </cell>
        </row>
        <row r="652">
          <cell r="H652" t="str">
            <v>VB-22</v>
          </cell>
        </row>
        <row r="653">
          <cell r="H653" t="str">
            <v>VB-23</v>
          </cell>
        </row>
        <row r="654">
          <cell r="H654" t="str">
            <v>VB-24</v>
          </cell>
        </row>
        <row r="655">
          <cell r="H655" t="str">
            <v>VB-25</v>
          </cell>
        </row>
        <row r="656">
          <cell r="H656" t="str">
            <v>VB-26</v>
          </cell>
        </row>
        <row r="657">
          <cell r="H657" t="str">
            <v>VB-27</v>
          </cell>
        </row>
        <row r="658">
          <cell r="H658" t="str">
            <v>VB-28</v>
          </cell>
        </row>
        <row r="659">
          <cell r="H659" t="str">
            <v>VB-29</v>
          </cell>
        </row>
        <row r="660">
          <cell r="H660" t="str">
            <v>VB-30</v>
          </cell>
        </row>
        <row r="661">
          <cell r="H661" t="str">
            <v>VB-31</v>
          </cell>
        </row>
        <row r="662">
          <cell r="H662" t="str">
            <v>VB-32</v>
          </cell>
        </row>
        <row r="663">
          <cell r="H663" t="str">
            <v>VC-00 HOTEL</v>
          </cell>
        </row>
        <row r="664">
          <cell r="H664" t="str">
            <v>VC-01 HOTEL</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tables"/>
      <sheetName val="data inputs"/>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hypadj"/>
      <sheetName val="retentions"/>
    </sheetNames>
    <sheetDataSet>
      <sheetData sheetId="0" refreshError="1"/>
      <sheetData sheetId="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ens Hous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Contract Summary"/>
      <sheetName val="Scope of Supply"/>
      <sheetName val="Firsts"/>
      <sheetName val="SW Sched"/>
      <sheetName val="Sched 81vs61"/>
      <sheetName val="SW Dev Status -- PM"/>
      <sheetName val="Schedule"/>
      <sheetName val="Commercial Issues"/>
      <sheetName val="Technical Issues"/>
      <sheetName val="Current Contract Price"/>
      <sheetName val="FCS View (2)"/>
      <sheetName val="Variances"/>
      <sheetName val="FEMA"/>
      <sheetName val="CASHFLOW"/>
      <sheetName val="Opportunities"/>
      <sheetName val="DBE-Local"/>
      <sheetName val="Customer Relations"/>
      <sheetName val="Customer Satisfaction - Self"/>
      <sheetName val="Customer Satisfaction-Customer"/>
      <sheetName val="0222"/>
      <sheetName val="419"/>
      <sheetName val="419 SUB ASS-PRIM PART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Master"/>
      <sheetName val="Manpower Estimates"/>
      <sheetName val="Mobilisation  Costs"/>
      <sheetName val="Sub Contractors Cost"/>
      <sheetName val="Operational Cost"/>
      <sheetName val="Consulting "/>
      <sheetName val="Consolidated costs"/>
      <sheetName val="Subcontractor-price-distrib."/>
      <sheetName val="CONSUMABLE"/>
      <sheetName val="Assets List"/>
      <sheetName val="S4"/>
      <sheetName val="S5"/>
      <sheetName val="1.Summary Sheet"/>
      <sheetName val="2.Mobilisation Fee"/>
      <sheetName val="3.Condition Assessment"/>
      <sheetName val="4.Site Supervision"/>
      <sheetName val="5.Manpower Sub-Schedule"/>
      <sheetName val="Manpower Estimates (2)"/>
      <sheetName val="6.Equipment-Mach. Sub-Schedule"/>
      <sheetName val="7.Sub-contractors"/>
      <sheetName val="8.Consumables Sub-Schedule"/>
      <sheetName val="9.Other Costs"/>
      <sheetName val="10.Variable Service Trade"/>
      <sheetName val="11.Other Variable"/>
      <sheetName val="Tools &amp; Equipments List"/>
      <sheetName val="Project Cashflow Sheet"/>
      <sheetName val="Sheet1"/>
      <sheetName val="INPUTS"/>
      <sheetName val="Project summary"/>
      <sheetName val="Sheet2"/>
      <sheetName val="data inputs"/>
    </sheetNames>
    <sheetDataSet>
      <sheetData sheetId="0">
        <row r="5">
          <cell r="BT5" t="str">
            <v>Hard Services</v>
          </cell>
        </row>
        <row r="6">
          <cell r="BT6" t="str">
            <v>Ac Technician</v>
          </cell>
        </row>
        <row r="7">
          <cell r="BT7" t="str">
            <v>Asst Ac Techn</v>
          </cell>
        </row>
        <row r="8">
          <cell r="BT8" t="str">
            <v>Asst Electrical Engineer</v>
          </cell>
        </row>
        <row r="9">
          <cell r="BT9" t="str">
            <v>Asst Plumber</v>
          </cell>
        </row>
        <row r="10">
          <cell r="BT10" t="str">
            <v>Bms Operator</v>
          </cell>
        </row>
        <row r="11">
          <cell r="BT11" t="str">
            <v>Carpenter</v>
          </cell>
        </row>
        <row r="12">
          <cell r="BT12" t="str">
            <v>Civil Engineer</v>
          </cell>
        </row>
        <row r="13">
          <cell r="BT13" t="str">
            <v>Civil Supervisor</v>
          </cell>
        </row>
        <row r="14">
          <cell r="BT14" t="str">
            <v>Cmms Operator</v>
          </cell>
        </row>
        <row r="15">
          <cell r="BT15" t="str">
            <v>Electrical Engineer</v>
          </cell>
        </row>
        <row r="16">
          <cell r="BT16" t="str">
            <v>Electrical Foreman</v>
          </cell>
        </row>
        <row r="17">
          <cell r="BT17" t="str">
            <v>Electrical Supervisor</v>
          </cell>
        </row>
        <row r="18">
          <cell r="BT18" t="str">
            <v>Electrician</v>
          </cell>
        </row>
        <row r="19">
          <cell r="BT19" t="str">
            <v>Electrician/Satellite Technician</v>
          </cell>
        </row>
        <row r="20">
          <cell r="BT20" t="str">
            <v>Finishing Specialist</v>
          </cell>
        </row>
        <row r="21">
          <cell r="BT21" t="str">
            <v>Fire Systems Foreman</v>
          </cell>
        </row>
        <row r="22">
          <cell r="BT22" t="str">
            <v>General Foreman</v>
          </cell>
        </row>
        <row r="23">
          <cell r="BT23" t="str">
            <v>General Technician</v>
          </cell>
        </row>
        <row r="24">
          <cell r="BT24" t="str">
            <v>Head Of Engineering</v>
          </cell>
        </row>
        <row r="25">
          <cell r="BT25" t="str">
            <v>Heavy Duty Driver</v>
          </cell>
        </row>
        <row r="26">
          <cell r="BT26" t="str">
            <v>Hvac Engineer</v>
          </cell>
        </row>
        <row r="27">
          <cell r="BT27" t="str">
            <v>Hvac Supervisor</v>
          </cell>
        </row>
        <row r="28">
          <cell r="BT28" t="str">
            <v>Hvac Technician</v>
          </cell>
        </row>
        <row r="29">
          <cell r="BT29" t="str">
            <v>Light Duty Driver</v>
          </cell>
        </row>
        <row r="30">
          <cell r="BT30" t="str">
            <v>Mason</v>
          </cell>
        </row>
        <row r="31">
          <cell r="BT31" t="str">
            <v>Mechanical Engineer</v>
          </cell>
        </row>
        <row r="32">
          <cell r="BT32" t="str">
            <v>Mep Supervisor</v>
          </cell>
        </row>
        <row r="33">
          <cell r="BT33" t="str">
            <v>Mep Technician</v>
          </cell>
        </row>
        <row r="34">
          <cell r="BT34" t="str">
            <v>Painter</v>
          </cell>
        </row>
        <row r="35">
          <cell r="BT35" t="str">
            <v>Plumber</v>
          </cell>
        </row>
        <row r="36">
          <cell r="BT36" t="str">
            <v>Senior Ac Technician</v>
          </cell>
        </row>
        <row r="37">
          <cell r="BT37" t="str">
            <v>Senior Electrician</v>
          </cell>
        </row>
        <row r="38">
          <cell r="BT38" t="str">
            <v>Senior Mep Technician</v>
          </cell>
        </row>
        <row r="39">
          <cell r="BT39" t="str">
            <v>Senior Plumber</v>
          </cell>
        </row>
        <row r="40">
          <cell r="BT40" t="str">
            <v>Snagging Specialist</v>
          </cell>
        </row>
        <row r="41">
          <cell r="BT41" t="str">
            <v>Sr Fit Out Specialist</v>
          </cell>
        </row>
        <row r="42">
          <cell r="BT42" t="str">
            <v>Storekeeper</v>
          </cell>
        </row>
        <row r="43">
          <cell r="BT43" t="str">
            <v>Hv Electrician</v>
          </cell>
        </row>
        <row r="44">
          <cell r="BT44" t="str">
            <v>Control Technician</v>
          </cell>
        </row>
        <row r="45">
          <cell r="BT45" t="str">
            <v>Soft Services</v>
          </cell>
        </row>
        <row r="46">
          <cell r="BT46" t="str">
            <v>Cleaner</v>
          </cell>
        </row>
        <row r="47">
          <cell r="BT47" t="str">
            <v>Cleaner - Female</v>
          </cell>
        </row>
        <row r="48">
          <cell r="BT48" t="str">
            <v>Cleaning Supervisor</v>
          </cell>
        </row>
        <row r="49">
          <cell r="BT49" t="str">
            <v>Gardener</v>
          </cell>
        </row>
        <row r="50">
          <cell r="BT50" t="str">
            <v>Lifeguard</v>
          </cell>
        </row>
        <row r="51">
          <cell r="BT51" t="str">
            <v>Head Of Soft Services</v>
          </cell>
        </row>
        <row r="52">
          <cell r="BT52" t="str">
            <v>Helper</v>
          </cell>
        </row>
        <row r="53">
          <cell r="BT53" t="str">
            <v>Hr &amp; Admin Manager</v>
          </cell>
        </row>
        <row r="54">
          <cell r="BT54" t="str">
            <v>Security Guard</v>
          </cell>
        </row>
        <row r="55">
          <cell r="BT55" t="str">
            <v>Security Supervisor</v>
          </cell>
        </row>
        <row r="56">
          <cell r="BT56" t="str">
            <v>Soft Services Coordinator</v>
          </cell>
        </row>
        <row r="57">
          <cell r="BT57" t="str">
            <v>Soft Services Manager</v>
          </cell>
        </row>
        <row r="58">
          <cell r="BT58" t="str">
            <v>Sr Admn Officer</v>
          </cell>
        </row>
        <row r="59">
          <cell r="BT59" t="str">
            <v>Cleaning Team Leader</v>
          </cell>
        </row>
        <row r="60">
          <cell r="BT60" t="str">
            <v>Sr Hr Officer</v>
          </cell>
        </row>
        <row r="61">
          <cell r="BT61" t="str">
            <v>General Management</v>
          </cell>
        </row>
        <row r="62">
          <cell r="BT62" t="str">
            <v>Chief Executive Officer</v>
          </cell>
        </row>
        <row r="63">
          <cell r="BT63" t="str">
            <v>Chief Financial Officer</v>
          </cell>
        </row>
        <row r="64">
          <cell r="BT64" t="str">
            <v>Commercial And Finance Manager</v>
          </cell>
        </row>
        <row r="65">
          <cell r="BT65" t="str">
            <v>Executive Secretary</v>
          </cell>
        </row>
        <row r="66">
          <cell r="BT66" t="str">
            <v>Financial Controller</v>
          </cell>
        </row>
        <row r="67">
          <cell r="BT67" t="str">
            <v>Network Admin</v>
          </cell>
        </row>
        <row r="68">
          <cell r="BT68" t="str">
            <v>Regional Managing Director</v>
          </cell>
        </row>
        <row r="69">
          <cell r="BT69" t="str">
            <v>Commercial And Finance</v>
          </cell>
        </row>
        <row r="70">
          <cell r="BT70" t="str">
            <v>Accountant</v>
          </cell>
        </row>
        <row r="71">
          <cell r="BT71" t="str">
            <v>Asst Accountant</v>
          </cell>
        </row>
        <row r="72">
          <cell r="BT72" t="str">
            <v>Chief Accountant</v>
          </cell>
        </row>
        <row r="73">
          <cell r="BT73" t="str">
            <v>Commercial Controller(Project Acct)</v>
          </cell>
        </row>
        <row r="74">
          <cell r="BT74" t="str">
            <v>Commercial Controller (Qs)</v>
          </cell>
        </row>
        <row r="75">
          <cell r="BT75" t="str">
            <v>Procurement Manager</v>
          </cell>
        </row>
        <row r="76">
          <cell r="BT76" t="str">
            <v>Procurement Officer</v>
          </cell>
        </row>
        <row r="77">
          <cell r="BT77" t="str">
            <v>Receptionist</v>
          </cell>
        </row>
        <row r="78">
          <cell r="BT78" t="str">
            <v>Senior Accountant</v>
          </cell>
        </row>
        <row r="80">
          <cell r="BT80" t="str">
            <v>Admn Asst</v>
          </cell>
        </row>
        <row r="81">
          <cell r="BT81" t="str">
            <v>Building Services Manager</v>
          </cell>
        </row>
        <row r="82">
          <cell r="BT82" t="str">
            <v>Call Center Agent</v>
          </cell>
        </row>
        <row r="83">
          <cell r="BT83" t="str">
            <v>Call Center Manager</v>
          </cell>
        </row>
        <row r="84">
          <cell r="BT84" t="str">
            <v>Call Center Trainer</v>
          </cell>
        </row>
        <row r="85">
          <cell r="BT85" t="str">
            <v>Doc Controller</v>
          </cell>
        </row>
        <row r="86">
          <cell r="BT86" t="str">
            <v>Draughtsman</v>
          </cell>
        </row>
        <row r="87">
          <cell r="BT87" t="str">
            <v>Facilities Manager</v>
          </cell>
        </row>
        <row r="88">
          <cell r="BT88" t="str">
            <v>General Manager Operations</v>
          </cell>
        </row>
        <row r="89">
          <cell r="BT89" t="str">
            <v>Hr &amp; Admin Officer</v>
          </cell>
        </row>
        <row r="90">
          <cell r="BT90" t="str">
            <v>Hseq Manager</v>
          </cell>
        </row>
        <row r="91">
          <cell r="BT91" t="str">
            <v>Hseq Officer</v>
          </cell>
        </row>
        <row r="92">
          <cell r="BT92" t="str">
            <v>Office Assistant</v>
          </cell>
        </row>
        <row r="93">
          <cell r="BT93" t="str">
            <v>Pro</v>
          </cell>
        </row>
        <row r="94">
          <cell r="BT94" t="str">
            <v>Project Administrator</v>
          </cell>
        </row>
        <row r="95">
          <cell r="BT95" t="str">
            <v>Project Director</v>
          </cell>
        </row>
        <row r="96">
          <cell r="BT96" t="str">
            <v>Secretary</v>
          </cell>
        </row>
        <row r="97">
          <cell r="BT97" t="str">
            <v>Sr Call Center Agent</v>
          </cell>
        </row>
        <row r="98">
          <cell r="BT98" t="str">
            <v>Sr Facilities Manager</v>
          </cell>
        </row>
        <row r="99">
          <cell r="BT99" t="str">
            <v>Supervisor</v>
          </cell>
        </row>
        <row r="100">
          <cell r="BT100" t="str">
            <v>It Operator</v>
          </cell>
        </row>
        <row r="101">
          <cell r="BT101" t="str">
            <v>Project Manager</v>
          </cell>
        </row>
        <row r="102">
          <cell r="BT102" t="str">
            <v>Maintenance Director</v>
          </cell>
        </row>
        <row r="103">
          <cell r="BT103" t="str">
            <v>Utilities Director</v>
          </cell>
        </row>
        <row r="104">
          <cell r="BT104" t="str">
            <v>Soft Services Director</v>
          </cell>
        </row>
        <row r="105">
          <cell r="BT105" t="str">
            <v>Hseq Director</v>
          </cell>
        </row>
        <row r="106">
          <cell r="BT106" t="str">
            <v>Project Director</v>
          </cell>
        </row>
        <row r="107">
          <cell r="BT107" t="str">
            <v>Hseq Manager</v>
          </cell>
        </row>
        <row r="108">
          <cell r="BT108" t="str">
            <v>Residential Manager</v>
          </cell>
        </row>
        <row r="109">
          <cell r="BT109" t="str">
            <v>Facilities Manager</v>
          </cell>
        </row>
        <row r="110">
          <cell r="BT110" t="str">
            <v>Hseq Officers</v>
          </cell>
        </row>
        <row r="111">
          <cell r="BT111" t="str">
            <v>Building Fabric Officer</v>
          </cell>
        </row>
        <row r="112">
          <cell r="BT112" t="str">
            <v>Mep Officer</v>
          </cell>
        </row>
        <row r="113">
          <cell r="BT113" t="str">
            <v>Electric Manager</v>
          </cell>
        </row>
        <row r="114">
          <cell r="BT114" t="str">
            <v>District Cooling Manager</v>
          </cell>
        </row>
        <row r="115">
          <cell r="BT115" t="str">
            <v>Water Treatment Manager</v>
          </cell>
        </row>
        <row r="116">
          <cell r="BT116" t="str">
            <v>Network Infrastructure Manager</v>
          </cell>
        </row>
        <row r="117">
          <cell r="BT117" t="str">
            <v>Catering Manager</v>
          </cell>
        </row>
        <row r="118">
          <cell r="BT118" t="str">
            <v>Janitorial Service Manager</v>
          </cell>
        </row>
        <row r="119">
          <cell r="BT119" t="str">
            <v>Waste Manager</v>
          </cell>
        </row>
        <row r="120">
          <cell r="BT120" t="str">
            <v>Landscape Manager</v>
          </cell>
        </row>
        <row r="121">
          <cell r="BT121" t="str">
            <v>Communication Assistants</v>
          </cell>
        </row>
        <row r="122">
          <cell r="BT122" t="str">
            <v>Operation Officers</v>
          </cell>
        </row>
        <row r="123">
          <cell r="BT123" t="str">
            <v>Janitors (Cleaners)</v>
          </cell>
        </row>
        <row r="124">
          <cell r="BT124" t="str">
            <v>Facilities Co ordinator</v>
          </cell>
        </row>
        <row r="125">
          <cell r="BT125" t="str">
            <v>Hvac Technician - Senior</v>
          </cell>
        </row>
        <row r="126">
          <cell r="BT126" t="str">
            <v>Hvac Technician - Junior</v>
          </cell>
        </row>
        <row r="127">
          <cell r="BT127" t="str">
            <v>Electrician - Senior</v>
          </cell>
        </row>
        <row r="128">
          <cell r="BT128" t="str">
            <v>Electrician - Junior</v>
          </cell>
        </row>
        <row r="129">
          <cell r="BT129" t="str">
            <v>Plumber - Senior</v>
          </cell>
        </row>
        <row r="130">
          <cell r="BT130" t="str">
            <v>Plumber - Junior</v>
          </cell>
        </row>
        <row r="131">
          <cell r="BT131" t="str">
            <v>Carpenter - senior</v>
          </cell>
        </row>
        <row r="132">
          <cell r="BT132" t="str">
            <v>Carpenter - Junior</v>
          </cell>
        </row>
        <row r="133">
          <cell r="BT133" t="str">
            <v>Technical &amp; Energy manager</v>
          </cell>
        </row>
        <row r="134">
          <cell r="BT134" t="str">
            <v>Quality manager</v>
          </cell>
        </row>
        <row r="135">
          <cell r="BT135" t="str">
            <v>Technical Co ordinator</v>
          </cell>
        </row>
        <row r="136">
          <cell r="BT136" t="str">
            <v>Securu</v>
          </cell>
        </row>
      </sheetData>
      <sheetData sheetId="1">
        <row r="105">
          <cell r="C105" t="str">
            <v>Mep Technician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ntral Support AUH"/>
      <sheetName val="MUSANADA ABU DHABI"/>
      <sheetName val="MOBILIZATION AUH"/>
      <sheetName val="Central Support ALAIN"/>
      <sheetName val="MUSANADA AL AIN"/>
      <sheetName val="MOBILIZATION AL AIN"/>
      <sheetName val="Central Support WR"/>
      <sheetName val="MUSANADA WR"/>
      <sheetName val="MOBILIZATION WR"/>
      <sheetName val="CONSOLIDATED"/>
      <sheetName val="Employee Salary Calculations"/>
      <sheetName val="Sheet1"/>
      <sheetName val="Tools Requires"/>
      <sheetName val="Summary All Regions"/>
      <sheetName val="Summary by Region"/>
      <sheetName val="Mobilization Fee Abu Dhabi"/>
      <sheetName val="Mobilization Fee Al Ain"/>
      <sheetName val="Mobilization Fee WR"/>
      <sheetName val="Manpower Schedule AUH"/>
      <sheetName val="Manpower Schedule Al Ain"/>
      <sheetName val="Manpower Schedule WR"/>
      <sheetName val="EQUIPMENT &amp; MACHINERY AUH"/>
      <sheetName val="EQUIPMENT &amp; MACHINERY Al Ain"/>
      <sheetName val="EQUIPMENT &amp; MACHINERY WR"/>
      <sheetName val="Sub-Contractor AUH"/>
      <sheetName val="Sub-Contractor Al Ain"/>
      <sheetName val="Sub-Contractor WR"/>
      <sheetName val="CONSUMABLES"/>
      <sheetName val="Others"/>
      <sheetName val="Variable Service Manpower"/>
      <sheetName val="vARIANCE "/>
      <sheetName val="Sub schedule per mosque"/>
      <sheetName val="Sub Schedule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2" t="str">
            <v>Description</v>
          </cell>
          <cell r="B2" t="str">
            <v>Per Vehicle</v>
          </cell>
          <cell r="C2" t="str">
            <v>Unit Price</v>
          </cell>
          <cell r="D2" t="str">
            <v>Price</v>
          </cell>
        </row>
        <row r="3">
          <cell r="A3" t="str">
            <v>Ladders Small 6 Foot</v>
          </cell>
          <cell r="B3">
            <v>1</v>
          </cell>
          <cell r="C3">
            <v>160</v>
          </cell>
          <cell r="D3">
            <v>160</v>
          </cell>
        </row>
        <row r="4">
          <cell r="A4" t="str">
            <v>Ladders Convertible (Extension)</v>
          </cell>
          <cell r="B4">
            <v>1</v>
          </cell>
          <cell r="C4">
            <v>250</v>
          </cell>
          <cell r="D4">
            <v>250</v>
          </cell>
        </row>
        <row r="5">
          <cell r="A5" t="str">
            <v>Tie down straps for 2 ladders/ Oxy-acetylene kit and 2 gas bottles</v>
          </cell>
          <cell r="B5">
            <v>5</v>
          </cell>
          <cell r="C5">
            <v>150</v>
          </cell>
          <cell r="D5">
            <v>750</v>
          </cell>
        </row>
        <row r="6">
          <cell r="A6" t="str">
            <v>Oxy-acetylene full set</v>
          </cell>
          <cell r="B6">
            <v>1</v>
          </cell>
          <cell r="C6">
            <v>1700</v>
          </cell>
          <cell r="D6">
            <v>1700</v>
          </cell>
        </row>
        <row r="7">
          <cell r="A7" t="str">
            <v>Extension Cords 5 Meters</v>
          </cell>
          <cell r="B7">
            <v>1</v>
          </cell>
          <cell r="C7">
            <v>50</v>
          </cell>
          <cell r="D7">
            <v>50</v>
          </cell>
        </row>
        <row r="8">
          <cell r="A8" t="str">
            <v>Extension Cords 10 Meters</v>
          </cell>
          <cell r="B8">
            <v>1</v>
          </cell>
          <cell r="C8">
            <v>75</v>
          </cell>
          <cell r="D8">
            <v>75</v>
          </cell>
        </row>
        <row r="9">
          <cell r="A9" t="str">
            <v>Pressure Washer</v>
          </cell>
          <cell r="B9">
            <v>1</v>
          </cell>
          <cell r="C9">
            <v>120</v>
          </cell>
          <cell r="D9">
            <v>120</v>
          </cell>
        </row>
        <row r="10">
          <cell r="A10" t="str">
            <v>Resedual Current Device for Extension Leads</v>
          </cell>
          <cell r="B10">
            <v>1</v>
          </cell>
          <cell r="C10">
            <v>110</v>
          </cell>
          <cell r="D10">
            <v>110</v>
          </cell>
        </row>
        <row r="11">
          <cell r="A11" t="str">
            <v>12 Volt Cordless Drill</v>
          </cell>
          <cell r="B11">
            <v>1</v>
          </cell>
          <cell r="C11">
            <v>750</v>
          </cell>
          <cell r="D11">
            <v>750</v>
          </cell>
        </row>
        <row r="12">
          <cell r="A12" t="str">
            <v>Electric/ Hammer Drill (1/2 inch chuck)</v>
          </cell>
          <cell r="B12">
            <v>1</v>
          </cell>
          <cell r="C12">
            <v>675</v>
          </cell>
          <cell r="D12">
            <v>675</v>
          </cell>
        </row>
        <row r="13">
          <cell r="A13" t="str">
            <v>Extendable 20 meter water hose with fittings</v>
          </cell>
          <cell r="B13">
            <v>1</v>
          </cell>
          <cell r="C13">
            <v>150</v>
          </cell>
          <cell r="D13">
            <v>150</v>
          </cell>
        </row>
        <row r="14">
          <cell r="A14" t="str">
            <v>Torch</v>
          </cell>
          <cell r="B14">
            <v>5</v>
          </cell>
          <cell r="C14">
            <v>100</v>
          </cell>
          <cell r="D14">
            <v>500</v>
          </cell>
        </row>
        <row r="15">
          <cell r="A15" t="str">
            <v>Vaccum Cleaner (wet/dry)</v>
          </cell>
          <cell r="B15">
            <v>1</v>
          </cell>
          <cell r="C15">
            <v>2150</v>
          </cell>
          <cell r="D15">
            <v>2150</v>
          </cell>
        </row>
        <row r="16">
          <cell r="A16" t="str">
            <v xml:space="preserve">Rope 50 Meters </v>
          </cell>
          <cell r="B16">
            <v>1</v>
          </cell>
          <cell r="C16">
            <v>40</v>
          </cell>
          <cell r="D16">
            <v>40</v>
          </cell>
        </row>
        <row r="17">
          <cell r="A17" t="str">
            <v>Multimeter</v>
          </cell>
          <cell r="B17">
            <v>1</v>
          </cell>
          <cell r="C17">
            <v>225</v>
          </cell>
          <cell r="D17">
            <v>225</v>
          </cell>
        </row>
        <row r="18">
          <cell r="A18" t="str">
            <v>Clamp Tester</v>
          </cell>
          <cell r="B18">
            <v>1</v>
          </cell>
          <cell r="C18">
            <v>300</v>
          </cell>
          <cell r="D18">
            <v>300</v>
          </cell>
        </row>
        <row r="19">
          <cell r="A19" t="str">
            <v>Cameras</v>
          </cell>
          <cell r="B19">
            <v>1</v>
          </cell>
          <cell r="C19">
            <v>500</v>
          </cell>
          <cell r="D19">
            <v>500</v>
          </cell>
        </row>
        <row r="20">
          <cell r="A20" t="str">
            <v>Tile Cutter (Manual)</v>
          </cell>
          <cell r="B20">
            <v>1</v>
          </cell>
          <cell r="C20">
            <v>290</v>
          </cell>
          <cell r="D20">
            <v>290</v>
          </cell>
        </row>
        <row r="21">
          <cell r="A21" t="str">
            <v xml:space="preserve">Assorted Paint Brushes/ Rollers/ Trays </v>
          </cell>
          <cell r="B21">
            <v>2</v>
          </cell>
          <cell r="C21">
            <v>30</v>
          </cell>
          <cell r="D21">
            <v>60</v>
          </cell>
        </row>
        <row r="22">
          <cell r="A22" t="str">
            <v>Brooms/ Pickers</v>
          </cell>
          <cell r="B22">
            <v>2</v>
          </cell>
          <cell r="C22">
            <v>15</v>
          </cell>
          <cell r="D22">
            <v>30</v>
          </cell>
        </row>
        <row r="23">
          <cell r="A23" t="str">
            <v>Plastic Rolls 25 Meters</v>
          </cell>
          <cell r="B23">
            <v>2</v>
          </cell>
          <cell r="C23">
            <v>25</v>
          </cell>
          <cell r="D23">
            <v>50</v>
          </cell>
        </row>
        <row r="24">
          <cell r="A24" t="str">
            <v>Scrubbers</v>
          </cell>
          <cell r="B24">
            <v>2</v>
          </cell>
          <cell r="C24">
            <v>5</v>
          </cell>
          <cell r="D24">
            <v>10</v>
          </cell>
        </row>
        <row r="25">
          <cell r="A25" t="str">
            <v xml:space="preserve">Safety Harnesses </v>
          </cell>
          <cell r="B25">
            <v>2</v>
          </cell>
          <cell r="C25">
            <v>1000</v>
          </cell>
          <cell r="D25">
            <v>2000</v>
          </cell>
        </row>
        <row r="26">
          <cell r="A26" t="str">
            <v>Safety Rope 20 Meters</v>
          </cell>
          <cell r="B26">
            <v>2</v>
          </cell>
          <cell r="C26">
            <v>200</v>
          </cell>
          <cell r="D26">
            <v>400</v>
          </cell>
        </row>
        <row r="27">
          <cell r="A27" t="str">
            <v>Total</v>
          </cell>
          <cell r="D27">
            <v>11345</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KG1"/>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ion"/>
      <sheetName val="Dorm Co.s"/>
      <sheetName val="Detailed TB's"/>
      <sheetName val="Summary TB's"/>
      <sheetName val="CTRL"/>
      <sheetName val="Note4-Interest"/>
      <sheetName val="Note7-Staff Costs"/>
      <sheetName val="Note9-FixedAssets"/>
      <sheetName val="Note10-EURL"/>
      <sheetName val="Note10-Associates"/>
      <sheetName val="Note10-HK"/>
      <sheetName val="Note10-SA"/>
      <sheetName val="Notes12-14_ICo. Bals"/>
      <sheetName val="Note18-Leases"/>
      <sheetName val="Note22-Pensions(1)"/>
      <sheetName val="Note22-Pensions(2)"/>
      <sheetName val="Fin. Lease"/>
      <sheetName val="Con Adj Jnl"/>
      <sheetName val="ICo.Charges"/>
      <sheetName val="hypadj"/>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 D"/>
      <sheetName val="FY03 - P12 CENTRE"/>
      <sheetName val="EXAMPLES 2003_04"/>
      <sheetName val="EXAMPLES 2002_03"/>
      <sheetName val="EXAMPLES"/>
      <sheetName val="TB"/>
      <sheetName val="AGENDA"/>
      <sheetName val="Note7-Staff Cost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Master"/>
      <sheetName val="Info-Sheet"/>
      <sheetName val="Revenue Breakup-2018"/>
      <sheetName val="Dropdown list"/>
      <sheetName val="Manpower CTC Calculation"/>
      <sheetName val="Headcount-Cash"/>
      <sheetName val="Headcount-CTC Comps"/>
      <sheetName val="Headcount Cost Allocation"/>
      <sheetName val="Consulting "/>
      <sheetName val="Tools &amp; Equipments List"/>
      <sheetName val="Project Cashflow Sheet"/>
      <sheetName val="Sheet1"/>
      <sheetName val="INPUTS"/>
      <sheetName val="Project summary"/>
      <sheetName val="Sheet2"/>
      <sheetName val="data inputs"/>
      <sheetName val="Mobilization Budget"/>
      <sheetName val="Asset Budget"/>
      <sheetName val="Variation Costs"/>
      <sheetName val="Contract Costs"/>
      <sheetName val="SG&amp;A"/>
      <sheetName val="Consolidated Budget"/>
      <sheetName val="Budget Upload"/>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3">
          <cell r="C3">
            <v>0.08</v>
          </cell>
          <cell r="D3">
            <v>0.1</v>
          </cell>
        </row>
        <row r="4">
          <cell r="C4">
            <v>0.1</v>
          </cell>
          <cell r="D4">
            <v>0.1</v>
          </cell>
        </row>
        <row r="5">
          <cell r="C5">
            <v>0.1</v>
          </cell>
          <cell r="D5">
            <v>0.12</v>
          </cell>
        </row>
        <row r="6">
          <cell r="C6">
            <v>0.3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Package A"/>
      <sheetName val="Package D"/>
      <sheetName val="Package E"/>
      <sheetName val="Package G"/>
      <sheetName val="Summary"/>
      <sheetName val="Sheet8"/>
    </sheetNames>
    <sheetDataSet>
      <sheetData sheetId="0">
        <row r="2">
          <cell r="B2" t="str">
            <v>Automatic Dry Powder Cylinder</v>
          </cell>
        </row>
      </sheetData>
      <sheetData sheetId="1"/>
      <sheetData sheetId="2">
        <row r="3">
          <cell r="V3">
            <v>0</v>
          </cell>
        </row>
      </sheetData>
      <sheetData sheetId="3">
        <row r="3">
          <cell r="AS3">
            <v>1</v>
          </cell>
        </row>
      </sheetData>
      <sheetData sheetId="4">
        <row r="3">
          <cell r="AM3">
            <v>0</v>
          </cell>
        </row>
      </sheetData>
      <sheetData sheetId="5">
        <row r="3">
          <cell r="AO3">
            <v>0</v>
          </cell>
        </row>
      </sheetData>
      <sheetData sheetId="6"/>
      <sheetData sheetId="7">
        <row r="1">
          <cell r="A1" t="str">
            <v xml:space="preserve"> Al Mozoon KG ( Innovation Kindergarten at Al Falah (E3/11)</v>
          </cell>
          <cell r="B1" t="str">
            <v>D</v>
          </cell>
        </row>
        <row r="2">
          <cell r="A2" t="str">
            <v>Abdul Jalil Al Fahim Primary School</v>
          </cell>
          <cell r="B2" t="str">
            <v>A</v>
          </cell>
        </row>
        <row r="3">
          <cell r="A3" t="str">
            <v>Abdullah Bin Otaiba</v>
          </cell>
          <cell r="B3" t="str">
            <v>A</v>
          </cell>
        </row>
        <row r="4">
          <cell r="A4" t="str">
            <v>Abu Krayyah School</v>
          </cell>
          <cell r="B4" t="str">
            <v>G</v>
          </cell>
        </row>
        <row r="5">
          <cell r="A5" t="str">
            <v>Ajnadeen Primary School</v>
          </cell>
          <cell r="B5" t="str">
            <v>A</v>
          </cell>
        </row>
        <row r="6">
          <cell r="A6" t="str">
            <v>Al Aasimah Primary School</v>
          </cell>
          <cell r="B6" t="str">
            <v>D</v>
          </cell>
        </row>
        <row r="7">
          <cell r="A7" t="str">
            <v>Al Abbas Bin Abdel Muttalib School</v>
          </cell>
          <cell r="B7" t="str">
            <v>E</v>
          </cell>
        </row>
        <row r="8">
          <cell r="A8" t="str">
            <v>Al Ahd Kindergarten</v>
          </cell>
          <cell r="B8" t="str">
            <v>G</v>
          </cell>
        </row>
        <row r="9">
          <cell r="A9" t="str">
            <v>Al Ajbaan Primary School</v>
          </cell>
          <cell r="B9" t="str">
            <v>D</v>
          </cell>
        </row>
        <row r="10">
          <cell r="A10" t="str">
            <v>Al Ameen Primary School</v>
          </cell>
          <cell r="B10" t="str">
            <v>A</v>
          </cell>
        </row>
        <row r="11">
          <cell r="A11" t="str">
            <v>Al Areej KG</v>
          </cell>
          <cell r="B11" t="str">
            <v>E</v>
          </cell>
        </row>
        <row r="12">
          <cell r="A12" t="str">
            <v>Al Asalah Primary School</v>
          </cell>
          <cell r="B12" t="str">
            <v>D</v>
          </cell>
        </row>
        <row r="13">
          <cell r="A13" t="str">
            <v>Al Badiyah School</v>
          </cell>
          <cell r="B13" t="str">
            <v>G</v>
          </cell>
        </row>
        <row r="14">
          <cell r="A14" t="str">
            <v>Al Bedaya school</v>
          </cell>
          <cell r="B14" t="str">
            <v>D</v>
          </cell>
        </row>
        <row r="15">
          <cell r="A15" t="str">
            <v>Al Danah Primary School</v>
          </cell>
          <cell r="B15" t="str">
            <v>A</v>
          </cell>
        </row>
        <row r="16">
          <cell r="A16" t="str">
            <v>Al Dewan KG</v>
          </cell>
          <cell r="B16" t="str">
            <v>G</v>
          </cell>
        </row>
        <row r="17">
          <cell r="A17" t="str">
            <v>Al Dhaher School</v>
          </cell>
          <cell r="B17" t="str">
            <v>G</v>
          </cell>
        </row>
        <row r="18">
          <cell r="A18" t="str">
            <v>Al Ebtikar School C2&amp; C3 (Dar Al Hekmah Secondary School previously)</v>
          </cell>
          <cell r="B18" t="str">
            <v>E</v>
          </cell>
        </row>
        <row r="19">
          <cell r="A19" t="str">
            <v>Al Erteqa'a Primary School</v>
          </cell>
          <cell r="B19" t="str">
            <v>D</v>
          </cell>
        </row>
        <row r="20">
          <cell r="A20" t="str">
            <v>Al Falah KG</v>
          </cell>
          <cell r="B20" t="str">
            <v>D</v>
          </cell>
        </row>
        <row r="21">
          <cell r="A21" t="str">
            <v>Al Farooq School</v>
          </cell>
          <cell r="B21" t="str">
            <v>E</v>
          </cell>
        </row>
        <row r="22">
          <cell r="A22" t="str">
            <v>Al Fursan KG</v>
          </cell>
          <cell r="B22" t="str">
            <v>D</v>
          </cell>
        </row>
        <row r="23">
          <cell r="A23" t="str">
            <v>Al Ghadeer KG  -- Newely Added (Under Warranity)</v>
          </cell>
          <cell r="B23" t="str">
            <v>G</v>
          </cell>
        </row>
        <row r="24">
          <cell r="A24" t="str">
            <v>Al Gharbiya Model School</v>
          </cell>
          <cell r="B24" t="str">
            <v>E</v>
          </cell>
        </row>
        <row r="25">
          <cell r="A25" t="str">
            <v>Al Goua KG</v>
          </cell>
          <cell r="B25" t="str">
            <v>G</v>
          </cell>
        </row>
        <row r="26">
          <cell r="A26" t="str">
            <v>Al Hedaya KG</v>
          </cell>
          <cell r="B26" t="str">
            <v>A</v>
          </cell>
        </row>
        <row r="27">
          <cell r="A27" t="str">
            <v>Al Hosn Seconday School</v>
          </cell>
          <cell r="B27" t="str">
            <v>D</v>
          </cell>
        </row>
        <row r="28">
          <cell r="A28" t="str">
            <v>Al Husoon School</v>
          </cell>
          <cell r="B28" t="str">
            <v>G</v>
          </cell>
        </row>
        <row r="29">
          <cell r="A29" t="str">
            <v>Al Jahili School</v>
          </cell>
          <cell r="B29" t="str">
            <v>G</v>
          </cell>
        </row>
        <row r="30">
          <cell r="A30" t="str">
            <v>Al Jana'aen Primary School</v>
          </cell>
          <cell r="B30" t="str">
            <v>D</v>
          </cell>
        </row>
        <row r="31">
          <cell r="A31" t="str">
            <v>Al Jazeera KG</v>
          </cell>
          <cell r="B31" t="str">
            <v>A</v>
          </cell>
        </row>
        <row r="32">
          <cell r="A32" t="str">
            <v>Al Jeel KG</v>
          </cell>
          <cell r="B32" t="str">
            <v>D</v>
          </cell>
        </row>
        <row r="33">
          <cell r="A33" t="str">
            <v>Al Jenan Kindergarten</v>
          </cell>
          <cell r="B33" t="str">
            <v>E</v>
          </cell>
        </row>
        <row r="34">
          <cell r="A34" t="str">
            <v>Al katim for boys/Obadah Bin Al Samet combined secongdary school for boys (al khatem)</v>
          </cell>
          <cell r="B34" t="str">
            <v>D</v>
          </cell>
        </row>
        <row r="35">
          <cell r="A35" t="str">
            <v>Al Khama'el Primary Model School</v>
          </cell>
          <cell r="B35" t="str">
            <v>E</v>
          </cell>
        </row>
        <row r="36">
          <cell r="A36" t="str">
            <v>Al Khlaif Kindergarten</v>
          </cell>
          <cell r="B36" t="str">
            <v>G</v>
          </cell>
        </row>
        <row r="37">
          <cell r="A37" t="str">
            <v>Al Mafraq Secondary School</v>
          </cell>
          <cell r="B37" t="str">
            <v>D</v>
          </cell>
        </row>
        <row r="38">
          <cell r="A38" t="str">
            <v>Al Maha Primary School</v>
          </cell>
          <cell r="B38" t="str">
            <v>D</v>
          </cell>
        </row>
        <row r="39">
          <cell r="A39" t="str">
            <v>Al Mahabbah KG</v>
          </cell>
          <cell r="B39" t="str">
            <v>E</v>
          </cell>
        </row>
        <row r="40">
          <cell r="A40" t="str">
            <v>Al Marfa'a Primary School</v>
          </cell>
          <cell r="B40" t="str">
            <v>E</v>
          </cell>
        </row>
        <row r="41">
          <cell r="A41" t="str">
            <v>Al Marwah Primary School</v>
          </cell>
          <cell r="B41" t="str">
            <v>D</v>
          </cell>
        </row>
        <row r="42">
          <cell r="A42" t="str">
            <v>Al Masha'el Kindergarten</v>
          </cell>
          <cell r="B42" t="str">
            <v>E</v>
          </cell>
        </row>
        <row r="43">
          <cell r="A43" t="str">
            <v>Al Moatasem Center</v>
          </cell>
          <cell r="B43" t="str">
            <v>D</v>
          </cell>
        </row>
        <row r="44">
          <cell r="A44" t="str">
            <v>Al Moghira Bin Shoaba School</v>
          </cell>
          <cell r="B44" t="str">
            <v>E</v>
          </cell>
        </row>
        <row r="45">
          <cell r="A45" t="str">
            <v>Al Mostaqbal Primary Model School</v>
          </cell>
          <cell r="B45" t="str">
            <v>A</v>
          </cell>
        </row>
        <row r="46">
          <cell r="A46" t="str">
            <v>Al Mottahida Primary Secondary School</v>
          </cell>
          <cell r="B46" t="str">
            <v>E</v>
          </cell>
        </row>
        <row r="47">
          <cell r="A47" t="str">
            <v>Al Mozdalefa Primary School</v>
          </cell>
          <cell r="B47" t="str">
            <v>D</v>
          </cell>
        </row>
        <row r="48">
          <cell r="A48" t="str">
            <v>Al Mushrif School</v>
          </cell>
          <cell r="B48" t="str">
            <v>A</v>
          </cell>
        </row>
        <row r="49">
          <cell r="A49" t="str">
            <v>Al Mutanabbi Secondary School</v>
          </cell>
          <cell r="B49" t="str">
            <v>A</v>
          </cell>
        </row>
        <row r="50">
          <cell r="A50" t="str">
            <v>Al Nahrawan School</v>
          </cell>
          <cell r="B50" t="str">
            <v>E</v>
          </cell>
        </row>
        <row r="51">
          <cell r="A51" t="str">
            <v>Al Nakheel KG (Newely added (Under warranity))</v>
          </cell>
          <cell r="B51" t="str">
            <v>G</v>
          </cell>
        </row>
        <row r="52">
          <cell r="A52" t="str">
            <v>Al Nassr KG</v>
          </cell>
          <cell r="B52" t="str">
            <v>D</v>
          </cell>
        </row>
        <row r="53">
          <cell r="A53" t="str">
            <v>Al Noor Primary School</v>
          </cell>
          <cell r="B53" t="str">
            <v>D</v>
          </cell>
        </row>
        <row r="54">
          <cell r="A54" t="str">
            <v>Al Nukhba School</v>
          </cell>
          <cell r="B54" t="str">
            <v>E</v>
          </cell>
        </row>
        <row r="55">
          <cell r="A55" t="str">
            <v>Al Ola Kindergarten</v>
          </cell>
          <cell r="B55" t="str">
            <v>D</v>
          </cell>
        </row>
        <row r="56">
          <cell r="A56" t="str">
            <v>Al Qadesyah Secondary School</v>
          </cell>
          <cell r="B56" t="str">
            <v>A</v>
          </cell>
        </row>
        <row r="57">
          <cell r="A57" t="str">
            <v>Al Quaa School</v>
          </cell>
          <cell r="B57" t="str">
            <v>G</v>
          </cell>
        </row>
        <row r="58">
          <cell r="A58" t="str">
            <v xml:space="preserve">Al Rakia School                           </v>
          </cell>
          <cell r="B58" t="str">
            <v>G</v>
          </cell>
        </row>
        <row r="59">
          <cell r="A59" t="str">
            <v>Al Reem (previously Alqadisiah)</v>
          </cell>
          <cell r="B59" t="str">
            <v>A</v>
          </cell>
        </row>
        <row r="60">
          <cell r="A60" t="str">
            <v>Al Rehab School</v>
          </cell>
          <cell r="B60" t="str">
            <v>E</v>
          </cell>
        </row>
        <row r="61">
          <cell r="A61" t="str">
            <v>Al Ruwaad Primary Secondary Model School</v>
          </cell>
          <cell r="B61" t="str">
            <v>D</v>
          </cell>
        </row>
        <row r="62">
          <cell r="A62" t="str">
            <v>Al Ruwais School</v>
          </cell>
          <cell r="B62" t="str">
            <v>E</v>
          </cell>
        </row>
        <row r="63">
          <cell r="A63" t="str">
            <v>Al Sahab KG</v>
          </cell>
          <cell r="B63" t="str">
            <v>E</v>
          </cell>
        </row>
        <row r="64">
          <cell r="A64" t="str">
            <v>Al Seddique School</v>
          </cell>
          <cell r="B64" t="str">
            <v>E</v>
          </cell>
        </row>
        <row r="65">
          <cell r="A65" t="str">
            <v>Al Selaa Primary School</v>
          </cell>
          <cell r="B65" t="str">
            <v>E</v>
          </cell>
        </row>
        <row r="66">
          <cell r="A66" t="str">
            <v>Al Shamkha KG</v>
          </cell>
          <cell r="B66" t="str">
            <v>D</v>
          </cell>
        </row>
        <row r="67">
          <cell r="A67" t="str">
            <v>Al Shatha KG</v>
          </cell>
          <cell r="B67" t="str">
            <v>E</v>
          </cell>
        </row>
        <row r="68">
          <cell r="A68" t="str">
            <v>Al Shiyam School</v>
          </cell>
          <cell r="B68" t="str">
            <v>G</v>
          </cell>
        </row>
        <row r="69">
          <cell r="A69" t="str">
            <v>Al Shumoukh School (WR)</v>
          </cell>
          <cell r="B69" t="str">
            <v>E</v>
          </cell>
        </row>
        <row r="70">
          <cell r="A70" t="str">
            <v>Al Somou School</v>
          </cell>
          <cell r="B70" t="str">
            <v>G</v>
          </cell>
        </row>
        <row r="71">
          <cell r="A71" t="str">
            <v>Al Soqoor Primary Model  School</v>
          </cell>
          <cell r="B71" t="str">
            <v>A</v>
          </cell>
        </row>
        <row r="72">
          <cell r="A72" t="str">
            <v>Al Taawun Primary School</v>
          </cell>
          <cell r="B72" t="str">
            <v>D</v>
          </cell>
        </row>
        <row r="73">
          <cell r="A73" t="str">
            <v>Al Tafawwoq Primary School</v>
          </cell>
          <cell r="B73" t="str">
            <v>D</v>
          </cell>
        </row>
        <row r="74">
          <cell r="A74" t="str">
            <v>Al Taleaa Secondary School</v>
          </cell>
          <cell r="B74" t="str">
            <v>D</v>
          </cell>
        </row>
        <row r="75">
          <cell r="A75" t="str">
            <v>Al Taqaddom Primary School</v>
          </cell>
          <cell r="B75" t="str">
            <v>D</v>
          </cell>
        </row>
        <row r="76">
          <cell r="A76" t="str">
            <v>Al Towayya KG</v>
          </cell>
          <cell r="B76" t="str">
            <v>G</v>
          </cell>
        </row>
        <row r="77">
          <cell r="A77" t="str">
            <v>Al Wagan School</v>
          </cell>
          <cell r="B77" t="str">
            <v>G</v>
          </cell>
        </row>
        <row r="78">
          <cell r="A78" t="str">
            <v>Al Waleed Bin Abdul Malek Primary School</v>
          </cell>
          <cell r="B78" t="str">
            <v>D</v>
          </cell>
        </row>
        <row r="79">
          <cell r="A79" t="str">
            <v>Al Wathbah Primary School</v>
          </cell>
          <cell r="B79" t="str">
            <v>D</v>
          </cell>
        </row>
        <row r="80">
          <cell r="A80" t="str">
            <v>Al Zallaqah Primary School</v>
          </cell>
          <cell r="B80" t="str">
            <v>D</v>
          </cell>
        </row>
        <row r="81">
          <cell r="A81" t="str">
            <v xml:space="preserve">Al-Adel Elementary School Boys                             </v>
          </cell>
          <cell r="B81" t="str">
            <v>G</v>
          </cell>
        </row>
        <row r="82">
          <cell r="A82" t="str">
            <v xml:space="preserve">Al-Brouj Pri. and Sec. School - Girls                               </v>
          </cell>
          <cell r="B82" t="str">
            <v>G</v>
          </cell>
        </row>
        <row r="83">
          <cell r="A83" t="str">
            <v xml:space="preserve">Al-Danat Pri. and Sec. School                                        </v>
          </cell>
          <cell r="B83" t="str">
            <v>G</v>
          </cell>
        </row>
        <row r="84">
          <cell r="A84" t="str">
            <v xml:space="preserve">Al-Ghayth Elementary School                               </v>
          </cell>
          <cell r="B84" t="str">
            <v>G</v>
          </cell>
        </row>
        <row r="85">
          <cell r="A85" t="str">
            <v xml:space="preserve">Al-Mabade' Pri. and Sec. School - Boys                   </v>
          </cell>
          <cell r="B85" t="str">
            <v>G</v>
          </cell>
        </row>
        <row r="86">
          <cell r="A86" t="str">
            <v xml:space="preserve">Al-Sadara model Elementary School                  </v>
          </cell>
          <cell r="B86" t="str">
            <v>G</v>
          </cell>
        </row>
        <row r="87">
          <cell r="A87" t="str">
            <v>Amrah Bint Abdel Rahman School</v>
          </cell>
          <cell r="B87" t="str">
            <v>E</v>
          </cell>
        </row>
        <row r="88">
          <cell r="A88" t="str">
            <v>Atfal Abu Dhabi Kindergarten</v>
          </cell>
          <cell r="B88" t="str">
            <v>A</v>
          </cell>
        </row>
        <row r="89">
          <cell r="A89" t="str">
            <v>Bay'at Al Redhwan School</v>
          </cell>
          <cell r="B89" t="str">
            <v>E</v>
          </cell>
        </row>
        <row r="90">
          <cell r="A90" t="str">
            <v>Bedaa Al Mutawwa    Combined School (Bo Rahmah – previously)</v>
          </cell>
          <cell r="B90" t="str">
            <v>E</v>
          </cell>
        </row>
        <row r="91">
          <cell r="A91" t="str">
            <v xml:space="preserve">Ben Ham Elementary School                                      </v>
          </cell>
          <cell r="B91" t="str">
            <v>G</v>
          </cell>
        </row>
        <row r="92">
          <cell r="A92" t="str">
            <v>Bonat Al Ghad KG</v>
          </cell>
          <cell r="B92" t="str">
            <v>D</v>
          </cell>
        </row>
        <row r="93">
          <cell r="A93" t="str">
            <v>Dalma school</v>
          </cell>
          <cell r="B93" t="str">
            <v>E</v>
          </cell>
        </row>
        <row r="94">
          <cell r="A94" t="str">
            <v>Fatima Bint Asad School</v>
          </cell>
          <cell r="B94" t="str">
            <v>E</v>
          </cell>
        </row>
        <row r="95">
          <cell r="A95" t="str">
            <v>Fatimah Bint Mubarak Primary School</v>
          </cell>
          <cell r="B95" t="str">
            <v>A</v>
          </cell>
        </row>
        <row r="96">
          <cell r="A96" t="str">
            <v>Ghantout Secondary School</v>
          </cell>
          <cell r="B96" t="str">
            <v>D</v>
          </cell>
        </row>
        <row r="97">
          <cell r="A97" t="str">
            <v>Ghayathi School</v>
          </cell>
          <cell r="B97" t="str">
            <v>E</v>
          </cell>
        </row>
        <row r="98">
          <cell r="A98" t="str">
            <v>Hafsa Bint Sireen School</v>
          </cell>
          <cell r="B98" t="str">
            <v>E</v>
          </cell>
        </row>
        <row r="99">
          <cell r="A99" t="str">
            <v>Hamdan Bin Mohammad Secondary School</v>
          </cell>
          <cell r="B99" t="str">
            <v>D</v>
          </cell>
        </row>
        <row r="100">
          <cell r="A100" t="str">
            <v>Hamza Bin Abdel Muttalib School</v>
          </cell>
          <cell r="B100" t="str">
            <v>D</v>
          </cell>
        </row>
        <row r="101">
          <cell r="A101" t="str">
            <v>Jaber Bin Hayyan Primary School</v>
          </cell>
          <cell r="B101" t="str">
            <v>A</v>
          </cell>
        </row>
        <row r="102">
          <cell r="A102" t="str">
            <v>Jern Yafoor Primary School</v>
          </cell>
          <cell r="B102" t="str">
            <v>D</v>
          </cell>
        </row>
        <row r="103">
          <cell r="A103" t="str">
            <v>Khadeejah Al Kubrah Primary School</v>
          </cell>
          <cell r="B103" t="str">
            <v>A</v>
          </cell>
        </row>
        <row r="104">
          <cell r="A104" t="str">
            <v xml:space="preserve">Khalifa ben Zayed Sec. School                                               </v>
          </cell>
          <cell r="B104" t="str">
            <v>G</v>
          </cell>
        </row>
        <row r="105">
          <cell r="A105" t="str">
            <v>Maryam Bint Omran Primary School</v>
          </cell>
          <cell r="B105" t="str">
            <v>D</v>
          </cell>
        </row>
        <row r="106">
          <cell r="A106" t="str">
            <v xml:space="preserve">Mazid Pri. and Sec. School                                                                    </v>
          </cell>
          <cell r="B106" t="str">
            <v>G</v>
          </cell>
        </row>
        <row r="107">
          <cell r="A107" t="str">
            <v>Mo'atah (Basic &amp; Secondary Edu. For Girls)</v>
          </cell>
          <cell r="B107" t="str">
            <v>E</v>
          </cell>
        </row>
        <row r="108">
          <cell r="A108" t="str">
            <v xml:space="preserve">Mohawiya swimming pool School           </v>
          </cell>
          <cell r="B108" t="str">
            <v>G</v>
          </cell>
        </row>
        <row r="109">
          <cell r="A109" t="str">
            <v xml:space="preserve">Mreyjeb Sec. School                                                           </v>
          </cell>
          <cell r="B109" t="str">
            <v>G</v>
          </cell>
        </row>
        <row r="110">
          <cell r="A110" t="str">
            <v>Muraijib School</v>
          </cell>
          <cell r="B110" t="str">
            <v>G</v>
          </cell>
        </row>
        <row r="111">
          <cell r="A111" t="str">
            <v>Obaida Bin Al Samit (Previously Al Khateem)</v>
          </cell>
          <cell r="B111" t="str">
            <v>D</v>
          </cell>
        </row>
        <row r="112">
          <cell r="A112" t="str">
            <v>Omair Bin Yousef School</v>
          </cell>
          <cell r="B112" t="str">
            <v>D</v>
          </cell>
        </row>
        <row r="113">
          <cell r="A113" t="str">
            <v>Omamah Bint Al Harith Secondary School</v>
          </cell>
          <cell r="B113" t="str">
            <v>D</v>
          </cell>
        </row>
        <row r="114">
          <cell r="A114" t="str">
            <v xml:space="preserve">Oum Al-Fadel Elementary School Girls                    </v>
          </cell>
          <cell r="B114" t="str">
            <v>G</v>
          </cell>
        </row>
        <row r="115">
          <cell r="A115" t="str">
            <v xml:space="preserve">Oum Ghafa Nursery                                                                          </v>
          </cell>
          <cell r="B115" t="str">
            <v>G</v>
          </cell>
        </row>
        <row r="116">
          <cell r="A116" t="str">
            <v>Qatr Al Nada Secondary School</v>
          </cell>
          <cell r="B116" t="str">
            <v>E</v>
          </cell>
        </row>
        <row r="117">
          <cell r="A117" t="str">
            <v xml:space="preserve">Shamah Bent Mohammed Elementary School                       </v>
          </cell>
          <cell r="B117" t="str">
            <v>G</v>
          </cell>
        </row>
        <row r="118">
          <cell r="A118" t="str">
            <v xml:space="preserve">Sultan Ben Zayed Elementary School                          </v>
          </cell>
          <cell r="B118" t="str">
            <v>G</v>
          </cell>
        </row>
        <row r="119">
          <cell r="A119" t="str">
            <v>Teachers Accommodation in Delma Island</v>
          </cell>
          <cell r="B119" t="str">
            <v>E</v>
          </cell>
        </row>
        <row r="120">
          <cell r="A120" t="str">
            <v>Tifl Al Emarat Kindergarten</v>
          </cell>
          <cell r="B120" t="str">
            <v>G</v>
          </cell>
        </row>
        <row r="121">
          <cell r="A121" t="str">
            <v>Um Al Emarat Secondary School - Abu Dhabi</v>
          </cell>
          <cell r="B121" t="str">
            <v>D</v>
          </cell>
        </row>
        <row r="122">
          <cell r="A122" t="str">
            <v>Um Ghafa - New</v>
          </cell>
          <cell r="B122" t="str">
            <v>G</v>
          </cell>
        </row>
        <row r="123">
          <cell r="A123" t="str">
            <v>Warehouses in Madinat Zayed</v>
          </cell>
          <cell r="B123" t="str">
            <v>E</v>
          </cell>
        </row>
        <row r="124">
          <cell r="A124" t="str">
            <v>Western Region Bldg</v>
          </cell>
          <cell r="B124" t="str">
            <v>E</v>
          </cell>
        </row>
        <row r="125">
          <cell r="A125" t="str">
            <v>Yas KG</v>
          </cell>
          <cell r="B125" t="str">
            <v>D</v>
          </cell>
        </row>
        <row r="126">
          <cell r="A126" t="str">
            <v xml:space="preserve">Zayed Al-Awwal Sec. School          </v>
          </cell>
          <cell r="B126" t="str">
            <v>G</v>
          </cell>
        </row>
        <row r="127">
          <cell r="A127" t="str">
            <v xml:space="preserve">Zayed AlKhair  School – C1 (Ka'ab Bin Malek (Basic Edu. For Boys previously) </v>
          </cell>
          <cell r="B127" t="str">
            <v>E</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Sheet3"/>
      <sheetName val="Package A"/>
      <sheetName val="Package D"/>
      <sheetName val="Package E"/>
    </sheetNames>
    <sheetDataSet>
      <sheetData sheetId="0">
        <row r="2">
          <cell r="B2" t="str">
            <v>Fire Alarm Break Glass Call Point</v>
          </cell>
          <cell r="D2" t="str">
            <v xml:space="preserve"> Al Mozoon KG ( Innovation Kindergarten at Al Falah (E3/11)</v>
          </cell>
          <cell r="H2" t="str">
            <v>AD</v>
          </cell>
        </row>
        <row r="3">
          <cell r="B3" t="str">
            <v>Fire Alarm Break Glass Call Point</v>
          </cell>
          <cell r="D3" t="str">
            <v xml:space="preserve"> Al Mozoon KG ( Innovation Kindergarten at Al Falah (E3/11)</v>
          </cell>
          <cell r="H3" t="str">
            <v>AD</v>
          </cell>
        </row>
        <row r="4">
          <cell r="B4" t="str">
            <v>Fire Alarm Break Glass Call Point</v>
          </cell>
          <cell r="D4" t="str">
            <v xml:space="preserve"> Al Mozoon KG ( Innovation Kindergarten at Al Falah (E3/11)</v>
          </cell>
          <cell r="H4" t="str">
            <v>AD</v>
          </cell>
        </row>
        <row r="5">
          <cell r="B5" t="str">
            <v>Fire Alarm Break Glass Call Point</v>
          </cell>
          <cell r="D5" t="str">
            <v xml:space="preserve"> Al Mozoon KG ( Innovation Kindergarten at Al Falah (E3/11)</v>
          </cell>
          <cell r="H5" t="str">
            <v>AD</v>
          </cell>
        </row>
        <row r="6">
          <cell r="B6" t="str">
            <v>Fire Alarm Break Glass Call Point</v>
          </cell>
          <cell r="D6" t="str">
            <v xml:space="preserve"> Al Mozoon KG ( Innovation Kindergarten at Al Falah (E3/11)</v>
          </cell>
          <cell r="H6" t="str">
            <v>AD</v>
          </cell>
        </row>
        <row r="7">
          <cell r="B7" t="str">
            <v>Fire Alarm Panel</v>
          </cell>
          <cell r="D7" t="str">
            <v xml:space="preserve"> Al Mozoon KG ( Innovation Kindergarten at Al Falah (E3/11)</v>
          </cell>
          <cell r="H7" t="str">
            <v>AD</v>
          </cell>
        </row>
        <row r="8">
          <cell r="B8" t="str">
            <v>Fire Alarm Panel</v>
          </cell>
          <cell r="D8" t="str">
            <v xml:space="preserve"> Al Mozoon KG ( Innovation Kindergarten at Al Falah (E3/11)</v>
          </cell>
          <cell r="H8" t="str">
            <v>AD</v>
          </cell>
        </row>
        <row r="9">
          <cell r="B9" t="str">
            <v>Fire Alarm Sounder, Bell, Light</v>
          </cell>
          <cell r="D9" t="str">
            <v xml:space="preserve"> Al Mozoon KG ( Innovation Kindergarten at Al Falah (E3/11)</v>
          </cell>
          <cell r="H9" t="str">
            <v>AD</v>
          </cell>
        </row>
        <row r="10">
          <cell r="B10" t="str">
            <v>Fire Alarm Sounder, Bell, Light</v>
          </cell>
          <cell r="D10" t="str">
            <v xml:space="preserve"> Al Mozoon KG ( Innovation Kindergarten at Al Falah (E3/11)</v>
          </cell>
          <cell r="H10" t="str">
            <v>AD</v>
          </cell>
        </row>
        <row r="11">
          <cell r="B11" t="str">
            <v>Fire Alarm Sounder, Bell, Light</v>
          </cell>
          <cell r="D11" t="str">
            <v xml:space="preserve"> Al Mozoon KG ( Innovation Kindergarten at Al Falah (E3/11)</v>
          </cell>
          <cell r="H11" t="str">
            <v>AD</v>
          </cell>
        </row>
        <row r="12">
          <cell r="B12" t="str">
            <v>Fire Alarm Sounder, Bell, Light</v>
          </cell>
          <cell r="D12" t="str">
            <v xml:space="preserve"> Al Mozoon KG ( Innovation Kindergarten at Al Falah (E3/11)</v>
          </cell>
          <cell r="H12" t="str">
            <v>AD</v>
          </cell>
        </row>
        <row r="13">
          <cell r="B13" t="str">
            <v>Fire Alarm Sounder, Bell, Light</v>
          </cell>
          <cell r="D13" t="str">
            <v xml:space="preserve"> Al Mozoon KG ( Innovation Kindergarten at Al Falah (E3/11)</v>
          </cell>
          <cell r="H13" t="str">
            <v>AD</v>
          </cell>
        </row>
        <row r="14">
          <cell r="B14" t="str">
            <v>Fire Alarm Sounder, Bell, Light</v>
          </cell>
          <cell r="D14" t="str">
            <v xml:space="preserve"> Al Mozoon KG ( Innovation Kindergarten at Al Falah (E3/11)</v>
          </cell>
          <cell r="H14" t="str">
            <v>AD</v>
          </cell>
        </row>
        <row r="15">
          <cell r="B15" t="str">
            <v>Fire Alarm Sounder, Bell, Light</v>
          </cell>
          <cell r="D15" t="str">
            <v xml:space="preserve"> Al Mozoon KG ( Innovation Kindergarten at Al Falah (E3/11)</v>
          </cell>
          <cell r="H15" t="str">
            <v>AD</v>
          </cell>
        </row>
        <row r="16">
          <cell r="B16" t="str">
            <v>Fire Extinguisher</v>
          </cell>
          <cell r="D16" t="str">
            <v xml:space="preserve"> Al Mozoon KG ( Innovation Kindergarten at Al Falah (E3/11)</v>
          </cell>
          <cell r="H16" t="str">
            <v>AD</v>
          </cell>
        </row>
        <row r="17">
          <cell r="B17" t="str">
            <v>Fire Extinguisher</v>
          </cell>
          <cell r="D17" t="str">
            <v xml:space="preserve"> Al Mozoon KG ( Innovation Kindergarten at Al Falah (E3/11)</v>
          </cell>
          <cell r="H17" t="str">
            <v>AD</v>
          </cell>
        </row>
        <row r="18">
          <cell r="B18" t="str">
            <v>Fire Extinguisher</v>
          </cell>
          <cell r="D18" t="str">
            <v xml:space="preserve"> Al Mozoon KG ( Innovation Kindergarten at Al Falah (E3/11)</v>
          </cell>
          <cell r="H18" t="str">
            <v>AD</v>
          </cell>
        </row>
        <row r="19">
          <cell r="B19" t="str">
            <v>Fire Extinguisher</v>
          </cell>
          <cell r="D19" t="str">
            <v xml:space="preserve"> Al Mozoon KG ( Innovation Kindergarten at Al Falah (E3/11)</v>
          </cell>
          <cell r="H19" t="str">
            <v>AD</v>
          </cell>
        </row>
        <row r="20">
          <cell r="B20" t="str">
            <v>Fire Extinguisher</v>
          </cell>
          <cell r="D20" t="str">
            <v xml:space="preserve"> Al Mozoon KG ( Innovation Kindergarten at Al Falah (E3/11)</v>
          </cell>
          <cell r="H20" t="str">
            <v>AD</v>
          </cell>
        </row>
        <row r="21">
          <cell r="B21" t="str">
            <v>Fire Extinguisher</v>
          </cell>
          <cell r="D21" t="str">
            <v xml:space="preserve"> Al Mozoon KG ( Innovation Kindergarten at Al Falah (E3/11)</v>
          </cell>
          <cell r="H21" t="str">
            <v>AD</v>
          </cell>
        </row>
        <row r="22">
          <cell r="B22" t="str">
            <v>Fire Extinguisher</v>
          </cell>
          <cell r="D22" t="str">
            <v xml:space="preserve"> Al Mozoon KG ( Innovation Kindergarten at Al Falah (E3/11)</v>
          </cell>
          <cell r="H22" t="str">
            <v>AD</v>
          </cell>
        </row>
        <row r="23">
          <cell r="B23" t="str">
            <v>Fire Extinguisher</v>
          </cell>
          <cell r="D23" t="str">
            <v xml:space="preserve"> Al Mozoon KG ( Innovation Kindergarten at Al Falah (E3/11)</v>
          </cell>
          <cell r="H23" t="str">
            <v>AD</v>
          </cell>
        </row>
        <row r="24">
          <cell r="B24" t="str">
            <v>Fire Extinguisher</v>
          </cell>
          <cell r="D24" t="str">
            <v xml:space="preserve"> Al Mozoon KG ( Innovation Kindergarten at Al Falah (E3/11)</v>
          </cell>
          <cell r="H24" t="str">
            <v>AD</v>
          </cell>
        </row>
        <row r="25">
          <cell r="B25" t="str">
            <v>Fire Extinguisher</v>
          </cell>
          <cell r="D25" t="str">
            <v xml:space="preserve"> Al Mozoon KG ( Innovation Kindergarten at Al Falah (E3/11)</v>
          </cell>
          <cell r="H25" t="str">
            <v>AD</v>
          </cell>
        </row>
        <row r="26">
          <cell r="B26" t="str">
            <v>Fire Extinguisher</v>
          </cell>
          <cell r="D26" t="str">
            <v xml:space="preserve"> Al Mozoon KG ( Innovation Kindergarten at Al Falah (E3/11)</v>
          </cell>
          <cell r="H26" t="str">
            <v>AD</v>
          </cell>
        </row>
        <row r="27">
          <cell r="B27" t="str">
            <v>Fire Hose Reel</v>
          </cell>
          <cell r="D27" t="str">
            <v xml:space="preserve"> Al Mozoon KG ( Innovation Kindergarten at Al Falah (E3/11)</v>
          </cell>
          <cell r="H27" t="str">
            <v>AD</v>
          </cell>
        </row>
        <row r="28">
          <cell r="B28" t="str">
            <v>FIRE PUMP - Diesel</v>
          </cell>
          <cell r="D28" t="str">
            <v xml:space="preserve"> Al Mozoon KG ( Innovation Kindergarten at Al Falah (E3/11)</v>
          </cell>
          <cell r="H28" t="str">
            <v>AD</v>
          </cell>
        </row>
        <row r="29">
          <cell r="B29" t="str">
            <v>FIRE PUMP - Electric</v>
          </cell>
          <cell r="D29" t="str">
            <v xml:space="preserve"> Al Mozoon KG ( Innovation Kindergarten at Al Falah (E3/11)</v>
          </cell>
          <cell r="H29" t="str">
            <v>AD</v>
          </cell>
        </row>
        <row r="30">
          <cell r="B30" t="str">
            <v>Fire Smoke / Heat Detector, Sounder</v>
          </cell>
          <cell r="D30" t="str">
            <v xml:space="preserve"> Al Mozoon KG ( Innovation Kindergarten at Al Falah (E3/11)</v>
          </cell>
          <cell r="H30" t="str">
            <v>AD</v>
          </cell>
        </row>
        <row r="31">
          <cell r="B31" t="str">
            <v>Fire Smoke / Heat Detector, Sounder</v>
          </cell>
          <cell r="D31" t="str">
            <v xml:space="preserve"> Al Mozoon KG ( Innovation Kindergarten at Al Falah (E3/11)</v>
          </cell>
          <cell r="H31" t="str">
            <v>AD</v>
          </cell>
        </row>
        <row r="32">
          <cell r="B32" t="str">
            <v>Fire Smoke / Heat Detector, Sounder</v>
          </cell>
          <cell r="D32" t="str">
            <v xml:space="preserve"> Al Mozoon KG ( Innovation Kindergarten at Al Falah (E3/11)</v>
          </cell>
          <cell r="H32" t="str">
            <v>AD</v>
          </cell>
        </row>
        <row r="33">
          <cell r="B33" t="str">
            <v>Fire Smoke / Heat Detector, Sounder</v>
          </cell>
          <cell r="D33" t="str">
            <v xml:space="preserve"> Al Mozoon KG ( Innovation Kindergarten at Al Falah (E3/11)</v>
          </cell>
          <cell r="H33" t="str">
            <v>AD</v>
          </cell>
        </row>
        <row r="34">
          <cell r="B34" t="str">
            <v>Fire Smoke / Heat Detector, Sounder</v>
          </cell>
          <cell r="D34" t="str">
            <v xml:space="preserve"> Al Mozoon KG ( Innovation Kindergarten at Al Falah (E3/11)</v>
          </cell>
          <cell r="H34" t="str">
            <v>AD</v>
          </cell>
        </row>
        <row r="35">
          <cell r="B35" t="str">
            <v>Fire Smoke / Heat Detector, Sounder</v>
          </cell>
          <cell r="D35" t="str">
            <v xml:space="preserve"> Al Mozoon KG ( Innovation Kindergarten at Al Falah (E3/11)</v>
          </cell>
          <cell r="H35" t="str">
            <v>AD</v>
          </cell>
        </row>
        <row r="36">
          <cell r="B36" t="str">
            <v>Fire Smoke / Heat Detector, Sounder</v>
          </cell>
          <cell r="D36" t="str">
            <v xml:space="preserve"> Al Mozoon KG ( Innovation Kindergarten at Al Falah (E3/11)</v>
          </cell>
          <cell r="H36" t="str">
            <v>AD</v>
          </cell>
        </row>
        <row r="37">
          <cell r="B37" t="str">
            <v>Fire Smoke / Heat Detector, Sounder</v>
          </cell>
          <cell r="D37" t="str">
            <v xml:space="preserve"> Al Mozoon KG ( Innovation Kindergarten at Al Falah (E3/11)</v>
          </cell>
          <cell r="H37" t="str">
            <v>AD</v>
          </cell>
        </row>
        <row r="38">
          <cell r="B38" t="str">
            <v>Fire Smoke / Heat Detector, Sounder</v>
          </cell>
          <cell r="D38" t="str">
            <v xml:space="preserve"> Al Mozoon KG ( Innovation Kindergarten at Al Falah (E3/11)</v>
          </cell>
          <cell r="H38" t="str">
            <v>AD</v>
          </cell>
        </row>
        <row r="39">
          <cell r="B39" t="str">
            <v>Fire Smoke / Heat Detector, Sounder</v>
          </cell>
          <cell r="D39" t="str">
            <v xml:space="preserve"> Al Mozoon KG ( Innovation Kindergarten at Al Falah (E3/11)</v>
          </cell>
          <cell r="H39" t="str">
            <v>AD</v>
          </cell>
        </row>
        <row r="40">
          <cell r="B40" t="str">
            <v>Fire Smoke / Heat Detector, Sounder</v>
          </cell>
          <cell r="D40" t="str">
            <v xml:space="preserve"> Al Mozoon KG ( Innovation Kindergarten at Al Falah (E3/11)</v>
          </cell>
          <cell r="H40" t="str">
            <v>AD</v>
          </cell>
        </row>
        <row r="41">
          <cell r="B41" t="str">
            <v>Fire Smoke / Heat Detector, Sounder</v>
          </cell>
          <cell r="D41" t="str">
            <v xml:space="preserve"> Al Mozoon KG ( Innovation Kindergarten at Al Falah (E3/11)</v>
          </cell>
          <cell r="H41" t="str">
            <v>AD</v>
          </cell>
        </row>
        <row r="42">
          <cell r="B42" t="str">
            <v>Fire Smoke / Heat Detector, Sounder</v>
          </cell>
          <cell r="D42" t="str">
            <v xml:space="preserve"> Al Mozoon KG ( Innovation Kindergarten at Al Falah (E3/11)</v>
          </cell>
          <cell r="H42" t="str">
            <v>AD</v>
          </cell>
        </row>
        <row r="43">
          <cell r="B43" t="str">
            <v>Fire Smoke / Heat Detector, Sounder</v>
          </cell>
          <cell r="D43" t="str">
            <v xml:space="preserve"> Al Mozoon KG ( Innovation Kindergarten at Al Falah (E3/11)</v>
          </cell>
          <cell r="H43" t="str">
            <v>AD</v>
          </cell>
        </row>
        <row r="44">
          <cell r="B44" t="str">
            <v>Fire Smoke / Heat Detector, Sounder</v>
          </cell>
          <cell r="D44" t="str">
            <v xml:space="preserve"> Al Mozoon KG ( Innovation Kindergarten at Al Falah (E3/11)</v>
          </cell>
          <cell r="H44" t="str">
            <v>AD</v>
          </cell>
        </row>
        <row r="45">
          <cell r="B45" t="str">
            <v>Fire Smoke / Heat Detector, Sounder</v>
          </cell>
          <cell r="D45" t="str">
            <v xml:space="preserve"> Al Mozoon KG ( Innovation Kindergarten at Al Falah (E3/11)</v>
          </cell>
          <cell r="H45" t="str">
            <v>AD</v>
          </cell>
        </row>
        <row r="46">
          <cell r="B46" t="str">
            <v>Fire Smoke / Heat Detector, Sounder</v>
          </cell>
          <cell r="D46" t="str">
            <v xml:space="preserve"> Al Mozoon KG ( Innovation Kindergarten at Al Falah (E3/11)</v>
          </cell>
          <cell r="H46" t="str">
            <v>AD</v>
          </cell>
        </row>
        <row r="47">
          <cell r="B47" t="str">
            <v>Fire Smoke / Heat Detector, Sounder</v>
          </cell>
          <cell r="D47" t="str">
            <v xml:space="preserve"> Al Mozoon KG ( Innovation Kindergarten at Al Falah (E3/11)</v>
          </cell>
          <cell r="H47" t="str">
            <v>AD</v>
          </cell>
        </row>
        <row r="48">
          <cell r="B48" t="str">
            <v>Fire Smoke / Heat Detector, Sounder</v>
          </cell>
          <cell r="D48" t="str">
            <v xml:space="preserve"> Al Mozoon KG ( Innovation Kindergarten at Al Falah (E3/11)</v>
          </cell>
          <cell r="H48" t="str">
            <v>AD</v>
          </cell>
        </row>
        <row r="49">
          <cell r="B49" t="str">
            <v>Fire Smoke / Heat Detector, Sounder</v>
          </cell>
          <cell r="D49" t="str">
            <v xml:space="preserve"> Al Mozoon KG ( Innovation Kindergarten at Al Falah (E3/11)</v>
          </cell>
          <cell r="H49" t="str">
            <v>AD</v>
          </cell>
        </row>
        <row r="50">
          <cell r="B50" t="str">
            <v>Fire Smoke / Heat Detector, Sounder</v>
          </cell>
          <cell r="D50" t="str">
            <v xml:space="preserve"> Al Mozoon KG ( Innovation Kindergarten at Al Falah (E3/11)</v>
          </cell>
          <cell r="H50" t="str">
            <v>AD</v>
          </cell>
        </row>
        <row r="51">
          <cell r="B51" t="str">
            <v>Fire Smoke / Heat Detector, Sounder</v>
          </cell>
          <cell r="D51" t="str">
            <v xml:space="preserve"> Al Mozoon KG ( Innovation Kindergarten at Al Falah (E3/11)</v>
          </cell>
          <cell r="H51" t="str">
            <v>AD</v>
          </cell>
        </row>
        <row r="52">
          <cell r="B52" t="str">
            <v>Fire Smoke / Heat Detector, Sounder</v>
          </cell>
          <cell r="D52" t="str">
            <v xml:space="preserve"> Al Mozoon KG ( Innovation Kindergarten at Al Falah (E3/11)</v>
          </cell>
          <cell r="H52" t="str">
            <v>AD</v>
          </cell>
        </row>
        <row r="53">
          <cell r="B53" t="str">
            <v>Fire Smoke / Heat Detector, Sounder</v>
          </cell>
          <cell r="D53" t="str">
            <v xml:space="preserve"> Al Mozoon KG ( Innovation Kindergarten at Al Falah (E3/11)</v>
          </cell>
          <cell r="H53" t="str">
            <v>AD</v>
          </cell>
        </row>
        <row r="54">
          <cell r="B54" t="str">
            <v>Fire Smoke / Heat Detector, Sounder</v>
          </cell>
          <cell r="D54" t="str">
            <v xml:space="preserve"> Al Mozoon KG ( Innovation Kindergarten at Al Falah (E3/11)</v>
          </cell>
          <cell r="H54" t="str">
            <v>AD</v>
          </cell>
        </row>
        <row r="55">
          <cell r="B55" t="str">
            <v>Fire Smoke / Heat Detector, Sounder</v>
          </cell>
          <cell r="D55" t="str">
            <v xml:space="preserve"> Al Mozoon KG ( Innovation Kindergarten at Al Falah (E3/11)</v>
          </cell>
          <cell r="H55" t="str">
            <v>AD</v>
          </cell>
        </row>
        <row r="56">
          <cell r="B56" t="str">
            <v>Fire Smoke / Heat Detector, Sounder</v>
          </cell>
          <cell r="D56" t="str">
            <v xml:space="preserve"> Al Mozoon KG ( Innovation Kindergarten at Al Falah (E3/11)</v>
          </cell>
          <cell r="H56" t="str">
            <v>AD</v>
          </cell>
        </row>
        <row r="57">
          <cell r="B57" t="str">
            <v>Fire Smoke / Heat Detector, Sounder</v>
          </cell>
          <cell r="D57" t="str">
            <v xml:space="preserve"> Al Mozoon KG ( Innovation Kindergarten at Al Falah (E3/11)</v>
          </cell>
          <cell r="H57" t="str">
            <v>AD</v>
          </cell>
        </row>
        <row r="58">
          <cell r="B58" t="str">
            <v>Fire Smoke / Heat Detector, Sounder</v>
          </cell>
          <cell r="D58" t="str">
            <v xml:space="preserve"> Al Mozoon KG ( Innovation Kindergarten at Al Falah (E3/11)</v>
          </cell>
          <cell r="H58" t="str">
            <v>AD</v>
          </cell>
        </row>
        <row r="59">
          <cell r="B59" t="str">
            <v>Fire Smoke / Heat Detector, Sounder</v>
          </cell>
          <cell r="D59" t="str">
            <v xml:space="preserve"> Al Mozoon KG ( Innovation Kindergarten at Al Falah (E3/11)</v>
          </cell>
          <cell r="H59" t="str">
            <v>AD</v>
          </cell>
        </row>
        <row r="60">
          <cell r="B60" t="str">
            <v>Fire Smoke / Heat Detector, Sounder</v>
          </cell>
          <cell r="D60" t="str">
            <v xml:space="preserve"> Al Mozoon KG ( Innovation Kindergarten at Al Falah (E3/11)</v>
          </cell>
          <cell r="H60" t="str">
            <v>AD</v>
          </cell>
        </row>
        <row r="61">
          <cell r="B61" t="str">
            <v>Fire Smoke / Heat Detector, Sounder</v>
          </cell>
          <cell r="D61" t="str">
            <v xml:space="preserve"> Al Mozoon KG ( Innovation Kindergarten at Al Falah (E3/11)</v>
          </cell>
          <cell r="H61" t="str">
            <v>AD</v>
          </cell>
        </row>
        <row r="62">
          <cell r="B62" t="str">
            <v>Fire Smoke / Heat Detector, Sounder</v>
          </cell>
          <cell r="D62" t="str">
            <v xml:space="preserve"> Al Mozoon KG ( Innovation Kindergarten at Al Falah (E3/11)</v>
          </cell>
          <cell r="H62" t="str">
            <v>AD</v>
          </cell>
        </row>
        <row r="63">
          <cell r="B63" t="str">
            <v>Fire Smoke / Heat Detector, Sounder</v>
          </cell>
          <cell r="D63" t="str">
            <v xml:space="preserve"> Al Mozoon KG ( Innovation Kindergarten at Al Falah (E3/11)</v>
          </cell>
          <cell r="H63" t="str">
            <v>AD</v>
          </cell>
        </row>
        <row r="64">
          <cell r="B64" t="str">
            <v>Fire Smoke / Heat Detector, Sounder</v>
          </cell>
          <cell r="D64" t="str">
            <v xml:space="preserve"> Al Mozoon KG ( Innovation Kindergarten at Al Falah (E3/11)</v>
          </cell>
          <cell r="H64" t="str">
            <v>AD</v>
          </cell>
        </row>
        <row r="65">
          <cell r="B65" t="str">
            <v>Fire Smoke / Heat Detector, Sounder</v>
          </cell>
          <cell r="D65" t="str">
            <v xml:space="preserve"> Al Mozoon KG ( Innovation Kindergarten at Al Falah (E3/11)</v>
          </cell>
          <cell r="H65" t="str">
            <v>AD</v>
          </cell>
        </row>
        <row r="66">
          <cell r="B66" t="str">
            <v>Intercom System</v>
          </cell>
          <cell r="D66" t="str">
            <v xml:space="preserve"> Al Mozoon KG ( Innovation Kindergarten at Al Falah (E3/11)</v>
          </cell>
          <cell r="H66" t="str">
            <v>AD</v>
          </cell>
        </row>
        <row r="67">
          <cell r="B67" t="str">
            <v>Intercom System</v>
          </cell>
          <cell r="D67" t="str">
            <v xml:space="preserve"> Al Mozoon KG ( Innovation Kindergarten at Al Falah (E3/11)</v>
          </cell>
          <cell r="H67" t="str">
            <v>AD</v>
          </cell>
        </row>
        <row r="68">
          <cell r="B68" t="str">
            <v>Intercom System</v>
          </cell>
          <cell r="D68" t="str">
            <v xml:space="preserve"> Al Mozoon KG ( Innovation Kindergarten at Al Falah (E3/11)</v>
          </cell>
          <cell r="H68" t="str">
            <v>AD</v>
          </cell>
        </row>
        <row r="69">
          <cell r="B69" t="str">
            <v>Intercom System</v>
          </cell>
          <cell r="D69" t="str">
            <v xml:space="preserve"> Al Mozoon KG ( Innovation Kindergarten at Al Falah (E3/11)</v>
          </cell>
          <cell r="H69" t="str">
            <v>AD</v>
          </cell>
        </row>
        <row r="70">
          <cell r="B70" t="str">
            <v>UPS</v>
          </cell>
          <cell r="D70" t="str">
            <v xml:space="preserve"> Al Mozoon KG ( Innovation Kindergarten at Al Falah (E3/11)</v>
          </cell>
          <cell r="H70" t="str">
            <v>AD</v>
          </cell>
        </row>
        <row r="71">
          <cell r="B71" t="str">
            <v>Drinking Fountain</v>
          </cell>
          <cell r="D71" t="str">
            <v>Abdul Jalil Al Fahim Primary School</v>
          </cell>
          <cell r="H71" t="str">
            <v>AD</v>
          </cell>
        </row>
        <row r="72">
          <cell r="B72" t="str">
            <v>Finger Print Reader Machine</v>
          </cell>
          <cell r="D72" t="str">
            <v>Abdul Jalil Al Fahim Primary School</v>
          </cell>
          <cell r="H72" t="str">
            <v>AD</v>
          </cell>
        </row>
        <row r="73">
          <cell r="B73" t="str">
            <v>Finger Print Reader Machine</v>
          </cell>
          <cell r="D73" t="str">
            <v>Abdul Jalil Al Fahim Primary School</v>
          </cell>
          <cell r="H73" t="str">
            <v>AD</v>
          </cell>
        </row>
        <row r="74">
          <cell r="B74" t="str">
            <v>Fire Alarm Bell</v>
          </cell>
          <cell r="D74" t="str">
            <v>Abdul Jalil Al Fahim Primary School</v>
          </cell>
          <cell r="H74" t="str">
            <v>AD</v>
          </cell>
        </row>
        <row r="75">
          <cell r="B75" t="str">
            <v>Fire Alarm Bell</v>
          </cell>
          <cell r="D75" t="str">
            <v>Abdul Jalil Al Fahim Primary School</v>
          </cell>
          <cell r="H75" t="str">
            <v>AD</v>
          </cell>
        </row>
        <row r="76">
          <cell r="B76" t="str">
            <v>Fire Extinguisher</v>
          </cell>
          <cell r="D76" t="str">
            <v>Abdul Jalil Al Fahim Primary School</v>
          </cell>
          <cell r="H76" t="str">
            <v>AD</v>
          </cell>
        </row>
        <row r="77">
          <cell r="B77" t="str">
            <v>Fire Extinguisher</v>
          </cell>
          <cell r="D77" t="str">
            <v>Abdul Jalil Al Fahim Primary School</v>
          </cell>
          <cell r="H77" t="str">
            <v>AD</v>
          </cell>
        </row>
        <row r="78">
          <cell r="B78" t="str">
            <v>Fire Extinguisher</v>
          </cell>
          <cell r="D78" t="str">
            <v>Abdul Jalil Al Fahim Primary School</v>
          </cell>
          <cell r="H78" t="str">
            <v>AD</v>
          </cell>
        </row>
        <row r="79">
          <cell r="B79" t="str">
            <v>Fire Extinguisher</v>
          </cell>
          <cell r="D79" t="str">
            <v>Abdul Jalil Al Fahim Primary School</v>
          </cell>
          <cell r="H79" t="str">
            <v>AD</v>
          </cell>
        </row>
        <row r="80">
          <cell r="B80" t="str">
            <v>Fire Extinguisher</v>
          </cell>
          <cell r="D80" t="str">
            <v>Abdul Jalil Al Fahim Primary School</v>
          </cell>
          <cell r="H80" t="str">
            <v>AD</v>
          </cell>
        </row>
        <row r="81">
          <cell r="B81" t="str">
            <v>Fire Extinguisher</v>
          </cell>
          <cell r="D81" t="str">
            <v>Abdul Jalil Al Fahim Primary School</v>
          </cell>
          <cell r="H81" t="str">
            <v>AD</v>
          </cell>
        </row>
        <row r="82">
          <cell r="B82" t="str">
            <v>Fire Extinguisher</v>
          </cell>
          <cell r="D82" t="str">
            <v>Abdul Jalil Al Fahim Primary School</v>
          </cell>
          <cell r="H82" t="str">
            <v>AD</v>
          </cell>
        </row>
        <row r="83">
          <cell r="B83" t="str">
            <v>Fire Extinguisher</v>
          </cell>
          <cell r="D83" t="str">
            <v>Abdul Jalil Al Fahim Primary School</v>
          </cell>
          <cell r="H83" t="str">
            <v>AD</v>
          </cell>
        </row>
        <row r="84">
          <cell r="B84" t="str">
            <v>Fire Extinguisher</v>
          </cell>
          <cell r="D84" t="str">
            <v>Abdul Jalil Al Fahim Primary School</v>
          </cell>
          <cell r="H84" t="str">
            <v>AD</v>
          </cell>
        </row>
        <row r="85">
          <cell r="B85" t="str">
            <v>Fire Extinguisher</v>
          </cell>
          <cell r="D85" t="str">
            <v>Abdul Jalil Al Fahim Primary School</v>
          </cell>
          <cell r="H85" t="str">
            <v>AD</v>
          </cell>
        </row>
        <row r="86">
          <cell r="B86" t="str">
            <v>Fire Extinguisher</v>
          </cell>
          <cell r="D86" t="str">
            <v>Abdul Jalil Al Fahim Primary School</v>
          </cell>
          <cell r="H86" t="str">
            <v>AD</v>
          </cell>
        </row>
        <row r="87">
          <cell r="B87" t="str">
            <v>Fire Extinguisher Cabinet</v>
          </cell>
          <cell r="D87" t="str">
            <v>Abdul Jalil Al Fahim Primary School</v>
          </cell>
          <cell r="H87" t="str">
            <v>AD</v>
          </cell>
        </row>
        <row r="88">
          <cell r="B88" t="str">
            <v>Fire Extinguisher Cabinet</v>
          </cell>
          <cell r="D88" t="str">
            <v>Abdul Jalil Al Fahim Primary School</v>
          </cell>
          <cell r="H88" t="str">
            <v>AD</v>
          </cell>
        </row>
        <row r="89">
          <cell r="B89" t="str">
            <v>Fire Hose Reel</v>
          </cell>
          <cell r="D89" t="str">
            <v>Abdul Jalil Al Fahim Primary School</v>
          </cell>
          <cell r="H89" t="str">
            <v>AD</v>
          </cell>
        </row>
        <row r="90">
          <cell r="B90" t="str">
            <v>Fire Hose Reel Cabinet</v>
          </cell>
          <cell r="D90" t="str">
            <v>Abdul Jalil Al Fahim Primary School</v>
          </cell>
          <cell r="H90" t="str">
            <v>AD</v>
          </cell>
        </row>
        <row r="91">
          <cell r="B91" t="str">
            <v>Fire Hose Reel Cabinet</v>
          </cell>
          <cell r="D91" t="str">
            <v>Abdul Jalil Al Fahim Primary School</v>
          </cell>
          <cell r="H91" t="str">
            <v>AD</v>
          </cell>
        </row>
        <row r="92">
          <cell r="B92" t="str">
            <v>Smoke Detector &amp; Heat Detector</v>
          </cell>
          <cell r="D92" t="str">
            <v>Abdul Jalil Al Fahim Primary School</v>
          </cell>
          <cell r="H92" t="str">
            <v>AD</v>
          </cell>
        </row>
        <row r="93">
          <cell r="B93" t="str">
            <v>Smoke Detector &amp; Heat Detector</v>
          </cell>
          <cell r="D93" t="str">
            <v>Abdul Jalil Al Fahim Primary School</v>
          </cell>
          <cell r="H93" t="str">
            <v>AD</v>
          </cell>
        </row>
        <row r="94">
          <cell r="B94" t="str">
            <v>Smoke Detector &amp; Heat Detector</v>
          </cell>
          <cell r="D94" t="str">
            <v>Abdul Jalil Al Fahim Primary School</v>
          </cell>
          <cell r="H94" t="str">
            <v>AD</v>
          </cell>
        </row>
        <row r="95">
          <cell r="B95" t="str">
            <v>Smoke Detector &amp; Heat Detector</v>
          </cell>
          <cell r="D95" t="str">
            <v>Abdul Jalil Al Fahim Primary School</v>
          </cell>
          <cell r="H95" t="str">
            <v>AD</v>
          </cell>
        </row>
        <row r="96">
          <cell r="B96" t="str">
            <v>Smoke Detector &amp; Heat Detector</v>
          </cell>
          <cell r="D96" t="str">
            <v>Abdul Jalil Al Fahim Primary School</v>
          </cell>
          <cell r="H96" t="str">
            <v>AD</v>
          </cell>
        </row>
        <row r="97">
          <cell r="B97" t="str">
            <v>Smoke Detector &amp; Heat Detector</v>
          </cell>
          <cell r="D97" t="str">
            <v>Abdul Jalil Al Fahim Primary School</v>
          </cell>
          <cell r="H97" t="str">
            <v>AD</v>
          </cell>
        </row>
        <row r="98">
          <cell r="B98" t="str">
            <v>Smoke Detector &amp; Heat Detector</v>
          </cell>
          <cell r="D98" t="str">
            <v>Abdul Jalil Al Fahim Primary School</v>
          </cell>
          <cell r="H98" t="str">
            <v>AD</v>
          </cell>
        </row>
        <row r="99">
          <cell r="B99" t="str">
            <v>Smoke Detector &amp; Heat Detector</v>
          </cell>
          <cell r="D99" t="str">
            <v>Abdul Jalil Al Fahim Primary School</v>
          </cell>
          <cell r="H99" t="str">
            <v>AD</v>
          </cell>
        </row>
        <row r="100">
          <cell r="B100" t="str">
            <v>Smoke Detector &amp; Heat Detector</v>
          </cell>
          <cell r="D100" t="str">
            <v>Abdul Jalil Al Fahim Primary School</v>
          </cell>
          <cell r="H100" t="str">
            <v>AD</v>
          </cell>
        </row>
        <row r="101">
          <cell r="B101" t="str">
            <v>Smoke Detector &amp; Heat Detector</v>
          </cell>
          <cell r="D101" t="str">
            <v>Abdul Jalil Al Fahim Primary School</v>
          </cell>
          <cell r="H101" t="str">
            <v>AD</v>
          </cell>
        </row>
        <row r="102">
          <cell r="B102" t="str">
            <v>Smoke Detector &amp; Heat Detector</v>
          </cell>
          <cell r="D102" t="str">
            <v>Abdul Jalil Al Fahim Primary School</v>
          </cell>
          <cell r="H102" t="str">
            <v>AD</v>
          </cell>
        </row>
        <row r="103">
          <cell r="B103" t="str">
            <v>Smoke Detector &amp; Heat Detector</v>
          </cell>
          <cell r="D103" t="str">
            <v>Abdul Jalil Al Fahim Primary School</v>
          </cell>
          <cell r="H103" t="str">
            <v>AD</v>
          </cell>
        </row>
        <row r="104">
          <cell r="B104" t="str">
            <v>Smoke Detector &amp; Heat Detector</v>
          </cell>
          <cell r="D104" t="str">
            <v>Abdul Jalil Al Fahim Primary School</v>
          </cell>
          <cell r="H104" t="str">
            <v>AD</v>
          </cell>
        </row>
        <row r="105">
          <cell r="B105" t="str">
            <v>Smoke Detector &amp; Heat Detector</v>
          </cell>
          <cell r="D105" t="str">
            <v>Abdul Jalil Al Fahim Primary School</v>
          </cell>
          <cell r="H105" t="str">
            <v>AD</v>
          </cell>
        </row>
        <row r="106">
          <cell r="B106" t="str">
            <v>Smoke Detector &amp; Heat Detector</v>
          </cell>
          <cell r="D106" t="str">
            <v>Abdul Jalil Al Fahim Primary School</v>
          </cell>
          <cell r="H106" t="str">
            <v>AD</v>
          </cell>
        </row>
        <row r="107">
          <cell r="B107" t="str">
            <v>Smoke Detector &amp; Heat Detector</v>
          </cell>
          <cell r="D107" t="str">
            <v>Abdul Jalil Al Fahim Primary School</v>
          </cell>
          <cell r="H107" t="str">
            <v>AD</v>
          </cell>
        </row>
        <row r="108">
          <cell r="B108" t="str">
            <v>Smoke Detector &amp; Heat Detector</v>
          </cell>
          <cell r="D108" t="str">
            <v>Abdul Jalil Al Fahim Primary School</v>
          </cell>
          <cell r="H108" t="str">
            <v>AD</v>
          </cell>
        </row>
        <row r="109">
          <cell r="B109" t="str">
            <v>Smoke Detector &amp; Heat Detector</v>
          </cell>
          <cell r="D109" t="str">
            <v>Abdul Jalil Al Fahim Primary School</v>
          </cell>
          <cell r="H109" t="str">
            <v>AD</v>
          </cell>
        </row>
        <row r="110">
          <cell r="B110" t="str">
            <v>Water Tank</v>
          </cell>
          <cell r="D110" t="str">
            <v>Abdul Jalil Al Fahim Primary School</v>
          </cell>
          <cell r="H110" t="str">
            <v>AD</v>
          </cell>
        </row>
        <row r="111">
          <cell r="B111" t="str">
            <v>Finger Print Reader Machine</v>
          </cell>
          <cell r="D111" t="str">
            <v>Abdullah Bin Otaiba</v>
          </cell>
          <cell r="H111" t="str">
            <v>AD</v>
          </cell>
        </row>
        <row r="112">
          <cell r="B112" t="str">
            <v>Fire  Fighting Cabinet</v>
          </cell>
          <cell r="D112" t="str">
            <v>Abdullah Bin Otaiba</v>
          </cell>
          <cell r="H112" t="str">
            <v>AD</v>
          </cell>
        </row>
        <row r="113">
          <cell r="B113" t="str">
            <v>Fire Alarm Bell</v>
          </cell>
          <cell r="D113" t="str">
            <v>Abdullah Bin Otaiba</v>
          </cell>
          <cell r="H113" t="str">
            <v>AD</v>
          </cell>
        </row>
        <row r="114">
          <cell r="B114" t="str">
            <v>Fire Alarm Junction Box</v>
          </cell>
          <cell r="D114" t="str">
            <v>Abdullah Bin Otaiba</v>
          </cell>
          <cell r="H114" t="str">
            <v>AD</v>
          </cell>
        </row>
        <row r="115">
          <cell r="B115" t="str">
            <v>Fire Extinguisher Cabinet</v>
          </cell>
          <cell r="D115" t="str">
            <v>Abdullah Bin Otaiba</v>
          </cell>
          <cell r="H115" t="str">
            <v>AD</v>
          </cell>
        </row>
        <row r="116">
          <cell r="B116" t="str">
            <v>Fire Extinguisher Cabinet</v>
          </cell>
          <cell r="D116" t="str">
            <v>Abdullah Bin Otaiba</v>
          </cell>
          <cell r="H116" t="str">
            <v>AD</v>
          </cell>
        </row>
        <row r="117">
          <cell r="B117" t="str">
            <v>Fire Extinguisher Cabinet</v>
          </cell>
          <cell r="D117" t="str">
            <v>Abdullah Bin Otaiba</v>
          </cell>
          <cell r="H117" t="str">
            <v>AD</v>
          </cell>
        </row>
        <row r="118">
          <cell r="B118" t="str">
            <v>Fire Extinguisher Cabinet</v>
          </cell>
          <cell r="D118" t="str">
            <v>Abdullah Bin Otaiba</v>
          </cell>
          <cell r="H118" t="str">
            <v>AD</v>
          </cell>
        </row>
        <row r="119">
          <cell r="B119" t="str">
            <v>Fire Extinguisher Cabinet</v>
          </cell>
          <cell r="D119" t="str">
            <v>Abdullah Bin Otaiba</v>
          </cell>
          <cell r="H119" t="str">
            <v>AD</v>
          </cell>
        </row>
        <row r="120">
          <cell r="B120" t="str">
            <v>Fire Extinguisher Cabinet</v>
          </cell>
          <cell r="D120" t="str">
            <v>Abdullah Bin Otaiba</v>
          </cell>
          <cell r="H120" t="str">
            <v>AD</v>
          </cell>
        </row>
        <row r="121">
          <cell r="B121" t="str">
            <v>Fire Extinguisher Cabinet</v>
          </cell>
          <cell r="D121" t="str">
            <v>Abdullah Bin Otaiba</v>
          </cell>
          <cell r="H121" t="str">
            <v>AD</v>
          </cell>
        </row>
        <row r="122">
          <cell r="B122" t="str">
            <v>Fire Hose Cabinet</v>
          </cell>
          <cell r="D122" t="str">
            <v>Abdullah Bin Otaiba</v>
          </cell>
          <cell r="H122" t="str">
            <v>AD</v>
          </cell>
        </row>
        <row r="123">
          <cell r="B123" t="str">
            <v>Fire Hose Reel</v>
          </cell>
          <cell r="D123" t="str">
            <v>Abdullah Bin Otaiba</v>
          </cell>
          <cell r="H123" t="str">
            <v>AD</v>
          </cell>
        </row>
        <row r="124">
          <cell r="B124" t="str">
            <v>Fire Hose Reel</v>
          </cell>
          <cell r="D124" t="str">
            <v>Abdullah Bin Otaiba</v>
          </cell>
          <cell r="H124" t="str">
            <v>AD</v>
          </cell>
        </row>
        <row r="125">
          <cell r="B125" t="str">
            <v>Fire Hose Reel</v>
          </cell>
          <cell r="D125" t="str">
            <v>Abdullah Bin Otaiba</v>
          </cell>
          <cell r="H125" t="str">
            <v>AD</v>
          </cell>
        </row>
        <row r="126">
          <cell r="B126" t="str">
            <v>Fire Hose Reel</v>
          </cell>
          <cell r="D126" t="str">
            <v>Abdullah Bin Otaiba</v>
          </cell>
          <cell r="H126" t="str">
            <v>AD</v>
          </cell>
        </row>
        <row r="127">
          <cell r="B127" t="str">
            <v>Fire Hose Reel</v>
          </cell>
          <cell r="D127" t="str">
            <v>Abdullah Bin Otaiba</v>
          </cell>
          <cell r="H127" t="str">
            <v>AD</v>
          </cell>
        </row>
        <row r="128">
          <cell r="B128" t="str">
            <v>Fire Hose Reel</v>
          </cell>
          <cell r="D128" t="str">
            <v>Abdullah Bin Otaiba</v>
          </cell>
          <cell r="H128" t="str">
            <v>AD</v>
          </cell>
        </row>
        <row r="129">
          <cell r="B129" t="str">
            <v>Fire Hose Reel</v>
          </cell>
          <cell r="D129" t="str">
            <v>Abdullah Bin Otaiba</v>
          </cell>
          <cell r="H129" t="str">
            <v>AD</v>
          </cell>
        </row>
        <row r="130">
          <cell r="B130" t="str">
            <v>Fire Hose Reel</v>
          </cell>
          <cell r="D130" t="str">
            <v>Abdullah Bin Otaiba</v>
          </cell>
          <cell r="H130" t="str">
            <v>AD</v>
          </cell>
        </row>
        <row r="131">
          <cell r="B131" t="str">
            <v>Fire Hose Reel</v>
          </cell>
          <cell r="D131" t="str">
            <v>Abdullah Bin Otaiba</v>
          </cell>
          <cell r="H131" t="str">
            <v>AD</v>
          </cell>
        </row>
        <row r="132">
          <cell r="B132" t="str">
            <v>Fire Hose Reel Cabinet</v>
          </cell>
          <cell r="D132" t="str">
            <v>Abdullah Bin Otaiba</v>
          </cell>
          <cell r="H132" t="str">
            <v>AD</v>
          </cell>
        </row>
        <row r="133">
          <cell r="B133" t="str">
            <v>Intercom Wireless</v>
          </cell>
          <cell r="D133" t="str">
            <v>Abdullah Bin Otaiba</v>
          </cell>
          <cell r="H133" t="str">
            <v>AD</v>
          </cell>
        </row>
        <row r="134">
          <cell r="B134" t="str">
            <v>Smoke Detector &amp; Heat Detector</v>
          </cell>
          <cell r="D134" t="str">
            <v>Abdullah Bin Otaiba</v>
          </cell>
          <cell r="H134" t="str">
            <v>AD</v>
          </cell>
        </row>
        <row r="135">
          <cell r="B135" t="str">
            <v>Smoke Detector &amp; Heat Detector</v>
          </cell>
          <cell r="D135" t="str">
            <v>Abdullah Bin Otaiba</v>
          </cell>
          <cell r="H135" t="str">
            <v>AD</v>
          </cell>
        </row>
        <row r="136">
          <cell r="B136" t="str">
            <v>Smoke Detector &amp; Heat Detector</v>
          </cell>
          <cell r="D136" t="str">
            <v>Abdullah Bin Otaiba</v>
          </cell>
          <cell r="H136" t="str">
            <v>AD</v>
          </cell>
        </row>
        <row r="137">
          <cell r="B137" t="str">
            <v>Smoke Detector &amp; Heat Detector</v>
          </cell>
          <cell r="D137" t="str">
            <v>Abdullah Bin Otaiba</v>
          </cell>
          <cell r="H137" t="str">
            <v>AD</v>
          </cell>
        </row>
        <row r="138">
          <cell r="B138" t="str">
            <v>Smoke Detector &amp; Heat Detector</v>
          </cell>
          <cell r="D138" t="str">
            <v>Abdullah Bin Otaiba</v>
          </cell>
          <cell r="H138" t="str">
            <v>AD</v>
          </cell>
        </row>
        <row r="139">
          <cell r="B139" t="str">
            <v>Smoke Detector &amp; Heat Detector</v>
          </cell>
          <cell r="D139" t="str">
            <v>Abdullah Bin Otaiba</v>
          </cell>
          <cell r="H139" t="str">
            <v>AD</v>
          </cell>
        </row>
        <row r="140">
          <cell r="B140" t="str">
            <v>Smoke Detector &amp; Heat Detector</v>
          </cell>
          <cell r="D140" t="str">
            <v>Abdullah Bin Otaiba</v>
          </cell>
          <cell r="H140" t="str">
            <v>AD</v>
          </cell>
        </row>
        <row r="141">
          <cell r="B141" t="str">
            <v>Smoke Detector &amp; Heat Detector</v>
          </cell>
          <cell r="D141" t="str">
            <v>Abdullah Bin Otaiba</v>
          </cell>
          <cell r="H141" t="str">
            <v>AD</v>
          </cell>
        </row>
        <row r="142">
          <cell r="B142" t="str">
            <v>Smoke Detector &amp; Heat Detector</v>
          </cell>
          <cell r="D142" t="str">
            <v>Abdullah Bin Otaiba</v>
          </cell>
          <cell r="H142" t="str">
            <v>AD</v>
          </cell>
        </row>
        <row r="143">
          <cell r="B143" t="str">
            <v>Smoke Detector &amp; Heat Detector</v>
          </cell>
          <cell r="D143" t="str">
            <v>Abdullah Bin Otaiba</v>
          </cell>
          <cell r="H143" t="str">
            <v>AD</v>
          </cell>
        </row>
        <row r="144">
          <cell r="B144" t="str">
            <v>Smoke Detector &amp; Heat Detector</v>
          </cell>
          <cell r="D144" t="str">
            <v>Abdullah Bin Otaiba</v>
          </cell>
          <cell r="H144" t="str">
            <v>AD</v>
          </cell>
        </row>
        <row r="145">
          <cell r="B145" t="str">
            <v>Smoke Detector &amp; Heat Detector</v>
          </cell>
          <cell r="D145" t="str">
            <v>Abdullah Bin Otaiba</v>
          </cell>
          <cell r="H145" t="str">
            <v>AD</v>
          </cell>
        </row>
        <row r="146">
          <cell r="B146" t="str">
            <v>Smoke Detector &amp; Heat Detector</v>
          </cell>
          <cell r="D146" t="str">
            <v>Abdullah Bin Otaiba</v>
          </cell>
          <cell r="H146" t="str">
            <v>AD</v>
          </cell>
        </row>
        <row r="147">
          <cell r="B147" t="str">
            <v>Smoke Detector &amp; Heat Detector</v>
          </cell>
          <cell r="D147" t="str">
            <v>Abdullah Bin Otaiba</v>
          </cell>
          <cell r="H147" t="str">
            <v>AD</v>
          </cell>
        </row>
        <row r="148">
          <cell r="B148" t="str">
            <v>Smoke Detector &amp; Heat Detector</v>
          </cell>
          <cell r="D148" t="str">
            <v>Abdullah Bin Otaiba</v>
          </cell>
          <cell r="H148" t="str">
            <v>AD</v>
          </cell>
        </row>
        <row r="149">
          <cell r="B149" t="str">
            <v>Smoke Detector &amp; Heat Detector</v>
          </cell>
          <cell r="D149" t="str">
            <v>Abdullah Bin Otaiba</v>
          </cell>
          <cell r="H149" t="str">
            <v>AD</v>
          </cell>
        </row>
        <row r="150">
          <cell r="B150" t="str">
            <v>Smoke Detector &amp; Heat Detector</v>
          </cell>
          <cell r="D150" t="str">
            <v>Abdullah Bin Otaiba</v>
          </cell>
          <cell r="H150" t="str">
            <v>AD</v>
          </cell>
        </row>
        <row r="151">
          <cell r="B151" t="str">
            <v>Smoke Detector &amp; Heat Detector</v>
          </cell>
          <cell r="D151" t="str">
            <v>Abdullah Bin Otaiba</v>
          </cell>
          <cell r="H151" t="str">
            <v>AD</v>
          </cell>
        </row>
        <row r="152">
          <cell r="B152" t="str">
            <v>Water Tank</v>
          </cell>
          <cell r="D152" t="str">
            <v>Abdullah Bin Otaiba</v>
          </cell>
          <cell r="H152" t="str">
            <v>AD</v>
          </cell>
        </row>
        <row r="153">
          <cell r="B153" t="str">
            <v>CRANE</v>
          </cell>
          <cell r="D153" t="str">
            <v>ADEC store – Madinat Zayed</v>
          </cell>
          <cell r="H153" t="str">
            <v>WR</v>
          </cell>
        </row>
        <row r="154">
          <cell r="B154" t="str">
            <v>CRANE</v>
          </cell>
          <cell r="D154" t="str">
            <v>ADEC store – Madinat Zayed</v>
          </cell>
          <cell r="H154" t="str">
            <v>WR</v>
          </cell>
        </row>
        <row r="155">
          <cell r="B155" t="str">
            <v>Water Tank</v>
          </cell>
          <cell r="D155" t="str">
            <v>ADEC store – Madinat Zayed</v>
          </cell>
          <cell r="H155" t="str">
            <v>WR</v>
          </cell>
        </row>
        <row r="156">
          <cell r="B156" t="str">
            <v>Drinking fountain</v>
          </cell>
          <cell r="D156" t="str">
            <v>Ajnadeen Primary School</v>
          </cell>
          <cell r="H156" t="str">
            <v>AD</v>
          </cell>
        </row>
        <row r="157">
          <cell r="B157" t="str">
            <v>Drinking fountain</v>
          </cell>
          <cell r="D157" t="str">
            <v>Ajnadeen Primary School</v>
          </cell>
          <cell r="H157" t="str">
            <v>AD</v>
          </cell>
        </row>
        <row r="158">
          <cell r="B158" t="str">
            <v>Fire Alarm Break Glass Call Point</v>
          </cell>
          <cell r="D158" t="str">
            <v>Ajnadeen Primary School</v>
          </cell>
          <cell r="H158" t="str">
            <v>AD</v>
          </cell>
        </row>
        <row r="159">
          <cell r="B159" t="str">
            <v>Fire Alarm Break Glass Call Point</v>
          </cell>
          <cell r="D159" t="str">
            <v>Ajnadeen Primary School</v>
          </cell>
          <cell r="H159" t="str">
            <v>AD</v>
          </cell>
        </row>
        <row r="160">
          <cell r="B160" t="str">
            <v>Fire Alarm Break Glass Call Point</v>
          </cell>
          <cell r="D160" t="str">
            <v>Ajnadeen Primary School</v>
          </cell>
          <cell r="H160" t="str">
            <v>AD</v>
          </cell>
        </row>
        <row r="161">
          <cell r="B161" t="str">
            <v>Fire Alarm Break Glass Call Point</v>
          </cell>
          <cell r="D161" t="str">
            <v>Ajnadeen Primary School</v>
          </cell>
          <cell r="H161" t="str">
            <v>AD</v>
          </cell>
        </row>
        <row r="162">
          <cell r="B162" t="str">
            <v>Fire Alarm Break Glass Call Point</v>
          </cell>
          <cell r="D162" t="str">
            <v>Ajnadeen Primary School</v>
          </cell>
          <cell r="H162" t="str">
            <v>AD</v>
          </cell>
        </row>
        <row r="163">
          <cell r="B163" t="str">
            <v>Fire Alarm Break Glass Call Point</v>
          </cell>
          <cell r="D163" t="str">
            <v>Ajnadeen Primary School</v>
          </cell>
          <cell r="H163" t="str">
            <v>AD</v>
          </cell>
        </row>
        <row r="164">
          <cell r="B164" t="str">
            <v>Fire Alarm Break Glass Call Point</v>
          </cell>
          <cell r="D164" t="str">
            <v>Ajnadeen Primary School</v>
          </cell>
          <cell r="H164" t="str">
            <v>AD</v>
          </cell>
        </row>
        <row r="165">
          <cell r="B165" t="str">
            <v>Fire Alarm Break Glass Call Point</v>
          </cell>
          <cell r="D165" t="str">
            <v>Ajnadeen Primary School</v>
          </cell>
          <cell r="H165" t="str">
            <v>AD</v>
          </cell>
        </row>
        <row r="166">
          <cell r="B166" t="str">
            <v>Fire Alarm Break Glass Call Point</v>
          </cell>
          <cell r="D166" t="str">
            <v>Ajnadeen Primary School</v>
          </cell>
          <cell r="H166" t="str">
            <v>AD</v>
          </cell>
        </row>
        <row r="167">
          <cell r="B167" t="str">
            <v>Fire Alarm Break Glass Call Point</v>
          </cell>
          <cell r="D167" t="str">
            <v>Ajnadeen Primary School</v>
          </cell>
          <cell r="H167" t="str">
            <v>AD</v>
          </cell>
        </row>
        <row r="168">
          <cell r="B168" t="str">
            <v>Fire Alarm Sounder, Bell, Light</v>
          </cell>
          <cell r="D168" t="str">
            <v>Ajnadeen Primary School</v>
          </cell>
          <cell r="H168" t="str">
            <v>AD</v>
          </cell>
        </row>
        <row r="169">
          <cell r="B169" t="str">
            <v>Fire Alarm Sounder, Bell, Light</v>
          </cell>
          <cell r="D169" t="str">
            <v>Ajnadeen Primary School</v>
          </cell>
          <cell r="H169" t="str">
            <v>AD</v>
          </cell>
        </row>
        <row r="170">
          <cell r="B170" t="str">
            <v>Fire Alarm Sounder, Bell, Light</v>
          </cell>
          <cell r="D170" t="str">
            <v>Ajnadeen Primary School</v>
          </cell>
          <cell r="H170" t="str">
            <v>AD</v>
          </cell>
        </row>
        <row r="171">
          <cell r="B171" t="str">
            <v>Fire extinguisher</v>
          </cell>
          <cell r="D171" t="str">
            <v>Ajnadeen Primary School</v>
          </cell>
          <cell r="H171" t="str">
            <v>AD</v>
          </cell>
        </row>
        <row r="172">
          <cell r="B172" t="str">
            <v>Fire extinguisher</v>
          </cell>
          <cell r="D172" t="str">
            <v>Ajnadeen Primary School</v>
          </cell>
          <cell r="H172" t="str">
            <v>AD</v>
          </cell>
        </row>
        <row r="173">
          <cell r="B173" t="str">
            <v>Fire extinguisher</v>
          </cell>
          <cell r="D173" t="str">
            <v>Ajnadeen Primary School</v>
          </cell>
          <cell r="H173" t="str">
            <v>AD</v>
          </cell>
        </row>
        <row r="174">
          <cell r="B174" t="str">
            <v>Fire extinguisher</v>
          </cell>
          <cell r="D174" t="str">
            <v>Ajnadeen Primary School</v>
          </cell>
          <cell r="H174" t="str">
            <v>AD</v>
          </cell>
        </row>
        <row r="175">
          <cell r="B175" t="str">
            <v>Fire extinguisher</v>
          </cell>
          <cell r="D175" t="str">
            <v>Ajnadeen Primary School</v>
          </cell>
          <cell r="H175" t="str">
            <v>AD</v>
          </cell>
        </row>
        <row r="176">
          <cell r="B176" t="str">
            <v>Fire extinguisher</v>
          </cell>
          <cell r="D176" t="str">
            <v>Ajnadeen Primary School</v>
          </cell>
          <cell r="H176" t="str">
            <v>AD</v>
          </cell>
        </row>
        <row r="177">
          <cell r="B177" t="str">
            <v>Fire extinguisher</v>
          </cell>
          <cell r="D177" t="str">
            <v>Ajnadeen Primary School</v>
          </cell>
          <cell r="H177" t="str">
            <v>AD</v>
          </cell>
        </row>
        <row r="178">
          <cell r="B178" t="str">
            <v>Fire extinguisher</v>
          </cell>
          <cell r="D178" t="str">
            <v>Ajnadeen Primary School</v>
          </cell>
          <cell r="H178" t="str">
            <v>AD</v>
          </cell>
        </row>
        <row r="179">
          <cell r="B179" t="str">
            <v>Fire extinguisher</v>
          </cell>
          <cell r="D179" t="str">
            <v>Ajnadeen Primary School</v>
          </cell>
          <cell r="H179" t="str">
            <v>AD</v>
          </cell>
        </row>
        <row r="180">
          <cell r="B180" t="str">
            <v>Fire extinguisher</v>
          </cell>
          <cell r="D180" t="str">
            <v>Ajnadeen Primary School</v>
          </cell>
          <cell r="H180" t="str">
            <v>AD</v>
          </cell>
        </row>
        <row r="181">
          <cell r="B181" t="str">
            <v>Fire extinguisher</v>
          </cell>
          <cell r="D181" t="str">
            <v>Ajnadeen Primary School</v>
          </cell>
          <cell r="H181" t="str">
            <v>AD</v>
          </cell>
        </row>
        <row r="182">
          <cell r="B182" t="str">
            <v>Fire extinguisher</v>
          </cell>
          <cell r="D182" t="str">
            <v>Ajnadeen Primary School</v>
          </cell>
          <cell r="H182" t="str">
            <v>AD</v>
          </cell>
        </row>
        <row r="183">
          <cell r="B183" t="str">
            <v>Fire extinguisher</v>
          </cell>
          <cell r="D183" t="str">
            <v>Ajnadeen Primary School</v>
          </cell>
          <cell r="H183" t="str">
            <v>AD</v>
          </cell>
        </row>
        <row r="184">
          <cell r="B184" t="str">
            <v>Fire extinguisher</v>
          </cell>
          <cell r="D184" t="str">
            <v>Ajnadeen Primary School</v>
          </cell>
          <cell r="H184" t="str">
            <v>AD</v>
          </cell>
        </row>
        <row r="185">
          <cell r="B185" t="str">
            <v>Fire extinguisher</v>
          </cell>
          <cell r="D185" t="str">
            <v>Ajnadeen Primary School</v>
          </cell>
          <cell r="H185" t="str">
            <v>AD</v>
          </cell>
        </row>
        <row r="186">
          <cell r="B186" t="str">
            <v>Fire extinguisher</v>
          </cell>
          <cell r="D186" t="str">
            <v>Ajnadeen Primary School</v>
          </cell>
          <cell r="H186" t="str">
            <v>AD</v>
          </cell>
        </row>
        <row r="187">
          <cell r="B187" t="str">
            <v>Fire extinguisher</v>
          </cell>
          <cell r="D187" t="str">
            <v>Ajnadeen Primary School</v>
          </cell>
          <cell r="H187" t="str">
            <v>AD</v>
          </cell>
        </row>
        <row r="188">
          <cell r="B188" t="str">
            <v>Fire extinguisher</v>
          </cell>
          <cell r="D188" t="str">
            <v>Ajnadeen Primary School</v>
          </cell>
          <cell r="H188" t="str">
            <v>AD</v>
          </cell>
        </row>
        <row r="189">
          <cell r="B189" t="str">
            <v>Fire Extinguisher</v>
          </cell>
          <cell r="D189" t="str">
            <v>Ajnadeen Primary School</v>
          </cell>
          <cell r="H189" t="str">
            <v>AD</v>
          </cell>
        </row>
        <row r="190">
          <cell r="B190" t="str">
            <v>Fire extinguisher</v>
          </cell>
          <cell r="D190" t="str">
            <v>Ajnadeen Primary School</v>
          </cell>
          <cell r="H190" t="str">
            <v>AD</v>
          </cell>
        </row>
        <row r="191">
          <cell r="B191" t="str">
            <v>Fire extinguisher</v>
          </cell>
          <cell r="D191" t="str">
            <v>Ajnadeen Primary School</v>
          </cell>
          <cell r="H191" t="str">
            <v>AD</v>
          </cell>
        </row>
        <row r="192">
          <cell r="B192" t="str">
            <v>Fire extinguisher</v>
          </cell>
          <cell r="D192" t="str">
            <v>Ajnadeen Primary School</v>
          </cell>
          <cell r="H192" t="str">
            <v>AD</v>
          </cell>
        </row>
        <row r="193">
          <cell r="B193" t="str">
            <v>Fire extinguisher</v>
          </cell>
          <cell r="D193" t="str">
            <v>Ajnadeen Primary School</v>
          </cell>
          <cell r="H193" t="str">
            <v>AD</v>
          </cell>
        </row>
        <row r="194">
          <cell r="B194" t="str">
            <v>Fire extinguisher</v>
          </cell>
          <cell r="D194" t="str">
            <v>Ajnadeen Primary School</v>
          </cell>
          <cell r="H194" t="str">
            <v>AD</v>
          </cell>
        </row>
        <row r="195">
          <cell r="B195" t="str">
            <v>Fire Extinguisher - C02</v>
          </cell>
          <cell r="D195" t="str">
            <v>Ajnadeen Primary School</v>
          </cell>
          <cell r="H195" t="str">
            <v>AD</v>
          </cell>
        </row>
        <row r="196">
          <cell r="B196" t="str">
            <v>Fire Extinguisher - Dry</v>
          </cell>
          <cell r="D196" t="str">
            <v>Ajnadeen Primary School</v>
          </cell>
          <cell r="H196" t="str">
            <v>AD</v>
          </cell>
        </row>
        <row r="197">
          <cell r="B197" t="str">
            <v>Fire extinguisher box</v>
          </cell>
          <cell r="D197" t="str">
            <v>Ajnadeen Primary School</v>
          </cell>
          <cell r="H197" t="str">
            <v>AD</v>
          </cell>
        </row>
        <row r="198">
          <cell r="B198" t="str">
            <v>Fire extinguisher box</v>
          </cell>
          <cell r="D198" t="str">
            <v>Ajnadeen Primary School</v>
          </cell>
          <cell r="H198" t="str">
            <v>AD</v>
          </cell>
        </row>
        <row r="199">
          <cell r="B199" t="str">
            <v>Fire extinguisher box</v>
          </cell>
          <cell r="D199" t="str">
            <v>Ajnadeen Primary School</v>
          </cell>
          <cell r="H199" t="str">
            <v>AD</v>
          </cell>
        </row>
        <row r="200">
          <cell r="B200" t="str">
            <v>Fire hose cabinet</v>
          </cell>
          <cell r="D200" t="str">
            <v>Ajnadeen Primary School</v>
          </cell>
          <cell r="H200" t="str">
            <v>AD</v>
          </cell>
        </row>
        <row r="201">
          <cell r="B201" t="str">
            <v>Fire hose cabinet</v>
          </cell>
          <cell r="D201" t="str">
            <v>Ajnadeen Primary School</v>
          </cell>
          <cell r="H201" t="str">
            <v>AD</v>
          </cell>
        </row>
        <row r="202">
          <cell r="B202" t="str">
            <v>Fire hose cabinet</v>
          </cell>
          <cell r="D202" t="str">
            <v>Ajnadeen Primary School</v>
          </cell>
          <cell r="H202" t="str">
            <v>AD</v>
          </cell>
        </row>
        <row r="203">
          <cell r="B203" t="str">
            <v>Fire hose cabinet</v>
          </cell>
          <cell r="D203" t="str">
            <v>Ajnadeen Primary School</v>
          </cell>
          <cell r="H203" t="str">
            <v>AD</v>
          </cell>
        </row>
        <row r="204">
          <cell r="B204" t="str">
            <v>Fire hose cabinet</v>
          </cell>
          <cell r="D204" t="str">
            <v>Ajnadeen Primary School</v>
          </cell>
          <cell r="H204" t="str">
            <v>AD</v>
          </cell>
        </row>
        <row r="205">
          <cell r="B205" t="str">
            <v>Fire hose reel</v>
          </cell>
          <cell r="D205" t="str">
            <v>Ajnadeen Primary School</v>
          </cell>
          <cell r="H205" t="str">
            <v>AD</v>
          </cell>
        </row>
        <row r="206">
          <cell r="B206" t="str">
            <v>Fire hose reel</v>
          </cell>
          <cell r="D206" t="str">
            <v>Ajnadeen Primary School</v>
          </cell>
          <cell r="H206" t="str">
            <v>AD</v>
          </cell>
        </row>
        <row r="207">
          <cell r="B207" t="str">
            <v>Fire hose reel</v>
          </cell>
          <cell r="D207" t="str">
            <v>Ajnadeen Primary School</v>
          </cell>
          <cell r="H207" t="str">
            <v>AD</v>
          </cell>
        </row>
        <row r="208">
          <cell r="B208" t="str">
            <v>Fire hose reel</v>
          </cell>
          <cell r="D208" t="str">
            <v>Ajnadeen Primary School</v>
          </cell>
          <cell r="H208" t="str">
            <v>AD</v>
          </cell>
        </row>
        <row r="209">
          <cell r="B209" t="str">
            <v>Fire hose reel</v>
          </cell>
          <cell r="D209" t="str">
            <v>Ajnadeen Primary School</v>
          </cell>
          <cell r="H209" t="str">
            <v>AD</v>
          </cell>
        </row>
        <row r="210">
          <cell r="B210" t="str">
            <v>Gas Detection System</v>
          </cell>
          <cell r="D210" t="str">
            <v>Ajnadeen Primary School</v>
          </cell>
          <cell r="H210" t="str">
            <v>AD</v>
          </cell>
        </row>
        <row r="211">
          <cell r="B211" t="str">
            <v>Smoke Detector &amp; Heat Detector</v>
          </cell>
          <cell r="D211" t="str">
            <v>Ajnadeen Primary School</v>
          </cell>
          <cell r="H211" t="str">
            <v>AD</v>
          </cell>
        </row>
        <row r="212">
          <cell r="B212" t="str">
            <v>Smoke Detector &amp; Heat Detector</v>
          </cell>
          <cell r="D212" t="str">
            <v>Ajnadeen Primary School</v>
          </cell>
          <cell r="H212" t="str">
            <v>AD</v>
          </cell>
        </row>
        <row r="213">
          <cell r="B213" t="str">
            <v>Smoke Detector &amp; Heat Detector</v>
          </cell>
          <cell r="D213" t="str">
            <v>Ajnadeen Primary School</v>
          </cell>
          <cell r="H213" t="str">
            <v>AD</v>
          </cell>
        </row>
        <row r="214">
          <cell r="B214" t="str">
            <v>Smoke Detector &amp; Heat Detector</v>
          </cell>
          <cell r="D214" t="str">
            <v>Ajnadeen Primary School</v>
          </cell>
          <cell r="H214" t="str">
            <v>AD</v>
          </cell>
        </row>
        <row r="215">
          <cell r="B215" t="str">
            <v>Smoke Detector &amp; Heat Detector</v>
          </cell>
          <cell r="D215" t="str">
            <v>Ajnadeen Primary School</v>
          </cell>
          <cell r="H215" t="str">
            <v>AD</v>
          </cell>
        </row>
        <row r="216">
          <cell r="B216" t="str">
            <v>Smoke Detector &amp; Heat Detector</v>
          </cell>
          <cell r="D216" t="str">
            <v>Ajnadeen Primary School</v>
          </cell>
          <cell r="H216" t="str">
            <v>AD</v>
          </cell>
        </row>
        <row r="217">
          <cell r="B217" t="str">
            <v>Smoke Detector &amp; Heat Detector</v>
          </cell>
          <cell r="D217" t="str">
            <v>Ajnadeen Primary School</v>
          </cell>
          <cell r="H217" t="str">
            <v>AD</v>
          </cell>
        </row>
        <row r="218">
          <cell r="B218" t="str">
            <v>Smoke Detector &amp; Heat Detector</v>
          </cell>
          <cell r="D218" t="str">
            <v>Ajnadeen Primary School</v>
          </cell>
          <cell r="H218" t="str">
            <v>AD</v>
          </cell>
        </row>
        <row r="219">
          <cell r="B219" t="str">
            <v>Smoke Detector &amp; Heat Detector</v>
          </cell>
          <cell r="D219" t="str">
            <v>Ajnadeen Primary School</v>
          </cell>
          <cell r="H219" t="str">
            <v>AD</v>
          </cell>
        </row>
        <row r="220">
          <cell r="B220" t="str">
            <v>Smoke Detector &amp; Heat Detector</v>
          </cell>
          <cell r="D220" t="str">
            <v>Ajnadeen Primary School</v>
          </cell>
          <cell r="H220" t="str">
            <v>AD</v>
          </cell>
        </row>
        <row r="221">
          <cell r="B221" t="str">
            <v>Smoke Detector &amp; Heat Detector</v>
          </cell>
          <cell r="D221" t="str">
            <v>Ajnadeen Primary School</v>
          </cell>
          <cell r="H221" t="str">
            <v>AD</v>
          </cell>
        </row>
        <row r="222">
          <cell r="B222" t="str">
            <v>Smoke Detector &amp; Heat Detector</v>
          </cell>
          <cell r="D222" t="str">
            <v>Ajnadeen Primary School</v>
          </cell>
          <cell r="H222" t="str">
            <v>AD</v>
          </cell>
        </row>
        <row r="223">
          <cell r="B223" t="str">
            <v>Smoke Detector &amp; Heat Detector</v>
          </cell>
          <cell r="D223" t="str">
            <v>Ajnadeen Primary School</v>
          </cell>
          <cell r="H223" t="str">
            <v>AD</v>
          </cell>
        </row>
        <row r="224">
          <cell r="B224" t="str">
            <v>Smoke Detector &amp; Heat Detector</v>
          </cell>
          <cell r="D224" t="str">
            <v>Ajnadeen Primary School</v>
          </cell>
          <cell r="H224" t="str">
            <v>AD</v>
          </cell>
        </row>
        <row r="225">
          <cell r="B225" t="str">
            <v>Smoke Detector &amp; Heat Detector</v>
          </cell>
          <cell r="D225" t="str">
            <v>Ajnadeen Primary School</v>
          </cell>
          <cell r="H225" t="str">
            <v>AD</v>
          </cell>
        </row>
        <row r="226">
          <cell r="B226" t="str">
            <v>Smoke Detector &amp; Heat Detector</v>
          </cell>
          <cell r="D226" t="str">
            <v>Ajnadeen Primary School</v>
          </cell>
          <cell r="H226" t="str">
            <v>AD</v>
          </cell>
        </row>
        <row r="227">
          <cell r="B227" t="str">
            <v>Smoke Detector &amp; Heat Detector</v>
          </cell>
          <cell r="D227" t="str">
            <v>Ajnadeen Primary School</v>
          </cell>
          <cell r="H227" t="str">
            <v>AD</v>
          </cell>
        </row>
        <row r="228">
          <cell r="B228" t="str">
            <v>Smoke Detector &amp; Heat Detector</v>
          </cell>
          <cell r="D228" t="str">
            <v>Ajnadeen Primary School</v>
          </cell>
          <cell r="H228" t="str">
            <v>AD</v>
          </cell>
        </row>
        <row r="229">
          <cell r="B229" t="str">
            <v>Smoke Detector &amp; Heat Detector</v>
          </cell>
          <cell r="D229" t="str">
            <v>Ajnadeen Primary School</v>
          </cell>
          <cell r="H229" t="str">
            <v>AD</v>
          </cell>
        </row>
        <row r="230">
          <cell r="B230" t="str">
            <v>Smoke Detector &amp; Heat Detector</v>
          </cell>
          <cell r="D230" t="str">
            <v>Ajnadeen Primary School</v>
          </cell>
          <cell r="H230" t="str">
            <v>AD</v>
          </cell>
        </row>
        <row r="231">
          <cell r="B231" t="str">
            <v>Smoke Detector &amp; Heat Detector</v>
          </cell>
          <cell r="D231" t="str">
            <v>Ajnadeen Primary School</v>
          </cell>
          <cell r="H231" t="str">
            <v>AD</v>
          </cell>
        </row>
        <row r="232">
          <cell r="B232" t="str">
            <v>Smoke Detector &amp; Heat Detector</v>
          </cell>
          <cell r="D232" t="str">
            <v>Ajnadeen Primary School</v>
          </cell>
          <cell r="H232" t="str">
            <v>AD</v>
          </cell>
        </row>
        <row r="233">
          <cell r="B233" t="str">
            <v>Smoke Detector &amp; Heat Detector</v>
          </cell>
          <cell r="D233" t="str">
            <v>Ajnadeen Primary School</v>
          </cell>
          <cell r="H233" t="str">
            <v>AD</v>
          </cell>
        </row>
        <row r="234">
          <cell r="B234" t="str">
            <v>Smoke Detector &amp; Heat Detector</v>
          </cell>
          <cell r="D234" t="str">
            <v>Ajnadeen Primary School</v>
          </cell>
          <cell r="H234" t="str">
            <v>AD</v>
          </cell>
        </row>
        <row r="235">
          <cell r="B235" t="str">
            <v>Smoke Detector &amp; Heat Detector</v>
          </cell>
          <cell r="D235" t="str">
            <v>Ajnadeen Primary School</v>
          </cell>
          <cell r="H235" t="str">
            <v>AD</v>
          </cell>
        </row>
        <row r="236">
          <cell r="B236" t="str">
            <v>Smoke Detector &amp; Heat Detector</v>
          </cell>
          <cell r="D236" t="str">
            <v>Ajnadeen Primary School</v>
          </cell>
          <cell r="H236" t="str">
            <v>AD</v>
          </cell>
        </row>
        <row r="237">
          <cell r="B237" t="str">
            <v>Smoke Detector &amp; Heat Detector</v>
          </cell>
          <cell r="D237" t="str">
            <v>Ajnadeen Primary School</v>
          </cell>
          <cell r="H237" t="str">
            <v>AD</v>
          </cell>
        </row>
        <row r="238">
          <cell r="B238" t="str">
            <v>Smoke Detector &amp; Heat Detector</v>
          </cell>
          <cell r="D238" t="str">
            <v>Ajnadeen Primary School</v>
          </cell>
          <cell r="H238" t="str">
            <v>AD</v>
          </cell>
        </row>
        <row r="239">
          <cell r="B239" t="str">
            <v>Smoke Detector &amp; Heat Detector</v>
          </cell>
          <cell r="D239" t="str">
            <v>Ajnadeen Primary School</v>
          </cell>
          <cell r="H239" t="str">
            <v>AD</v>
          </cell>
        </row>
        <row r="240">
          <cell r="B240" t="str">
            <v>Smoke Detector &amp; Heat Detector</v>
          </cell>
          <cell r="D240" t="str">
            <v>Ajnadeen Primary School</v>
          </cell>
          <cell r="H240" t="str">
            <v>AD</v>
          </cell>
        </row>
        <row r="241">
          <cell r="B241" t="str">
            <v>Smoke Detector &amp; Heat Detector</v>
          </cell>
          <cell r="D241" t="str">
            <v>Ajnadeen Primary School</v>
          </cell>
          <cell r="H241" t="str">
            <v>AD</v>
          </cell>
        </row>
        <row r="242">
          <cell r="B242" t="str">
            <v>Fire Alarm Break Glass Call Point</v>
          </cell>
          <cell r="D242" t="str">
            <v>Al Aasimah Primary School</v>
          </cell>
          <cell r="H242" t="str">
            <v>AD</v>
          </cell>
        </row>
        <row r="243">
          <cell r="B243" t="str">
            <v>Fire Alarm Break Glass Call Point</v>
          </cell>
          <cell r="D243" t="str">
            <v>Al Aasimah Primary School</v>
          </cell>
          <cell r="H243" t="str">
            <v>AD</v>
          </cell>
        </row>
        <row r="244">
          <cell r="B244" t="str">
            <v>Fire Alarm Break Glass Call Point</v>
          </cell>
          <cell r="D244" t="str">
            <v>Al Aasimah Primary School</v>
          </cell>
          <cell r="H244" t="str">
            <v>AD</v>
          </cell>
        </row>
        <row r="245">
          <cell r="B245" t="str">
            <v>Fire Alarm Break Glass Call Point</v>
          </cell>
          <cell r="D245" t="str">
            <v>Al Aasimah Primary School</v>
          </cell>
          <cell r="H245" t="str">
            <v>AD</v>
          </cell>
        </row>
        <row r="246">
          <cell r="B246" t="str">
            <v>Fire Alarm Break Glass Call Point</v>
          </cell>
          <cell r="D246" t="str">
            <v>Al Aasimah Primary School</v>
          </cell>
          <cell r="H246" t="str">
            <v>AD</v>
          </cell>
        </row>
        <row r="247">
          <cell r="B247" t="str">
            <v>Fire Alarm Break Glass Call Point</v>
          </cell>
          <cell r="D247" t="str">
            <v>Al Aasimah Primary School</v>
          </cell>
          <cell r="H247" t="str">
            <v>AD</v>
          </cell>
        </row>
        <row r="248">
          <cell r="B248" t="str">
            <v>Fire Alarm Break Glass Call Point</v>
          </cell>
          <cell r="D248" t="str">
            <v>Al Aasimah Primary School</v>
          </cell>
          <cell r="H248" t="str">
            <v>AD</v>
          </cell>
        </row>
        <row r="249">
          <cell r="B249" t="str">
            <v>Fire Alarm Break Glass Call Point</v>
          </cell>
          <cell r="D249" t="str">
            <v>Al Aasimah Primary School</v>
          </cell>
          <cell r="H249" t="str">
            <v>AD</v>
          </cell>
        </row>
        <row r="250">
          <cell r="B250" t="str">
            <v>Fire Alarm Break Glass Call Point</v>
          </cell>
          <cell r="D250" t="str">
            <v>Al Aasimah Primary School</v>
          </cell>
          <cell r="H250" t="str">
            <v>AD</v>
          </cell>
        </row>
        <row r="251">
          <cell r="B251" t="str">
            <v>Fire Alarm Break Glass Call Point</v>
          </cell>
          <cell r="D251" t="str">
            <v>Al Aasimah Primary School</v>
          </cell>
          <cell r="H251" t="str">
            <v>AD</v>
          </cell>
        </row>
        <row r="252">
          <cell r="B252" t="str">
            <v>Fire Alarm Break Glass Call Point</v>
          </cell>
          <cell r="D252" t="str">
            <v>Al Aasimah Primary School</v>
          </cell>
          <cell r="H252" t="str">
            <v>AD</v>
          </cell>
        </row>
        <row r="253">
          <cell r="B253" t="str">
            <v>Fire Alarm Break Glass Call Point</v>
          </cell>
          <cell r="D253" t="str">
            <v>Al Aasimah Primary School</v>
          </cell>
          <cell r="H253" t="str">
            <v>AD</v>
          </cell>
        </row>
        <row r="254">
          <cell r="B254" t="str">
            <v>Fire Alarm Break Glass Call Point</v>
          </cell>
          <cell r="D254" t="str">
            <v>Al Aasimah Primary School</v>
          </cell>
          <cell r="H254" t="str">
            <v>AD</v>
          </cell>
        </row>
        <row r="255">
          <cell r="B255" t="str">
            <v>Fire Alarm Break Glass Call Point</v>
          </cell>
          <cell r="D255" t="str">
            <v>Al Aasimah Primary School</v>
          </cell>
          <cell r="H255" t="str">
            <v>AD</v>
          </cell>
        </row>
        <row r="256">
          <cell r="B256" t="str">
            <v>Fire Alarm Break Glass Call Point</v>
          </cell>
          <cell r="D256" t="str">
            <v>Al Aasimah Primary School</v>
          </cell>
          <cell r="H256" t="str">
            <v>AD</v>
          </cell>
        </row>
        <row r="257">
          <cell r="B257" t="str">
            <v>Fire Alarm Break Glass Call Point</v>
          </cell>
          <cell r="D257" t="str">
            <v>Al Aasimah Primary School</v>
          </cell>
          <cell r="H257" t="str">
            <v>AD</v>
          </cell>
        </row>
        <row r="258">
          <cell r="B258" t="str">
            <v>Fire Alarm Break Glass Call Point</v>
          </cell>
          <cell r="D258" t="str">
            <v>Al Aasimah Primary School</v>
          </cell>
          <cell r="H258" t="str">
            <v>AD</v>
          </cell>
        </row>
        <row r="259">
          <cell r="B259" t="str">
            <v>Fire Alarm Break Glass Call Point</v>
          </cell>
          <cell r="D259" t="str">
            <v>Al Aasimah Primary School</v>
          </cell>
          <cell r="H259" t="str">
            <v>AD</v>
          </cell>
        </row>
        <row r="260">
          <cell r="B260" t="str">
            <v>Fire Alarm Break Glass Call Point</v>
          </cell>
          <cell r="D260" t="str">
            <v>Al Aasimah Primary School</v>
          </cell>
          <cell r="H260" t="str">
            <v>AD</v>
          </cell>
        </row>
        <row r="261">
          <cell r="B261" t="str">
            <v>Fire Alarm Break Glass Call Point</v>
          </cell>
          <cell r="D261" t="str">
            <v>Al Aasimah Primary School</v>
          </cell>
          <cell r="H261" t="str">
            <v>AD</v>
          </cell>
        </row>
        <row r="262">
          <cell r="B262" t="str">
            <v>Fire Alarm Break Glass Call Point</v>
          </cell>
          <cell r="D262" t="str">
            <v>Al Aasimah Primary School</v>
          </cell>
          <cell r="H262" t="str">
            <v>AD</v>
          </cell>
        </row>
        <row r="263">
          <cell r="B263" t="str">
            <v>Fire Alarm Panel</v>
          </cell>
          <cell r="D263" t="str">
            <v>Al Aasimah Primary School</v>
          </cell>
          <cell r="H263" t="str">
            <v>AD</v>
          </cell>
        </row>
        <row r="264">
          <cell r="B264" t="str">
            <v>Fire Alarm Sounder, Bell, Light</v>
          </cell>
          <cell r="D264" t="str">
            <v>Al Aasimah Primary School</v>
          </cell>
          <cell r="H264" t="str">
            <v>AD</v>
          </cell>
        </row>
        <row r="265">
          <cell r="B265" t="str">
            <v>Fire Alarm Sounder, Bell, Light</v>
          </cell>
          <cell r="D265" t="str">
            <v>Al Aasimah Primary School</v>
          </cell>
          <cell r="H265" t="str">
            <v>AD</v>
          </cell>
        </row>
        <row r="266">
          <cell r="B266" t="str">
            <v>Fire Alarm Sounder, Bell, Light</v>
          </cell>
          <cell r="D266" t="str">
            <v>Al Aasimah Primary School</v>
          </cell>
          <cell r="H266" t="str">
            <v>AD</v>
          </cell>
        </row>
        <row r="267">
          <cell r="B267" t="str">
            <v>Fire Alarm Sounder, Bell, Light</v>
          </cell>
          <cell r="D267" t="str">
            <v>Al Aasimah Primary School</v>
          </cell>
          <cell r="H267" t="str">
            <v>AD</v>
          </cell>
        </row>
        <row r="268">
          <cell r="B268" t="str">
            <v>Fire Alarm Sounder, Bell, Light</v>
          </cell>
          <cell r="D268" t="str">
            <v>Al Aasimah Primary School</v>
          </cell>
          <cell r="H268" t="str">
            <v>AD</v>
          </cell>
        </row>
        <row r="269">
          <cell r="B269" t="str">
            <v>Fire Alarm Sounder, Bell, Light</v>
          </cell>
          <cell r="D269" t="str">
            <v>Al Aasimah Primary School</v>
          </cell>
          <cell r="H269" t="str">
            <v>AD</v>
          </cell>
        </row>
        <row r="270">
          <cell r="B270" t="str">
            <v>Fire Alarm Sounder, Bell, Light</v>
          </cell>
          <cell r="D270" t="str">
            <v>Al Aasimah Primary School</v>
          </cell>
          <cell r="H270" t="str">
            <v>AD</v>
          </cell>
        </row>
        <row r="271">
          <cell r="B271" t="str">
            <v>Fire Alarm Sounder, Bell, Light</v>
          </cell>
          <cell r="D271" t="str">
            <v>Al Aasimah Primary School</v>
          </cell>
          <cell r="H271" t="str">
            <v>AD</v>
          </cell>
        </row>
        <row r="272">
          <cell r="B272" t="str">
            <v>Fire Alarm Sounder, Bell, Light</v>
          </cell>
          <cell r="D272" t="str">
            <v>Al Aasimah Primary School</v>
          </cell>
          <cell r="H272" t="str">
            <v>AD</v>
          </cell>
        </row>
        <row r="273">
          <cell r="B273" t="str">
            <v>Fire Alarm Sounder, Bell, Light</v>
          </cell>
          <cell r="D273" t="str">
            <v>Al Aasimah Primary School</v>
          </cell>
          <cell r="H273" t="str">
            <v>AD</v>
          </cell>
        </row>
        <row r="274">
          <cell r="B274" t="str">
            <v>Fire Alarm Sounder, Bell, Light</v>
          </cell>
          <cell r="D274" t="str">
            <v>Al Aasimah Primary School</v>
          </cell>
          <cell r="H274" t="str">
            <v>AD</v>
          </cell>
        </row>
        <row r="275">
          <cell r="B275" t="str">
            <v>Fire Alarm Sounder, Bell, Light</v>
          </cell>
          <cell r="D275" t="str">
            <v>Al Aasimah Primary School</v>
          </cell>
          <cell r="H275" t="str">
            <v>AD</v>
          </cell>
        </row>
        <row r="276">
          <cell r="B276" t="str">
            <v>Fire Alarm Sounder, Bell, Light</v>
          </cell>
          <cell r="D276" t="str">
            <v>Al Aasimah Primary School</v>
          </cell>
          <cell r="H276" t="str">
            <v>AD</v>
          </cell>
        </row>
        <row r="277">
          <cell r="B277" t="str">
            <v>Fire Alarm Sounder, Bell, Light</v>
          </cell>
          <cell r="D277" t="str">
            <v>Al Aasimah Primary School</v>
          </cell>
          <cell r="H277" t="str">
            <v>AD</v>
          </cell>
        </row>
        <row r="278">
          <cell r="B278" t="str">
            <v>Fire Alarm Sounder, Bell, Light</v>
          </cell>
          <cell r="D278" t="str">
            <v>Al Aasimah Primary School</v>
          </cell>
          <cell r="H278" t="str">
            <v>AD</v>
          </cell>
        </row>
        <row r="279">
          <cell r="B279" t="str">
            <v>Fire Alarm Sounder, Bell, Light</v>
          </cell>
          <cell r="D279" t="str">
            <v>Al Aasimah Primary School</v>
          </cell>
          <cell r="H279" t="str">
            <v>AD</v>
          </cell>
        </row>
        <row r="280">
          <cell r="B280" t="str">
            <v>Fire Alarm Sounder, Bell, Light</v>
          </cell>
          <cell r="D280" t="str">
            <v>Al Aasimah Primary School</v>
          </cell>
          <cell r="H280" t="str">
            <v>AD</v>
          </cell>
        </row>
        <row r="281">
          <cell r="B281" t="str">
            <v>Fire Alarm Sounder, Bell, Light</v>
          </cell>
          <cell r="D281" t="str">
            <v>Al Aasimah Primary School</v>
          </cell>
          <cell r="H281" t="str">
            <v>AD</v>
          </cell>
        </row>
        <row r="282">
          <cell r="B282" t="str">
            <v>Fire Alarm Sounder, Bell, Light</v>
          </cell>
          <cell r="D282" t="str">
            <v>Al Aasimah Primary School</v>
          </cell>
          <cell r="H282" t="str">
            <v>AD</v>
          </cell>
        </row>
        <row r="283">
          <cell r="B283" t="str">
            <v>Fire Alarm Sounder, Bell, Light</v>
          </cell>
          <cell r="D283" t="str">
            <v>Al Aasimah Primary School</v>
          </cell>
          <cell r="H283" t="str">
            <v>AD</v>
          </cell>
        </row>
        <row r="284">
          <cell r="B284" t="str">
            <v>Fire Alarm Sounder, Bell, Light</v>
          </cell>
          <cell r="D284" t="str">
            <v>Al Aasimah Primary School</v>
          </cell>
          <cell r="H284" t="str">
            <v>AD</v>
          </cell>
        </row>
        <row r="285">
          <cell r="B285" t="str">
            <v>Fire Alarm Sounder, Bell, Light</v>
          </cell>
          <cell r="D285" t="str">
            <v>Al Aasimah Primary School</v>
          </cell>
          <cell r="H285" t="str">
            <v>AD</v>
          </cell>
        </row>
        <row r="286">
          <cell r="B286" t="str">
            <v>Fire Alarm Sounder, Bell, Light</v>
          </cell>
          <cell r="D286" t="str">
            <v>Al Aasimah Primary School</v>
          </cell>
          <cell r="H286" t="str">
            <v>AD</v>
          </cell>
        </row>
        <row r="287">
          <cell r="B287" t="str">
            <v>Fire Alarm Sounder, Bell, Light</v>
          </cell>
          <cell r="D287" t="str">
            <v>Al Aasimah Primary School</v>
          </cell>
          <cell r="H287" t="str">
            <v>AD</v>
          </cell>
        </row>
        <row r="288">
          <cell r="B288" t="str">
            <v>Fire Alarm Sounder, Bell, Light</v>
          </cell>
          <cell r="D288" t="str">
            <v>Al Aasimah Primary School</v>
          </cell>
          <cell r="H288" t="str">
            <v>AD</v>
          </cell>
        </row>
        <row r="289">
          <cell r="B289" t="str">
            <v>Fire Alarm Sounder, Bell, Light</v>
          </cell>
          <cell r="D289" t="str">
            <v>Al Aasimah Primary School</v>
          </cell>
          <cell r="H289" t="str">
            <v>AD</v>
          </cell>
        </row>
        <row r="290">
          <cell r="B290" t="str">
            <v>Fire Alarm Sounder, Bell, Light</v>
          </cell>
          <cell r="D290" t="str">
            <v>Al Aasimah Primary School</v>
          </cell>
          <cell r="H290" t="str">
            <v>AD</v>
          </cell>
        </row>
        <row r="291">
          <cell r="B291" t="str">
            <v>Fire Alarm Sounder, Bell, Light</v>
          </cell>
          <cell r="D291" t="str">
            <v>Al Aasimah Primary School</v>
          </cell>
          <cell r="H291" t="str">
            <v>AD</v>
          </cell>
        </row>
        <row r="292">
          <cell r="B292" t="str">
            <v>Fire Alarm Sounder, Bell, Light</v>
          </cell>
          <cell r="D292" t="str">
            <v>Al Aasimah Primary School</v>
          </cell>
          <cell r="H292" t="str">
            <v>AD</v>
          </cell>
        </row>
        <row r="293">
          <cell r="B293" t="str">
            <v>Fire Alarm Sounder, Bell, Light</v>
          </cell>
          <cell r="D293" t="str">
            <v>Al Aasimah Primary School</v>
          </cell>
          <cell r="H293" t="str">
            <v>AD</v>
          </cell>
        </row>
        <row r="294">
          <cell r="B294" t="str">
            <v>Fire Alarm Sounder, Bell, Light</v>
          </cell>
          <cell r="D294" t="str">
            <v>Al Aasimah Primary School</v>
          </cell>
          <cell r="H294" t="str">
            <v>AD</v>
          </cell>
        </row>
        <row r="295">
          <cell r="B295" t="str">
            <v>Fire Extinguisher</v>
          </cell>
          <cell r="D295" t="str">
            <v>Al Aasimah Primary School</v>
          </cell>
          <cell r="H295" t="str">
            <v>AD</v>
          </cell>
        </row>
        <row r="296">
          <cell r="B296" t="str">
            <v>Fire Extinguisher</v>
          </cell>
          <cell r="D296" t="str">
            <v>Al Aasimah Primary School</v>
          </cell>
          <cell r="H296" t="str">
            <v>AD</v>
          </cell>
        </row>
        <row r="297">
          <cell r="B297" t="str">
            <v>Fire Extinguisher</v>
          </cell>
          <cell r="D297" t="str">
            <v>Al Aasimah Primary School</v>
          </cell>
          <cell r="H297" t="str">
            <v>AD</v>
          </cell>
        </row>
        <row r="298">
          <cell r="B298" t="str">
            <v>Fire Extinguisher</v>
          </cell>
          <cell r="D298" t="str">
            <v>Al Aasimah Primary School</v>
          </cell>
          <cell r="H298" t="str">
            <v>AD</v>
          </cell>
        </row>
        <row r="299">
          <cell r="B299" t="str">
            <v>Fire Extinguisher</v>
          </cell>
          <cell r="D299" t="str">
            <v>Al Aasimah Primary School</v>
          </cell>
          <cell r="H299" t="str">
            <v>AD</v>
          </cell>
        </row>
        <row r="300">
          <cell r="B300" t="str">
            <v>Fire Extinguisher</v>
          </cell>
          <cell r="D300" t="str">
            <v>Al Aasimah Primary School</v>
          </cell>
          <cell r="H300" t="str">
            <v>AD</v>
          </cell>
        </row>
        <row r="301">
          <cell r="B301" t="str">
            <v>Fire Extinguisher</v>
          </cell>
          <cell r="D301" t="str">
            <v>Al Aasimah Primary School</v>
          </cell>
          <cell r="H301" t="str">
            <v>AD</v>
          </cell>
        </row>
        <row r="302">
          <cell r="B302" t="str">
            <v>Fire Extinguisher</v>
          </cell>
          <cell r="D302" t="str">
            <v>Al Aasimah Primary School</v>
          </cell>
          <cell r="H302" t="str">
            <v>AD</v>
          </cell>
        </row>
        <row r="303">
          <cell r="B303" t="str">
            <v>Fire Extinguisher</v>
          </cell>
          <cell r="D303" t="str">
            <v>Al Aasimah Primary School</v>
          </cell>
          <cell r="H303" t="str">
            <v>AD</v>
          </cell>
        </row>
        <row r="304">
          <cell r="B304" t="str">
            <v>Fire Extinguisher</v>
          </cell>
          <cell r="D304" t="str">
            <v>Al Aasimah Primary School</v>
          </cell>
          <cell r="H304" t="str">
            <v>AD</v>
          </cell>
        </row>
        <row r="305">
          <cell r="B305" t="str">
            <v>Fire Extinguisher</v>
          </cell>
          <cell r="D305" t="str">
            <v>Al Aasimah Primary School</v>
          </cell>
          <cell r="H305" t="str">
            <v>AD</v>
          </cell>
        </row>
        <row r="306">
          <cell r="B306" t="str">
            <v>Fire Extinguisher</v>
          </cell>
          <cell r="D306" t="str">
            <v>Al Aasimah Primary School</v>
          </cell>
          <cell r="H306" t="str">
            <v>AD</v>
          </cell>
        </row>
        <row r="307">
          <cell r="B307" t="str">
            <v>Fire Extinguisher</v>
          </cell>
          <cell r="D307" t="str">
            <v>Al Aasimah Primary School</v>
          </cell>
          <cell r="H307" t="str">
            <v>AD</v>
          </cell>
        </row>
        <row r="308">
          <cell r="B308" t="str">
            <v>Fire Extinguisher</v>
          </cell>
          <cell r="D308" t="str">
            <v>Al Aasimah Primary School</v>
          </cell>
          <cell r="H308" t="str">
            <v>AD</v>
          </cell>
        </row>
        <row r="309">
          <cell r="B309" t="str">
            <v>Fire Extinguisher</v>
          </cell>
          <cell r="D309" t="str">
            <v>Al Aasimah Primary School</v>
          </cell>
          <cell r="H309" t="str">
            <v>AD</v>
          </cell>
        </row>
        <row r="310">
          <cell r="B310" t="str">
            <v>Fire Extinguisher</v>
          </cell>
          <cell r="D310" t="str">
            <v>Al Aasimah Primary School</v>
          </cell>
          <cell r="H310" t="str">
            <v>AD</v>
          </cell>
        </row>
        <row r="311">
          <cell r="B311" t="str">
            <v>Fire Extinguisher</v>
          </cell>
          <cell r="D311" t="str">
            <v>Al Aasimah Primary School</v>
          </cell>
          <cell r="H311" t="str">
            <v>AD</v>
          </cell>
        </row>
        <row r="312">
          <cell r="B312" t="str">
            <v>Fire Extinguisher</v>
          </cell>
          <cell r="D312" t="str">
            <v>Al Aasimah Primary School</v>
          </cell>
          <cell r="H312" t="str">
            <v>AD</v>
          </cell>
        </row>
        <row r="313">
          <cell r="B313" t="str">
            <v>Fire Extinguisher</v>
          </cell>
          <cell r="D313" t="str">
            <v>Al Aasimah Primary School</v>
          </cell>
          <cell r="H313" t="str">
            <v>AD</v>
          </cell>
        </row>
        <row r="314">
          <cell r="B314" t="str">
            <v>Fire Extinguisher</v>
          </cell>
          <cell r="D314" t="str">
            <v>Al Aasimah Primary School</v>
          </cell>
          <cell r="H314" t="str">
            <v>AD</v>
          </cell>
        </row>
        <row r="315">
          <cell r="B315" t="str">
            <v>Fire Extinguisher</v>
          </cell>
          <cell r="D315" t="str">
            <v>Al Aasimah Primary School</v>
          </cell>
          <cell r="H315" t="str">
            <v>AD</v>
          </cell>
        </row>
        <row r="316">
          <cell r="B316" t="str">
            <v>Fire Extinguisher</v>
          </cell>
          <cell r="D316" t="str">
            <v>Al Aasimah Primary School</v>
          </cell>
          <cell r="H316" t="str">
            <v>AD</v>
          </cell>
        </row>
        <row r="317">
          <cell r="B317" t="str">
            <v>Fire Extinguisher</v>
          </cell>
          <cell r="D317" t="str">
            <v>Al Aasimah Primary School</v>
          </cell>
          <cell r="H317" t="str">
            <v>AD</v>
          </cell>
        </row>
        <row r="318">
          <cell r="B318" t="str">
            <v>Fire Extinguisher</v>
          </cell>
          <cell r="D318" t="str">
            <v>Al Aasimah Primary School</v>
          </cell>
          <cell r="H318" t="str">
            <v>AD</v>
          </cell>
        </row>
        <row r="319">
          <cell r="B319" t="str">
            <v>Fire Extinguisher</v>
          </cell>
          <cell r="D319" t="str">
            <v>Al Aasimah Primary School</v>
          </cell>
          <cell r="H319" t="str">
            <v>AD</v>
          </cell>
        </row>
        <row r="320">
          <cell r="B320" t="str">
            <v>Fire Extinguisher</v>
          </cell>
          <cell r="D320" t="str">
            <v>Al Aasimah Primary School</v>
          </cell>
          <cell r="H320" t="str">
            <v>AD</v>
          </cell>
        </row>
        <row r="321">
          <cell r="B321" t="str">
            <v>Fire Extinguisher</v>
          </cell>
          <cell r="D321" t="str">
            <v>Al Aasimah Primary School</v>
          </cell>
          <cell r="H321" t="str">
            <v>AD</v>
          </cell>
        </row>
        <row r="322">
          <cell r="B322" t="str">
            <v>Fire Extinguisher</v>
          </cell>
          <cell r="D322" t="str">
            <v>Al Aasimah Primary School</v>
          </cell>
          <cell r="H322" t="str">
            <v>AD</v>
          </cell>
        </row>
        <row r="323">
          <cell r="B323" t="str">
            <v>Fire Extinguisher</v>
          </cell>
          <cell r="D323" t="str">
            <v>Al Aasimah Primary School</v>
          </cell>
          <cell r="H323" t="str">
            <v>AD</v>
          </cell>
        </row>
        <row r="324">
          <cell r="B324" t="str">
            <v>Fire Extinguisher</v>
          </cell>
          <cell r="D324" t="str">
            <v>Al Aasimah Primary School</v>
          </cell>
          <cell r="H324" t="str">
            <v>AD</v>
          </cell>
        </row>
        <row r="325">
          <cell r="B325" t="str">
            <v>Fire Extinguisher</v>
          </cell>
          <cell r="D325" t="str">
            <v>Al Aasimah Primary School</v>
          </cell>
          <cell r="H325" t="str">
            <v>AD</v>
          </cell>
        </row>
        <row r="326">
          <cell r="B326" t="str">
            <v>Fire Extinguisher</v>
          </cell>
          <cell r="D326" t="str">
            <v>Al Aasimah Primary School</v>
          </cell>
          <cell r="H326" t="str">
            <v>AD</v>
          </cell>
        </row>
        <row r="327">
          <cell r="B327" t="str">
            <v>Fire Extinguisher</v>
          </cell>
          <cell r="D327" t="str">
            <v>Al Aasimah Primary School</v>
          </cell>
          <cell r="H327" t="str">
            <v>AD</v>
          </cell>
        </row>
        <row r="328">
          <cell r="B328" t="str">
            <v>Fire Extinguisher</v>
          </cell>
          <cell r="D328" t="str">
            <v>Al Aasimah Primary School</v>
          </cell>
          <cell r="H328" t="str">
            <v>AD</v>
          </cell>
        </row>
        <row r="329">
          <cell r="B329" t="str">
            <v>Fire Extinguisher</v>
          </cell>
          <cell r="D329" t="str">
            <v>Al Aasimah Primary School</v>
          </cell>
          <cell r="H329" t="str">
            <v>AD</v>
          </cell>
        </row>
        <row r="330">
          <cell r="B330" t="str">
            <v>Fire Extinguisher</v>
          </cell>
          <cell r="D330" t="str">
            <v>Al Aasimah Primary School</v>
          </cell>
          <cell r="H330" t="str">
            <v>AD</v>
          </cell>
        </row>
        <row r="331">
          <cell r="B331" t="str">
            <v>Fire Extinguisher</v>
          </cell>
          <cell r="D331" t="str">
            <v>Al Aasimah Primary School</v>
          </cell>
          <cell r="H331" t="str">
            <v>AD</v>
          </cell>
        </row>
        <row r="332">
          <cell r="B332" t="str">
            <v>Fire Extinguisher</v>
          </cell>
          <cell r="D332" t="str">
            <v>Al Aasimah Primary School</v>
          </cell>
          <cell r="H332" t="str">
            <v>AD</v>
          </cell>
        </row>
        <row r="333">
          <cell r="B333" t="str">
            <v>Fire Extinguisher</v>
          </cell>
          <cell r="D333" t="str">
            <v>Al Aasimah Primary School</v>
          </cell>
          <cell r="H333" t="str">
            <v>AD</v>
          </cell>
        </row>
        <row r="334">
          <cell r="B334" t="str">
            <v>Fire Extinguisher</v>
          </cell>
          <cell r="D334" t="str">
            <v>Al Aasimah Primary School</v>
          </cell>
          <cell r="H334" t="str">
            <v>AD</v>
          </cell>
        </row>
        <row r="335">
          <cell r="B335" t="str">
            <v>Fire Extinguisher</v>
          </cell>
          <cell r="D335" t="str">
            <v>Al Aasimah Primary School</v>
          </cell>
          <cell r="H335" t="str">
            <v>AD</v>
          </cell>
        </row>
        <row r="336">
          <cell r="B336" t="str">
            <v>Fire Extinguisher</v>
          </cell>
          <cell r="D336" t="str">
            <v>Al Aasimah Primary School</v>
          </cell>
          <cell r="H336" t="str">
            <v>AD</v>
          </cell>
        </row>
        <row r="337">
          <cell r="B337" t="str">
            <v>Fire Extinguisher</v>
          </cell>
          <cell r="D337" t="str">
            <v>Al Aasimah Primary School</v>
          </cell>
          <cell r="H337" t="str">
            <v>AD</v>
          </cell>
        </row>
        <row r="338">
          <cell r="B338" t="str">
            <v>Fire Extinguisher</v>
          </cell>
          <cell r="D338" t="str">
            <v>Al Aasimah Primary School</v>
          </cell>
          <cell r="H338" t="str">
            <v>AD</v>
          </cell>
        </row>
        <row r="339">
          <cell r="B339" t="str">
            <v>Fire Extinguisher</v>
          </cell>
          <cell r="D339" t="str">
            <v>Al Aasimah Primary School</v>
          </cell>
          <cell r="H339" t="str">
            <v>AD</v>
          </cell>
        </row>
        <row r="340">
          <cell r="B340" t="str">
            <v>Fire Extinguisher</v>
          </cell>
          <cell r="D340" t="str">
            <v>Al Aasimah Primary School</v>
          </cell>
          <cell r="H340" t="str">
            <v>AD</v>
          </cell>
        </row>
        <row r="341">
          <cell r="B341" t="str">
            <v>Fire Extinguisher</v>
          </cell>
          <cell r="D341" t="str">
            <v>Al Aasimah Primary School</v>
          </cell>
          <cell r="H341" t="str">
            <v>AD</v>
          </cell>
        </row>
        <row r="342">
          <cell r="B342" t="str">
            <v>Fire Extinguisher</v>
          </cell>
          <cell r="D342" t="str">
            <v>Al Aasimah Primary School</v>
          </cell>
          <cell r="H342" t="str">
            <v>AD</v>
          </cell>
        </row>
        <row r="343">
          <cell r="B343" t="str">
            <v>Fire Extinguisher</v>
          </cell>
          <cell r="D343" t="str">
            <v>Al Aasimah Primary School</v>
          </cell>
          <cell r="H343" t="str">
            <v>AD</v>
          </cell>
        </row>
        <row r="344">
          <cell r="B344" t="str">
            <v>Fire Hose Reel</v>
          </cell>
          <cell r="D344" t="str">
            <v>Al Aasimah Primary School</v>
          </cell>
          <cell r="H344" t="str">
            <v>AD</v>
          </cell>
        </row>
        <row r="345">
          <cell r="B345" t="str">
            <v>Fire Hose Reel</v>
          </cell>
          <cell r="D345" t="str">
            <v>Al Aasimah Primary School</v>
          </cell>
          <cell r="H345" t="str">
            <v>AD</v>
          </cell>
        </row>
        <row r="346">
          <cell r="B346" t="str">
            <v>Fire Hose Reel</v>
          </cell>
          <cell r="D346" t="str">
            <v>Al Aasimah Primary School</v>
          </cell>
          <cell r="H346" t="str">
            <v>AD</v>
          </cell>
        </row>
        <row r="347">
          <cell r="B347" t="str">
            <v>Fire Hose Reel</v>
          </cell>
          <cell r="D347" t="str">
            <v>Al Aasimah Primary School</v>
          </cell>
          <cell r="H347" t="str">
            <v>AD</v>
          </cell>
        </row>
        <row r="348">
          <cell r="B348" t="str">
            <v>Fire Hose Reel</v>
          </cell>
          <cell r="D348" t="str">
            <v>Al Aasimah Primary School</v>
          </cell>
          <cell r="H348" t="str">
            <v>AD</v>
          </cell>
        </row>
        <row r="349">
          <cell r="B349" t="str">
            <v>Fire Hose Reel</v>
          </cell>
          <cell r="D349" t="str">
            <v>Al Aasimah Primary School</v>
          </cell>
          <cell r="H349" t="str">
            <v>AD</v>
          </cell>
        </row>
        <row r="350">
          <cell r="B350" t="str">
            <v>Fire Hose Reel</v>
          </cell>
          <cell r="D350" t="str">
            <v>Al Aasimah Primary School</v>
          </cell>
          <cell r="H350" t="str">
            <v>AD</v>
          </cell>
        </row>
        <row r="351">
          <cell r="B351" t="str">
            <v>Fire Hose Reel</v>
          </cell>
          <cell r="D351" t="str">
            <v>Al Aasimah Primary School</v>
          </cell>
          <cell r="H351" t="str">
            <v>AD</v>
          </cell>
        </row>
        <row r="352">
          <cell r="B352" t="str">
            <v>Fire Hose Reel</v>
          </cell>
          <cell r="D352" t="str">
            <v>Al Aasimah Primary School</v>
          </cell>
          <cell r="H352" t="str">
            <v>AD</v>
          </cell>
        </row>
        <row r="353">
          <cell r="B353" t="str">
            <v>Fire Hose Reel</v>
          </cell>
          <cell r="D353" t="str">
            <v>Al Aasimah Primary School</v>
          </cell>
          <cell r="H353" t="str">
            <v>AD</v>
          </cell>
        </row>
        <row r="354">
          <cell r="B354" t="str">
            <v>Fire Hose Reel</v>
          </cell>
          <cell r="D354" t="str">
            <v>Al Aasimah Primary School</v>
          </cell>
          <cell r="H354" t="str">
            <v>AD</v>
          </cell>
        </row>
        <row r="355">
          <cell r="B355" t="str">
            <v>Fire Hose Reel</v>
          </cell>
          <cell r="D355" t="str">
            <v>Al Aasimah Primary School</v>
          </cell>
          <cell r="H355" t="str">
            <v>AD</v>
          </cell>
        </row>
        <row r="356">
          <cell r="B356" t="str">
            <v>Fire Hose Reel</v>
          </cell>
          <cell r="D356" t="str">
            <v>Al Aasimah Primary School</v>
          </cell>
          <cell r="H356" t="str">
            <v>AD</v>
          </cell>
        </row>
        <row r="357">
          <cell r="B357" t="str">
            <v>Fire Hose Reel</v>
          </cell>
          <cell r="D357" t="str">
            <v>Al Aasimah Primary School</v>
          </cell>
          <cell r="H357" t="str">
            <v>AD</v>
          </cell>
        </row>
        <row r="358">
          <cell r="B358" t="str">
            <v>FIRE PUMP - Diesel</v>
          </cell>
          <cell r="D358" t="str">
            <v>Al Aasimah Primary School</v>
          </cell>
          <cell r="H358" t="str">
            <v>AD</v>
          </cell>
        </row>
        <row r="359">
          <cell r="B359" t="str">
            <v>FIRE PUMP - Electric</v>
          </cell>
          <cell r="D359" t="str">
            <v>Al Aasimah Primary School</v>
          </cell>
          <cell r="H359" t="str">
            <v>AD</v>
          </cell>
        </row>
        <row r="360">
          <cell r="B360" t="str">
            <v>Fire Smoke / Heat Detector, Sounder</v>
          </cell>
          <cell r="D360" t="str">
            <v>Al Aasimah Primary School</v>
          </cell>
          <cell r="H360" t="str">
            <v>AD</v>
          </cell>
        </row>
        <row r="361">
          <cell r="B361" t="str">
            <v>Fire Smoke / Heat Detector, Sounder</v>
          </cell>
          <cell r="D361" t="str">
            <v>Al Aasimah Primary School</v>
          </cell>
          <cell r="H361" t="str">
            <v>AD</v>
          </cell>
        </row>
        <row r="362">
          <cell r="B362" t="str">
            <v>Fire Smoke / Heat Detector, Sounder</v>
          </cell>
          <cell r="D362" t="str">
            <v>Al Aasimah Primary School</v>
          </cell>
          <cell r="H362" t="str">
            <v>AD</v>
          </cell>
        </row>
        <row r="363">
          <cell r="B363" t="str">
            <v>Fire Smoke / Heat Detector, Sounder</v>
          </cell>
          <cell r="D363" t="str">
            <v>Al Aasimah Primary School</v>
          </cell>
          <cell r="H363" t="str">
            <v>AD</v>
          </cell>
        </row>
        <row r="364">
          <cell r="B364" t="str">
            <v>Fire Smoke / Heat Detector, Sounder</v>
          </cell>
          <cell r="D364" t="str">
            <v>Al Aasimah Primary School</v>
          </cell>
          <cell r="H364" t="str">
            <v>AD</v>
          </cell>
        </row>
        <row r="365">
          <cell r="B365" t="str">
            <v>Fire Smoke / Heat Detector, Sounder</v>
          </cell>
          <cell r="D365" t="str">
            <v>Al Aasimah Primary School</v>
          </cell>
          <cell r="H365" t="str">
            <v>AD</v>
          </cell>
        </row>
        <row r="366">
          <cell r="B366" t="str">
            <v>Fire Smoke / Heat Detector, Sounder</v>
          </cell>
          <cell r="D366" t="str">
            <v>Al Aasimah Primary School</v>
          </cell>
          <cell r="H366" t="str">
            <v>AD</v>
          </cell>
        </row>
        <row r="367">
          <cell r="B367" t="str">
            <v>Fire Smoke / Heat Detector, Sounder</v>
          </cell>
          <cell r="D367" t="str">
            <v>Al Aasimah Primary School</v>
          </cell>
          <cell r="H367" t="str">
            <v>AD</v>
          </cell>
        </row>
        <row r="368">
          <cell r="B368" t="str">
            <v>Fire Smoke / Heat Detector, Sounder</v>
          </cell>
          <cell r="D368" t="str">
            <v>Al Aasimah Primary School</v>
          </cell>
          <cell r="H368" t="str">
            <v>AD</v>
          </cell>
        </row>
        <row r="369">
          <cell r="B369" t="str">
            <v>Fire Smoke / Heat Detector, Sounder</v>
          </cell>
          <cell r="D369" t="str">
            <v>Al Aasimah Primary School</v>
          </cell>
          <cell r="H369" t="str">
            <v>AD</v>
          </cell>
        </row>
        <row r="370">
          <cell r="B370" t="str">
            <v>Fire Smoke / Heat Detector, Sounder</v>
          </cell>
          <cell r="D370" t="str">
            <v>Al Aasimah Primary School</v>
          </cell>
          <cell r="H370" t="str">
            <v>AD</v>
          </cell>
        </row>
        <row r="371">
          <cell r="B371" t="str">
            <v>Fire Smoke / Heat Detector, Sounder</v>
          </cell>
          <cell r="D371" t="str">
            <v>Al Aasimah Primary School</v>
          </cell>
          <cell r="H371" t="str">
            <v>AD</v>
          </cell>
        </row>
        <row r="372">
          <cell r="B372" t="str">
            <v>Fire Smoke / Heat Detector, Sounder</v>
          </cell>
          <cell r="D372" t="str">
            <v>Al Aasimah Primary School</v>
          </cell>
          <cell r="H372" t="str">
            <v>AD</v>
          </cell>
        </row>
        <row r="373">
          <cell r="B373" t="str">
            <v>Fire Smoke / Heat Detector, Sounder</v>
          </cell>
          <cell r="D373" t="str">
            <v>Al Aasimah Primary School</v>
          </cell>
          <cell r="H373" t="str">
            <v>AD</v>
          </cell>
        </row>
        <row r="374">
          <cell r="B374" t="str">
            <v>Fire Smoke / Heat Detector, Sounder</v>
          </cell>
          <cell r="D374" t="str">
            <v>Al Aasimah Primary School</v>
          </cell>
          <cell r="H374" t="str">
            <v>AD</v>
          </cell>
        </row>
        <row r="375">
          <cell r="B375" t="str">
            <v>Fire Smoke / Heat Detector, Sounder</v>
          </cell>
          <cell r="D375" t="str">
            <v>Al Aasimah Primary School</v>
          </cell>
          <cell r="H375" t="str">
            <v>AD</v>
          </cell>
        </row>
        <row r="376">
          <cell r="B376" t="str">
            <v>Fire Smoke / Heat Detector, Sounder</v>
          </cell>
          <cell r="D376" t="str">
            <v>Al Aasimah Primary School</v>
          </cell>
          <cell r="H376" t="str">
            <v>AD</v>
          </cell>
        </row>
        <row r="377">
          <cell r="B377" t="str">
            <v>Fire Smoke / Heat Detector, Sounder</v>
          </cell>
          <cell r="D377" t="str">
            <v>Al Aasimah Primary School</v>
          </cell>
          <cell r="H377" t="str">
            <v>AD</v>
          </cell>
        </row>
        <row r="378">
          <cell r="B378" t="str">
            <v>Fire Smoke / Heat Detector, Sounder</v>
          </cell>
          <cell r="D378" t="str">
            <v>Al Aasimah Primary School</v>
          </cell>
          <cell r="H378" t="str">
            <v>AD</v>
          </cell>
        </row>
        <row r="379">
          <cell r="B379" t="str">
            <v>Fire Smoke / Heat Detector, Sounder</v>
          </cell>
          <cell r="D379" t="str">
            <v>Al Aasimah Primary School</v>
          </cell>
          <cell r="H379" t="str">
            <v>AD</v>
          </cell>
        </row>
        <row r="380">
          <cell r="B380" t="str">
            <v>Fire Smoke / Heat Detector, Sounder</v>
          </cell>
          <cell r="D380" t="str">
            <v>Al Aasimah Primary School</v>
          </cell>
          <cell r="H380" t="str">
            <v>AD</v>
          </cell>
        </row>
        <row r="381">
          <cell r="B381" t="str">
            <v>Fire Smoke / Heat Detector, Sounder</v>
          </cell>
          <cell r="D381" t="str">
            <v>Al Aasimah Primary School</v>
          </cell>
          <cell r="H381" t="str">
            <v>AD</v>
          </cell>
        </row>
        <row r="382">
          <cell r="B382" t="str">
            <v>Fire Smoke / Heat Detector, Sounder</v>
          </cell>
          <cell r="D382" t="str">
            <v>Al Aasimah Primary School</v>
          </cell>
          <cell r="H382" t="str">
            <v>AD</v>
          </cell>
        </row>
        <row r="383">
          <cell r="B383" t="str">
            <v>Fire Smoke / Heat Detector, Sounder</v>
          </cell>
          <cell r="D383" t="str">
            <v>Al Aasimah Primary School</v>
          </cell>
          <cell r="H383" t="str">
            <v>AD</v>
          </cell>
        </row>
        <row r="384">
          <cell r="B384" t="str">
            <v>Fire Smoke / Heat Detector, Sounder</v>
          </cell>
          <cell r="D384" t="str">
            <v>Al Aasimah Primary School</v>
          </cell>
          <cell r="H384" t="str">
            <v>AD</v>
          </cell>
        </row>
        <row r="385">
          <cell r="B385" t="str">
            <v>Fire Smoke / Heat Detector, Sounder</v>
          </cell>
          <cell r="D385" t="str">
            <v>Al Aasimah Primary School</v>
          </cell>
          <cell r="H385" t="str">
            <v>AD</v>
          </cell>
        </row>
        <row r="386">
          <cell r="B386" t="str">
            <v>Fire Smoke / Heat Detector, Sounder</v>
          </cell>
          <cell r="D386" t="str">
            <v>Al Aasimah Primary School</v>
          </cell>
          <cell r="H386" t="str">
            <v>AD</v>
          </cell>
        </row>
        <row r="387">
          <cell r="B387" t="str">
            <v>Fire Smoke / Heat Detector, Sounder</v>
          </cell>
          <cell r="D387" t="str">
            <v>Al Aasimah Primary School</v>
          </cell>
          <cell r="H387" t="str">
            <v>AD</v>
          </cell>
        </row>
        <row r="388">
          <cell r="B388" t="str">
            <v>Fire Smoke / Heat Detector, Sounder</v>
          </cell>
          <cell r="D388" t="str">
            <v>Al Aasimah Primary School</v>
          </cell>
          <cell r="H388" t="str">
            <v>AD</v>
          </cell>
        </row>
        <row r="389">
          <cell r="B389" t="str">
            <v>Fire Smoke / Heat Detector, Sounder</v>
          </cell>
          <cell r="D389" t="str">
            <v>Al Aasimah Primary School</v>
          </cell>
          <cell r="H389" t="str">
            <v>AD</v>
          </cell>
        </row>
        <row r="390">
          <cell r="B390" t="str">
            <v>Fire Smoke / Heat Detector, Sounder</v>
          </cell>
          <cell r="D390" t="str">
            <v>Al Aasimah Primary School</v>
          </cell>
          <cell r="H390" t="str">
            <v>AD</v>
          </cell>
        </row>
        <row r="391">
          <cell r="B391" t="str">
            <v>Fire Smoke / Heat Detector, Sounder</v>
          </cell>
          <cell r="D391" t="str">
            <v>Al Aasimah Primary School</v>
          </cell>
          <cell r="H391" t="str">
            <v>AD</v>
          </cell>
        </row>
        <row r="392">
          <cell r="B392" t="str">
            <v>Fire Smoke / Heat Detector, Sounder</v>
          </cell>
          <cell r="D392" t="str">
            <v>Al Aasimah Primary School</v>
          </cell>
          <cell r="H392" t="str">
            <v>AD</v>
          </cell>
        </row>
        <row r="393">
          <cell r="B393" t="str">
            <v>Fire Smoke / Heat Detector, Sounder</v>
          </cell>
          <cell r="D393" t="str">
            <v>Al Aasimah Primary School</v>
          </cell>
          <cell r="H393" t="str">
            <v>AD</v>
          </cell>
        </row>
        <row r="394">
          <cell r="B394" t="str">
            <v>Fire Smoke / Heat Detector, Sounder</v>
          </cell>
          <cell r="D394" t="str">
            <v>Al Aasimah Primary School</v>
          </cell>
          <cell r="H394" t="str">
            <v>AD</v>
          </cell>
        </row>
        <row r="395">
          <cell r="B395" t="str">
            <v>Fire Smoke / Heat Detector, Sounder</v>
          </cell>
          <cell r="D395" t="str">
            <v>Al Aasimah Primary School</v>
          </cell>
          <cell r="H395" t="str">
            <v>AD</v>
          </cell>
        </row>
        <row r="396">
          <cell r="B396" t="str">
            <v>Fire Smoke / Heat Detector, Sounder</v>
          </cell>
          <cell r="D396" t="str">
            <v>Al Aasimah Primary School</v>
          </cell>
          <cell r="H396" t="str">
            <v>AD</v>
          </cell>
        </row>
        <row r="397">
          <cell r="B397" t="str">
            <v>Fire Smoke / Heat Detector, Sounder</v>
          </cell>
          <cell r="D397" t="str">
            <v>Al Aasimah Primary School</v>
          </cell>
          <cell r="H397" t="str">
            <v>AD</v>
          </cell>
        </row>
        <row r="398">
          <cell r="B398" t="str">
            <v>Fire Smoke / Heat Detector, Sounder</v>
          </cell>
          <cell r="D398" t="str">
            <v>Al Aasimah Primary School</v>
          </cell>
          <cell r="H398" t="str">
            <v>AD</v>
          </cell>
        </row>
        <row r="399">
          <cell r="B399" t="str">
            <v>Fire Smoke / Heat Detector, Sounder</v>
          </cell>
          <cell r="D399" t="str">
            <v>Al Aasimah Primary School</v>
          </cell>
          <cell r="H399" t="str">
            <v>AD</v>
          </cell>
        </row>
        <row r="400">
          <cell r="B400" t="str">
            <v>Fire Smoke / Heat Detector, Sounder</v>
          </cell>
          <cell r="D400" t="str">
            <v>Al Aasimah Primary School</v>
          </cell>
          <cell r="H400" t="str">
            <v>AD</v>
          </cell>
        </row>
        <row r="401">
          <cell r="B401" t="str">
            <v>Fire Smoke / Heat Detector, Sounder</v>
          </cell>
          <cell r="D401" t="str">
            <v>Al Aasimah Primary School</v>
          </cell>
          <cell r="H401" t="str">
            <v>AD</v>
          </cell>
        </row>
        <row r="402">
          <cell r="B402" t="str">
            <v>Fire Smoke / Heat Detector, Sounder</v>
          </cell>
          <cell r="D402" t="str">
            <v>Al Aasimah Primary School</v>
          </cell>
          <cell r="H402" t="str">
            <v>AD</v>
          </cell>
        </row>
        <row r="403">
          <cell r="B403" t="str">
            <v>Fire Smoke / Heat Detector, Sounder</v>
          </cell>
          <cell r="D403" t="str">
            <v>Al Aasimah Primary School</v>
          </cell>
          <cell r="H403" t="str">
            <v>AD</v>
          </cell>
        </row>
        <row r="404">
          <cell r="B404" t="str">
            <v>Fire Smoke / Heat Detector, Sounder</v>
          </cell>
          <cell r="D404" t="str">
            <v>Al Aasimah Primary School</v>
          </cell>
          <cell r="H404" t="str">
            <v>AD</v>
          </cell>
        </row>
        <row r="405">
          <cell r="B405" t="str">
            <v>Fire Smoke / Heat Detector, Sounder</v>
          </cell>
          <cell r="D405" t="str">
            <v>Al Aasimah Primary School</v>
          </cell>
          <cell r="H405" t="str">
            <v>AD</v>
          </cell>
        </row>
        <row r="406">
          <cell r="B406" t="str">
            <v>Fire Smoke / Heat Detector, Sounder</v>
          </cell>
          <cell r="D406" t="str">
            <v>Al Aasimah Primary School</v>
          </cell>
          <cell r="H406" t="str">
            <v>AD</v>
          </cell>
        </row>
        <row r="407">
          <cell r="B407" t="str">
            <v>Fire Smoke / Heat Detector, Sounder</v>
          </cell>
          <cell r="D407" t="str">
            <v>Al Aasimah Primary School</v>
          </cell>
          <cell r="H407" t="str">
            <v>AD</v>
          </cell>
        </row>
        <row r="408">
          <cell r="B408" t="str">
            <v>Fire Smoke / Heat Detector, Sounder</v>
          </cell>
          <cell r="D408" t="str">
            <v>Al Aasimah Primary School</v>
          </cell>
          <cell r="H408" t="str">
            <v>AD</v>
          </cell>
        </row>
        <row r="409">
          <cell r="B409" t="str">
            <v>Fire Smoke / Heat Detector, Sounder</v>
          </cell>
          <cell r="D409" t="str">
            <v>Al Aasimah Primary School</v>
          </cell>
          <cell r="H409" t="str">
            <v>AD</v>
          </cell>
        </row>
        <row r="410">
          <cell r="B410" t="str">
            <v>Fire Smoke / Heat Detector, Sounder</v>
          </cell>
          <cell r="D410" t="str">
            <v>Al Aasimah Primary School</v>
          </cell>
          <cell r="H410" t="str">
            <v>AD</v>
          </cell>
        </row>
        <row r="411">
          <cell r="B411" t="str">
            <v>Fire Smoke / Heat Detector, Sounder</v>
          </cell>
          <cell r="D411" t="str">
            <v>Al Aasimah Primary School</v>
          </cell>
          <cell r="H411" t="str">
            <v>AD</v>
          </cell>
        </row>
        <row r="412">
          <cell r="B412" t="str">
            <v>Fire Smoke / Heat Detector, Sounder</v>
          </cell>
          <cell r="D412" t="str">
            <v>Al Aasimah Primary School</v>
          </cell>
          <cell r="H412" t="str">
            <v>AD</v>
          </cell>
        </row>
        <row r="413">
          <cell r="B413" t="str">
            <v>Fire Smoke / Heat Detector, Sounder</v>
          </cell>
          <cell r="D413" t="str">
            <v>Al Aasimah Primary School</v>
          </cell>
          <cell r="H413" t="str">
            <v>AD</v>
          </cell>
        </row>
        <row r="414">
          <cell r="B414" t="str">
            <v>Fire Smoke / Heat Detector, Sounder</v>
          </cell>
          <cell r="D414" t="str">
            <v>Al Aasimah Primary School</v>
          </cell>
          <cell r="H414" t="str">
            <v>AD</v>
          </cell>
        </row>
        <row r="415">
          <cell r="B415" t="str">
            <v>Fire Smoke / Heat Detector, Sounder</v>
          </cell>
          <cell r="D415" t="str">
            <v>Al Aasimah Primary School</v>
          </cell>
          <cell r="H415" t="str">
            <v>AD</v>
          </cell>
        </row>
        <row r="416">
          <cell r="B416" t="str">
            <v>Fire Smoke / Heat Detector, Sounder</v>
          </cell>
          <cell r="D416" t="str">
            <v>Al Aasimah Primary School</v>
          </cell>
          <cell r="H416" t="str">
            <v>AD</v>
          </cell>
        </row>
        <row r="417">
          <cell r="B417" t="str">
            <v>Fire Smoke / Heat Detector, Sounder</v>
          </cell>
          <cell r="D417" t="str">
            <v>Al Aasimah Primary School</v>
          </cell>
          <cell r="H417" t="str">
            <v>AD</v>
          </cell>
        </row>
        <row r="418">
          <cell r="B418" t="str">
            <v>Fire Smoke / Heat Detector, Sounder</v>
          </cell>
          <cell r="D418" t="str">
            <v>Al Aasimah Primary School</v>
          </cell>
          <cell r="H418" t="str">
            <v>AD</v>
          </cell>
        </row>
        <row r="419">
          <cell r="B419" t="str">
            <v>Fire Smoke / Heat Detector, Sounder</v>
          </cell>
          <cell r="D419" t="str">
            <v>Al Aasimah Primary School</v>
          </cell>
          <cell r="H419" t="str">
            <v>AD</v>
          </cell>
        </row>
        <row r="420">
          <cell r="B420" t="str">
            <v>Fire Smoke / Heat Detector, Sounder</v>
          </cell>
          <cell r="D420" t="str">
            <v>Al Aasimah Primary School</v>
          </cell>
          <cell r="H420" t="str">
            <v>AD</v>
          </cell>
        </row>
        <row r="421">
          <cell r="B421" t="str">
            <v>Fire Smoke / Heat Detector, Sounder</v>
          </cell>
          <cell r="D421" t="str">
            <v>Al Aasimah Primary School</v>
          </cell>
          <cell r="H421" t="str">
            <v>AD</v>
          </cell>
        </row>
        <row r="422">
          <cell r="B422" t="str">
            <v>Fire Smoke / Heat Detector, Sounder</v>
          </cell>
          <cell r="D422" t="str">
            <v>Al Aasimah Primary School</v>
          </cell>
          <cell r="H422" t="str">
            <v>AD</v>
          </cell>
        </row>
        <row r="423">
          <cell r="B423" t="str">
            <v>Fire Smoke / Heat Detector, Sounder</v>
          </cell>
          <cell r="D423" t="str">
            <v>Al Aasimah Primary School</v>
          </cell>
          <cell r="H423" t="str">
            <v>AD</v>
          </cell>
        </row>
        <row r="424">
          <cell r="B424" t="str">
            <v>Fire Smoke / Heat Detector, Sounder</v>
          </cell>
          <cell r="D424" t="str">
            <v>Al Aasimah Primary School</v>
          </cell>
          <cell r="H424" t="str">
            <v>AD</v>
          </cell>
        </row>
        <row r="425">
          <cell r="B425" t="str">
            <v>Fire Smoke / Heat Detector, Sounder</v>
          </cell>
          <cell r="D425" t="str">
            <v>Al Aasimah Primary School</v>
          </cell>
          <cell r="H425" t="str">
            <v>AD</v>
          </cell>
        </row>
        <row r="426">
          <cell r="B426" t="str">
            <v>Fire Smoke / Heat Detector, Sounder</v>
          </cell>
          <cell r="D426" t="str">
            <v>Al Aasimah Primary School</v>
          </cell>
          <cell r="H426" t="str">
            <v>AD</v>
          </cell>
        </row>
        <row r="427">
          <cell r="B427" t="str">
            <v>Fire Smoke / Heat Detector, Sounder</v>
          </cell>
          <cell r="D427" t="str">
            <v>Al Aasimah Primary School</v>
          </cell>
          <cell r="H427" t="str">
            <v>AD</v>
          </cell>
        </row>
        <row r="428">
          <cell r="B428" t="str">
            <v>Fire Smoke / Heat Detector, Sounder</v>
          </cell>
          <cell r="D428" t="str">
            <v>Al Aasimah Primary School</v>
          </cell>
          <cell r="H428" t="str">
            <v>AD</v>
          </cell>
        </row>
        <row r="429">
          <cell r="B429" t="str">
            <v>Fire Smoke / Heat Detector, Sounder</v>
          </cell>
          <cell r="D429" t="str">
            <v>Al Aasimah Primary School</v>
          </cell>
          <cell r="H429" t="str">
            <v>AD</v>
          </cell>
        </row>
        <row r="430">
          <cell r="B430" t="str">
            <v>Fire Smoke / Heat Detector, Sounder</v>
          </cell>
          <cell r="D430" t="str">
            <v>Al Aasimah Primary School</v>
          </cell>
          <cell r="H430" t="str">
            <v>AD</v>
          </cell>
        </row>
        <row r="431">
          <cell r="B431" t="str">
            <v>Fire Smoke / Heat Detector, Sounder</v>
          </cell>
          <cell r="D431" t="str">
            <v>Al Aasimah Primary School</v>
          </cell>
          <cell r="H431" t="str">
            <v>AD</v>
          </cell>
        </row>
        <row r="432">
          <cell r="B432" t="str">
            <v>Fire Smoke / Heat Detector, Sounder</v>
          </cell>
          <cell r="D432" t="str">
            <v>Al Aasimah Primary School</v>
          </cell>
          <cell r="H432" t="str">
            <v>AD</v>
          </cell>
        </row>
        <row r="433">
          <cell r="B433" t="str">
            <v>Fire Smoke / Heat Detector, Sounder</v>
          </cell>
          <cell r="D433" t="str">
            <v>Al Aasimah Primary School</v>
          </cell>
          <cell r="H433" t="str">
            <v>AD</v>
          </cell>
        </row>
        <row r="434">
          <cell r="B434" t="str">
            <v>Fire Smoke / Heat Detector, Sounder</v>
          </cell>
          <cell r="D434" t="str">
            <v>Al Aasimah Primary School</v>
          </cell>
          <cell r="H434" t="str">
            <v>AD</v>
          </cell>
        </row>
        <row r="435">
          <cell r="B435" t="str">
            <v>Fire Smoke / Heat Detector, Sounder</v>
          </cell>
          <cell r="D435" t="str">
            <v>Al Aasimah Primary School</v>
          </cell>
          <cell r="H435" t="str">
            <v>AD</v>
          </cell>
        </row>
        <row r="436">
          <cell r="B436" t="str">
            <v>Fire Smoke / Heat Detector, Sounder</v>
          </cell>
          <cell r="D436" t="str">
            <v>Al Aasimah Primary School</v>
          </cell>
          <cell r="H436" t="str">
            <v>AD</v>
          </cell>
        </row>
        <row r="437">
          <cell r="B437" t="str">
            <v>Fire Smoke / Heat Detector, Sounder</v>
          </cell>
          <cell r="D437" t="str">
            <v>Al Aasimah Primary School</v>
          </cell>
          <cell r="H437" t="str">
            <v>AD</v>
          </cell>
        </row>
        <row r="438">
          <cell r="B438" t="str">
            <v>Fire Smoke / Heat Detector, Sounder</v>
          </cell>
          <cell r="D438" t="str">
            <v>Al Aasimah Primary School</v>
          </cell>
          <cell r="H438" t="str">
            <v>AD</v>
          </cell>
        </row>
        <row r="439">
          <cell r="B439" t="str">
            <v>Fire Smoke / Heat Detector, Sounder</v>
          </cell>
          <cell r="D439" t="str">
            <v>Al Aasimah Primary School</v>
          </cell>
          <cell r="H439" t="str">
            <v>AD</v>
          </cell>
        </row>
        <row r="440">
          <cell r="B440" t="str">
            <v>Fire Smoke / Heat Detector, Sounder</v>
          </cell>
          <cell r="D440" t="str">
            <v>Al Aasimah Primary School</v>
          </cell>
          <cell r="H440" t="str">
            <v>AD</v>
          </cell>
        </row>
        <row r="441">
          <cell r="B441" t="str">
            <v>Fire Smoke / Heat Detector, Sounder</v>
          </cell>
          <cell r="D441" t="str">
            <v>Al Aasimah Primary School</v>
          </cell>
          <cell r="H441" t="str">
            <v>AD</v>
          </cell>
        </row>
        <row r="442">
          <cell r="B442" t="str">
            <v>Fire Smoke / Heat Detector, Sounder</v>
          </cell>
          <cell r="D442" t="str">
            <v>Al Aasimah Primary School</v>
          </cell>
          <cell r="H442" t="str">
            <v>AD</v>
          </cell>
        </row>
        <row r="443">
          <cell r="B443" t="str">
            <v>Fire Smoke / Heat Detector, Sounder</v>
          </cell>
          <cell r="D443" t="str">
            <v>Al Aasimah Primary School</v>
          </cell>
          <cell r="H443" t="str">
            <v>AD</v>
          </cell>
        </row>
        <row r="444">
          <cell r="B444" t="str">
            <v>Fire Smoke / Heat Detector, Sounder</v>
          </cell>
          <cell r="D444" t="str">
            <v>Al Aasimah Primary School</v>
          </cell>
          <cell r="H444" t="str">
            <v>AD</v>
          </cell>
        </row>
        <row r="445">
          <cell r="B445" t="str">
            <v>Fire Smoke / Heat Detector, Sounder</v>
          </cell>
          <cell r="D445" t="str">
            <v>Al Aasimah Primary School</v>
          </cell>
          <cell r="H445" t="str">
            <v>AD</v>
          </cell>
        </row>
        <row r="446">
          <cell r="B446" t="str">
            <v>Fire Smoke / Heat Detector, Sounder</v>
          </cell>
          <cell r="D446" t="str">
            <v>Al Aasimah Primary School</v>
          </cell>
          <cell r="H446" t="str">
            <v>AD</v>
          </cell>
        </row>
        <row r="447">
          <cell r="B447" t="str">
            <v>Fire Smoke / Heat Detector, Sounder</v>
          </cell>
          <cell r="D447" t="str">
            <v>Al Aasimah Primary School</v>
          </cell>
          <cell r="H447" t="str">
            <v>AD</v>
          </cell>
        </row>
        <row r="448">
          <cell r="B448" t="str">
            <v>Fire Smoke / Heat Detector, Sounder</v>
          </cell>
          <cell r="D448" t="str">
            <v>Al Aasimah Primary School</v>
          </cell>
          <cell r="H448" t="str">
            <v>AD</v>
          </cell>
        </row>
        <row r="449">
          <cell r="B449" t="str">
            <v>Fire Smoke / Heat Detector, Sounder</v>
          </cell>
          <cell r="D449" t="str">
            <v>Al Aasimah Primary School</v>
          </cell>
          <cell r="H449" t="str">
            <v>AD</v>
          </cell>
        </row>
        <row r="450">
          <cell r="B450" t="str">
            <v>Fire Smoke / Heat Detector, Sounder</v>
          </cell>
          <cell r="D450" t="str">
            <v>Al Aasimah Primary School</v>
          </cell>
          <cell r="H450" t="str">
            <v>AD</v>
          </cell>
        </row>
        <row r="451">
          <cell r="B451" t="str">
            <v>Fire Smoke / Heat Detector, Sounder</v>
          </cell>
          <cell r="D451" t="str">
            <v>Al Aasimah Primary School</v>
          </cell>
          <cell r="H451" t="str">
            <v>AD</v>
          </cell>
        </row>
        <row r="452">
          <cell r="B452" t="str">
            <v>Fire Smoke / Heat Detector, Sounder</v>
          </cell>
          <cell r="D452" t="str">
            <v>Al Aasimah Primary School</v>
          </cell>
          <cell r="H452" t="str">
            <v>AD</v>
          </cell>
        </row>
        <row r="453">
          <cell r="B453" t="str">
            <v>Fire Smoke / Heat Detector, Sounder</v>
          </cell>
          <cell r="D453" t="str">
            <v>Al Aasimah Primary School</v>
          </cell>
          <cell r="H453" t="str">
            <v>AD</v>
          </cell>
        </row>
        <row r="454">
          <cell r="B454" t="str">
            <v>Fire Smoke / Heat Detector, Sounder</v>
          </cell>
          <cell r="D454" t="str">
            <v>Al Aasimah Primary School</v>
          </cell>
          <cell r="H454" t="str">
            <v>AD</v>
          </cell>
        </row>
        <row r="455">
          <cell r="B455" t="str">
            <v>Fire Smoke / Heat Detector, Sounder</v>
          </cell>
          <cell r="D455" t="str">
            <v>Al Aasimah Primary School</v>
          </cell>
          <cell r="H455" t="str">
            <v>AD</v>
          </cell>
        </row>
        <row r="456">
          <cell r="B456" t="str">
            <v>Fire Smoke / Heat Detector, Sounder</v>
          </cell>
          <cell r="D456" t="str">
            <v>Al Aasimah Primary School</v>
          </cell>
          <cell r="H456" t="str">
            <v>AD</v>
          </cell>
        </row>
        <row r="457">
          <cell r="B457" t="str">
            <v>Fire Smoke / Heat Detector, Sounder</v>
          </cell>
          <cell r="D457" t="str">
            <v>Al Aasimah Primary School</v>
          </cell>
          <cell r="H457" t="str">
            <v>AD</v>
          </cell>
        </row>
        <row r="458">
          <cell r="B458" t="str">
            <v>Fire Smoke / Heat Detector, Sounder</v>
          </cell>
          <cell r="D458" t="str">
            <v>Al Aasimah Primary School</v>
          </cell>
          <cell r="H458" t="str">
            <v>AD</v>
          </cell>
        </row>
        <row r="459">
          <cell r="B459" t="str">
            <v>Fire Smoke / Heat Detector, Sounder</v>
          </cell>
          <cell r="D459" t="str">
            <v>Al Aasimah Primary School</v>
          </cell>
          <cell r="H459" t="str">
            <v>AD</v>
          </cell>
        </row>
        <row r="460">
          <cell r="B460" t="str">
            <v>Fire Smoke / Heat Detector, Sounder</v>
          </cell>
          <cell r="D460" t="str">
            <v>Al Aasimah Primary School</v>
          </cell>
          <cell r="H460" t="str">
            <v>AD</v>
          </cell>
        </row>
        <row r="461">
          <cell r="B461" t="str">
            <v>Fire Smoke / Heat Detector, Sounder</v>
          </cell>
          <cell r="D461" t="str">
            <v>Al Aasimah Primary School</v>
          </cell>
          <cell r="H461" t="str">
            <v>AD</v>
          </cell>
        </row>
        <row r="462">
          <cell r="B462" t="str">
            <v>Fire Smoke / Heat Detector, Sounder</v>
          </cell>
          <cell r="D462" t="str">
            <v>Al Aasimah Primary School</v>
          </cell>
          <cell r="H462" t="str">
            <v>AD</v>
          </cell>
        </row>
        <row r="463">
          <cell r="B463" t="str">
            <v>Fire Smoke / Heat Detector, Sounder</v>
          </cell>
          <cell r="D463" t="str">
            <v>Al Aasimah Primary School</v>
          </cell>
          <cell r="H463" t="str">
            <v>AD</v>
          </cell>
        </row>
        <row r="464">
          <cell r="B464" t="str">
            <v>Fire Smoke / Heat Detector, Sounder</v>
          </cell>
          <cell r="D464" t="str">
            <v>Al Aasimah Primary School</v>
          </cell>
          <cell r="H464" t="str">
            <v>AD</v>
          </cell>
        </row>
        <row r="465">
          <cell r="B465" t="str">
            <v>Fire Smoke / Heat Detector, Sounder</v>
          </cell>
          <cell r="D465" t="str">
            <v>Al Aasimah Primary School</v>
          </cell>
          <cell r="H465" t="str">
            <v>AD</v>
          </cell>
        </row>
        <row r="466">
          <cell r="B466" t="str">
            <v>Fire Smoke / Heat Detector, Sounder</v>
          </cell>
          <cell r="D466" t="str">
            <v>Al Aasimah Primary School</v>
          </cell>
          <cell r="H466" t="str">
            <v>AD</v>
          </cell>
        </row>
        <row r="467">
          <cell r="B467" t="str">
            <v>Fire Smoke / Heat Detector, Sounder</v>
          </cell>
          <cell r="D467" t="str">
            <v>Al Aasimah Primary School</v>
          </cell>
          <cell r="H467" t="str">
            <v>AD</v>
          </cell>
        </row>
        <row r="468">
          <cell r="B468" t="str">
            <v>Fire Smoke / Heat Detector, Sounder</v>
          </cell>
          <cell r="D468" t="str">
            <v>Al Aasimah Primary School</v>
          </cell>
          <cell r="H468" t="str">
            <v>AD</v>
          </cell>
        </row>
        <row r="469">
          <cell r="B469" t="str">
            <v>Fire Smoke / Heat Detector, Sounder</v>
          </cell>
          <cell r="D469" t="str">
            <v>Al Aasimah Primary School</v>
          </cell>
          <cell r="H469" t="str">
            <v>AD</v>
          </cell>
        </row>
        <row r="470">
          <cell r="B470" t="str">
            <v>Fire Smoke / Heat Detector, Sounder</v>
          </cell>
          <cell r="D470" t="str">
            <v>Al Aasimah Primary School</v>
          </cell>
          <cell r="H470" t="str">
            <v>AD</v>
          </cell>
        </row>
        <row r="471">
          <cell r="B471" t="str">
            <v>Fire Smoke / Heat Detector, Sounder</v>
          </cell>
          <cell r="D471" t="str">
            <v>Al Aasimah Primary School</v>
          </cell>
          <cell r="H471" t="str">
            <v>AD</v>
          </cell>
        </row>
        <row r="472">
          <cell r="B472" t="str">
            <v>Fire Smoke / Heat Detector, Sounder</v>
          </cell>
          <cell r="D472" t="str">
            <v>Al Aasimah Primary School</v>
          </cell>
          <cell r="H472" t="str">
            <v>AD</v>
          </cell>
        </row>
        <row r="473">
          <cell r="B473" t="str">
            <v>Fire Smoke / Heat Detector, Sounder</v>
          </cell>
          <cell r="D473" t="str">
            <v>Al Aasimah Primary School</v>
          </cell>
          <cell r="H473" t="str">
            <v>AD</v>
          </cell>
        </row>
        <row r="474">
          <cell r="B474" t="str">
            <v>Fire Smoke / Heat Detector, Sounder</v>
          </cell>
          <cell r="D474" t="str">
            <v>Al Aasimah Primary School</v>
          </cell>
          <cell r="H474" t="str">
            <v>AD</v>
          </cell>
        </row>
        <row r="475">
          <cell r="B475" t="str">
            <v>Fire Smoke / Heat Detector, Sounder</v>
          </cell>
          <cell r="D475" t="str">
            <v>Al Aasimah Primary School</v>
          </cell>
          <cell r="H475" t="str">
            <v>AD</v>
          </cell>
        </row>
        <row r="476">
          <cell r="B476" t="str">
            <v>Fire Smoke / Heat Detector, Sounder</v>
          </cell>
          <cell r="D476" t="str">
            <v>Al Aasimah Primary School</v>
          </cell>
          <cell r="H476" t="str">
            <v>AD</v>
          </cell>
        </row>
        <row r="477">
          <cell r="B477" t="str">
            <v>Fire Smoke / Heat Detector, Sounder</v>
          </cell>
          <cell r="D477" t="str">
            <v>Al Aasimah Primary School</v>
          </cell>
          <cell r="H477" t="str">
            <v>AD</v>
          </cell>
        </row>
        <row r="478">
          <cell r="B478" t="str">
            <v>Fire Smoke / Heat Detector, Sounder</v>
          </cell>
          <cell r="D478" t="str">
            <v>Al Aasimah Primary School</v>
          </cell>
          <cell r="H478" t="str">
            <v>AD</v>
          </cell>
        </row>
        <row r="479">
          <cell r="B479" t="str">
            <v>Fire Smoke / Heat Detector, Sounder</v>
          </cell>
          <cell r="D479" t="str">
            <v>Al Aasimah Primary School</v>
          </cell>
          <cell r="H479" t="str">
            <v>AD</v>
          </cell>
        </row>
        <row r="480">
          <cell r="B480" t="str">
            <v>Fire Smoke / Heat Detector, Sounder</v>
          </cell>
          <cell r="D480" t="str">
            <v>Al Aasimah Primary School</v>
          </cell>
          <cell r="H480" t="str">
            <v>AD</v>
          </cell>
        </row>
        <row r="481">
          <cell r="B481" t="str">
            <v>Fire Smoke / Heat Detector, Sounder</v>
          </cell>
          <cell r="D481" t="str">
            <v>Al Aasimah Primary School</v>
          </cell>
          <cell r="H481" t="str">
            <v>AD</v>
          </cell>
        </row>
        <row r="482">
          <cell r="B482" t="str">
            <v>Fire Smoke / Heat Detector, Sounder</v>
          </cell>
          <cell r="D482" t="str">
            <v>Al Aasimah Primary School</v>
          </cell>
          <cell r="H482" t="str">
            <v>AD</v>
          </cell>
        </row>
        <row r="483">
          <cell r="B483" t="str">
            <v>Fire Smoke / Heat Detector, Sounder</v>
          </cell>
          <cell r="D483" t="str">
            <v>Al Aasimah Primary School</v>
          </cell>
          <cell r="H483" t="str">
            <v>AD</v>
          </cell>
        </row>
        <row r="484">
          <cell r="B484" t="str">
            <v>Fire Smoke / Heat Detector, Sounder</v>
          </cell>
          <cell r="D484" t="str">
            <v>Al Aasimah Primary School</v>
          </cell>
          <cell r="H484" t="str">
            <v>AD</v>
          </cell>
        </row>
        <row r="485">
          <cell r="B485" t="str">
            <v>Fire Smoke / Heat Detector, Sounder</v>
          </cell>
          <cell r="D485" t="str">
            <v>Al Aasimah Primary School</v>
          </cell>
          <cell r="H485" t="str">
            <v>AD</v>
          </cell>
        </row>
        <row r="486">
          <cell r="B486" t="str">
            <v>Fire Smoke / Heat Detector, Sounder</v>
          </cell>
          <cell r="D486" t="str">
            <v>Al Aasimah Primary School</v>
          </cell>
          <cell r="H486" t="str">
            <v>AD</v>
          </cell>
        </row>
        <row r="487">
          <cell r="B487" t="str">
            <v>Fire Smoke / Heat Detector, Sounder</v>
          </cell>
          <cell r="D487" t="str">
            <v>Al Aasimah Primary School</v>
          </cell>
          <cell r="H487" t="str">
            <v>AD</v>
          </cell>
        </row>
        <row r="488">
          <cell r="B488" t="str">
            <v>Fire Smoke / Heat Detector, Sounder</v>
          </cell>
          <cell r="D488" t="str">
            <v>Al Aasimah Primary School</v>
          </cell>
          <cell r="H488" t="str">
            <v>AD</v>
          </cell>
        </row>
        <row r="489">
          <cell r="B489" t="str">
            <v>Fire Smoke / Heat Detector, Sounder</v>
          </cell>
          <cell r="D489" t="str">
            <v>Al Aasimah Primary School</v>
          </cell>
          <cell r="H489" t="str">
            <v>AD</v>
          </cell>
        </row>
        <row r="490">
          <cell r="B490" t="str">
            <v>Fire Smoke / Heat Detector, Sounder</v>
          </cell>
          <cell r="D490" t="str">
            <v>Al Aasimah Primary School</v>
          </cell>
          <cell r="H490" t="str">
            <v>AD</v>
          </cell>
        </row>
        <row r="491">
          <cell r="B491" t="str">
            <v>Fire Smoke / Heat Detector, Sounder</v>
          </cell>
          <cell r="D491" t="str">
            <v>Al Aasimah Primary School</v>
          </cell>
          <cell r="H491" t="str">
            <v>AD</v>
          </cell>
        </row>
        <row r="492">
          <cell r="B492" t="str">
            <v>Fire Smoke / Heat Detector, Sounder</v>
          </cell>
          <cell r="D492" t="str">
            <v>Al Aasimah Primary School</v>
          </cell>
          <cell r="H492" t="str">
            <v>AD</v>
          </cell>
        </row>
        <row r="493">
          <cell r="B493" t="str">
            <v>Fire Smoke / Heat Detector, Sounder</v>
          </cell>
          <cell r="D493" t="str">
            <v>Al Aasimah Primary School</v>
          </cell>
          <cell r="H493" t="str">
            <v>AD</v>
          </cell>
        </row>
        <row r="494">
          <cell r="B494" t="str">
            <v>Fire Smoke / Heat Detector, Sounder</v>
          </cell>
          <cell r="D494" t="str">
            <v>Al Aasimah Primary School</v>
          </cell>
          <cell r="H494" t="str">
            <v>AD</v>
          </cell>
        </row>
        <row r="495">
          <cell r="B495" t="str">
            <v>Fire Smoke / Heat Detector, Sounder</v>
          </cell>
          <cell r="D495" t="str">
            <v>Al Aasimah Primary School</v>
          </cell>
          <cell r="H495" t="str">
            <v>AD</v>
          </cell>
        </row>
        <row r="496">
          <cell r="B496" t="str">
            <v>Fire Smoke / Heat Detector, Sounder</v>
          </cell>
          <cell r="D496" t="str">
            <v>Al Aasimah Primary School</v>
          </cell>
          <cell r="H496" t="str">
            <v>AD</v>
          </cell>
        </row>
        <row r="497">
          <cell r="B497" t="str">
            <v>Fire Smoke / Heat Detector, Sounder</v>
          </cell>
          <cell r="D497" t="str">
            <v>Al Aasimah Primary School</v>
          </cell>
          <cell r="H497" t="str">
            <v>AD</v>
          </cell>
        </row>
        <row r="498">
          <cell r="B498" t="str">
            <v>Fire Smoke / Heat Detector, Sounder</v>
          </cell>
          <cell r="D498" t="str">
            <v>Al Aasimah Primary School</v>
          </cell>
          <cell r="H498" t="str">
            <v>AD</v>
          </cell>
        </row>
        <row r="499">
          <cell r="B499" t="str">
            <v>Fire Smoke / Heat Detector, Sounder</v>
          </cell>
          <cell r="D499" t="str">
            <v>Al Aasimah Primary School</v>
          </cell>
          <cell r="H499" t="str">
            <v>AD</v>
          </cell>
        </row>
        <row r="500">
          <cell r="B500" t="str">
            <v>Fire Smoke / Heat Detector, Sounder</v>
          </cell>
          <cell r="D500" t="str">
            <v>Al Aasimah Primary School</v>
          </cell>
          <cell r="H500" t="str">
            <v>AD</v>
          </cell>
        </row>
        <row r="501">
          <cell r="B501" t="str">
            <v>Fire Smoke / Heat Detector, Sounder</v>
          </cell>
          <cell r="D501" t="str">
            <v>Al Aasimah Primary School</v>
          </cell>
          <cell r="H501" t="str">
            <v>AD</v>
          </cell>
        </row>
        <row r="502">
          <cell r="B502" t="str">
            <v>Fire Smoke / Heat Detector, Sounder</v>
          </cell>
          <cell r="D502" t="str">
            <v>Al Aasimah Primary School</v>
          </cell>
          <cell r="H502" t="str">
            <v>AD</v>
          </cell>
        </row>
        <row r="503">
          <cell r="B503" t="str">
            <v>Fire Smoke / Heat Detector, Sounder</v>
          </cell>
          <cell r="D503" t="str">
            <v>Al Aasimah Primary School</v>
          </cell>
          <cell r="H503" t="str">
            <v>AD</v>
          </cell>
        </row>
        <row r="504">
          <cell r="B504" t="str">
            <v>Fire Smoke / Heat Detector, Sounder</v>
          </cell>
          <cell r="D504" t="str">
            <v>Al Aasimah Primary School</v>
          </cell>
          <cell r="H504" t="str">
            <v>AD</v>
          </cell>
        </row>
        <row r="505">
          <cell r="B505" t="str">
            <v>Fire Smoke / Heat Detector, Sounder</v>
          </cell>
          <cell r="D505" t="str">
            <v>Al Aasimah Primary School</v>
          </cell>
          <cell r="H505" t="str">
            <v>AD</v>
          </cell>
        </row>
        <row r="506">
          <cell r="B506" t="str">
            <v>Fire Smoke / Heat Detector, Sounder</v>
          </cell>
          <cell r="D506" t="str">
            <v>Al Aasimah Primary School</v>
          </cell>
          <cell r="H506" t="str">
            <v>AD</v>
          </cell>
        </row>
        <row r="507">
          <cell r="B507" t="str">
            <v>Fire Smoke / Heat Detector, Sounder</v>
          </cell>
          <cell r="D507" t="str">
            <v>Al Aasimah Primary School</v>
          </cell>
          <cell r="H507" t="str">
            <v>AD</v>
          </cell>
        </row>
        <row r="508">
          <cell r="B508" t="str">
            <v>Fire Smoke / Heat Detector, Sounder</v>
          </cell>
          <cell r="D508" t="str">
            <v>Al Aasimah Primary School</v>
          </cell>
          <cell r="H508" t="str">
            <v>AD</v>
          </cell>
        </row>
        <row r="509">
          <cell r="B509" t="str">
            <v>Fire Smoke / Heat Detector, Sounder</v>
          </cell>
          <cell r="D509" t="str">
            <v>Al Aasimah Primary School</v>
          </cell>
          <cell r="H509" t="str">
            <v>AD</v>
          </cell>
        </row>
        <row r="510">
          <cell r="B510" t="str">
            <v>Fire Smoke / Heat Detector, Sounder</v>
          </cell>
          <cell r="D510" t="str">
            <v>Al Aasimah Primary School</v>
          </cell>
          <cell r="H510" t="str">
            <v>AD</v>
          </cell>
        </row>
        <row r="511">
          <cell r="B511" t="str">
            <v>Fire Smoke / Heat Detector, Sounder</v>
          </cell>
          <cell r="D511" t="str">
            <v>Al Aasimah Primary School</v>
          </cell>
          <cell r="H511" t="str">
            <v>AD</v>
          </cell>
        </row>
        <row r="512">
          <cell r="B512" t="str">
            <v>Fire Smoke / Heat Detector, Sounder</v>
          </cell>
          <cell r="D512" t="str">
            <v>Al Aasimah Primary School</v>
          </cell>
          <cell r="H512" t="str">
            <v>AD</v>
          </cell>
        </row>
        <row r="513">
          <cell r="B513" t="str">
            <v>Fire Smoke / Heat Detector, Sounder</v>
          </cell>
          <cell r="D513" t="str">
            <v>Al Aasimah Primary School</v>
          </cell>
          <cell r="H513" t="str">
            <v>AD</v>
          </cell>
        </row>
        <row r="514">
          <cell r="B514" t="str">
            <v>Fire Smoke / Heat Detector, Sounder</v>
          </cell>
          <cell r="D514" t="str">
            <v>Al Aasimah Primary School</v>
          </cell>
          <cell r="H514" t="str">
            <v>AD</v>
          </cell>
        </row>
        <row r="515">
          <cell r="B515" t="str">
            <v>Fire Smoke / Heat Detector, Sounder</v>
          </cell>
          <cell r="D515" t="str">
            <v>Al Aasimah Primary School</v>
          </cell>
          <cell r="H515" t="str">
            <v>AD</v>
          </cell>
        </row>
        <row r="516">
          <cell r="B516" t="str">
            <v>Fire Smoke / Heat Detector, Sounder</v>
          </cell>
          <cell r="D516" t="str">
            <v>Al Aasimah Primary School</v>
          </cell>
          <cell r="H516" t="str">
            <v>AD</v>
          </cell>
        </row>
        <row r="517">
          <cell r="B517" t="str">
            <v>Irrigation System</v>
          </cell>
          <cell r="D517" t="str">
            <v>Al Aasimah Primary School</v>
          </cell>
          <cell r="H517" t="str">
            <v>AD</v>
          </cell>
        </row>
        <row r="518">
          <cell r="B518" t="str">
            <v>FIRE PANEL MAIN SYSTEM</v>
          </cell>
          <cell r="D518" t="str">
            <v>Al Areej KG</v>
          </cell>
          <cell r="H518" t="str">
            <v>WR</v>
          </cell>
        </row>
        <row r="519">
          <cell r="B519" t="str">
            <v>FIRE PANEL MAIN SYSTEM</v>
          </cell>
          <cell r="D519" t="str">
            <v>Al Areej KG</v>
          </cell>
          <cell r="H519" t="str">
            <v>WR</v>
          </cell>
        </row>
        <row r="520">
          <cell r="B520" t="str">
            <v>FIRE PANEL MAIN SYSTEM</v>
          </cell>
          <cell r="D520" t="str">
            <v>Al Areej KG</v>
          </cell>
          <cell r="H520" t="str">
            <v>WR</v>
          </cell>
        </row>
        <row r="521">
          <cell r="B521" t="str">
            <v>FIRE PANEL MAIN SYSTEM</v>
          </cell>
          <cell r="D521" t="str">
            <v>Al Areej KG</v>
          </cell>
          <cell r="H521" t="str">
            <v>WR</v>
          </cell>
        </row>
        <row r="522">
          <cell r="B522" t="str">
            <v>FIRE PANEL MAIN SYSTEM</v>
          </cell>
          <cell r="D522" t="str">
            <v>Al Areej KG</v>
          </cell>
          <cell r="H522" t="str">
            <v>WR</v>
          </cell>
        </row>
        <row r="523">
          <cell r="B523" t="str">
            <v>Fire Pump</v>
          </cell>
          <cell r="D523" t="str">
            <v>Al Areej KG</v>
          </cell>
          <cell r="H523" t="str">
            <v>WR</v>
          </cell>
        </row>
        <row r="524">
          <cell r="B524" t="str">
            <v>Elevator</v>
          </cell>
          <cell r="D524" t="str">
            <v>Al Asalah Primary School</v>
          </cell>
          <cell r="H524" t="str">
            <v>AD</v>
          </cell>
        </row>
        <row r="525">
          <cell r="B525" t="str">
            <v>Fire Alarm Break Glass Call Point</v>
          </cell>
          <cell r="D525" t="str">
            <v>Al Asalah Primary School</v>
          </cell>
          <cell r="H525" t="str">
            <v>AD</v>
          </cell>
        </row>
        <row r="526">
          <cell r="B526" t="str">
            <v>Fire Alarm Break Glass Call Point</v>
          </cell>
          <cell r="D526" t="str">
            <v>Al Asalah Primary School</v>
          </cell>
          <cell r="H526" t="str">
            <v>AD</v>
          </cell>
        </row>
        <row r="527">
          <cell r="B527" t="str">
            <v>Fire Alarm Break Glass Call Point</v>
          </cell>
          <cell r="D527" t="str">
            <v>Al Asalah Primary School</v>
          </cell>
          <cell r="H527" t="str">
            <v>AD</v>
          </cell>
        </row>
        <row r="528">
          <cell r="B528" t="str">
            <v>Fire Alarm Break Glass Call Point</v>
          </cell>
          <cell r="D528" t="str">
            <v>Al Asalah Primary School</v>
          </cell>
          <cell r="H528" t="str">
            <v>AD</v>
          </cell>
        </row>
        <row r="529">
          <cell r="B529" t="str">
            <v>Fire Alarm Break Glass Call Point</v>
          </cell>
          <cell r="D529" t="str">
            <v>Al Asalah Primary School</v>
          </cell>
          <cell r="H529" t="str">
            <v>AD</v>
          </cell>
        </row>
        <row r="530">
          <cell r="B530" t="str">
            <v>Fire Alarm Break Glass Call Point</v>
          </cell>
          <cell r="D530" t="str">
            <v>Al Asalah Primary School</v>
          </cell>
          <cell r="H530" t="str">
            <v>AD</v>
          </cell>
        </row>
        <row r="531">
          <cell r="B531" t="str">
            <v>Fire Alarm Break Glass Call Point</v>
          </cell>
          <cell r="D531" t="str">
            <v>Al Asalah Primary School</v>
          </cell>
          <cell r="H531" t="str">
            <v>AD</v>
          </cell>
        </row>
        <row r="532">
          <cell r="B532" t="str">
            <v>Fire Alarm Break Glass Call Point</v>
          </cell>
          <cell r="D532" t="str">
            <v>Al Asalah Primary School</v>
          </cell>
          <cell r="H532" t="str">
            <v>AD</v>
          </cell>
        </row>
        <row r="533">
          <cell r="B533" t="str">
            <v>Fire Alarm Break Glass Call Point</v>
          </cell>
          <cell r="D533" t="str">
            <v>Al Asalah Primary School</v>
          </cell>
          <cell r="H533" t="str">
            <v>AD</v>
          </cell>
        </row>
        <row r="534">
          <cell r="B534" t="str">
            <v>Fire Alarm Break Glass Call Point</v>
          </cell>
          <cell r="D534" t="str">
            <v>Al Asalah Primary School</v>
          </cell>
          <cell r="H534" t="str">
            <v>AD</v>
          </cell>
        </row>
        <row r="535">
          <cell r="B535" t="str">
            <v>Fire Alarm Break Glass Call Point</v>
          </cell>
          <cell r="D535" t="str">
            <v>Al Asalah Primary School</v>
          </cell>
          <cell r="H535" t="str">
            <v>AD</v>
          </cell>
        </row>
        <row r="536">
          <cell r="B536" t="str">
            <v>Fire Alarm Break Glass Call Point</v>
          </cell>
          <cell r="D536" t="str">
            <v>Al Asalah Primary School</v>
          </cell>
          <cell r="H536" t="str">
            <v>AD</v>
          </cell>
        </row>
        <row r="537">
          <cell r="B537" t="str">
            <v>Fire Alarm Break Glass Call Point</v>
          </cell>
          <cell r="D537" t="str">
            <v>Al Asalah Primary School</v>
          </cell>
          <cell r="H537" t="str">
            <v>AD</v>
          </cell>
        </row>
        <row r="538">
          <cell r="B538" t="str">
            <v>Fire Alarm Break Glass Call Point</v>
          </cell>
          <cell r="D538" t="str">
            <v>Al Asalah Primary School</v>
          </cell>
          <cell r="H538" t="str">
            <v>AD</v>
          </cell>
        </row>
        <row r="539">
          <cell r="B539" t="str">
            <v>Fire Alarm Break Glass Call Point</v>
          </cell>
          <cell r="D539" t="str">
            <v>Al Asalah Primary School</v>
          </cell>
          <cell r="H539" t="str">
            <v>AD</v>
          </cell>
        </row>
        <row r="540">
          <cell r="B540" t="str">
            <v>Fire Alarm Break Glass Call Point</v>
          </cell>
          <cell r="D540" t="str">
            <v>Al Asalah Primary School</v>
          </cell>
          <cell r="H540" t="str">
            <v>AD</v>
          </cell>
        </row>
        <row r="541">
          <cell r="B541" t="str">
            <v>Fire Alarm Break Glass Call Point</v>
          </cell>
          <cell r="D541" t="str">
            <v>Al Asalah Primary School</v>
          </cell>
          <cell r="H541" t="str">
            <v>AD</v>
          </cell>
        </row>
        <row r="542">
          <cell r="B542" t="str">
            <v>Fire Alarm Break Glass Call Point</v>
          </cell>
          <cell r="D542" t="str">
            <v>Al Asalah Primary School</v>
          </cell>
          <cell r="H542" t="str">
            <v>AD</v>
          </cell>
        </row>
        <row r="543">
          <cell r="B543" t="str">
            <v>Fire Alarm Panel</v>
          </cell>
          <cell r="D543" t="str">
            <v>Al Asalah Primary School</v>
          </cell>
          <cell r="H543" t="str">
            <v>AD</v>
          </cell>
        </row>
        <row r="544">
          <cell r="B544" t="str">
            <v>Fire Alarm Panel</v>
          </cell>
          <cell r="D544" t="str">
            <v>Al Asalah Primary School</v>
          </cell>
          <cell r="H544" t="str">
            <v>AD</v>
          </cell>
        </row>
        <row r="545">
          <cell r="B545" t="str">
            <v>Fire Alarm Panel</v>
          </cell>
          <cell r="D545" t="str">
            <v>Al Asalah Primary School</v>
          </cell>
          <cell r="H545" t="str">
            <v>AD</v>
          </cell>
        </row>
        <row r="546">
          <cell r="B546" t="str">
            <v>Fire Alarm Panel</v>
          </cell>
          <cell r="D546" t="str">
            <v>Al Asalah Primary School</v>
          </cell>
          <cell r="H546" t="str">
            <v>AD</v>
          </cell>
        </row>
        <row r="547">
          <cell r="B547" t="str">
            <v>Fire Alarm Sounder, Bell, Light</v>
          </cell>
          <cell r="D547" t="str">
            <v>Al Asalah Primary School</v>
          </cell>
          <cell r="H547" t="str">
            <v>AD</v>
          </cell>
        </row>
        <row r="548">
          <cell r="B548" t="str">
            <v>Fire Alarm Sounder, Bell, Light</v>
          </cell>
          <cell r="D548" t="str">
            <v>Al Asalah Primary School</v>
          </cell>
          <cell r="H548" t="str">
            <v>AD</v>
          </cell>
        </row>
        <row r="549">
          <cell r="B549" t="str">
            <v>Fire Alarm Sounder, Bell, Light</v>
          </cell>
          <cell r="D549" t="str">
            <v>Al Asalah Primary School</v>
          </cell>
          <cell r="H549" t="str">
            <v>AD</v>
          </cell>
        </row>
        <row r="550">
          <cell r="B550" t="str">
            <v>Fire Alarm Sounder, Bell, Light</v>
          </cell>
          <cell r="D550" t="str">
            <v>Al Asalah Primary School</v>
          </cell>
          <cell r="H550" t="str">
            <v>AD</v>
          </cell>
        </row>
        <row r="551">
          <cell r="B551" t="str">
            <v>Fire Alarm Sounder, Bell, Light</v>
          </cell>
          <cell r="D551" t="str">
            <v>Al Asalah Primary School</v>
          </cell>
          <cell r="H551" t="str">
            <v>AD</v>
          </cell>
        </row>
        <row r="552">
          <cell r="B552" t="str">
            <v>Fire Alarm Sounder, Bell, Light</v>
          </cell>
          <cell r="D552" t="str">
            <v>Al Asalah Primary School</v>
          </cell>
          <cell r="H552" t="str">
            <v>AD</v>
          </cell>
        </row>
        <row r="553">
          <cell r="B553" t="str">
            <v>Fire Alarm Sounder, Bell, Light</v>
          </cell>
          <cell r="D553" t="str">
            <v>Al Asalah Primary School</v>
          </cell>
          <cell r="H553" t="str">
            <v>AD</v>
          </cell>
        </row>
        <row r="554">
          <cell r="B554" t="str">
            <v>Fire Alarm Sounder, Bell, Light</v>
          </cell>
          <cell r="D554" t="str">
            <v>Al Asalah Primary School</v>
          </cell>
          <cell r="H554" t="str">
            <v>AD</v>
          </cell>
        </row>
        <row r="555">
          <cell r="B555" t="str">
            <v>Fire Alarm Sounder, Bell, Light</v>
          </cell>
          <cell r="D555" t="str">
            <v>Al Asalah Primary School</v>
          </cell>
          <cell r="H555" t="str">
            <v>AD</v>
          </cell>
        </row>
        <row r="556">
          <cell r="B556" t="str">
            <v>Fire Alarm Sounder, Bell, Light</v>
          </cell>
          <cell r="D556" t="str">
            <v>Al Asalah Primary School</v>
          </cell>
          <cell r="H556" t="str">
            <v>AD</v>
          </cell>
        </row>
        <row r="557">
          <cell r="B557" t="str">
            <v>Fire Alarm Sounder, Bell, Light</v>
          </cell>
          <cell r="D557" t="str">
            <v>Al Asalah Primary School</v>
          </cell>
          <cell r="H557" t="str">
            <v>AD</v>
          </cell>
        </row>
        <row r="558">
          <cell r="B558" t="str">
            <v>Fire Alarm Sounder, Bell, Light</v>
          </cell>
          <cell r="D558" t="str">
            <v>Al Asalah Primary School</v>
          </cell>
          <cell r="H558" t="str">
            <v>AD</v>
          </cell>
        </row>
        <row r="559">
          <cell r="B559" t="str">
            <v>Fire Alarm Sounder, Bell, Light</v>
          </cell>
          <cell r="D559" t="str">
            <v>Al Asalah Primary School</v>
          </cell>
          <cell r="H559" t="str">
            <v>AD</v>
          </cell>
        </row>
        <row r="560">
          <cell r="B560" t="str">
            <v>Fire Alarm Sounder, Bell, Light</v>
          </cell>
          <cell r="D560" t="str">
            <v>Al Asalah Primary School</v>
          </cell>
          <cell r="H560" t="str">
            <v>AD</v>
          </cell>
        </row>
        <row r="561">
          <cell r="B561" t="str">
            <v>Fire Alarm Sounder, Bell, Light</v>
          </cell>
          <cell r="D561" t="str">
            <v>Al Asalah Primary School</v>
          </cell>
          <cell r="H561" t="str">
            <v>AD</v>
          </cell>
        </row>
        <row r="562">
          <cell r="B562" t="str">
            <v>Fire Alarm Sounder, Bell, Light</v>
          </cell>
          <cell r="D562" t="str">
            <v>Al Asalah Primary School</v>
          </cell>
          <cell r="H562" t="str">
            <v>AD</v>
          </cell>
        </row>
        <row r="563">
          <cell r="B563" t="str">
            <v>Fire Alarm Sounder, Bell, Light</v>
          </cell>
          <cell r="D563" t="str">
            <v>Al Asalah Primary School</v>
          </cell>
          <cell r="H563" t="str">
            <v>AD</v>
          </cell>
        </row>
        <row r="564">
          <cell r="B564" t="str">
            <v>Fire Alarm Sounder, Bell, Light</v>
          </cell>
          <cell r="D564" t="str">
            <v>Al Asalah Primary School</v>
          </cell>
          <cell r="H564" t="str">
            <v>AD</v>
          </cell>
        </row>
        <row r="565">
          <cell r="B565" t="str">
            <v>Fire Alarm Sounder, Bell, Light</v>
          </cell>
          <cell r="D565" t="str">
            <v>Al Asalah Primary School</v>
          </cell>
          <cell r="H565" t="str">
            <v>AD</v>
          </cell>
        </row>
        <row r="566">
          <cell r="B566" t="str">
            <v>Fire Alarm Sounder, Bell, Light</v>
          </cell>
          <cell r="D566" t="str">
            <v>Al Asalah Primary School</v>
          </cell>
          <cell r="H566" t="str">
            <v>AD</v>
          </cell>
        </row>
        <row r="567">
          <cell r="B567" t="str">
            <v>Fire Alarm Sounder, Bell, Light</v>
          </cell>
          <cell r="D567" t="str">
            <v>Al Asalah Primary School</v>
          </cell>
          <cell r="H567" t="str">
            <v>AD</v>
          </cell>
        </row>
        <row r="568">
          <cell r="B568" t="str">
            <v>Fire Alarm Sounder, Bell, Light</v>
          </cell>
          <cell r="D568" t="str">
            <v>Al Asalah Primary School</v>
          </cell>
          <cell r="H568" t="str">
            <v>AD</v>
          </cell>
        </row>
        <row r="569">
          <cell r="B569" t="str">
            <v>Fire Alarm Sounder, Bell, Light</v>
          </cell>
          <cell r="D569" t="str">
            <v>Al Asalah Primary School</v>
          </cell>
          <cell r="H569" t="str">
            <v>AD</v>
          </cell>
        </row>
        <row r="570">
          <cell r="B570" t="str">
            <v>Fire Alarm Sounder, Bell, Light</v>
          </cell>
          <cell r="D570" t="str">
            <v>Al Asalah Primary School</v>
          </cell>
          <cell r="H570" t="str">
            <v>AD</v>
          </cell>
        </row>
        <row r="571">
          <cell r="B571" t="str">
            <v>Fire Alarm Sounder, Bell, Light</v>
          </cell>
          <cell r="D571" t="str">
            <v>Al Asalah Primary School</v>
          </cell>
          <cell r="H571" t="str">
            <v>AD</v>
          </cell>
        </row>
        <row r="572">
          <cell r="B572" t="str">
            <v>Fire Alarm Sounder, Bell, Light</v>
          </cell>
          <cell r="D572" t="str">
            <v>Al Asalah Primary School</v>
          </cell>
          <cell r="H572" t="str">
            <v>AD</v>
          </cell>
        </row>
        <row r="573">
          <cell r="B573" t="str">
            <v>Fire Alarm Sounder, Bell, Light</v>
          </cell>
          <cell r="D573" t="str">
            <v>Al Asalah Primary School</v>
          </cell>
          <cell r="H573" t="str">
            <v>AD</v>
          </cell>
        </row>
        <row r="574">
          <cell r="B574" t="str">
            <v>Fire Alarm Sounder, Bell, Light</v>
          </cell>
          <cell r="D574" t="str">
            <v>Al Asalah Primary School</v>
          </cell>
          <cell r="H574" t="str">
            <v>AD</v>
          </cell>
        </row>
        <row r="575">
          <cell r="B575" t="str">
            <v>Fire Alarm Sounder, Bell, Light</v>
          </cell>
          <cell r="D575" t="str">
            <v>Al Asalah Primary School</v>
          </cell>
          <cell r="H575" t="str">
            <v>AD</v>
          </cell>
        </row>
        <row r="576">
          <cell r="B576" t="str">
            <v>Fire Alarm Sounder, Bell, Light</v>
          </cell>
          <cell r="D576" t="str">
            <v>Al Asalah Primary School</v>
          </cell>
          <cell r="H576" t="str">
            <v>AD</v>
          </cell>
        </row>
        <row r="577">
          <cell r="B577" t="str">
            <v>Fire Alarm Sounder, Bell, Light</v>
          </cell>
          <cell r="D577" t="str">
            <v>Al Asalah Primary School</v>
          </cell>
          <cell r="H577" t="str">
            <v>AD</v>
          </cell>
        </row>
        <row r="578">
          <cell r="B578" t="str">
            <v>Fire Alarm Sounder, Bell, Light</v>
          </cell>
          <cell r="D578" t="str">
            <v>Al Asalah Primary School</v>
          </cell>
          <cell r="H578" t="str">
            <v>AD</v>
          </cell>
        </row>
        <row r="579">
          <cell r="B579" t="str">
            <v>Fire Alarm Sounder, Bell, Light</v>
          </cell>
          <cell r="D579" t="str">
            <v>Al Asalah Primary School</v>
          </cell>
          <cell r="H579" t="str">
            <v>AD</v>
          </cell>
        </row>
        <row r="580">
          <cell r="B580" t="str">
            <v>Fire Alarm Sounder, Bell, Light</v>
          </cell>
          <cell r="D580" t="str">
            <v>Al Asalah Primary School</v>
          </cell>
          <cell r="H580" t="str">
            <v>AD</v>
          </cell>
        </row>
        <row r="581">
          <cell r="B581" t="str">
            <v>Fire Alarm Sounder, Bell, Light</v>
          </cell>
          <cell r="D581" t="str">
            <v>Al Asalah Primary School</v>
          </cell>
          <cell r="H581" t="str">
            <v>AD</v>
          </cell>
        </row>
        <row r="582">
          <cell r="B582" t="str">
            <v>Fire Alarm Sounder, Bell, Light</v>
          </cell>
          <cell r="D582" t="str">
            <v>Al Asalah Primary School</v>
          </cell>
          <cell r="H582" t="str">
            <v>AD</v>
          </cell>
        </row>
        <row r="583">
          <cell r="B583" t="str">
            <v>Fire Alarm Sounder, Bell, Light</v>
          </cell>
          <cell r="D583" t="str">
            <v>Al Asalah Primary School</v>
          </cell>
          <cell r="H583" t="str">
            <v>AD</v>
          </cell>
        </row>
        <row r="584">
          <cell r="B584" t="str">
            <v>Fire Alarm Sounder, Bell, Light</v>
          </cell>
          <cell r="D584" t="str">
            <v>Al Asalah Primary School</v>
          </cell>
          <cell r="H584" t="str">
            <v>AD</v>
          </cell>
        </row>
        <row r="585">
          <cell r="B585" t="str">
            <v>Fire Extinguisher</v>
          </cell>
          <cell r="D585" t="str">
            <v>Al Asalah Primary School</v>
          </cell>
          <cell r="H585" t="str">
            <v>AD</v>
          </cell>
        </row>
        <row r="586">
          <cell r="B586" t="str">
            <v>Fire Extinguisher</v>
          </cell>
          <cell r="D586" t="str">
            <v>Al Asalah Primary School</v>
          </cell>
          <cell r="H586" t="str">
            <v>AD</v>
          </cell>
        </row>
        <row r="587">
          <cell r="B587" t="str">
            <v>Fire Extinguisher</v>
          </cell>
          <cell r="D587" t="str">
            <v>Al Asalah Primary School</v>
          </cell>
          <cell r="H587" t="str">
            <v>AD</v>
          </cell>
        </row>
        <row r="588">
          <cell r="B588" t="str">
            <v>Fire Extinguisher</v>
          </cell>
          <cell r="D588" t="str">
            <v>Al Asalah Primary School</v>
          </cell>
          <cell r="H588" t="str">
            <v>AD</v>
          </cell>
        </row>
        <row r="589">
          <cell r="B589" t="str">
            <v>Fire Extinguisher</v>
          </cell>
          <cell r="D589" t="str">
            <v>Al Asalah Primary School</v>
          </cell>
          <cell r="H589" t="str">
            <v>AD</v>
          </cell>
        </row>
        <row r="590">
          <cell r="B590" t="str">
            <v>Fire Extinguisher</v>
          </cell>
          <cell r="D590" t="str">
            <v>Al Asalah Primary School</v>
          </cell>
          <cell r="H590" t="str">
            <v>AD</v>
          </cell>
        </row>
        <row r="591">
          <cell r="B591" t="str">
            <v>Fire Extinguisher</v>
          </cell>
          <cell r="D591" t="str">
            <v>Al Asalah Primary School</v>
          </cell>
          <cell r="H591" t="str">
            <v>AD</v>
          </cell>
        </row>
        <row r="592">
          <cell r="B592" t="str">
            <v>Fire Extinguisher</v>
          </cell>
          <cell r="D592" t="str">
            <v>Al Asalah Primary School</v>
          </cell>
          <cell r="H592" t="str">
            <v>AD</v>
          </cell>
        </row>
        <row r="593">
          <cell r="B593" t="str">
            <v>Fire Extinguisher</v>
          </cell>
          <cell r="D593" t="str">
            <v>Al Asalah Primary School</v>
          </cell>
          <cell r="H593" t="str">
            <v>AD</v>
          </cell>
        </row>
        <row r="594">
          <cell r="B594" t="str">
            <v>Fire Extinguisher</v>
          </cell>
          <cell r="D594" t="str">
            <v>Al Asalah Primary School</v>
          </cell>
          <cell r="H594" t="str">
            <v>AD</v>
          </cell>
        </row>
        <row r="595">
          <cell r="B595" t="str">
            <v>Fire Extinguisher</v>
          </cell>
          <cell r="D595" t="str">
            <v>Al Asalah Primary School</v>
          </cell>
          <cell r="H595" t="str">
            <v>AD</v>
          </cell>
        </row>
        <row r="596">
          <cell r="B596" t="str">
            <v>Fire Extinguisher</v>
          </cell>
          <cell r="D596" t="str">
            <v>Al Asalah Primary School</v>
          </cell>
          <cell r="H596" t="str">
            <v>AD</v>
          </cell>
        </row>
        <row r="597">
          <cell r="B597" t="str">
            <v>Fire Extinguisher</v>
          </cell>
          <cell r="D597" t="str">
            <v>Al Asalah Primary School</v>
          </cell>
          <cell r="H597" t="str">
            <v>AD</v>
          </cell>
        </row>
        <row r="598">
          <cell r="B598" t="str">
            <v>Fire Extinguisher</v>
          </cell>
          <cell r="D598" t="str">
            <v>Al Asalah Primary School</v>
          </cell>
          <cell r="H598" t="str">
            <v>AD</v>
          </cell>
        </row>
        <row r="599">
          <cell r="B599" t="str">
            <v>Fire Extinguisher</v>
          </cell>
          <cell r="D599" t="str">
            <v>Al Asalah Primary School</v>
          </cell>
          <cell r="H599" t="str">
            <v>AD</v>
          </cell>
        </row>
        <row r="600">
          <cell r="B600" t="str">
            <v>Fire Extinguisher</v>
          </cell>
          <cell r="D600" t="str">
            <v>Al Asalah Primary School</v>
          </cell>
          <cell r="H600" t="str">
            <v>AD</v>
          </cell>
        </row>
        <row r="601">
          <cell r="B601" t="str">
            <v>Fire Extinguisher</v>
          </cell>
          <cell r="D601" t="str">
            <v>Al Asalah Primary School</v>
          </cell>
          <cell r="H601" t="str">
            <v>AD</v>
          </cell>
        </row>
        <row r="602">
          <cell r="B602" t="str">
            <v>Fire Extinguisher</v>
          </cell>
          <cell r="D602" t="str">
            <v>Al Asalah Primary School</v>
          </cell>
          <cell r="H602" t="str">
            <v>AD</v>
          </cell>
        </row>
        <row r="603">
          <cell r="B603" t="str">
            <v>Fire Extinguisher</v>
          </cell>
          <cell r="D603" t="str">
            <v>Al Asalah Primary School</v>
          </cell>
          <cell r="H603" t="str">
            <v>AD</v>
          </cell>
        </row>
        <row r="604">
          <cell r="B604" t="str">
            <v>Fire Extinguisher</v>
          </cell>
          <cell r="D604" t="str">
            <v>Al Asalah Primary School</v>
          </cell>
          <cell r="H604" t="str">
            <v>AD</v>
          </cell>
        </row>
        <row r="605">
          <cell r="B605" t="str">
            <v>Fire Extinguisher</v>
          </cell>
          <cell r="D605" t="str">
            <v>Al Asalah Primary School</v>
          </cell>
          <cell r="H605" t="str">
            <v>AD</v>
          </cell>
        </row>
        <row r="606">
          <cell r="B606" t="str">
            <v>Fire Extinguisher</v>
          </cell>
          <cell r="D606" t="str">
            <v>Al Asalah Primary School</v>
          </cell>
          <cell r="H606" t="str">
            <v>AD</v>
          </cell>
        </row>
        <row r="607">
          <cell r="B607" t="str">
            <v>Fire Extinguisher</v>
          </cell>
          <cell r="D607" t="str">
            <v>Al Asalah Primary School</v>
          </cell>
          <cell r="H607" t="str">
            <v>AD</v>
          </cell>
        </row>
        <row r="608">
          <cell r="B608" t="str">
            <v>Fire Extinguisher</v>
          </cell>
          <cell r="D608" t="str">
            <v>Al Asalah Primary School</v>
          </cell>
          <cell r="H608" t="str">
            <v>AD</v>
          </cell>
        </row>
        <row r="609">
          <cell r="B609" t="str">
            <v>Fire Extinguisher</v>
          </cell>
          <cell r="D609" t="str">
            <v>Al Asalah Primary School</v>
          </cell>
          <cell r="H609" t="str">
            <v>AD</v>
          </cell>
        </row>
        <row r="610">
          <cell r="B610" t="str">
            <v>Fire Extinguisher</v>
          </cell>
          <cell r="D610" t="str">
            <v>Al Asalah Primary School</v>
          </cell>
          <cell r="H610" t="str">
            <v>AD</v>
          </cell>
        </row>
        <row r="611">
          <cell r="B611" t="str">
            <v>Fire Extinguisher</v>
          </cell>
          <cell r="D611" t="str">
            <v>Al Asalah Primary School</v>
          </cell>
          <cell r="H611" t="str">
            <v>AD</v>
          </cell>
        </row>
        <row r="612">
          <cell r="B612" t="str">
            <v>Fire Extinguisher</v>
          </cell>
          <cell r="D612" t="str">
            <v>Al Asalah Primary School</v>
          </cell>
          <cell r="H612" t="str">
            <v>AD</v>
          </cell>
        </row>
        <row r="613">
          <cell r="B613" t="str">
            <v>Fire Extinguisher</v>
          </cell>
          <cell r="D613" t="str">
            <v>Al Asalah Primary School</v>
          </cell>
          <cell r="H613" t="str">
            <v>AD</v>
          </cell>
        </row>
        <row r="614">
          <cell r="B614" t="str">
            <v>Fire Extinguisher</v>
          </cell>
          <cell r="D614" t="str">
            <v>Al Asalah Primary School</v>
          </cell>
          <cell r="H614" t="str">
            <v>AD</v>
          </cell>
        </row>
        <row r="615">
          <cell r="B615" t="str">
            <v>Fire Extinguisher</v>
          </cell>
          <cell r="D615" t="str">
            <v>Al Asalah Primary School</v>
          </cell>
          <cell r="H615" t="str">
            <v>AD</v>
          </cell>
        </row>
        <row r="616">
          <cell r="B616" t="str">
            <v>Fire Extinguisher</v>
          </cell>
          <cell r="D616" t="str">
            <v>Al Asalah Primary School</v>
          </cell>
          <cell r="H616" t="str">
            <v>AD</v>
          </cell>
        </row>
        <row r="617">
          <cell r="B617" t="str">
            <v>Fire Extinguisher</v>
          </cell>
          <cell r="D617" t="str">
            <v>Al Asalah Primary School</v>
          </cell>
          <cell r="H617" t="str">
            <v>AD</v>
          </cell>
        </row>
        <row r="618">
          <cell r="B618" t="str">
            <v>Fire Extinguisher</v>
          </cell>
          <cell r="D618" t="str">
            <v>Al Asalah Primary School</v>
          </cell>
          <cell r="H618" t="str">
            <v>AD</v>
          </cell>
        </row>
        <row r="619">
          <cell r="B619" t="str">
            <v>Fire Extinguisher</v>
          </cell>
          <cell r="D619" t="str">
            <v>Al Asalah Primary School</v>
          </cell>
          <cell r="H619" t="str">
            <v>AD</v>
          </cell>
        </row>
        <row r="620">
          <cell r="B620" t="str">
            <v>Fire Extinguisher</v>
          </cell>
          <cell r="D620" t="str">
            <v>Al Asalah Primary School</v>
          </cell>
          <cell r="H620" t="str">
            <v>AD</v>
          </cell>
        </row>
        <row r="621">
          <cell r="B621" t="str">
            <v>Fire Extinguisher</v>
          </cell>
          <cell r="D621" t="str">
            <v>Al Asalah Primary School</v>
          </cell>
          <cell r="H621" t="str">
            <v>AD</v>
          </cell>
        </row>
        <row r="622">
          <cell r="B622" t="str">
            <v>Fire Extinguisher</v>
          </cell>
          <cell r="D622" t="str">
            <v>Al Asalah Primary School</v>
          </cell>
          <cell r="H622" t="str">
            <v>AD</v>
          </cell>
        </row>
        <row r="623">
          <cell r="B623" t="str">
            <v>Fire Extinguisher</v>
          </cell>
          <cell r="D623" t="str">
            <v>Al Asalah Primary School</v>
          </cell>
          <cell r="H623" t="str">
            <v>AD</v>
          </cell>
        </row>
        <row r="624">
          <cell r="B624" t="str">
            <v>Fire Extinguisher</v>
          </cell>
          <cell r="D624" t="str">
            <v>Al Asalah Primary School</v>
          </cell>
          <cell r="H624" t="str">
            <v>AD</v>
          </cell>
        </row>
        <row r="625">
          <cell r="B625" t="str">
            <v>Fire Extinguisher</v>
          </cell>
          <cell r="D625" t="str">
            <v>Al Asalah Primary School</v>
          </cell>
          <cell r="H625" t="str">
            <v>AD</v>
          </cell>
        </row>
        <row r="626">
          <cell r="B626" t="str">
            <v>Fire Extinguisher</v>
          </cell>
          <cell r="D626" t="str">
            <v>Al Asalah Primary School</v>
          </cell>
          <cell r="H626" t="str">
            <v>AD</v>
          </cell>
        </row>
        <row r="627">
          <cell r="B627" t="str">
            <v>Fire Extinguisher</v>
          </cell>
          <cell r="D627" t="str">
            <v>Al Asalah Primary School</v>
          </cell>
          <cell r="H627" t="str">
            <v>AD</v>
          </cell>
        </row>
        <row r="628">
          <cell r="B628" t="str">
            <v>Fire Extinguisher</v>
          </cell>
          <cell r="D628" t="str">
            <v>Al Asalah Primary School</v>
          </cell>
          <cell r="H628" t="str">
            <v>AD</v>
          </cell>
        </row>
        <row r="629">
          <cell r="B629" t="str">
            <v>Fire Extinguisher</v>
          </cell>
          <cell r="D629" t="str">
            <v>Al Asalah Primary School</v>
          </cell>
          <cell r="H629" t="str">
            <v>AD</v>
          </cell>
        </row>
        <row r="630">
          <cell r="B630" t="str">
            <v>Fire Extinguisher</v>
          </cell>
          <cell r="D630" t="str">
            <v>Al Asalah Primary School</v>
          </cell>
          <cell r="H630" t="str">
            <v>AD</v>
          </cell>
        </row>
        <row r="631">
          <cell r="B631" t="str">
            <v>Fire Extinguisher</v>
          </cell>
          <cell r="D631" t="str">
            <v>Al Asalah Primary School</v>
          </cell>
          <cell r="H631" t="str">
            <v>AD</v>
          </cell>
        </row>
        <row r="632">
          <cell r="B632" t="str">
            <v>Fire Extinguisher</v>
          </cell>
          <cell r="D632" t="str">
            <v>Al Asalah Primary School</v>
          </cell>
          <cell r="H632" t="str">
            <v>AD</v>
          </cell>
        </row>
        <row r="633">
          <cell r="B633" t="str">
            <v>Fire Extinguisher</v>
          </cell>
          <cell r="D633" t="str">
            <v>Al Asalah Primary School</v>
          </cell>
          <cell r="H633" t="str">
            <v>AD</v>
          </cell>
        </row>
        <row r="634">
          <cell r="B634" t="str">
            <v>Fire Extinguisher</v>
          </cell>
          <cell r="D634" t="str">
            <v>Al Asalah Primary School</v>
          </cell>
          <cell r="H634" t="str">
            <v>AD</v>
          </cell>
        </row>
        <row r="635">
          <cell r="B635" t="str">
            <v>Fire Extinguisher</v>
          </cell>
          <cell r="D635" t="str">
            <v>Al Asalah Primary School</v>
          </cell>
          <cell r="H635" t="str">
            <v>AD</v>
          </cell>
        </row>
        <row r="636">
          <cell r="B636" t="str">
            <v>Fire Hose Reel</v>
          </cell>
          <cell r="D636" t="str">
            <v>Al Asalah Primary School</v>
          </cell>
          <cell r="H636" t="str">
            <v>AD</v>
          </cell>
        </row>
        <row r="637">
          <cell r="B637" t="str">
            <v>Fire Hose Reel</v>
          </cell>
          <cell r="D637" t="str">
            <v>Al Asalah Primary School</v>
          </cell>
          <cell r="H637" t="str">
            <v>AD</v>
          </cell>
        </row>
        <row r="638">
          <cell r="B638" t="str">
            <v>Fire Hose Reel</v>
          </cell>
          <cell r="D638" t="str">
            <v>Al Asalah Primary School</v>
          </cell>
          <cell r="H638" t="str">
            <v>AD</v>
          </cell>
        </row>
        <row r="639">
          <cell r="B639" t="str">
            <v>Fire Hose Reel</v>
          </cell>
          <cell r="D639" t="str">
            <v>Al Asalah Primary School</v>
          </cell>
          <cell r="H639" t="str">
            <v>AD</v>
          </cell>
        </row>
        <row r="640">
          <cell r="B640" t="str">
            <v>Fire Hose Reel</v>
          </cell>
          <cell r="D640" t="str">
            <v>Al Asalah Primary School</v>
          </cell>
          <cell r="H640" t="str">
            <v>AD</v>
          </cell>
        </row>
        <row r="641">
          <cell r="B641" t="str">
            <v>Fire Hose Reel</v>
          </cell>
          <cell r="D641" t="str">
            <v>Al Asalah Primary School</v>
          </cell>
          <cell r="H641" t="str">
            <v>AD</v>
          </cell>
        </row>
        <row r="642">
          <cell r="B642" t="str">
            <v>Fire Hose Reel</v>
          </cell>
          <cell r="D642" t="str">
            <v>Al Asalah Primary School</v>
          </cell>
          <cell r="H642" t="str">
            <v>AD</v>
          </cell>
        </row>
        <row r="643">
          <cell r="B643" t="str">
            <v>Fire Hose Reel</v>
          </cell>
          <cell r="D643" t="str">
            <v>Al Asalah Primary School</v>
          </cell>
          <cell r="H643" t="str">
            <v>AD</v>
          </cell>
        </row>
        <row r="644">
          <cell r="B644" t="str">
            <v>Fire Hose Reel</v>
          </cell>
          <cell r="D644" t="str">
            <v>Al Asalah Primary School</v>
          </cell>
          <cell r="H644" t="str">
            <v>AD</v>
          </cell>
        </row>
        <row r="645">
          <cell r="B645" t="str">
            <v>Fire Hose Reel</v>
          </cell>
          <cell r="D645" t="str">
            <v>Al Asalah Primary School</v>
          </cell>
          <cell r="H645" t="str">
            <v>AD</v>
          </cell>
        </row>
        <row r="646">
          <cell r="B646" t="str">
            <v>Fire Hose Reel</v>
          </cell>
          <cell r="D646" t="str">
            <v>Al Asalah Primary School</v>
          </cell>
          <cell r="H646" t="str">
            <v>AD</v>
          </cell>
        </row>
        <row r="647">
          <cell r="B647" t="str">
            <v>Fire Hose Reel</v>
          </cell>
          <cell r="D647" t="str">
            <v>Al Asalah Primary School</v>
          </cell>
          <cell r="H647" t="str">
            <v>AD</v>
          </cell>
        </row>
        <row r="648">
          <cell r="B648" t="str">
            <v>Fire Hose Reel</v>
          </cell>
          <cell r="D648" t="str">
            <v>Al Asalah Primary School</v>
          </cell>
          <cell r="H648" t="str">
            <v>AD</v>
          </cell>
        </row>
        <row r="649">
          <cell r="B649" t="str">
            <v>Fire Hose Reel</v>
          </cell>
          <cell r="D649" t="str">
            <v>Al Asalah Primary School</v>
          </cell>
          <cell r="H649" t="str">
            <v>AD</v>
          </cell>
        </row>
        <row r="650">
          <cell r="B650" t="str">
            <v>Fire Hose Reel</v>
          </cell>
          <cell r="D650" t="str">
            <v>Al Asalah Primary School</v>
          </cell>
          <cell r="H650" t="str">
            <v>AD</v>
          </cell>
        </row>
        <row r="651">
          <cell r="B651" t="str">
            <v>Fire Hose Reel</v>
          </cell>
          <cell r="D651" t="str">
            <v>Al Asalah Primary School</v>
          </cell>
          <cell r="H651" t="str">
            <v>AD</v>
          </cell>
        </row>
        <row r="652">
          <cell r="B652" t="str">
            <v>Fire Hose Reel</v>
          </cell>
          <cell r="D652" t="str">
            <v>Al Asalah Primary School</v>
          </cell>
          <cell r="H652" t="str">
            <v>AD</v>
          </cell>
        </row>
        <row r="653">
          <cell r="B653" t="str">
            <v>FIRE PUMP - Diesel</v>
          </cell>
          <cell r="D653" t="str">
            <v>Al Asalah Primary School</v>
          </cell>
          <cell r="H653" t="str">
            <v>AD</v>
          </cell>
        </row>
        <row r="654">
          <cell r="B654" t="str">
            <v>FIRE PUMP - Electric</v>
          </cell>
          <cell r="D654" t="str">
            <v>Al Asalah Primary School</v>
          </cell>
          <cell r="H654" t="str">
            <v>AD</v>
          </cell>
        </row>
        <row r="655">
          <cell r="B655" t="str">
            <v>Fire Smoke / Heat Detector, Sounder</v>
          </cell>
          <cell r="D655" t="str">
            <v>Al Asalah Primary School</v>
          </cell>
          <cell r="H655" t="str">
            <v>AD</v>
          </cell>
        </row>
        <row r="656">
          <cell r="B656" t="str">
            <v>Fire Smoke / Heat Detector, Sounder</v>
          </cell>
          <cell r="D656" t="str">
            <v>Al Asalah Primary School</v>
          </cell>
          <cell r="H656" t="str">
            <v>AD</v>
          </cell>
        </row>
        <row r="657">
          <cell r="B657" t="str">
            <v>Fire Smoke / Heat Detector, Sounder</v>
          </cell>
          <cell r="D657" t="str">
            <v>Al Asalah Primary School</v>
          </cell>
          <cell r="H657" t="str">
            <v>AD</v>
          </cell>
        </row>
        <row r="658">
          <cell r="B658" t="str">
            <v>Fire Smoke / Heat Detector, Sounder</v>
          </cell>
          <cell r="D658" t="str">
            <v>Al Asalah Primary School</v>
          </cell>
          <cell r="H658" t="str">
            <v>AD</v>
          </cell>
        </row>
        <row r="659">
          <cell r="B659" t="str">
            <v>Fire Smoke / Heat Detector, Sounder</v>
          </cell>
          <cell r="D659" t="str">
            <v>Al Asalah Primary School</v>
          </cell>
          <cell r="H659" t="str">
            <v>AD</v>
          </cell>
        </row>
        <row r="660">
          <cell r="B660" t="str">
            <v>Fire Smoke / Heat Detector, Sounder</v>
          </cell>
          <cell r="D660" t="str">
            <v>Al Asalah Primary School</v>
          </cell>
          <cell r="H660" t="str">
            <v>AD</v>
          </cell>
        </row>
        <row r="661">
          <cell r="B661" t="str">
            <v>Fire Smoke / Heat Detector, Sounder</v>
          </cell>
          <cell r="D661" t="str">
            <v>Al Asalah Primary School</v>
          </cell>
          <cell r="H661" t="str">
            <v>AD</v>
          </cell>
        </row>
        <row r="662">
          <cell r="B662" t="str">
            <v>Fire Smoke / Heat Detector, Sounder</v>
          </cell>
          <cell r="D662" t="str">
            <v>Al Asalah Primary School</v>
          </cell>
          <cell r="H662" t="str">
            <v>AD</v>
          </cell>
        </row>
        <row r="663">
          <cell r="B663" t="str">
            <v>Fire Smoke / Heat Detector, Sounder</v>
          </cell>
          <cell r="D663" t="str">
            <v>Al Asalah Primary School</v>
          </cell>
          <cell r="H663" t="str">
            <v>AD</v>
          </cell>
        </row>
        <row r="664">
          <cell r="B664" t="str">
            <v>Fire Smoke / Heat Detector, Sounder</v>
          </cell>
          <cell r="D664" t="str">
            <v>Al Asalah Primary School</v>
          </cell>
          <cell r="H664" t="str">
            <v>AD</v>
          </cell>
        </row>
        <row r="665">
          <cell r="B665" t="str">
            <v>Fire Smoke / Heat Detector, Sounder</v>
          </cell>
          <cell r="D665" t="str">
            <v>Al Asalah Primary School</v>
          </cell>
          <cell r="H665" t="str">
            <v>AD</v>
          </cell>
        </row>
        <row r="666">
          <cell r="B666" t="str">
            <v>Fire Smoke / Heat Detector, Sounder</v>
          </cell>
          <cell r="D666" t="str">
            <v>Al Asalah Primary School</v>
          </cell>
          <cell r="H666" t="str">
            <v>AD</v>
          </cell>
        </row>
        <row r="667">
          <cell r="B667" t="str">
            <v>Fire Smoke / Heat Detector, Sounder</v>
          </cell>
          <cell r="D667" t="str">
            <v>Al Asalah Primary School</v>
          </cell>
          <cell r="H667" t="str">
            <v>AD</v>
          </cell>
        </row>
        <row r="668">
          <cell r="B668" t="str">
            <v>Fire Smoke / Heat Detector, Sounder</v>
          </cell>
          <cell r="D668" t="str">
            <v>Al Asalah Primary School</v>
          </cell>
          <cell r="H668" t="str">
            <v>AD</v>
          </cell>
        </row>
        <row r="669">
          <cell r="B669" t="str">
            <v>Fire Smoke / Heat Detector, Sounder</v>
          </cell>
          <cell r="D669" t="str">
            <v>Al Asalah Primary School</v>
          </cell>
          <cell r="H669" t="str">
            <v>AD</v>
          </cell>
        </row>
        <row r="670">
          <cell r="B670" t="str">
            <v>Fire Smoke / Heat Detector, Sounder</v>
          </cell>
          <cell r="D670" t="str">
            <v>Al Asalah Primary School</v>
          </cell>
          <cell r="H670" t="str">
            <v>AD</v>
          </cell>
        </row>
        <row r="671">
          <cell r="B671" t="str">
            <v>Fire Smoke / Heat Detector, Sounder</v>
          </cell>
          <cell r="D671" t="str">
            <v>Al Asalah Primary School</v>
          </cell>
          <cell r="H671" t="str">
            <v>AD</v>
          </cell>
        </row>
        <row r="672">
          <cell r="B672" t="str">
            <v>Fire Smoke / Heat Detector, Sounder</v>
          </cell>
          <cell r="D672" t="str">
            <v>Al Asalah Primary School</v>
          </cell>
          <cell r="H672" t="str">
            <v>AD</v>
          </cell>
        </row>
        <row r="673">
          <cell r="B673" t="str">
            <v>Fire Smoke / Heat Detector, Sounder</v>
          </cell>
          <cell r="D673" t="str">
            <v>Al Asalah Primary School</v>
          </cell>
          <cell r="H673" t="str">
            <v>AD</v>
          </cell>
        </row>
        <row r="674">
          <cell r="B674" t="str">
            <v>Fire Smoke / Heat Detector, Sounder</v>
          </cell>
          <cell r="D674" t="str">
            <v>Al Asalah Primary School</v>
          </cell>
          <cell r="H674" t="str">
            <v>AD</v>
          </cell>
        </row>
        <row r="675">
          <cell r="B675" t="str">
            <v>Fire Smoke / Heat Detector, Sounder</v>
          </cell>
          <cell r="D675" t="str">
            <v>Al Asalah Primary School</v>
          </cell>
          <cell r="H675" t="str">
            <v>AD</v>
          </cell>
        </row>
        <row r="676">
          <cell r="B676" t="str">
            <v>Fire Smoke / Heat Detector, Sounder</v>
          </cell>
          <cell r="D676" t="str">
            <v>Al Asalah Primary School</v>
          </cell>
          <cell r="H676" t="str">
            <v>AD</v>
          </cell>
        </row>
        <row r="677">
          <cell r="B677" t="str">
            <v>Fire Smoke / Heat Detector, Sounder</v>
          </cell>
          <cell r="D677" t="str">
            <v>Al Asalah Primary School</v>
          </cell>
          <cell r="H677" t="str">
            <v>AD</v>
          </cell>
        </row>
        <row r="678">
          <cell r="B678" t="str">
            <v>Fire Smoke / Heat Detector, Sounder</v>
          </cell>
          <cell r="D678" t="str">
            <v>Al Asalah Primary School</v>
          </cell>
          <cell r="H678" t="str">
            <v>AD</v>
          </cell>
        </row>
        <row r="679">
          <cell r="B679" t="str">
            <v>Fire Smoke / Heat Detector, Sounder</v>
          </cell>
          <cell r="D679" t="str">
            <v>Al Asalah Primary School</v>
          </cell>
          <cell r="H679" t="str">
            <v>AD</v>
          </cell>
        </row>
        <row r="680">
          <cell r="B680" t="str">
            <v>Fire Smoke / Heat Detector, Sounder</v>
          </cell>
          <cell r="D680" t="str">
            <v>Al Asalah Primary School</v>
          </cell>
          <cell r="H680" t="str">
            <v>AD</v>
          </cell>
        </row>
        <row r="681">
          <cell r="B681" t="str">
            <v>Fire Smoke / Heat Detector, Sounder</v>
          </cell>
          <cell r="D681" t="str">
            <v>Al Asalah Primary School</v>
          </cell>
          <cell r="H681" t="str">
            <v>AD</v>
          </cell>
        </row>
        <row r="682">
          <cell r="B682" t="str">
            <v>Fire Smoke / Heat Detector, Sounder</v>
          </cell>
          <cell r="D682" t="str">
            <v>Al Asalah Primary School</v>
          </cell>
          <cell r="H682" t="str">
            <v>AD</v>
          </cell>
        </row>
        <row r="683">
          <cell r="B683" t="str">
            <v>Fire Smoke / Heat Detector, Sounder</v>
          </cell>
          <cell r="D683" t="str">
            <v>Al Asalah Primary School</v>
          </cell>
          <cell r="H683" t="str">
            <v>AD</v>
          </cell>
        </row>
        <row r="684">
          <cell r="B684" t="str">
            <v>Fire Smoke / Heat Detector, Sounder</v>
          </cell>
          <cell r="D684" t="str">
            <v>Al Asalah Primary School</v>
          </cell>
          <cell r="H684" t="str">
            <v>AD</v>
          </cell>
        </row>
        <row r="685">
          <cell r="B685" t="str">
            <v>Fire Smoke / Heat Detector, Sounder</v>
          </cell>
          <cell r="D685" t="str">
            <v>Al Asalah Primary School</v>
          </cell>
          <cell r="H685" t="str">
            <v>AD</v>
          </cell>
        </row>
        <row r="686">
          <cell r="B686" t="str">
            <v>Fire Smoke / Heat Detector, Sounder</v>
          </cell>
          <cell r="D686" t="str">
            <v>Al Asalah Primary School</v>
          </cell>
          <cell r="H686" t="str">
            <v>AD</v>
          </cell>
        </row>
        <row r="687">
          <cell r="B687" t="str">
            <v>Fire Smoke / Heat Detector, Sounder</v>
          </cell>
          <cell r="D687" t="str">
            <v>Al Asalah Primary School</v>
          </cell>
          <cell r="H687" t="str">
            <v>AD</v>
          </cell>
        </row>
        <row r="688">
          <cell r="B688" t="str">
            <v>Fire Smoke / Heat Detector, Sounder</v>
          </cell>
          <cell r="D688" t="str">
            <v>Al Asalah Primary School</v>
          </cell>
          <cell r="H688" t="str">
            <v>AD</v>
          </cell>
        </row>
        <row r="689">
          <cell r="B689" t="str">
            <v>Fire Smoke / Heat Detector, Sounder</v>
          </cell>
          <cell r="D689" t="str">
            <v>Al Asalah Primary School</v>
          </cell>
          <cell r="H689" t="str">
            <v>AD</v>
          </cell>
        </row>
        <row r="690">
          <cell r="B690" t="str">
            <v>Fire Smoke / Heat Detector, Sounder</v>
          </cell>
          <cell r="D690" t="str">
            <v>Al Asalah Primary School</v>
          </cell>
          <cell r="H690" t="str">
            <v>AD</v>
          </cell>
        </row>
        <row r="691">
          <cell r="B691" t="str">
            <v>Fire Smoke / Heat Detector, Sounder</v>
          </cell>
          <cell r="D691" t="str">
            <v>Al Asalah Primary School</v>
          </cell>
          <cell r="H691" t="str">
            <v>AD</v>
          </cell>
        </row>
        <row r="692">
          <cell r="B692" t="str">
            <v>Fire Smoke / Heat Detector, Sounder</v>
          </cell>
          <cell r="D692" t="str">
            <v>Al Asalah Primary School</v>
          </cell>
          <cell r="H692" t="str">
            <v>AD</v>
          </cell>
        </row>
        <row r="693">
          <cell r="B693" t="str">
            <v>Fire Smoke / Heat Detector, Sounder</v>
          </cell>
          <cell r="D693" t="str">
            <v>Al Asalah Primary School</v>
          </cell>
          <cell r="H693" t="str">
            <v>AD</v>
          </cell>
        </row>
        <row r="694">
          <cell r="B694" t="str">
            <v>Fire Smoke / Heat Detector, Sounder</v>
          </cell>
          <cell r="D694" t="str">
            <v>Al Asalah Primary School</v>
          </cell>
          <cell r="H694" t="str">
            <v>AD</v>
          </cell>
        </row>
        <row r="695">
          <cell r="B695" t="str">
            <v>Fire Smoke / Heat Detector, Sounder</v>
          </cell>
          <cell r="D695" t="str">
            <v>Al Asalah Primary School</v>
          </cell>
          <cell r="H695" t="str">
            <v>AD</v>
          </cell>
        </row>
        <row r="696">
          <cell r="B696" t="str">
            <v>Fire Smoke / Heat Detector, Sounder</v>
          </cell>
          <cell r="D696" t="str">
            <v>Al Asalah Primary School</v>
          </cell>
          <cell r="H696" t="str">
            <v>AD</v>
          </cell>
        </row>
        <row r="697">
          <cell r="B697" t="str">
            <v>Fire Smoke / Heat Detector, Sounder</v>
          </cell>
          <cell r="D697" t="str">
            <v>Al Asalah Primary School</v>
          </cell>
          <cell r="H697" t="str">
            <v>AD</v>
          </cell>
        </row>
        <row r="698">
          <cell r="B698" t="str">
            <v>Fire Smoke / Heat Detector, Sounder</v>
          </cell>
          <cell r="D698" t="str">
            <v>Al Asalah Primary School</v>
          </cell>
          <cell r="H698" t="str">
            <v>AD</v>
          </cell>
        </row>
        <row r="699">
          <cell r="B699" t="str">
            <v>Fire Smoke / Heat Detector, Sounder</v>
          </cell>
          <cell r="D699" t="str">
            <v>Al Asalah Primary School</v>
          </cell>
          <cell r="H699" t="str">
            <v>AD</v>
          </cell>
        </row>
        <row r="700">
          <cell r="B700" t="str">
            <v>Fire Smoke / Heat Detector, Sounder</v>
          </cell>
          <cell r="D700" t="str">
            <v>Al Asalah Primary School</v>
          </cell>
          <cell r="H700" t="str">
            <v>AD</v>
          </cell>
        </row>
        <row r="701">
          <cell r="B701" t="str">
            <v>Fire Smoke / Heat Detector, Sounder</v>
          </cell>
          <cell r="D701" t="str">
            <v>Al Asalah Primary School</v>
          </cell>
          <cell r="H701" t="str">
            <v>AD</v>
          </cell>
        </row>
        <row r="702">
          <cell r="B702" t="str">
            <v>Fire Smoke / Heat Detector, Sounder</v>
          </cell>
          <cell r="D702" t="str">
            <v>Al Asalah Primary School</v>
          </cell>
          <cell r="H702" t="str">
            <v>AD</v>
          </cell>
        </row>
        <row r="703">
          <cell r="B703" t="str">
            <v>Fire Smoke / Heat Detector, Sounder</v>
          </cell>
          <cell r="D703" t="str">
            <v>Al Asalah Primary School</v>
          </cell>
          <cell r="H703" t="str">
            <v>AD</v>
          </cell>
        </row>
        <row r="704">
          <cell r="B704" t="str">
            <v>Fire Smoke / Heat Detector, Sounder</v>
          </cell>
          <cell r="D704" t="str">
            <v>Al Asalah Primary School</v>
          </cell>
          <cell r="H704" t="str">
            <v>AD</v>
          </cell>
        </row>
        <row r="705">
          <cell r="B705" t="str">
            <v>Fire Smoke / Heat Detector, Sounder</v>
          </cell>
          <cell r="D705" t="str">
            <v>Al Asalah Primary School</v>
          </cell>
          <cell r="H705" t="str">
            <v>AD</v>
          </cell>
        </row>
        <row r="706">
          <cell r="B706" t="str">
            <v>Fire Smoke / Heat Detector, Sounder</v>
          </cell>
          <cell r="D706" t="str">
            <v>Al Asalah Primary School</v>
          </cell>
          <cell r="H706" t="str">
            <v>AD</v>
          </cell>
        </row>
        <row r="707">
          <cell r="B707" t="str">
            <v>Fire Smoke / Heat Detector, Sounder</v>
          </cell>
          <cell r="D707" t="str">
            <v>Al Asalah Primary School</v>
          </cell>
          <cell r="H707" t="str">
            <v>AD</v>
          </cell>
        </row>
        <row r="708">
          <cell r="B708" t="str">
            <v>Fire Smoke / Heat Detector, Sounder</v>
          </cell>
          <cell r="D708" t="str">
            <v>Al Asalah Primary School</v>
          </cell>
          <cell r="H708" t="str">
            <v>AD</v>
          </cell>
        </row>
        <row r="709">
          <cell r="B709" t="str">
            <v>Fire Smoke / Heat Detector, Sounder</v>
          </cell>
          <cell r="D709" t="str">
            <v>Al Asalah Primary School</v>
          </cell>
          <cell r="H709" t="str">
            <v>AD</v>
          </cell>
        </row>
        <row r="710">
          <cell r="B710" t="str">
            <v>Fire Smoke / Heat Detector, Sounder</v>
          </cell>
          <cell r="D710" t="str">
            <v>Al Asalah Primary School</v>
          </cell>
          <cell r="H710" t="str">
            <v>AD</v>
          </cell>
        </row>
        <row r="711">
          <cell r="B711" t="str">
            <v>Fire Smoke / Heat Detector, Sounder</v>
          </cell>
          <cell r="D711" t="str">
            <v>Al Asalah Primary School</v>
          </cell>
          <cell r="H711" t="str">
            <v>AD</v>
          </cell>
        </row>
        <row r="712">
          <cell r="B712" t="str">
            <v>Fire Smoke / Heat Detector, Sounder</v>
          </cell>
          <cell r="D712" t="str">
            <v>Al Asalah Primary School</v>
          </cell>
          <cell r="H712" t="str">
            <v>AD</v>
          </cell>
        </row>
        <row r="713">
          <cell r="B713" t="str">
            <v>Fire Smoke / Heat Detector, Sounder</v>
          </cell>
          <cell r="D713" t="str">
            <v>Al Asalah Primary School</v>
          </cell>
          <cell r="H713" t="str">
            <v>AD</v>
          </cell>
        </row>
        <row r="714">
          <cell r="B714" t="str">
            <v>Fire Smoke / Heat Detector, Sounder</v>
          </cell>
          <cell r="D714" t="str">
            <v>Al Asalah Primary School</v>
          </cell>
          <cell r="H714" t="str">
            <v>AD</v>
          </cell>
        </row>
        <row r="715">
          <cell r="B715" t="str">
            <v>Fire Smoke / Heat Detector, Sounder</v>
          </cell>
          <cell r="D715" t="str">
            <v>Al Asalah Primary School</v>
          </cell>
          <cell r="H715" t="str">
            <v>AD</v>
          </cell>
        </row>
        <row r="716">
          <cell r="B716" t="str">
            <v>Fire Smoke / Heat Detector, Sounder</v>
          </cell>
          <cell r="D716" t="str">
            <v>Al Asalah Primary School</v>
          </cell>
          <cell r="H716" t="str">
            <v>AD</v>
          </cell>
        </row>
        <row r="717">
          <cell r="B717" t="str">
            <v>Fire Smoke / Heat Detector, Sounder</v>
          </cell>
          <cell r="D717" t="str">
            <v>Al Asalah Primary School</v>
          </cell>
          <cell r="H717" t="str">
            <v>AD</v>
          </cell>
        </row>
        <row r="718">
          <cell r="B718" t="str">
            <v>Fire Smoke / Heat Detector, Sounder</v>
          </cell>
          <cell r="D718" t="str">
            <v>Al Asalah Primary School</v>
          </cell>
          <cell r="H718" t="str">
            <v>AD</v>
          </cell>
        </row>
        <row r="719">
          <cell r="B719" t="str">
            <v>Fire Smoke / Heat Detector, Sounder</v>
          </cell>
          <cell r="D719" t="str">
            <v>Al Asalah Primary School</v>
          </cell>
          <cell r="H719" t="str">
            <v>AD</v>
          </cell>
        </row>
        <row r="720">
          <cell r="B720" t="str">
            <v>Fire Smoke / Heat Detector, Sounder</v>
          </cell>
          <cell r="D720" t="str">
            <v>Al Asalah Primary School</v>
          </cell>
          <cell r="H720" t="str">
            <v>AD</v>
          </cell>
        </row>
        <row r="721">
          <cell r="B721" t="str">
            <v>Fire Smoke / Heat Detector, Sounder</v>
          </cell>
          <cell r="D721" t="str">
            <v>Al Asalah Primary School</v>
          </cell>
          <cell r="H721" t="str">
            <v>AD</v>
          </cell>
        </row>
        <row r="722">
          <cell r="B722" t="str">
            <v>Fire Smoke / Heat Detector, Sounder</v>
          </cell>
          <cell r="D722" t="str">
            <v>Al Asalah Primary School</v>
          </cell>
          <cell r="H722" t="str">
            <v>AD</v>
          </cell>
        </row>
        <row r="723">
          <cell r="B723" t="str">
            <v>Fire Smoke / Heat Detector, Sounder</v>
          </cell>
          <cell r="D723" t="str">
            <v>Al Asalah Primary School</v>
          </cell>
          <cell r="H723" t="str">
            <v>AD</v>
          </cell>
        </row>
        <row r="724">
          <cell r="B724" t="str">
            <v>Fire Smoke / Heat Detector, Sounder</v>
          </cell>
          <cell r="D724" t="str">
            <v>Al Asalah Primary School</v>
          </cell>
          <cell r="H724" t="str">
            <v>AD</v>
          </cell>
        </row>
        <row r="725">
          <cell r="B725" t="str">
            <v>Fire Smoke / Heat Detector, Sounder</v>
          </cell>
          <cell r="D725" t="str">
            <v>Al Asalah Primary School</v>
          </cell>
          <cell r="H725" t="str">
            <v>AD</v>
          </cell>
        </row>
        <row r="726">
          <cell r="B726" t="str">
            <v>Fire Smoke / Heat Detector, Sounder</v>
          </cell>
          <cell r="D726" t="str">
            <v>Al Asalah Primary School</v>
          </cell>
          <cell r="H726" t="str">
            <v>AD</v>
          </cell>
        </row>
        <row r="727">
          <cell r="B727" t="str">
            <v>Fire Smoke / Heat Detector, Sounder</v>
          </cell>
          <cell r="D727" t="str">
            <v>Al Asalah Primary School</v>
          </cell>
          <cell r="H727" t="str">
            <v>AD</v>
          </cell>
        </row>
        <row r="728">
          <cell r="B728" t="str">
            <v>Fire Smoke / Heat Detector, Sounder</v>
          </cell>
          <cell r="D728" t="str">
            <v>Al Asalah Primary School</v>
          </cell>
          <cell r="H728" t="str">
            <v>AD</v>
          </cell>
        </row>
        <row r="729">
          <cell r="B729" t="str">
            <v>Fire Smoke / Heat Detector, Sounder</v>
          </cell>
          <cell r="D729" t="str">
            <v>Al Asalah Primary School</v>
          </cell>
          <cell r="H729" t="str">
            <v>AD</v>
          </cell>
        </row>
        <row r="730">
          <cell r="B730" t="str">
            <v>Fire Smoke / Heat Detector, Sounder</v>
          </cell>
          <cell r="D730" t="str">
            <v>Al Asalah Primary School</v>
          </cell>
          <cell r="H730" t="str">
            <v>AD</v>
          </cell>
        </row>
        <row r="731">
          <cell r="B731" t="str">
            <v>Fire Smoke / Heat Detector, Sounder</v>
          </cell>
          <cell r="D731" t="str">
            <v>Al Asalah Primary School</v>
          </cell>
          <cell r="H731" t="str">
            <v>AD</v>
          </cell>
        </row>
        <row r="732">
          <cell r="B732" t="str">
            <v>Fire Smoke / Heat Detector, Sounder</v>
          </cell>
          <cell r="D732" t="str">
            <v>Al Asalah Primary School</v>
          </cell>
          <cell r="H732" t="str">
            <v>AD</v>
          </cell>
        </row>
        <row r="733">
          <cell r="B733" t="str">
            <v>Fire Smoke / Heat Detector, Sounder</v>
          </cell>
          <cell r="D733" t="str">
            <v>Al Asalah Primary School</v>
          </cell>
          <cell r="H733" t="str">
            <v>AD</v>
          </cell>
        </row>
        <row r="734">
          <cell r="B734" t="str">
            <v>Fire Smoke / Heat Detector, Sounder</v>
          </cell>
          <cell r="D734" t="str">
            <v>Al Asalah Primary School</v>
          </cell>
          <cell r="H734" t="str">
            <v>AD</v>
          </cell>
        </row>
        <row r="735">
          <cell r="B735" t="str">
            <v>Fire Smoke / Heat Detector, Sounder</v>
          </cell>
          <cell r="D735" t="str">
            <v>Al Asalah Primary School</v>
          </cell>
          <cell r="H735" t="str">
            <v>AD</v>
          </cell>
        </row>
        <row r="736">
          <cell r="B736" t="str">
            <v>Fire Smoke / Heat Detector, Sounder</v>
          </cell>
          <cell r="D736" t="str">
            <v>Al Asalah Primary School</v>
          </cell>
          <cell r="H736" t="str">
            <v>AD</v>
          </cell>
        </row>
        <row r="737">
          <cell r="B737" t="str">
            <v>Fire Smoke / Heat Detector, Sounder</v>
          </cell>
          <cell r="D737" t="str">
            <v>Al Asalah Primary School</v>
          </cell>
          <cell r="H737" t="str">
            <v>AD</v>
          </cell>
        </row>
        <row r="738">
          <cell r="B738" t="str">
            <v>Fire Smoke / Heat Detector, Sounder</v>
          </cell>
          <cell r="D738" t="str">
            <v>Al Asalah Primary School</v>
          </cell>
          <cell r="H738" t="str">
            <v>AD</v>
          </cell>
        </row>
        <row r="739">
          <cell r="B739" t="str">
            <v>Fire Smoke / Heat Detector, Sounder</v>
          </cell>
          <cell r="D739" t="str">
            <v>Al Asalah Primary School</v>
          </cell>
          <cell r="H739" t="str">
            <v>AD</v>
          </cell>
        </row>
        <row r="740">
          <cell r="B740" t="str">
            <v>Fire Smoke / Heat Detector, Sounder</v>
          </cell>
          <cell r="D740" t="str">
            <v>Al Asalah Primary School</v>
          </cell>
          <cell r="H740" t="str">
            <v>AD</v>
          </cell>
        </row>
        <row r="741">
          <cell r="B741" t="str">
            <v>Fire Smoke / Heat Detector, Sounder</v>
          </cell>
          <cell r="D741" t="str">
            <v>Al Asalah Primary School</v>
          </cell>
          <cell r="H741" t="str">
            <v>AD</v>
          </cell>
        </row>
        <row r="742">
          <cell r="B742" t="str">
            <v>Fire Smoke / Heat Detector, Sounder</v>
          </cell>
          <cell r="D742" t="str">
            <v>Al Asalah Primary School</v>
          </cell>
          <cell r="H742" t="str">
            <v>AD</v>
          </cell>
        </row>
        <row r="743">
          <cell r="B743" t="str">
            <v>Fire Smoke / Heat Detector, Sounder</v>
          </cell>
          <cell r="D743" t="str">
            <v>Al Asalah Primary School</v>
          </cell>
          <cell r="H743" t="str">
            <v>AD</v>
          </cell>
        </row>
        <row r="744">
          <cell r="B744" t="str">
            <v>Fire Smoke / Heat Detector, Sounder</v>
          </cell>
          <cell r="D744" t="str">
            <v>Al Asalah Primary School</v>
          </cell>
          <cell r="H744" t="str">
            <v>AD</v>
          </cell>
        </row>
        <row r="745">
          <cell r="B745" t="str">
            <v>Fire Smoke / Heat Detector, Sounder</v>
          </cell>
          <cell r="D745" t="str">
            <v>Al Asalah Primary School</v>
          </cell>
          <cell r="H745" t="str">
            <v>AD</v>
          </cell>
        </row>
        <row r="746">
          <cell r="B746" t="str">
            <v>Fire Smoke / Heat Detector, Sounder</v>
          </cell>
          <cell r="D746" t="str">
            <v>Al Asalah Primary School</v>
          </cell>
          <cell r="H746" t="str">
            <v>AD</v>
          </cell>
        </row>
        <row r="747">
          <cell r="B747" t="str">
            <v>Fire Smoke / Heat Detector, Sounder</v>
          </cell>
          <cell r="D747" t="str">
            <v>Al Asalah Primary School</v>
          </cell>
          <cell r="H747" t="str">
            <v>AD</v>
          </cell>
        </row>
        <row r="748">
          <cell r="B748" t="str">
            <v>Fire Smoke / Heat Detector, Sounder</v>
          </cell>
          <cell r="D748" t="str">
            <v>Al Asalah Primary School</v>
          </cell>
          <cell r="H748" t="str">
            <v>AD</v>
          </cell>
        </row>
        <row r="749">
          <cell r="B749" t="str">
            <v>Fire Smoke / Heat Detector, Sounder</v>
          </cell>
          <cell r="D749" t="str">
            <v>Al Asalah Primary School</v>
          </cell>
          <cell r="H749" t="str">
            <v>AD</v>
          </cell>
        </row>
        <row r="750">
          <cell r="B750" t="str">
            <v>Fire Smoke / Heat Detector, Sounder</v>
          </cell>
          <cell r="D750" t="str">
            <v>Al Asalah Primary School</v>
          </cell>
          <cell r="H750" t="str">
            <v>AD</v>
          </cell>
        </row>
        <row r="751">
          <cell r="B751" t="str">
            <v>Fire Smoke / Heat Detector, Sounder</v>
          </cell>
          <cell r="D751" t="str">
            <v>Al Asalah Primary School</v>
          </cell>
          <cell r="H751" t="str">
            <v>AD</v>
          </cell>
        </row>
        <row r="752">
          <cell r="B752" t="str">
            <v>Fire Smoke / Heat Detector, Sounder</v>
          </cell>
          <cell r="D752" t="str">
            <v>Al Asalah Primary School</v>
          </cell>
          <cell r="H752" t="str">
            <v>AD</v>
          </cell>
        </row>
        <row r="753">
          <cell r="B753" t="str">
            <v>Fire Smoke / Heat Detector, Sounder</v>
          </cell>
          <cell r="D753" t="str">
            <v>Al Asalah Primary School</v>
          </cell>
          <cell r="H753" t="str">
            <v>AD</v>
          </cell>
        </row>
        <row r="754">
          <cell r="B754" t="str">
            <v>Fire Smoke / Heat Detector, Sounder</v>
          </cell>
          <cell r="D754" t="str">
            <v>Al Asalah Primary School</v>
          </cell>
          <cell r="H754" t="str">
            <v>AD</v>
          </cell>
        </row>
        <row r="755">
          <cell r="B755" t="str">
            <v>Fire Smoke / Heat Detector, Sounder</v>
          </cell>
          <cell r="D755" t="str">
            <v>Al Asalah Primary School</v>
          </cell>
          <cell r="H755" t="str">
            <v>AD</v>
          </cell>
        </row>
        <row r="756">
          <cell r="B756" t="str">
            <v>Fire Smoke / Heat Detector, Sounder</v>
          </cell>
          <cell r="D756" t="str">
            <v>Al Asalah Primary School</v>
          </cell>
          <cell r="H756" t="str">
            <v>AD</v>
          </cell>
        </row>
        <row r="757">
          <cell r="B757" t="str">
            <v>Fire Smoke / Heat Detector, Sounder</v>
          </cell>
          <cell r="D757" t="str">
            <v>Al Asalah Primary School</v>
          </cell>
          <cell r="H757" t="str">
            <v>AD</v>
          </cell>
        </row>
        <row r="758">
          <cell r="B758" t="str">
            <v>Fire Smoke / Heat Detector, Sounder</v>
          </cell>
          <cell r="D758" t="str">
            <v>Al Asalah Primary School</v>
          </cell>
          <cell r="H758" t="str">
            <v>AD</v>
          </cell>
        </row>
        <row r="759">
          <cell r="B759" t="str">
            <v>Fire Smoke / Heat Detector, Sounder</v>
          </cell>
          <cell r="D759" t="str">
            <v>Al Asalah Primary School</v>
          </cell>
          <cell r="H759" t="str">
            <v>AD</v>
          </cell>
        </row>
        <row r="760">
          <cell r="B760" t="str">
            <v>Fire Smoke / Heat Detector, Sounder</v>
          </cell>
          <cell r="D760" t="str">
            <v>Al Asalah Primary School</v>
          </cell>
          <cell r="H760" t="str">
            <v>AD</v>
          </cell>
        </row>
        <row r="761">
          <cell r="B761" t="str">
            <v>Fire Smoke / Heat Detector, Sounder</v>
          </cell>
          <cell r="D761" t="str">
            <v>Al Asalah Primary School</v>
          </cell>
          <cell r="H761" t="str">
            <v>AD</v>
          </cell>
        </row>
        <row r="762">
          <cell r="B762" t="str">
            <v>Fire Smoke / Heat Detector, Sounder</v>
          </cell>
          <cell r="D762" t="str">
            <v>Al Asalah Primary School</v>
          </cell>
          <cell r="H762" t="str">
            <v>AD</v>
          </cell>
        </row>
        <row r="763">
          <cell r="B763" t="str">
            <v>Fire Smoke / Heat Detector, Sounder</v>
          </cell>
          <cell r="D763" t="str">
            <v>Al Asalah Primary School</v>
          </cell>
          <cell r="H763" t="str">
            <v>AD</v>
          </cell>
        </row>
        <row r="764">
          <cell r="B764" t="str">
            <v>Fire Smoke / Heat Detector, Sounder</v>
          </cell>
          <cell r="D764" t="str">
            <v>Al Asalah Primary School</v>
          </cell>
          <cell r="H764" t="str">
            <v>AD</v>
          </cell>
        </row>
        <row r="765">
          <cell r="B765" t="str">
            <v>Fire Smoke / Heat Detector, Sounder</v>
          </cell>
          <cell r="D765" t="str">
            <v>Al Asalah Primary School</v>
          </cell>
          <cell r="H765" t="str">
            <v>AD</v>
          </cell>
        </row>
        <row r="766">
          <cell r="B766" t="str">
            <v>Fire Smoke / Heat Detector, Sounder</v>
          </cell>
          <cell r="D766" t="str">
            <v>Al Asalah Primary School</v>
          </cell>
          <cell r="H766" t="str">
            <v>AD</v>
          </cell>
        </row>
        <row r="767">
          <cell r="B767" t="str">
            <v>Fire Smoke / Heat Detector, Sounder</v>
          </cell>
          <cell r="D767" t="str">
            <v>Al Asalah Primary School</v>
          </cell>
          <cell r="H767" t="str">
            <v>AD</v>
          </cell>
        </row>
        <row r="768">
          <cell r="B768" t="str">
            <v>Fire Smoke / Heat Detector, Sounder</v>
          </cell>
          <cell r="D768" t="str">
            <v>Al Asalah Primary School</v>
          </cell>
          <cell r="H768" t="str">
            <v>AD</v>
          </cell>
        </row>
        <row r="769">
          <cell r="B769" t="str">
            <v>Fire Smoke / Heat Detector, Sounder</v>
          </cell>
          <cell r="D769" t="str">
            <v>Al Asalah Primary School</v>
          </cell>
          <cell r="H769" t="str">
            <v>AD</v>
          </cell>
        </row>
        <row r="770">
          <cell r="B770" t="str">
            <v>Fire Smoke / Heat Detector, Sounder</v>
          </cell>
          <cell r="D770" t="str">
            <v>Al Asalah Primary School</v>
          </cell>
          <cell r="H770" t="str">
            <v>AD</v>
          </cell>
        </row>
        <row r="771">
          <cell r="B771" t="str">
            <v>Fire Smoke / Heat Detector, Sounder</v>
          </cell>
          <cell r="D771" t="str">
            <v>Al Asalah Primary School</v>
          </cell>
          <cell r="H771" t="str">
            <v>AD</v>
          </cell>
        </row>
        <row r="772">
          <cell r="B772" t="str">
            <v>Fire Smoke / Heat Detector, Sounder</v>
          </cell>
          <cell r="D772" t="str">
            <v>Al Asalah Primary School</v>
          </cell>
          <cell r="H772" t="str">
            <v>AD</v>
          </cell>
        </row>
        <row r="773">
          <cell r="B773" t="str">
            <v>Fire Smoke / Heat Detector, Sounder</v>
          </cell>
          <cell r="D773" t="str">
            <v>Al Asalah Primary School</v>
          </cell>
          <cell r="H773" t="str">
            <v>AD</v>
          </cell>
        </row>
        <row r="774">
          <cell r="B774" t="str">
            <v>Fire Smoke / Heat Detector, Sounder</v>
          </cell>
          <cell r="D774" t="str">
            <v>Al Asalah Primary School</v>
          </cell>
          <cell r="H774" t="str">
            <v>AD</v>
          </cell>
        </row>
        <row r="775">
          <cell r="B775" t="str">
            <v>Fire Smoke / Heat Detector, Sounder</v>
          </cell>
          <cell r="D775" t="str">
            <v>Al Asalah Primary School</v>
          </cell>
          <cell r="H775" t="str">
            <v>AD</v>
          </cell>
        </row>
        <row r="776">
          <cell r="B776" t="str">
            <v>Fire Smoke / Heat Detector, Sounder</v>
          </cell>
          <cell r="D776" t="str">
            <v>Al Asalah Primary School</v>
          </cell>
          <cell r="H776" t="str">
            <v>AD</v>
          </cell>
        </row>
        <row r="777">
          <cell r="B777" t="str">
            <v>Fire Smoke / Heat Detector, Sounder</v>
          </cell>
          <cell r="D777" t="str">
            <v>Al Asalah Primary School</v>
          </cell>
          <cell r="H777" t="str">
            <v>AD</v>
          </cell>
        </row>
        <row r="778">
          <cell r="B778" t="str">
            <v>Fire Smoke / Heat Detector, Sounder</v>
          </cell>
          <cell r="D778" t="str">
            <v>Al Asalah Primary School</v>
          </cell>
          <cell r="H778" t="str">
            <v>AD</v>
          </cell>
        </row>
        <row r="779">
          <cell r="B779" t="str">
            <v>Fire Smoke / Heat Detector, Sounder</v>
          </cell>
          <cell r="D779" t="str">
            <v>Al Asalah Primary School</v>
          </cell>
          <cell r="H779" t="str">
            <v>AD</v>
          </cell>
        </row>
        <row r="780">
          <cell r="B780" t="str">
            <v>Fire Smoke / Heat Detector, Sounder</v>
          </cell>
          <cell r="D780" t="str">
            <v>Al Asalah Primary School</v>
          </cell>
          <cell r="H780" t="str">
            <v>AD</v>
          </cell>
        </row>
        <row r="781">
          <cell r="B781" t="str">
            <v>Fire Smoke / Heat Detector, Sounder</v>
          </cell>
          <cell r="D781" t="str">
            <v>Al Asalah Primary School</v>
          </cell>
          <cell r="H781" t="str">
            <v>AD</v>
          </cell>
        </row>
        <row r="782">
          <cell r="B782" t="str">
            <v>Fire Smoke / Heat Detector, Sounder</v>
          </cell>
          <cell r="D782" t="str">
            <v>Al Asalah Primary School</v>
          </cell>
          <cell r="H782" t="str">
            <v>AD</v>
          </cell>
        </row>
        <row r="783">
          <cell r="B783" t="str">
            <v>Fire Smoke / Heat Detector, Sounder</v>
          </cell>
          <cell r="D783" t="str">
            <v>Al Asalah Primary School</v>
          </cell>
          <cell r="H783" t="str">
            <v>AD</v>
          </cell>
        </row>
        <row r="784">
          <cell r="B784" t="str">
            <v>Fire Smoke / Heat Detector, Sounder</v>
          </cell>
          <cell r="D784" t="str">
            <v>Al Asalah Primary School</v>
          </cell>
          <cell r="H784" t="str">
            <v>AD</v>
          </cell>
        </row>
        <row r="785">
          <cell r="B785" t="str">
            <v>Fire Smoke / Heat Detector, Sounder</v>
          </cell>
          <cell r="D785" t="str">
            <v>Al Asalah Primary School</v>
          </cell>
          <cell r="H785" t="str">
            <v>AD</v>
          </cell>
        </row>
        <row r="786">
          <cell r="B786" t="str">
            <v>Fire Smoke / Heat Detector, Sounder</v>
          </cell>
          <cell r="D786" t="str">
            <v>Al Asalah Primary School</v>
          </cell>
          <cell r="H786" t="str">
            <v>AD</v>
          </cell>
        </row>
        <row r="787">
          <cell r="B787" t="str">
            <v>Fire Smoke / Heat Detector, Sounder</v>
          </cell>
          <cell r="D787" t="str">
            <v>Al Asalah Primary School</v>
          </cell>
          <cell r="H787" t="str">
            <v>AD</v>
          </cell>
        </row>
        <row r="788">
          <cell r="B788" t="str">
            <v>Fire Smoke / Heat Detector, Sounder</v>
          </cell>
          <cell r="D788" t="str">
            <v>Al Asalah Primary School</v>
          </cell>
          <cell r="H788" t="str">
            <v>AD</v>
          </cell>
        </row>
        <row r="789">
          <cell r="B789" t="str">
            <v>Fire Smoke / Heat Detector, Sounder</v>
          </cell>
          <cell r="D789" t="str">
            <v>Al Asalah Primary School</v>
          </cell>
          <cell r="H789" t="str">
            <v>AD</v>
          </cell>
        </row>
        <row r="790">
          <cell r="B790" t="str">
            <v>Fire Water Tank</v>
          </cell>
          <cell r="D790" t="str">
            <v>Al Asalah Primary School</v>
          </cell>
          <cell r="H790" t="str">
            <v>AD</v>
          </cell>
        </row>
        <row r="791">
          <cell r="B791" t="str">
            <v>Gas Detection System</v>
          </cell>
          <cell r="D791" t="str">
            <v>Al Asalah Primary School</v>
          </cell>
          <cell r="H791" t="str">
            <v>AD</v>
          </cell>
        </row>
        <row r="792">
          <cell r="B792" t="str">
            <v>Gas Detection System</v>
          </cell>
          <cell r="D792" t="str">
            <v>Al Asalah Primary School</v>
          </cell>
          <cell r="H792" t="str">
            <v>AD</v>
          </cell>
        </row>
        <row r="793">
          <cell r="B793" t="str">
            <v>Gas Detection System</v>
          </cell>
          <cell r="D793" t="str">
            <v>Al Asalah Primary School</v>
          </cell>
          <cell r="H793" t="str">
            <v>AD</v>
          </cell>
        </row>
        <row r="794">
          <cell r="B794" t="str">
            <v>Gas Detection System</v>
          </cell>
          <cell r="D794" t="str">
            <v>Al Asalah Primary School</v>
          </cell>
          <cell r="H794" t="str">
            <v>AD</v>
          </cell>
        </row>
        <row r="795">
          <cell r="B795" t="str">
            <v>Intercom System</v>
          </cell>
          <cell r="D795" t="str">
            <v>Al Asalah Primary School</v>
          </cell>
          <cell r="H795" t="str">
            <v>AD</v>
          </cell>
        </row>
        <row r="796">
          <cell r="B796" t="str">
            <v>Intercom System</v>
          </cell>
          <cell r="D796" t="str">
            <v>Al Asalah Primary School</v>
          </cell>
          <cell r="H796" t="str">
            <v>AD</v>
          </cell>
        </row>
        <row r="797">
          <cell r="B797" t="str">
            <v>Intercom System</v>
          </cell>
          <cell r="D797" t="str">
            <v>Al Asalah Primary School</v>
          </cell>
          <cell r="H797" t="str">
            <v>AD</v>
          </cell>
        </row>
        <row r="798">
          <cell r="B798" t="str">
            <v>Intercom System</v>
          </cell>
          <cell r="D798" t="str">
            <v>Al Asalah Primary School</v>
          </cell>
          <cell r="H798" t="str">
            <v>AD</v>
          </cell>
        </row>
        <row r="799">
          <cell r="B799" t="str">
            <v>UPS</v>
          </cell>
          <cell r="D799" t="str">
            <v>Al Asalah Primary School</v>
          </cell>
          <cell r="H799" t="str">
            <v>AD</v>
          </cell>
        </row>
        <row r="800">
          <cell r="B800" t="str">
            <v>UPS</v>
          </cell>
          <cell r="D800" t="str">
            <v>Al Asalah Primary School</v>
          </cell>
          <cell r="H800" t="str">
            <v>AD</v>
          </cell>
        </row>
        <row r="801">
          <cell r="B801" t="str">
            <v>Water Tank</v>
          </cell>
          <cell r="D801" t="str">
            <v>Al Asalah Primary School</v>
          </cell>
          <cell r="H801" t="str">
            <v>AD</v>
          </cell>
        </row>
        <row r="802">
          <cell r="B802" t="str">
            <v>Water Tank</v>
          </cell>
          <cell r="D802" t="str">
            <v>Al Asalah Primary School</v>
          </cell>
          <cell r="H802" t="str">
            <v>AD</v>
          </cell>
        </row>
        <row r="803">
          <cell r="B803" t="str">
            <v>Water Tank</v>
          </cell>
          <cell r="D803" t="str">
            <v>Al Asalah Primary School</v>
          </cell>
          <cell r="H803" t="str">
            <v>AD</v>
          </cell>
        </row>
        <row r="804">
          <cell r="B804" t="str">
            <v>Water Tank</v>
          </cell>
          <cell r="D804" t="str">
            <v>Al Asalah Primary School</v>
          </cell>
          <cell r="H804" t="str">
            <v>AD</v>
          </cell>
        </row>
        <row r="805">
          <cell r="B805" t="str">
            <v>Water Tank</v>
          </cell>
          <cell r="D805" t="str">
            <v>Al Asalah Primary School</v>
          </cell>
          <cell r="H805" t="str">
            <v>AD</v>
          </cell>
        </row>
        <row r="806">
          <cell r="B806" t="str">
            <v>Fire Alarm Break Glass Call Point</v>
          </cell>
          <cell r="D806" t="str">
            <v>Al Bedaya school</v>
          </cell>
          <cell r="H806" t="str">
            <v>AD</v>
          </cell>
        </row>
        <row r="807">
          <cell r="B807" t="str">
            <v>Fire Alarm Break Glass Call Point</v>
          </cell>
          <cell r="D807" t="str">
            <v>Al Bedaya school</v>
          </cell>
          <cell r="H807" t="str">
            <v>AD</v>
          </cell>
        </row>
        <row r="808">
          <cell r="B808" t="str">
            <v>Fire Alarm Break Glass Call Point</v>
          </cell>
          <cell r="D808" t="str">
            <v>Al Bedaya school</v>
          </cell>
          <cell r="H808" t="str">
            <v>AD</v>
          </cell>
        </row>
        <row r="809">
          <cell r="B809" t="str">
            <v>Fire Alarm Panel</v>
          </cell>
          <cell r="D809" t="str">
            <v>Al Bedaya school</v>
          </cell>
          <cell r="H809" t="str">
            <v>AD</v>
          </cell>
        </row>
        <row r="810">
          <cell r="B810" t="str">
            <v>Fire Alarm Panel</v>
          </cell>
          <cell r="D810" t="str">
            <v>Al Bedaya school</v>
          </cell>
          <cell r="H810" t="str">
            <v>AD</v>
          </cell>
        </row>
        <row r="811">
          <cell r="B811" t="str">
            <v>Fire Alarm Sounder, Bell, Light</v>
          </cell>
          <cell r="D811" t="str">
            <v>Al Bedaya school</v>
          </cell>
          <cell r="H811" t="str">
            <v>AD</v>
          </cell>
        </row>
        <row r="812">
          <cell r="B812" t="str">
            <v>Fire Alarm Sounder, Bell, Light</v>
          </cell>
          <cell r="D812" t="str">
            <v>Al Bedaya school</v>
          </cell>
          <cell r="H812" t="str">
            <v>AD</v>
          </cell>
        </row>
        <row r="813">
          <cell r="B813" t="str">
            <v>Fire Alarm Sounder, Bell, Light</v>
          </cell>
          <cell r="D813" t="str">
            <v>Al Bedaya school</v>
          </cell>
          <cell r="H813" t="str">
            <v>AD</v>
          </cell>
        </row>
        <row r="814">
          <cell r="B814" t="str">
            <v>Fire Alarm Sounder, Bell, Light</v>
          </cell>
          <cell r="D814" t="str">
            <v>Al Bedaya school</v>
          </cell>
          <cell r="H814" t="str">
            <v>AD</v>
          </cell>
        </row>
        <row r="815">
          <cell r="B815" t="str">
            <v>Fire Alarm Sounder, Bell, Light</v>
          </cell>
          <cell r="D815" t="str">
            <v>Al Bedaya school</v>
          </cell>
          <cell r="H815" t="str">
            <v>AD</v>
          </cell>
        </row>
        <row r="816">
          <cell r="B816" t="str">
            <v>Fire Alarm Sounder, Bell, Light</v>
          </cell>
          <cell r="D816" t="str">
            <v>Al Bedaya school</v>
          </cell>
          <cell r="H816" t="str">
            <v>AD</v>
          </cell>
        </row>
        <row r="817">
          <cell r="B817" t="str">
            <v>Fire Alarm Sounder, Bell, Light</v>
          </cell>
          <cell r="D817" t="str">
            <v>Al Bedaya school</v>
          </cell>
          <cell r="H817" t="str">
            <v>AD</v>
          </cell>
        </row>
        <row r="818">
          <cell r="B818" t="str">
            <v>Fire Alarm Sounder, Bell, Light</v>
          </cell>
          <cell r="D818" t="str">
            <v>Al Bedaya school</v>
          </cell>
          <cell r="H818" t="str">
            <v>AD</v>
          </cell>
        </row>
        <row r="819">
          <cell r="B819" t="str">
            <v>Fire Alarm Sounder, Bell, Light</v>
          </cell>
          <cell r="D819" t="str">
            <v>Al Bedaya school</v>
          </cell>
          <cell r="H819" t="str">
            <v>AD</v>
          </cell>
        </row>
        <row r="820">
          <cell r="B820" t="str">
            <v>Fire Alarm Sounder, Bell, Light</v>
          </cell>
          <cell r="D820" t="str">
            <v>Al Bedaya school</v>
          </cell>
          <cell r="H820" t="str">
            <v>AD</v>
          </cell>
        </row>
        <row r="821">
          <cell r="B821" t="str">
            <v>Fire Alarm Sounder, Bell, Light</v>
          </cell>
          <cell r="D821" t="str">
            <v>Al Bedaya school</v>
          </cell>
          <cell r="H821" t="str">
            <v>AD</v>
          </cell>
        </row>
        <row r="822">
          <cell r="B822" t="str">
            <v>Fire Alarm Sounder, Bell, Light</v>
          </cell>
          <cell r="D822" t="str">
            <v>Al Bedaya school</v>
          </cell>
          <cell r="H822" t="str">
            <v>AD</v>
          </cell>
        </row>
        <row r="823">
          <cell r="B823" t="str">
            <v>Fire Alarm Sounder, Bell, Light</v>
          </cell>
          <cell r="D823" t="str">
            <v>Al Bedaya school</v>
          </cell>
          <cell r="H823" t="str">
            <v>AD</v>
          </cell>
        </row>
        <row r="824">
          <cell r="B824" t="str">
            <v>Fire Alarm Sounder, Bell, Light</v>
          </cell>
          <cell r="D824" t="str">
            <v>Al Bedaya school</v>
          </cell>
          <cell r="H824" t="str">
            <v>AD</v>
          </cell>
        </row>
        <row r="825">
          <cell r="B825" t="str">
            <v>Fire Alarm Sounder, Bell, Light</v>
          </cell>
          <cell r="D825" t="str">
            <v>Al Bedaya school</v>
          </cell>
          <cell r="H825" t="str">
            <v>AD</v>
          </cell>
        </row>
        <row r="826">
          <cell r="B826" t="str">
            <v>Fire Extinguisher</v>
          </cell>
          <cell r="D826" t="str">
            <v>Al Bedaya school</v>
          </cell>
          <cell r="H826" t="str">
            <v>AD</v>
          </cell>
        </row>
        <row r="827">
          <cell r="B827" t="str">
            <v>Fire Extinguisher</v>
          </cell>
          <cell r="D827" t="str">
            <v>Al Bedaya school</v>
          </cell>
          <cell r="H827" t="str">
            <v>AD</v>
          </cell>
        </row>
        <row r="828">
          <cell r="B828" t="str">
            <v>Fire Extinguisher</v>
          </cell>
          <cell r="D828" t="str">
            <v>Al Bedaya school</v>
          </cell>
          <cell r="H828" t="str">
            <v>AD</v>
          </cell>
        </row>
        <row r="829">
          <cell r="B829" t="str">
            <v>Fire Extinguisher</v>
          </cell>
          <cell r="D829" t="str">
            <v>Al Bedaya school</v>
          </cell>
          <cell r="H829" t="str">
            <v>AD</v>
          </cell>
        </row>
        <row r="830">
          <cell r="B830" t="str">
            <v>Fire Extinguisher</v>
          </cell>
          <cell r="D830" t="str">
            <v>Al Bedaya school</v>
          </cell>
          <cell r="H830" t="str">
            <v>AD</v>
          </cell>
        </row>
        <row r="831">
          <cell r="B831" t="str">
            <v>Fire Extinguisher</v>
          </cell>
          <cell r="D831" t="str">
            <v>Al Bedaya school</v>
          </cell>
          <cell r="H831" t="str">
            <v>AD</v>
          </cell>
        </row>
        <row r="832">
          <cell r="B832" t="str">
            <v>Fire Extinguisher</v>
          </cell>
          <cell r="D832" t="str">
            <v>Al Bedaya school</v>
          </cell>
          <cell r="H832" t="str">
            <v>AD</v>
          </cell>
        </row>
        <row r="833">
          <cell r="B833" t="str">
            <v>Fire Extinguisher</v>
          </cell>
          <cell r="D833" t="str">
            <v>Al Bedaya school</v>
          </cell>
          <cell r="H833" t="str">
            <v>AD</v>
          </cell>
        </row>
        <row r="834">
          <cell r="B834" t="str">
            <v>Fire Extinguisher</v>
          </cell>
          <cell r="D834" t="str">
            <v>Al Bedaya school</v>
          </cell>
          <cell r="H834" t="str">
            <v>AD</v>
          </cell>
        </row>
        <row r="835">
          <cell r="B835" t="str">
            <v>Fire Extinguisher</v>
          </cell>
          <cell r="D835" t="str">
            <v>Al Bedaya school</v>
          </cell>
          <cell r="H835" t="str">
            <v>AD</v>
          </cell>
        </row>
        <row r="836">
          <cell r="B836" t="str">
            <v>Fire Hose Reel</v>
          </cell>
          <cell r="D836" t="str">
            <v>Al Bedaya school</v>
          </cell>
          <cell r="H836" t="str">
            <v>AD</v>
          </cell>
        </row>
        <row r="837">
          <cell r="B837" t="str">
            <v>FIRE PUMP - Diesel</v>
          </cell>
          <cell r="D837" t="str">
            <v>Al Bedaya school</v>
          </cell>
          <cell r="H837" t="str">
            <v>AD</v>
          </cell>
        </row>
        <row r="838">
          <cell r="B838" t="str">
            <v>FIRE PUMP - Electric</v>
          </cell>
          <cell r="D838" t="str">
            <v>Al Bedaya school</v>
          </cell>
          <cell r="H838" t="str">
            <v>AD</v>
          </cell>
        </row>
        <row r="839">
          <cell r="B839" t="str">
            <v>Fire Smoke / Heat Detector, Sounder</v>
          </cell>
          <cell r="D839" t="str">
            <v>Al Bedaya school</v>
          </cell>
          <cell r="H839" t="str">
            <v>AD</v>
          </cell>
        </row>
        <row r="840">
          <cell r="B840" t="str">
            <v>Fire Smoke / Heat Detector, Sounder</v>
          </cell>
          <cell r="D840" t="str">
            <v>Al Bedaya school</v>
          </cell>
          <cell r="H840" t="str">
            <v>AD</v>
          </cell>
        </row>
        <row r="841">
          <cell r="B841" t="str">
            <v>Fire Smoke / Heat Detector, Sounder</v>
          </cell>
          <cell r="D841" t="str">
            <v>Al Bedaya school</v>
          </cell>
          <cell r="H841" t="str">
            <v>AD</v>
          </cell>
        </row>
        <row r="842">
          <cell r="B842" t="str">
            <v>Fire Smoke / Heat Detector, Sounder</v>
          </cell>
          <cell r="D842" t="str">
            <v>Al Bedaya school</v>
          </cell>
          <cell r="H842" t="str">
            <v>AD</v>
          </cell>
        </row>
        <row r="843">
          <cell r="B843" t="str">
            <v>Fire Smoke / Heat Detector, Sounder</v>
          </cell>
          <cell r="D843" t="str">
            <v>Al Bedaya school</v>
          </cell>
          <cell r="H843" t="str">
            <v>AD</v>
          </cell>
        </row>
        <row r="844">
          <cell r="B844" t="str">
            <v>Fire Smoke / Heat Detector, Sounder</v>
          </cell>
          <cell r="D844" t="str">
            <v>Al Bedaya school</v>
          </cell>
          <cell r="H844" t="str">
            <v>AD</v>
          </cell>
        </row>
        <row r="845">
          <cell r="B845" t="str">
            <v>Fire Smoke / Heat Detector, Sounder</v>
          </cell>
          <cell r="D845" t="str">
            <v>Al Bedaya school</v>
          </cell>
          <cell r="H845" t="str">
            <v>AD</v>
          </cell>
        </row>
        <row r="846">
          <cell r="B846" t="str">
            <v>Fire Smoke / Heat Detector, Sounder</v>
          </cell>
          <cell r="D846" t="str">
            <v>Al Bedaya school</v>
          </cell>
          <cell r="H846" t="str">
            <v>AD</v>
          </cell>
        </row>
        <row r="847">
          <cell r="B847" t="str">
            <v>Fire Smoke / Heat Detector, Sounder</v>
          </cell>
          <cell r="D847" t="str">
            <v>Al Bedaya school</v>
          </cell>
          <cell r="H847" t="str">
            <v>AD</v>
          </cell>
        </row>
        <row r="848">
          <cell r="B848" t="str">
            <v>Fire Smoke / Heat Detector, Sounder</v>
          </cell>
          <cell r="D848" t="str">
            <v>Al Bedaya school</v>
          </cell>
          <cell r="H848" t="str">
            <v>AD</v>
          </cell>
        </row>
        <row r="849">
          <cell r="B849" t="str">
            <v>Fire Smoke / Heat Detector, Sounder</v>
          </cell>
          <cell r="D849" t="str">
            <v>Al Bedaya school</v>
          </cell>
          <cell r="H849" t="str">
            <v>AD</v>
          </cell>
        </row>
        <row r="850">
          <cell r="B850" t="str">
            <v>Fire Smoke / Heat Detector, Sounder</v>
          </cell>
          <cell r="D850" t="str">
            <v>Al Bedaya school</v>
          </cell>
          <cell r="H850" t="str">
            <v>AD</v>
          </cell>
        </row>
        <row r="851">
          <cell r="B851" t="str">
            <v>Fire Smoke / Heat Detector, Sounder</v>
          </cell>
          <cell r="D851" t="str">
            <v>Al Bedaya school</v>
          </cell>
          <cell r="H851" t="str">
            <v>AD</v>
          </cell>
        </row>
        <row r="852">
          <cell r="B852" t="str">
            <v>Fire Smoke / Heat Detector, Sounder</v>
          </cell>
          <cell r="D852" t="str">
            <v>Al Bedaya school</v>
          </cell>
          <cell r="H852" t="str">
            <v>AD</v>
          </cell>
        </row>
        <row r="853">
          <cell r="B853" t="str">
            <v>Fire Smoke / Heat Detector, Sounder</v>
          </cell>
          <cell r="D853" t="str">
            <v>Al Bedaya school</v>
          </cell>
          <cell r="H853" t="str">
            <v>AD</v>
          </cell>
        </row>
        <row r="854">
          <cell r="B854" t="str">
            <v>Fire Smoke / Heat Detector, Sounder</v>
          </cell>
          <cell r="D854" t="str">
            <v>Al Bedaya school</v>
          </cell>
          <cell r="H854" t="str">
            <v>AD</v>
          </cell>
        </row>
        <row r="855">
          <cell r="B855" t="str">
            <v>Fire Smoke / Heat Detector, Sounder</v>
          </cell>
          <cell r="D855" t="str">
            <v>Al Bedaya school</v>
          </cell>
          <cell r="H855" t="str">
            <v>AD</v>
          </cell>
        </row>
        <row r="856">
          <cell r="B856" t="str">
            <v>Fire Smoke / Heat Detector, Sounder</v>
          </cell>
          <cell r="D856" t="str">
            <v>Al Bedaya school</v>
          </cell>
          <cell r="H856" t="str">
            <v>AD</v>
          </cell>
        </row>
        <row r="857">
          <cell r="B857" t="str">
            <v>Fire Smoke / Heat Detector, Sounder</v>
          </cell>
          <cell r="D857" t="str">
            <v>Al Bedaya school</v>
          </cell>
          <cell r="H857" t="str">
            <v>AD</v>
          </cell>
        </row>
        <row r="858">
          <cell r="B858" t="str">
            <v>Fire Smoke / Heat Detector, Sounder</v>
          </cell>
          <cell r="D858" t="str">
            <v>Al Bedaya school</v>
          </cell>
          <cell r="H858" t="str">
            <v>AD</v>
          </cell>
        </row>
        <row r="859">
          <cell r="B859" t="str">
            <v>Fire Smoke / Heat Detector, Sounder</v>
          </cell>
          <cell r="D859" t="str">
            <v>Al Bedaya school</v>
          </cell>
          <cell r="H859" t="str">
            <v>AD</v>
          </cell>
        </row>
        <row r="860">
          <cell r="B860" t="str">
            <v>Fire Smoke / Heat Detector, Sounder</v>
          </cell>
          <cell r="D860" t="str">
            <v>Al Bedaya school</v>
          </cell>
          <cell r="H860" t="str">
            <v>AD</v>
          </cell>
        </row>
        <row r="861">
          <cell r="B861" t="str">
            <v>Fire Smoke / Heat Detector, Sounder</v>
          </cell>
          <cell r="D861" t="str">
            <v>Al Bedaya school</v>
          </cell>
          <cell r="H861" t="str">
            <v>AD</v>
          </cell>
        </row>
        <row r="862">
          <cell r="B862" t="str">
            <v>Fire Smoke / Heat Detector, Sounder</v>
          </cell>
          <cell r="D862" t="str">
            <v>Al Bedaya school</v>
          </cell>
          <cell r="H862" t="str">
            <v>AD</v>
          </cell>
        </row>
        <row r="863">
          <cell r="B863" t="str">
            <v>Fire Smoke / Heat Detector, Sounder</v>
          </cell>
          <cell r="D863" t="str">
            <v>Al Bedaya school</v>
          </cell>
          <cell r="H863" t="str">
            <v>AD</v>
          </cell>
        </row>
        <row r="864">
          <cell r="B864" t="str">
            <v>Fire Smoke / Heat Detector, Sounder</v>
          </cell>
          <cell r="D864" t="str">
            <v>Al Bedaya school</v>
          </cell>
          <cell r="H864" t="str">
            <v>AD</v>
          </cell>
        </row>
        <row r="865">
          <cell r="B865" t="str">
            <v>Fire Smoke / Heat Detector, Sounder</v>
          </cell>
          <cell r="D865" t="str">
            <v>Al Bedaya school</v>
          </cell>
          <cell r="H865" t="str">
            <v>AD</v>
          </cell>
        </row>
        <row r="866">
          <cell r="B866" t="str">
            <v>Fire Smoke / Heat Detector, Sounder</v>
          </cell>
          <cell r="D866" t="str">
            <v>Al Bedaya school</v>
          </cell>
          <cell r="H866" t="str">
            <v>AD</v>
          </cell>
        </row>
        <row r="867">
          <cell r="B867" t="str">
            <v>Fire Smoke / Heat Detector, Sounder</v>
          </cell>
          <cell r="D867" t="str">
            <v>Al Bedaya school</v>
          </cell>
          <cell r="H867" t="str">
            <v>AD</v>
          </cell>
        </row>
        <row r="868">
          <cell r="B868" t="str">
            <v>Fire Smoke / Heat Detector, Sounder</v>
          </cell>
          <cell r="D868" t="str">
            <v>Al Bedaya school</v>
          </cell>
          <cell r="H868" t="str">
            <v>AD</v>
          </cell>
        </row>
        <row r="869">
          <cell r="B869" t="str">
            <v>Fire Alarm Break Glass Call Point</v>
          </cell>
          <cell r="D869" t="str">
            <v>Al Danah Primary School</v>
          </cell>
          <cell r="H869" t="str">
            <v>AD</v>
          </cell>
        </row>
        <row r="870">
          <cell r="B870" t="str">
            <v>Fire Alarm Break Glass Call Point</v>
          </cell>
          <cell r="D870" t="str">
            <v>Al Danah Primary School</v>
          </cell>
          <cell r="H870" t="str">
            <v>AD</v>
          </cell>
        </row>
        <row r="871">
          <cell r="B871" t="str">
            <v>Fire Alarm Break Glass Call Point</v>
          </cell>
          <cell r="D871" t="str">
            <v>Al Danah Primary School</v>
          </cell>
          <cell r="H871" t="str">
            <v>AD</v>
          </cell>
        </row>
        <row r="872">
          <cell r="B872" t="str">
            <v>Fire Alarm Break Glass Call Point</v>
          </cell>
          <cell r="D872" t="str">
            <v>Al Danah Primary School</v>
          </cell>
          <cell r="H872" t="str">
            <v>AD</v>
          </cell>
        </row>
        <row r="873">
          <cell r="B873" t="str">
            <v>Fire Alarm Break Glass Call Point</v>
          </cell>
          <cell r="D873" t="str">
            <v>Al Danah Primary School</v>
          </cell>
          <cell r="H873" t="str">
            <v>AD</v>
          </cell>
        </row>
        <row r="874">
          <cell r="B874" t="str">
            <v>Fire Alarm Break Glass Call Point</v>
          </cell>
          <cell r="D874" t="str">
            <v>Al Danah Primary School</v>
          </cell>
          <cell r="H874" t="str">
            <v>AD</v>
          </cell>
        </row>
        <row r="875">
          <cell r="B875" t="str">
            <v>Fire Alarm Break Glass Call Point</v>
          </cell>
          <cell r="D875" t="str">
            <v>Al Danah Primary School</v>
          </cell>
          <cell r="H875" t="str">
            <v>AD</v>
          </cell>
        </row>
        <row r="876">
          <cell r="B876" t="str">
            <v>Fire Alarm Break Glass Call Point</v>
          </cell>
          <cell r="D876" t="str">
            <v>Al Danah Primary School</v>
          </cell>
          <cell r="H876" t="str">
            <v>AD</v>
          </cell>
        </row>
        <row r="877">
          <cell r="B877" t="str">
            <v>Fire Alarm Break Glass Call Point</v>
          </cell>
          <cell r="D877" t="str">
            <v>Al Danah Primary School</v>
          </cell>
          <cell r="H877" t="str">
            <v>AD</v>
          </cell>
        </row>
        <row r="878">
          <cell r="B878" t="str">
            <v>Fire Alarm Break Glass Call Point</v>
          </cell>
          <cell r="D878" t="str">
            <v>Al Danah Primary School</v>
          </cell>
          <cell r="H878" t="str">
            <v>AD</v>
          </cell>
        </row>
        <row r="879">
          <cell r="B879" t="str">
            <v>Fire Alarm Break Glass Call Point</v>
          </cell>
          <cell r="D879" t="str">
            <v>Al Danah Primary School</v>
          </cell>
          <cell r="H879" t="str">
            <v>AD</v>
          </cell>
        </row>
        <row r="880">
          <cell r="B880" t="str">
            <v>Fire Alarm Break Glass Call Point</v>
          </cell>
          <cell r="D880" t="str">
            <v>Al Danah Primary School</v>
          </cell>
          <cell r="H880" t="str">
            <v>AD</v>
          </cell>
        </row>
        <row r="881">
          <cell r="B881" t="str">
            <v>Fire Alarm Break Glass Call Point</v>
          </cell>
          <cell r="D881" t="str">
            <v>Al Danah Primary School</v>
          </cell>
          <cell r="H881" t="str">
            <v>AD</v>
          </cell>
        </row>
        <row r="882">
          <cell r="B882" t="str">
            <v>Fire Alarm Break Glass Call Point</v>
          </cell>
          <cell r="D882" t="str">
            <v>Al Danah Primary School</v>
          </cell>
          <cell r="H882" t="str">
            <v>AD</v>
          </cell>
        </row>
        <row r="883">
          <cell r="B883" t="str">
            <v>Fire Alarm Break Glass Call Point</v>
          </cell>
          <cell r="D883" t="str">
            <v>Al Danah Primary School</v>
          </cell>
          <cell r="H883" t="str">
            <v>AD</v>
          </cell>
        </row>
        <row r="884">
          <cell r="B884" t="str">
            <v>Fire Alarm Control Panel Board</v>
          </cell>
          <cell r="D884" t="str">
            <v>Al Danah Primary School</v>
          </cell>
          <cell r="H884" t="str">
            <v>AD</v>
          </cell>
        </row>
        <row r="885">
          <cell r="B885" t="str">
            <v>Fire Blanket</v>
          </cell>
          <cell r="D885" t="str">
            <v>Al Danah Primary School</v>
          </cell>
          <cell r="H885" t="str">
            <v>AD</v>
          </cell>
        </row>
        <row r="886">
          <cell r="B886" t="str">
            <v>Fire Blanket</v>
          </cell>
          <cell r="D886" t="str">
            <v>Al Danah Primary School</v>
          </cell>
          <cell r="H886" t="str">
            <v>AD</v>
          </cell>
        </row>
        <row r="887">
          <cell r="B887" t="str">
            <v>Fire Extinguisher - C02</v>
          </cell>
          <cell r="D887" t="str">
            <v>Al Danah Primary School</v>
          </cell>
          <cell r="H887" t="str">
            <v>AD</v>
          </cell>
        </row>
        <row r="888">
          <cell r="B888" t="str">
            <v>Fire Extinguisher - C02</v>
          </cell>
          <cell r="D888" t="str">
            <v>Al Danah Primary School</v>
          </cell>
          <cell r="H888" t="str">
            <v>AD</v>
          </cell>
        </row>
        <row r="889">
          <cell r="B889" t="str">
            <v>Fire Extinguisher - C02</v>
          </cell>
          <cell r="D889" t="str">
            <v>Al Danah Primary School</v>
          </cell>
          <cell r="H889" t="str">
            <v>AD</v>
          </cell>
        </row>
        <row r="890">
          <cell r="B890" t="str">
            <v>Fire Extinguisher - C02</v>
          </cell>
          <cell r="D890" t="str">
            <v>Al Danah Primary School</v>
          </cell>
          <cell r="H890" t="str">
            <v>AD</v>
          </cell>
        </row>
        <row r="891">
          <cell r="B891" t="str">
            <v>Fire Extinguisher - C02</v>
          </cell>
          <cell r="D891" t="str">
            <v>Al Danah Primary School</v>
          </cell>
          <cell r="H891" t="str">
            <v>AD</v>
          </cell>
        </row>
        <row r="892">
          <cell r="B892" t="str">
            <v>Fire Extinguisher - C02</v>
          </cell>
          <cell r="D892" t="str">
            <v>Al Danah Primary School</v>
          </cell>
          <cell r="H892" t="str">
            <v>AD</v>
          </cell>
        </row>
        <row r="893">
          <cell r="B893" t="str">
            <v>Fire Extinguisher - C02</v>
          </cell>
          <cell r="D893" t="str">
            <v>Al Danah Primary School</v>
          </cell>
          <cell r="H893" t="str">
            <v>AD</v>
          </cell>
        </row>
        <row r="894">
          <cell r="B894" t="str">
            <v>Fire Extinguisher - C02</v>
          </cell>
          <cell r="D894" t="str">
            <v>Al Danah Primary School</v>
          </cell>
          <cell r="H894" t="str">
            <v>AD</v>
          </cell>
        </row>
        <row r="895">
          <cell r="B895" t="str">
            <v>Fire Extinguisher - C02</v>
          </cell>
          <cell r="D895" t="str">
            <v>Al Danah Primary School</v>
          </cell>
          <cell r="H895" t="str">
            <v>AD</v>
          </cell>
        </row>
        <row r="896">
          <cell r="B896" t="str">
            <v>Fire Extinguisher - C02</v>
          </cell>
          <cell r="D896" t="str">
            <v>Al Danah Primary School</v>
          </cell>
          <cell r="H896" t="str">
            <v>AD</v>
          </cell>
        </row>
        <row r="897">
          <cell r="B897" t="str">
            <v>Fire Extinguisher - C02</v>
          </cell>
          <cell r="D897" t="str">
            <v>Al Danah Primary School</v>
          </cell>
          <cell r="H897" t="str">
            <v>AD</v>
          </cell>
        </row>
        <row r="898">
          <cell r="B898" t="str">
            <v>Fire Extinguisher - C02</v>
          </cell>
          <cell r="D898" t="str">
            <v>Al Danah Primary School</v>
          </cell>
          <cell r="H898" t="str">
            <v>AD</v>
          </cell>
        </row>
        <row r="899">
          <cell r="B899" t="str">
            <v>Fire Extinguisher - C02</v>
          </cell>
          <cell r="D899" t="str">
            <v>Al Danah Primary School</v>
          </cell>
          <cell r="H899" t="str">
            <v>AD</v>
          </cell>
        </row>
        <row r="900">
          <cell r="B900" t="str">
            <v>Fire Extinguisher - C02</v>
          </cell>
          <cell r="D900" t="str">
            <v>Al Danah Primary School</v>
          </cell>
          <cell r="H900" t="str">
            <v>AD</v>
          </cell>
        </row>
        <row r="901">
          <cell r="B901" t="str">
            <v>Fire Extinguisher - C02</v>
          </cell>
          <cell r="D901" t="str">
            <v>Al Danah Primary School</v>
          </cell>
          <cell r="H901" t="str">
            <v>AD</v>
          </cell>
        </row>
        <row r="902">
          <cell r="B902" t="str">
            <v>Fire Extinguisher - C02</v>
          </cell>
          <cell r="D902" t="str">
            <v>Al Danah Primary School</v>
          </cell>
          <cell r="H902" t="str">
            <v>AD</v>
          </cell>
        </row>
        <row r="903">
          <cell r="B903" t="str">
            <v>Fire Extinguisher - C02</v>
          </cell>
          <cell r="D903" t="str">
            <v>Al Danah Primary School</v>
          </cell>
          <cell r="H903" t="str">
            <v>AD</v>
          </cell>
        </row>
        <row r="904">
          <cell r="B904" t="str">
            <v>Fire Extinguisher - C02</v>
          </cell>
          <cell r="D904" t="str">
            <v>Al Danah Primary School</v>
          </cell>
          <cell r="H904" t="str">
            <v>AD</v>
          </cell>
        </row>
        <row r="905">
          <cell r="B905" t="str">
            <v>Fire Extinguisher - C02</v>
          </cell>
          <cell r="D905" t="str">
            <v>Al Danah Primary School</v>
          </cell>
          <cell r="H905" t="str">
            <v>AD</v>
          </cell>
        </row>
        <row r="906">
          <cell r="B906" t="str">
            <v>Fire Extinguisher - C02</v>
          </cell>
          <cell r="D906" t="str">
            <v>Al Danah Primary School</v>
          </cell>
          <cell r="H906" t="str">
            <v>AD</v>
          </cell>
        </row>
        <row r="907">
          <cell r="B907" t="str">
            <v>Fire Extinguisher - C02</v>
          </cell>
          <cell r="D907" t="str">
            <v>Al Danah Primary School</v>
          </cell>
          <cell r="H907" t="str">
            <v>AD</v>
          </cell>
        </row>
        <row r="908">
          <cell r="B908" t="str">
            <v>Fire Extinguisher - C02</v>
          </cell>
          <cell r="D908" t="str">
            <v>Al Danah Primary School</v>
          </cell>
          <cell r="H908" t="str">
            <v>AD</v>
          </cell>
        </row>
        <row r="909">
          <cell r="B909" t="str">
            <v>Fire Extinguisher - C02</v>
          </cell>
          <cell r="D909" t="str">
            <v>Al Danah Primary School</v>
          </cell>
          <cell r="H909" t="str">
            <v>AD</v>
          </cell>
        </row>
        <row r="910">
          <cell r="B910" t="str">
            <v>Fire Extinguisher - C02</v>
          </cell>
          <cell r="D910" t="str">
            <v>Al Danah Primary School</v>
          </cell>
          <cell r="H910" t="str">
            <v>AD</v>
          </cell>
        </row>
        <row r="911">
          <cell r="B911" t="str">
            <v>Fire Extinguisher - C02</v>
          </cell>
          <cell r="D911" t="str">
            <v>Al Danah Primary School</v>
          </cell>
          <cell r="H911" t="str">
            <v>AD</v>
          </cell>
        </row>
        <row r="912">
          <cell r="B912" t="str">
            <v>Fire Extinguisher - C02</v>
          </cell>
          <cell r="D912" t="str">
            <v>Al Danah Primary School</v>
          </cell>
          <cell r="H912" t="str">
            <v>AD</v>
          </cell>
        </row>
        <row r="913">
          <cell r="B913" t="str">
            <v>Fire Extinguisher - C02</v>
          </cell>
          <cell r="D913" t="str">
            <v>Al Danah Primary School</v>
          </cell>
          <cell r="H913" t="str">
            <v>AD</v>
          </cell>
        </row>
        <row r="914">
          <cell r="B914" t="str">
            <v>Fire Extinguisher - C02</v>
          </cell>
          <cell r="D914" t="str">
            <v>Al Danah Primary School</v>
          </cell>
          <cell r="H914" t="str">
            <v>AD</v>
          </cell>
        </row>
        <row r="915">
          <cell r="B915" t="str">
            <v>Fire Extinguisher - C02</v>
          </cell>
          <cell r="D915" t="str">
            <v>Al Danah Primary School</v>
          </cell>
          <cell r="H915" t="str">
            <v>AD</v>
          </cell>
        </row>
        <row r="916">
          <cell r="B916" t="str">
            <v>Fire Extinguisher - C02</v>
          </cell>
          <cell r="D916" t="str">
            <v>Al Danah Primary School</v>
          </cell>
          <cell r="H916" t="str">
            <v>AD</v>
          </cell>
        </row>
        <row r="917">
          <cell r="B917" t="str">
            <v>Fire Extinguisher - C02</v>
          </cell>
          <cell r="D917" t="str">
            <v>Al Danah Primary School</v>
          </cell>
          <cell r="H917" t="str">
            <v>AD</v>
          </cell>
        </row>
        <row r="918">
          <cell r="B918" t="str">
            <v>Fire Extinguisher - C02</v>
          </cell>
          <cell r="D918" t="str">
            <v>Al Danah Primary School</v>
          </cell>
          <cell r="H918" t="str">
            <v>AD</v>
          </cell>
        </row>
        <row r="919">
          <cell r="B919" t="str">
            <v>Fire Extinguisher - C02</v>
          </cell>
          <cell r="D919" t="str">
            <v>Al Danah Primary School</v>
          </cell>
          <cell r="H919" t="str">
            <v>AD</v>
          </cell>
        </row>
        <row r="920">
          <cell r="B920" t="str">
            <v>Fire Extinguisher - C02</v>
          </cell>
          <cell r="D920" t="str">
            <v>Al Danah Primary School</v>
          </cell>
          <cell r="H920" t="str">
            <v>AD</v>
          </cell>
        </row>
        <row r="921">
          <cell r="B921" t="str">
            <v>Fire Extinguisher - C02</v>
          </cell>
          <cell r="D921" t="str">
            <v>Al Danah Primary School</v>
          </cell>
          <cell r="H921" t="str">
            <v>AD</v>
          </cell>
        </row>
        <row r="922">
          <cell r="B922" t="str">
            <v>Fire Extinguisher - C02</v>
          </cell>
          <cell r="D922" t="str">
            <v>Al Danah Primary School</v>
          </cell>
          <cell r="H922" t="str">
            <v>AD</v>
          </cell>
        </row>
        <row r="923">
          <cell r="B923" t="str">
            <v>Fire Extinguisher - C02</v>
          </cell>
          <cell r="D923" t="str">
            <v>Al Danah Primary School</v>
          </cell>
          <cell r="H923" t="str">
            <v>AD</v>
          </cell>
        </row>
        <row r="924">
          <cell r="B924" t="str">
            <v>Fire Extinguisher - C02</v>
          </cell>
          <cell r="D924" t="str">
            <v>Al Danah Primary School</v>
          </cell>
          <cell r="H924" t="str">
            <v>AD</v>
          </cell>
        </row>
        <row r="925">
          <cell r="B925" t="str">
            <v>Fire Extinguisher - Dry</v>
          </cell>
          <cell r="D925" t="str">
            <v>Al Danah Primary School</v>
          </cell>
          <cell r="H925" t="str">
            <v>AD</v>
          </cell>
        </row>
        <row r="926">
          <cell r="B926" t="str">
            <v>Fire Extinguisher - Dry</v>
          </cell>
          <cell r="D926" t="str">
            <v>Al Danah Primary School</v>
          </cell>
          <cell r="H926" t="str">
            <v>AD</v>
          </cell>
        </row>
        <row r="927">
          <cell r="B927" t="str">
            <v>Fire Extinguisher - Dry</v>
          </cell>
          <cell r="D927" t="str">
            <v>Al Danah Primary School</v>
          </cell>
          <cell r="H927" t="str">
            <v>AD</v>
          </cell>
        </row>
        <row r="928">
          <cell r="B928" t="str">
            <v>Fire Extinguisher - Dry</v>
          </cell>
          <cell r="D928" t="str">
            <v>Al Danah Primary School</v>
          </cell>
          <cell r="H928" t="str">
            <v>AD</v>
          </cell>
        </row>
        <row r="929">
          <cell r="B929" t="str">
            <v>Fire Extinguisher - Dry</v>
          </cell>
          <cell r="D929" t="str">
            <v>Al Danah Primary School</v>
          </cell>
          <cell r="H929" t="str">
            <v>AD</v>
          </cell>
        </row>
        <row r="930">
          <cell r="B930" t="str">
            <v>Fire Extinguisher - Dry</v>
          </cell>
          <cell r="D930" t="str">
            <v>Al Danah Primary School</v>
          </cell>
          <cell r="H930" t="str">
            <v>AD</v>
          </cell>
        </row>
        <row r="931">
          <cell r="B931" t="str">
            <v>Fire Extinguisher - Dry</v>
          </cell>
          <cell r="D931" t="str">
            <v>Al Danah Primary School</v>
          </cell>
          <cell r="H931" t="str">
            <v>AD</v>
          </cell>
        </row>
        <row r="932">
          <cell r="B932" t="str">
            <v>Fire Extinguisher - Dry</v>
          </cell>
          <cell r="D932" t="str">
            <v>Al Danah Primary School</v>
          </cell>
          <cell r="H932" t="str">
            <v>AD</v>
          </cell>
        </row>
        <row r="933">
          <cell r="B933" t="str">
            <v>Fire Extinguisher - Dry</v>
          </cell>
          <cell r="D933" t="str">
            <v>Al Danah Primary School</v>
          </cell>
          <cell r="H933" t="str">
            <v>AD</v>
          </cell>
        </row>
        <row r="934">
          <cell r="B934" t="str">
            <v>Fire Extinguisher - Dry</v>
          </cell>
          <cell r="D934" t="str">
            <v>Al Danah Primary School</v>
          </cell>
          <cell r="H934" t="str">
            <v>AD</v>
          </cell>
        </row>
        <row r="935">
          <cell r="B935" t="str">
            <v>Fire Extinguisher - Dry</v>
          </cell>
          <cell r="D935" t="str">
            <v>Al Danah Primary School</v>
          </cell>
          <cell r="H935" t="str">
            <v>AD</v>
          </cell>
        </row>
        <row r="936">
          <cell r="B936" t="str">
            <v>Fire Extinguisher - Dry</v>
          </cell>
          <cell r="D936" t="str">
            <v>Al Danah Primary School</v>
          </cell>
          <cell r="H936" t="str">
            <v>AD</v>
          </cell>
        </row>
        <row r="937">
          <cell r="B937" t="str">
            <v>Fire Extinguisher - Dry</v>
          </cell>
          <cell r="D937" t="str">
            <v>Al Danah Primary School</v>
          </cell>
          <cell r="H937" t="str">
            <v>AD</v>
          </cell>
        </row>
        <row r="938">
          <cell r="B938" t="str">
            <v>Fire Extinguisher - Dry</v>
          </cell>
          <cell r="D938" t="str">
            <v>Al Danah Primary School</v>
          </cell>
          <cell r="H938" t="str">
            <v>AD</v>
          </cell>
        </row>
        <row r="939">
          <cell r="B939" t="str">
            <v>Fire Extinguisher - Dry</v>
          </cell>
          <cell r="D939" t="str">
            <v>Al Danah Primary School</v>
          </cell>
          <cell r="H939" t="str">
            <v>AD</v>
          </cell>
        </row>
        <row r="940">
          <cell r="B940" t="str">
            <v>Fire Extinguisher - Dry</v>
          </cell>
          <cell r="D940" t="str">
            <v>Al Danah Primary School</v>
          </cell>
          <cell r="H940" t="str">
            <v>AD</v>
          </cell>
        </row>
        <row r="941">
          <cell r="B941" t="str">
            <v>Fire Extinguisher - Dry</v>
          </cell>
          <cell r="D941" t="str">
            <v>Al Danah Primary School</v>
          </cell>
          <cell r="H941" t="str">
            <v>AD</v>
          </cell>
        </row>
        <row r="942">
          <cell r="B942" t="str">
            <v>Fire Extinguisher - Dry</v>
          </cell>
          <cell r="D942" t="str">
            <v>Al Danah Primary School</v>
          </cell>
          <cell r="H942" t="str">
            <v>AD</v>
          </cell>
        </row>
        <row r="943">
          <cell r="B943" t="str">
            <v>Fire Extinguisher - Dry</v>
          </cell>
          <cell r="D943" t="str">
            <v>Al Danah Primary School</v>
          </cell>
          <cell r="H943" t="str">
            <v>AD</v>
          </cell>
        </row>
        <row r="944">
          <cell r="B944" t="str">
            <v>Fire Extinguisher - Dry</v>
          </cell>
          <cell r="D944" t="str">
            <v>Al Danah Primary School</v>
          </cell>
          <cell r="H944" t="str">
            <v>AD</v>
          </cell>
        </row>
        <row r="945">
          <cell r="B945" t="str">
            <v>Fire Extinguisher - Dry</v>
          </cell>
          <cell r="D945" t="str">
            <v>Al Danah Primary School</v>
          </cell>
          <cell r="H945" t="str">
            <v>AD</v>
          </cell>
        </row>
        <row r="946">
          <cell r="B946" t="str">
            <v>Fire Extinguisher - Dry</v>
          </cell>
          <cell r="D946" t="str">
            <v>Al Danah Primary School</v>
          </cell>
          <cell r="H946" t="str">
            <v>AD</v>
          </cell>
        </row>
        <row r="947">
          <cell r="B947" t="str">
            <v>Fire Extinguisher - Dry</v>
          </cell>
          <cell r="D947" t="str">
            <v>Al Danah Primary School</v>
          </cell>
          <cell r="H947" t="str">
            <v>AD</v>
          </cell>
        </row>
        <row r="948">
          <cell r="B948" t="str">
            <v>Fire Extinguisher - Dry</v>
          </cell>
          <cell r="D948" t="str">
            <v>Al Danah Primary School</v>
          </cell>
          <cell r="H948" t="str">
            <v>AD</v>
          </cell>
        </row>
        <row r="949">
          <cell r="B949" t="str">
            <v>Fire Extinguisher - Dry</v>
          </cell>
          <cell r="D949" t="str">
            <v>Al Danah Primary School</v>
          </cell>
          <cell r="H949" t="str">
            <v>AD</v>
          </cell>
        </row>
        <row r="950">
          <cell r="B950" t="str">
            <v>Fire Extinguisher - Dry</v>
          </cell>
          <cell r="D950" t="str">
            <v>Al Danah Primary School</v>
          </cell>
          <cell r="H950" t="str">
            <v>AD</v>
          </cell>
        </row>
        <row r="951">
          <cell r="B951" t="str">
            <v>Fire Extinguisher - Dry</v>
          </cell>
          <cell r="D951" t="str">
            <v>Al Danah Primary School</v>
          </cell>
          <cell r="H951" t="str">
            <v>AD</v>
          </cell>
        </row>
        <row r="952">
          <cell r="B952" t="str">
            <v>Fire Extinguisher - Dry</v>
          </cell>
          <cell r="D952" t="str">
            <v>Al Danah Primary School</v>
          </cell>
          <cell r="H952" t="str">
            <v>AD</v>
          </cell>
        </row>
        <row r="953">
          <cell r="B953" t="str">
            <v>Fire Extinguisher - Dry</v>
          </cell>
          <cell r="D953" t="str">
            <v>Al Danah Primary School</v>
          </cell>
          <cell r="H953" t="str">
            <v>AD</v>
          </cell>
        </row>
        <row r="954">
          <cell r="B954" t="str">
            <v>Fire Extinguisher - Dry</v>
          </cell>
          <cell r="D954" t="str">
            <v>Al Danah Primary School</v>
          </cell>
          <cell r="H954" t="str">
            <v>AD</v>
          </cell>
        </row>
        <row r="955">
          <cell r="B955" t="str">
            <v>Fire Extinguisher - Dry</v>
          </cell>
          <cell r="D955" t="str">
            <v>Al Danah Primary School</v>
          </cell>
          <cell r="H955" t="str">
            <v>AD</v>
          </cell>
        </row>
        <row r="956">
          <cell r="B956" t="str">
            <v>Fire Extinguisher - Dry</v>
          </cell>
          <cell r="D956" t="str">
            <v>Al Danah Primary School</v>
          </cell>
          <cell r="H956" t="str">
            <v>AD</v>
          </cell>
        </row>
        <row r="957">
          <cell r="B957" t="str">
            <v>Fire Extinguisher - Dry</v>
          </cell>
          <cell r="D957" t="str">
            <v>Al Danah Primary School</v>
          </cell>
          <cell r="H957" t="str">
            <v>AD</v>
          </cell>
        </row>
        <row r="958">
          <cell r="B958" t="str">
            <v>Fire Extinguisher - Dry</v>
          </cell>
          <cell r="D958" t="str">
            <v>Al Danah Primary School</v>
          </cell>
          <cell r="H958" t="str">
            <v>AD</v>
          </cell>
        </row>
        <row r="959">
          <cell r="B959" t="str">
            <v>Fire Extinguisher - Dry</v>
          </cell>
          <cell r="D959" t="str">
            <v>Al Danah Primary School</v>
          </cell>
          <cell r="H959" t="str">
            <v>AD</v>
          </cell>
        </row>
        <row r="960">
          <cell r="B960" t="str">
            <v>Fire Extinguisher - Dry</v>
          </cell>
          <cell r="D960" t="str">
            <v>Al Danah Primary School</v>
          </cell>
          <cell r="H960" t="str">
            <v>AD</v>
          </cell>
        </row>
        <row r="961">
          <cell r="B961" t="str">
            <v>Fire Extinguisher Box</v>
          </cell>
          <cell r="D961" t="str">
            <v>Al Danah Primary School</v>
          </cell>
          <cell r="H961" t="str">
            <v>AD</v>
          </cell>
        </row>
        <row r="962">
          <cell r="B962" t="str">
            <v>Fire Hose box</v>
          </cell>
          <cell r="D962" t="str">
            <v>Al Danah Primary School</v>
          </cell>
          <cell r="H962" t="str">
            <v>AD</v>
          </cell>
        </row>
        <row r="963">
          <cell r="B963" t="str">
            <v>Fire Hose box</v>
          </cell>
          <cell r="D963" t="str">
            <v>Al Danah Primary School</v>
          </cell>
          <cell r="H963" t="str">
            <v>AD</v>
          </cell>
        </row>
        <row r="964">
          <cell r="B964" t="str">
            <v>Fire Hose box</v>
          </cell>
          <cell r="D964" t="str">
            <v>Al Danah Primary School</v>
          </cell>
          <cell r="H964" t="str">
            <v>AD</v>
          </cell>
        </row>
        <row r="965">
          <cell r="B965" t="str">
            <v>Fire Hose box</v>
          </cell>
          <cell r="D965" t="str">
            <v>Al Danah Primary School</v>
          </cell>
          <cell r="H965" t="str">
            <v>AD</v>
          </cell>
        </row>
        <row r="966">
          <cell r="B966" t="str">
            <v>Fire Hose box</v>
          </cell>
          <cell r="D966" t="str">
            <v>Al Danah Primary School</v>
          </cell>
          <cell r="H966" t="str">
            <v>AD</v>
          </cell>
        </row>
        <row r="967">
          <cell r="B967" t="str">
            <v>Fire Hose box</v>
          </cell>
          <cell r="D967" t="str">
            <v>Al Danah Primary School</v>
          </cell>
          <cell r="H967" t="str">
            <v>AD</v>
          </cell>
        </row>
        <row r="968">
          <cell r="B968" t="str">
            <v>Fire Hose box</v>
          </cell>
          <cell r="D968" t="str">
            <v>Al Danah Primary School</v>
          </cell>
          <cell r="H968" t="str">
            <v>AD</v>
          </cell>
        </row>
        <row r="969">
          <cell r="B969" t="str">
            <v>Fire Hose Box</v>
          </cell>
          <cell r="D969" t="str">
            <v>Al Danah Primary School</v>
          </cell>
          <cell r="H969" t="str">
            <v>AD</v>
          </cell>
        </row>
        <row r="970">
          <cell r="B970" t="str">
            <v>Fire Hose box</v>
          </cell>
          <cell r="D970" t="str">
            <v>Al Danah Primary School</v>
          </cell>
          <cell r="H970" t="str">
            <v>AD</v>
          </cell>
        </row>
        <row r="971">
          <cell r="B971" t="str">
            <v>Fire Hose box</v>
          </cell>
          <cell r="D971" t="str">
            <v>Al Danah Primary School</v>
          </cell>
          <cell r="H971" t="str">
            <v>AD</v>
          </cell>
        </row>
        <row r="972">
          <cell r="B972" t="str">
            <v>Fire Hose box</v>
          </cell>
          <cell r="D972" t="str">
            <v>Al Danah Primary School</v>
          </cell>
          <cell r="H972" t="str">
            <v>AD</v>
          </cell>
        </row>
        <row r="973">
          <cell r="B973" t="str">
            <v>Fire Hose box</v>
          </cell>
          <cell r="D973" t="str">
            <v>Al Danah Primary School</v>
          </cell>
          <cell r="H973" t="str">
            <v>AD</v>
          </cell>
        </row>
        <row r="974">
          <cell r="B974" t="str">
            <v>Fire Hose box</v>
          </cell>
          <cell r="D974" t="str">
            <v>Al Danah Primary School</v>
          </cell>
          <cell r="H974" t="str">
            <v>AD</v>
          </cell>
        </row>
        <row r="975">
          <cell r="B975" t="str">
            <v>Fire Hose box</v>
          </cell>
          <cell r="D975" t="str">
            <v>Al Danah Primary School</v>
          </cell>
          <cell r="H975" t="str">
            <v>AD</v>
          </cell>
        </row>
        <row r="976">
          <cell r="B976" t="str">
            <v>Fire Hose box</v>
          </cell>
          <cell r="D976" t="str">
            <v>Al Danah Primary School</v>
          </cell>
          <cell r="H976" t="str">
            <v>AD</v>
          </cell>
        </row>
        <row r="977">
          <cell r="B977" t="str">
            <v>Fire Hose box</v>
          </cell>
          <cell r="D977" t="str">
            <v>Al Danah Primary School</v>
          </cell>
          <cell r="H977" t="str">
            <v>AD</v>
          </cell>
        </row>
        <row r="978">
          <cell r="B978" t="str">
            <v>Fire Hose box</v>
          </cell>
          <cell r="D978" t="str">
            <v>Al Danah Primary School</v>
          </cell>
          <cell r="H978" t="str">
            <v>AD</v>
          </cell>
        </row>
        <row r="979">
          <cell r="B979" t="str">
            <v>Fire Hose box</v>
          </cell>
          <cell r="D979" t="str">
            <v>Al Danah Primary School</v>
          </cell>
          <cell r="H979" t="str">
            <v>AD</v>
          </cell>
        </row>
        <row r="980">
          <cell r="B980" t="str">
            <v>Fire Hose box</v>
          </cell>
          <cell r="D980" t="str">
            <v>Al Danah Primary School</v>
          </cell>
          <cell r="H980" t="str">
            <v>AD</v>
          </cell>
        </row>
        <row r="981">
          <cell r="B981" t="str">
            <v>Fire Hose box</v>
          </cell>
          <cell r="D981" t="str">
            <v>Al Danah Primary School</v>
          </cell>
          <cell r="H981" t="str">
            <v>AD</v>
          </cell>
        </row>
        <row r="982">
          <cell r="B982" t="str">
            <v>Fire Hose box</v>
          </cell>
          <cell r="D982" t="str">
            <v>Al Danah Primary School</v>
          </cell>
          <cell r="H982" t="str">
            <v>AD</v>
          </cell>
        </row>
        <row r="983">
          <cell r="B983" t="str">
            <v>Fire Hose box</v>
          </cell>
          <cell r="D983" t="str">
            <v>Al Danah Primary School</v>
          </cell>
          <cell r="H983" t="str">
            <v>AD</v>
          </cell>
        </row>
        <row r="984">
          <cell r="B984" t="str">
            <v>Fire Hose box</v>
          </cell>
          <cell r="D984" t="str">
            <v>Al Danah Primary School</v>
          </cell>
          <cell r="H984" t="str">
            <v>AD</v>
          </cell>
        </row>
        <row r="985">
          <cell r="B985" t="str">
            <v>Fire Hose box</v>
          </cell>
          <cell r="D985" t="str">
            <v>Al Danah Primary School</v>
          </cell>
          <cell r="H985" t="str">
            <v>AD</v>
          </cell>
        </row>
        <row r="986">
          <cell r="B986" t="str">
            <v>Fire Hose box</v>
          </cell>
          <cell r="D986" t="str">
            <v>Al Danah Primary School</v>
          </cell>
          <cell r="H986" t="str">
            <v>AD</v>
          </cell>
        </row>
        <row r="987">
          <cell r="B987" t="str">
            <v>Fire Hose box</v>
          </cell>
          <cell r="D987" t="str">
            <v>Al Danah Primary School</v>
          </cell>
          <cell r="H987" t="str">
            <v>AD</v>
          </cell>
        </row>
        <row r="988">
          <cell r="B988" t="str">
            <v>Fire Hose box</v>
          </cell>
          <cell r="D988" t="str">
            <v>Al Danah Primary School</v>
          </cell>
          <cell r="H988" t="str">
            <v>AD</v>
          </cell>
        </row>
        <row r="989">
          <cell r="B989" t="str">
            <v>Fire Hose box</v>
          </cell>
          <cell r="D989" t="str">
            <v>Al Danah Primary School</v>
          </cell>
          <cell r="H989" t="str">
            <v>AD</v>
          </cell>
        </row>
        <row r="990">
          <cell r="B990" t="str">
            <v>Fire Hose box</v>
          </cell>
          <cell r="D990" t="str">
            <v>Al Danah Primary School</v>
          </cell>
          <cell r="H990" t="str">
            <v>AD</v>
          </cell>
        </row>
        <row r="991">
          <cell r="B991" t="str">
            <v>Fire Hose box</v>
          </cell>
          <cell r="D991" t="str">
            <v>Al Danah Primary School</v>
          </cell>
          <cell r="H991" t="str">
            <v>AD</v>
          </cell>
        </row>
        <row r="992">
          <cell r="B992" t="str">
            <v>Fire Hose Cabinet</v>
          </cell>
          <cell r="D992" t="str">
            <v>Al Danah Primary School</v>
          </cell>
          <cell r="H992" t="str">
            <v>AD</v>
          </cell>
        </row>
        <row r="993">
          <cell r="B993" t="str">
            <v>Fire Hose Cabinet</v>
          </cell>
          <cell r="D993" t="str">
            <v>Al Danah Primary School</v>
          </cell>
          <cell r="H993" t="str">
            <v>AD</v>
          </cell>
        </row>
        <row r="994">
          <cell r="B994" t="str">
            <v>Fire Hose Reel</v>
          </cell>
          <cell r="D994" t="str">
            <v>Al Danah Primary School</v>
          </cell>
          <cell r="H994" t="str">
            <v>AD</v>
          </cell>
        </row>
        <row r="995">
          <cell r="B995" t="str">
            <v>Fire Hose Reel</v>
          </cell>
          <cell r="D995" t="str">
            <v>Al Danah Primary School</v>
          </cell>
          <cell r="H995" t="str">
            <v>AD</v>
          </cell>
        </row>
        <row r="996">
          <cell r="B996" t="str">
            <v>Fire Hose Reel</v>
          </cell>
          <cell r="D996" t="str">
            <v>Al Danah Primary School</v>
          </cell>
          <cell r="H996" t="str">
            <v>AD</v>
          </cell>
        </row>
        <row r="997">
          <cell r="B997" t="str">
            <v>Fire Hose Reel</v>
          </cell>
          <cell r="D997" t="str">
            <v>Al Danah Primary School</v>
          </cell>
          <cell r="H997" t="str">
            <v>AD</v>
          </cell>
        </row>
        <row r="998">
          <cell r="B998" t="str">
            <v>Fire Hose Reel</v>
          </cell>
          <cell r="D998" t="str">
            <v>Al Danah Primary School</v>
          </cell>
          <cell r="H998" t="str">
            <v>AD</v>
          </cell>
        </row>
        <row r="999">
          <cell r="B999" t="str">
            <v>Fire Hose Reel</v>
          </cell>
          <cell r="D999" t="str">
            <v>Al Danah Primary School</v>
          </cell>
          <cell r="H999" t="str">
            <v>AD</v>
          </cell>
        </row>
        <row r="1000">
          <cell r="B1000" t="str">
            <v>Fire Hose Reel</v>
          </cell>
          <cell r="D1000" t="str">
            <v>Al Danah Primary School</v>
          </cell>
          <cell r="H1000" t="str">
            <v>AD</v>
          </cell>
        </row>
        <row r="1001">
          <cell r="B1001" t="str">
            <v>Fire Hose Reel</v>
          </cell>
          <cell r="D1001" t="str">
            <v>Al Danah Primary School</v>
          </cell>
          <cell r="H1001" t="str">
            <v>AD</v>
          </cell>
        </row>
        <row r="1002">
          <cell r="B1002" t="str">
            <v>Fire Hose Reel</v>
          </cell>
          <cell r="D1002" t="str">
            <v>Al Danah Primary School</v>
          </cell>
          <cell r="H1002" t="str">
            <v>AD</v>
          </cell>
        </row>
        <row r="1003">
          <cell r="B1003" t="str">
            <v>Fire Hose Reel</v>
          </cell>
          <cell r="D1003" t="str">
            <v>Al Danah Primary School</v>
          </cell>
          <cell r="H1003" t="str">
            <v>AD</v>
          </cell>
        </row>
        <row r="1004">
          <cell r="B1004" t="str">
            <v>Fire Hose Reel</v>
          </cell>
          <cell r="D1004" t="str">
            <v>Al Danah Primary School</v>
          </cell>
          <cell r="H1004" t="str">
            <v>AD</v>
          </cell>
        </row>
        <row r="1005">
          <cell r="B1005" t="str">
            <v>Fire Hose Reel</v>
          </cell>
          <cell r="D1005" t="str">
            <v>Al Danah Primary School</v>
          </cell>
          <cell r="H1005" t="str">
            <v>AD</v>
          </cell>
        </row>
        <row r="1006">
          <cell r="B1006" t="str">
            <v>Fire Hose Reel</v>
          </cell>
          <cell r="D1006" t="str">
            <v>Al Danah Primary School</v>
          </cell>
          <cell r="H1006" t="str">
            <v>AD</v>
          </cell>
        </row>
        <row r="1007">
          <cell r="B1007" t="str">
            <v>Fire Hose Reel</v>
          </cell>
          <cell r="D1007" t="str">
            <v>Al Danah Primary School</v>
          </cell>
          <cell r="H1007" t="str">
            <v>AD</v>
          </cell>
        </row>
        <row r="1008">
          <cell r="B1008" t="str">
            <v>Fire Hose Reel</v>
          </cell>
          <cell r="D1008" t="str">
            <v>Al Danah Primary School</v>
          </cell>
          <cell r="H1008" t="str">
            <v>AD</v>
          </cell>
        </row>
        <row r="1009">
          <cell r="B1009" t="str">
            <v>Fire Hose Reel</v>
          </cell>
          <cell r="D1009" t="str">
            <v>Al Danah Primary School</v>
          </cell>
          <cell r="H1009" t="str">
            <v>AD</v>
          </cell>
        </row>
        <row r="1010">
          <cell r="B1010" t="str">
            <v>Fire Smoke / Heat Detector, Sounder</v>
          </cell>
          <cell r="D1010" t="str">
            <v>Al Danah Primary School</v>
          </cell>
          <cell r="H1010" t="str">
            <v>AD</v>
          </cell>
        </row>
        <row r="1011">
          <cell r="B1011" t="str">
            <v>Fire Smoke / Heat Detector, Sounder</v>
          </cell>
          <cell r="D1011" t="str">
            <v>Al Danah Primary School</v>
          </cell>
          <cell r="H1011" t="str">
            <v>AD</v>
          </cell>
        </row>
        <row r="1012">
          <cell r="B1012" t="str">
            <v>Fire Smoke / Heat Detector, Sounder</v>
          </cell>
          <cell r="D1012" t="str">
            <v>Al Danah Primary School</v>
          </cell>
          <cell r="H1012" t="str">
            <v>AD</v>
          </cell>
        </row>
        <row r="1013">
          <cell r="B1013" t="str">
            <v>Fire Smoke / Heat Detector, Sounder</v>
          </cell>
          <cell r="D1013" t="str">
            <v>Al Danah Primary School</v>
          </cell>
          <cell r="H1013" t="str">
            <v>AD</v>
          </cell>
        </row>
        <row r="1014">
          <cell r="B1014" t="str">
            <v>Fire Smoke / Heat Detector, Sounder</v>
          </cell>
          <cell r="D1014" t="str">
            <v>Al Danah Primary School</v>
          </cell>
          <cell r="H1014" t="str">
            <v>AD</v>
          </cell>
        </row>
        <row r="1015">
          <cell r="B1015" t="str">
            <v>Fire Smoke / Heat Detector, Sounder</v>
          </cell>
          <cell r="D1015" t="str">
            <v>Al Danah Primary School</v>
          </cell>
          <cell r="H1015" t="str">
            <v>AD</v>
          </cell>
        </row>
        <row r="1016">
          <cell r="B1016" t="str">
            <v>Fire Smoke / Heat Detector, Sounder</v>
          </cell>
          <cell r="D1016" t="str">
            <v>Al Danah Primary School</v>
          </cell>
          <cell r="H1016" t="str">
            <v>AD</v>
          </cell>
        </row>
        <row r="1017">
          <cell r="B1017" t="str">
            <v>Fire Smoke / Heat Detector, Sounder</v>
          </cell>
          <cell r="D1017" t="str">
            <v>Al Danah Primary School</v>
          </cell>
          <cell r="H1017" t="str">
            <v>AD</v>
          </cell>
        </row>
        <row r="1018">
          <cell r="B1018" t="str">
            <v>Fire Smoke / Heat Detector, Sounder</v>
          </cell>
          <cell r="D1018" t="str">
            <v>Al Danah Primary School</v>
          </cell>
          <cell r="H1018" t="str">
            <v>AD</v>
          </cell>
        </row>
        <row r="1019">
          <cell r="B1019" t="str">
            <v>Fire Smoke / Heat Detector, Sounder</v>
          </cell>
          <cell r="D1019" t="str">
            <v>Al Danah Primary School</v>
          </cell>
          <cell r="H1019" t="str">
            <v>AD</v>
          </cell>
        </row>
        <row r="1020">
          <cell r="B1020" t="str">
            <v>Fire Smoke / Heat Detector, Sounder</v>
          </cell>
          <cell r="D1020" t="str">
            <v>Al Danah Primary School</v>
          </cell>
          <cell r="H1020" t="str">
            <v>AD</v>
          </cell>
        </row>
        <row r="1021">
          <cell r="B1021" t="str">
            <v>Fire Smoke / Heat Detector, Sounder</v>
          </cell>
          <cell r="D1021" t="str">
            <v>Al Danah Primary School</v>
          </cell>
          <cell r="H1021" t="str">
            <v>AD</v>
          </cell>
        </row>
        <row r="1022">
          <cell r="B1022" t="str">
            <v>Fire Smoke / Heat Detector, Sounder</v>
          </cell>
          <cell r="D1022" t="str">
            <v>Al Danah Primary School</v>
          </cell>
          <cell r="H1022" t="str">
            <v>AD</v>
          </cell>
        </row>
        <row r="1023">
          <cell r="B1023" t="str">
            <v>Fire Smoke / Heat Detector, Sounder</v>
          </cell>
          <cell r="D1023" t="str">
            <v>Al Danah Primary School</v>
          </cell>
          <cell r="H1023" t="str">
            <v>AD</v>
          </cell>
        </row>
        <row r="1024">
          <cell r="B1024" t="str">
            <v>Fire Smoke / Heat Detector, Sounder</v>
          </cell>
          <cell r="D1024" t="str">
            <v>Al Danah Primary School</v>
          </cell>
          <cell r="H1024" t="str">
            <v>AD</v>
          </cell>
        </row>
        <row r="1025">
          <cell r="B1025" t="str">
            <v>Fire Smoke / Heat Detector, Sounder</v>
          </cell>
          <cell r="D1025" t="str">
            <v>Al Danah Primary School</v>
          </cell>
          <cell r="H1025" t="str">
            <v>AD</v>
          </cell>
        </row>
        <row r="1026">
          <cell r="B1026" t="str">
            <v>Fire Smoke / Heat Detector, Sounder</v>
          </cell>
          <cell r="D1026" t="str">
            <v>Al Danah Primary School</v>
          </cell>
          <cell r="H1026" t="str">
            <v>AD</v>
          </cell>
        </row>
        <row r="1027">
          <cell r="B1027" t="str">
            <v>Gas Control Box</v>
          </cell>
          <cell r="D1027" t="str">
            <v>Al Danah Primary School</v>
          </cell>
          <cell r="H1027" t="str">
            <v>AD</v>
          </cell>
        </row>
        <row r="1028">
          <cell r="B1028" t="str">
            <v>Gas Detection System</v>
          </cell>
          <cell r="D1028" t="str">
            <v>Al Danah Primary School</v>
          </cell>
          <cell r="H1028" t="str">
            <v>AD</v>
          </cell>
        </row>
        <row r="1029">
          <cell r="B1029" t="str">
            <v>Gas Detection System</v>
          </cell>
          <cell r="D1029" t="str">
            <v>Al Danah Primary School</v>
          </cell>
          <cell r="H1029" t="str">
            <v>AD</v>
          </cell>
        </row>
        <row r="1030">
          <cell r="B1030" t="str">
            <v>Gas Detection System</v>
          </cell>
          <cell r="D1030" t="str">
            <v>Al Danah Primary School</v>
          </cell>
          <cell r="H1030" t="str">
            <v>AD</v>
          </cell>
        </row>
        <row r="1031">
          <cell r="B1031" t="str">
            <v>Gas Detection System</v>
          </cell>
          <cell r="D1031" t="str">
            <v>Al Danah Primary School</v>
          </cell>
          <cell r="H1031" t="str">
            <v>AD</v>
          </cell>
        </row>
        <row r="1032">
          <cell r="B1032" t="str">
            <v>Gas Detection System</v>
          </cell>
          <cell r="D1032" t="str">
            <v>Al Danah Primary School</v>
          </cell>
          <cell r="H1032" t="str">
            <v>AD</v>
          </cell>
        </row>
        <row r="1033">
          <cell r="B1033" t="str">
            <v>Gas Detection System</v>
          </cell>
          <cell r="D1033" t="str">
            <v>Al Danah Primary School</v>
          </cell>
          <cell r="H1033" t="str">
            <v>AD</v>
          </cell>
        </row>
        <row r="1034">
          <cell r="B1034" t="str">
            <v>Gas Detection System</v>
          </cell>
          <cell r="D1034" t="str">
            <v>Al Danah Primary School</v>
          </cell>
          <cell r="H1034" t="str">
            <v>AD</v>
          </cell>
        </row>
        <row r="1035">
          <cell r="B1035" t="str">
            <v>Gas Detection System</v>
          </cell>
          <cell r="D1035" t="str">
            <v>Al Danah Primary School</v>
          </cell>
          <cell r="H1035" t="str">
            <v>AD</v>
          </cell>
        </row>
        <row r="1036">
          <cell r="B1036" t="str">
            <v>Gas Detection System</v>
          </cell>
          <cell r="D1036" t="str">
            <v>Al Danah Primary School</v>
          </cell>
          <cell r="H1036" t="str">
            <v>AD</v>
          </cell>
        </row>
        <row r="1037">
          <cell r="B1037" t="str">
            <v>Gas Detection System</v>
          </cell>
          <cell r="D1037" t="str">
            <v>Al Danah Primary School</v>
          </cell>
          <cell r="H1037" t="str">
            <v>AD</v>
          </cell>
        </row>
        <row r="1038">
          <cell r="B1038" t="str">
            <v>Gas Switch</v>
          </cell>
          <cell r="D1038" t="str">
            <v>Al Danah Primary School</v>
          </cell>
          <cell r="H1038" t="str">
            <v>AD</v>
          </cell>
        </row>
        <row r="1039">
          <cell r="B1039" t="str">
            <v>Smoke Detector &amp; Heat Detector</v>
          </cell>
          <cell r="D1039" t="str">
            <v>Al Danah Primary School</v>
          </cell>
          <cell r="H1039" t="str">
            <v>AD</v>
          </cell>
        </row>
        <row r="1040">
          <cell r="B1040" t="str">
            <v>Smoke Detector &amp; Heat Detector</v>
          </cell>
          <cell r="D1040" t="str">
            <v>Al Danah Primary School</v>
          </cell>
          <cell r="H1040" t="str">
            <v>AD</v>
          </cell>
        </row>
        <row r="1041">
          <cell r="B1041" t="str">
            <v>Smoke Detector &amp; Heat Detector</v>
          </cell>
          <cell r="D1041" t="str">
            <v>Al Danah Primary School</v>
          </cell>
          <cell r="H1041" t="str">
            <v>AD</v>
          </cell>
        </row>
        <row r="1042">
          <cell r="B1042" t="str">
            <v>Smoke Detector &amp; Heat Detector</v>
          </cell>
          <cell r="D1042" t="str">
            <v>Al Danah Primary School</v>
          </cell>
          <cell r="H1042" t="str">
            <v>AD</v>
          </cell>
        </row>
        <row r="1043">
          <cell r="B1043" t="str">
            <v>Smoke Detector &amp; Heat Detector</v>
          </cell>
          <cell r="D1043" t="str">
            <v>Al Danah Primary School</v>
          </cell>
          <cell r="H1043" t="str">
            <v>AD</v>
          </cell>
        </row>
        <row r="1044">
          <cell r="B1044" t="str">
            <v>Smoke Detector &amp; Heat Detector</v>
          </cell>
          <cell r="D1044" t="str">
            <v>Al Danah Primary School</v>
          </cell>
          <cell r="H1044" t="str">
            <v>AD</v>
          </cell>
        </row>
        <row r="1045">
          <cell r="B1045" t="str">
            <v>Smoke Detector &amp; Heat Detector</v>
          </cell>
          <cell r="D1045" t="str">
            <v>Al Danah Primary School</v>
          </cell>
          <cell r="H1045" t="str">
            <v>AD</v>
          </cell>
        </row>
        <row r="1046">
          <cell r="B1046" t="str">
            <v>Smoke Detector &amp; Heat Detector</v>
          </cell>
          <cell r="D1046" t="str">
            <v>Al Danah Primary School</v>
          </cell>
          <cell r="H1046" t="str">
            <v>AD</v>
          </cell>
        </row>
        <row r="1047">
          <cell r="B1047" t="str">
            <v>Smoke Detector &amp; Heat Detector</v>
          </cell>
          <cell r="D1047" t="str">
            <v>Al Danah Primary School</v>
          </cell>
          <cell r="H1047" t="str">
            <v>AD</v>
          </cell>
        </row>
        <row r="1048">
          <cell r="B1048" t="str">
            <v>Smoke Detector &amp; Heat Detector</v>
          </cell>
          <cell r="D1048" t="str">
            <v>Al Danah Primary School</v>
          </cell>
          <cell r="H1048" t="str">
            <v>AD</v>
          </cell>
        </row>
        <row r="1049">
          <cell r="B1049" t="str">
            <v>Smoke Detector &amp; Heat Detector</v>
          </cell>
          <cell r="D1049" t="str">
            <v>Al Danah Primary School</v>
          </cell>
          <cell r="H1049" t="str">
            <v>AD</v>
          </cell>
        </row>
        <row r="1050">
          <cell r="B1050" t="str">
            <v>Smoke Detector &amp; Heat Detector</v>
          </cell>
          <cell r="D1050" t="str">
            <v>Al Danah Primary School</v>
          </cell>
          <cell r="H1050" t="str">
            <v>AD</v>
          </cell>
        </row>
        <row r="1051">
          <cell r="B1051" t="str">
            <v>Smoke Detector &amp; Heat Detector</v>
          </cell>
          <cell r="D1051" t="str">
            <v>Al Danah Primary School</v>
          </cell>
          <cell r="H1051" t="str">
            <v>AD</v>
          </cell>
        </row>
        <row r="1052">
          <cell r="B1052" t="str">
            <v>Smoke Detector &amp; Heat Detector</v>
          </cell>
          <cell r="D1052" t="str">
            <v>Al Danah Primary School</v>
          </cell>
          <cell r="H1052" t="str">
            <v>AD</v>
          </cell>
        </row>
        <row r="1053">
          <cell r="B1053" t="str">
            <v>Smoke Detector &amp; Heat Detector</v>
          </cell>
          <cell r="D1053" t="str">
            <v>Al Danah Primary School</v>
          </cell>
          <cell r="H1053" t="str">
            <v>AD</v>
          </cell>
        </row>
        <row r="1054">
          <cell r="B1054" t="str">
            <v>Smoke Detector &amp; Heat Detector</v>
          </cell>
          <cell r="D1054" t="str">
            <v>Al Danah Primary School</v>
          </cell>
          <cell r="H1054" t="str">
            <v>AD</v>
          </cell>
        </row>
        <row r="1055">
          <cell r="B1055" t="str">
            <v>Smoke Detector &amp; Heat Detector</v>
          </cell>
          <cell r="D1055" t="str">
            <v>Al Danah Primary School</v>
          </cell>
          <cell r="H1055" t="str">
            <v>AD</v>
          </cell>
        </row>
        <row r="1056">
          <cell r="B1056" t="str">
            <v>Smoke Detector &amp; Heat Detector</v>
          </cell>
          <cell r="D1056" t="str">
            <v>Al Danah Primary School</v>
          </cell>
          <cell r="H1056" t="str">
            <v>AD</v>
          </cell>
        </row>
        <row r="1057">
          <cell r="B1057" t="str">
            <v>Smoke Detector &amp; Heat Detector</v>
          </cell>
          <cell r="D1057" t="str">
            <v>Al Danah Primary School</v>
          </cell>
          <cell r="H1057" t="str">
            <v>AD</v>
          </cell>
        </row>
        <row r="1058">
          <cell r="B1058" t="str">
            <v>Smoke Detector &amp; Heat Detector</v>
          </cell>
          <cell r="D1058" t="str">
            <v>Al Danah Primary School</v>
          </cell>
          <cell r="H1058" t="str">
            <v>AD</v>
          </cell>
        </row>
        <row r="1059">
          <cell r="B1059" t="str">
            <v>Smoke Detector &amp; Heat Detector</v>
          </cell>
          <cell r="D1059" t="str">
            <v>Al Danah Primary School</v>
          </cell>
          <cell r="H1059" t="str">
            <v>AD</v>
          </cell>
        </row>
        <row r="1060">
          <cell r="B1060" t="str">
            <v>Smoke Detector &amp; Heat Detector</v>
          </cell>
          <cell r="D1060" t="str">
            <v>Al Danah Primary School</v>
          </cell>
          <cell r="H1060" t="str">
            <v>AD</v>
          </cell>
        </row>
        <row r="1061">
          <cell r="B1061" t="str">
            <v>Smoke Detector &amp; Heat Detector</v>
          </cell>
          <cell r="D1061" t="str">
            <v>Al Danah Primary School</v>
          </cell>
          <cell r="H1061" t="str">
            <v>AD</v>
          </cell>
        </row>
        <row r="1062">
          <cell r="B1062" t="str">
            <v>Smoke Detector &amp; Heat Detector</v>
          </cell>
          <cell r="D1062" t="str">
            <v>Al Danah Primary School</v>
          </cell>
          <cell r="H1062" t="str">
            <v>AD</v>
          </cell>
        </row>
        <row r="1063">
          <cell r="B1063" t="str">
            <v>Smoke Detector &amp; Heat Detector</v>
          </cell>
          <cell r="D1063" t="str">
            <v>Al Danah Primary School</v>
          </cell>
          <cell r="H1063" t="str">
            <v>AD</v>
          </cell>
        </row>
        <row r="1064">
          <cell r="B1064" t="str">
            <v>Smoke Detector &amp; Heat Detector</v>
          </cell>
          <cell r="D1064" t="str">
            <v>Al Danah Primary School</v>
          </cell>
          <cell r="H1064" t="str">
            <v>AD</v>
          </cell>
        </row>
        <row r="1065">
          <cell r="B1065" t="str">
            <v>Smoke Detector &amp; Heat Detector</v>
          </cell>
          <cell r="D1065" t="str">
            <v>Al Danah Primary School</v>
          </cell>
          <cell r="H1065" t="str">
            <v>AD</v>
          </cell>
        </row>
        <row r="1066">
          <cell r="B1066" t="str">
            <v>Smoke Detector &amp; Heat Detector</v>
          </cell>
          <cell r="D1066" t="str">
            <v>Al Danah Primary School</v>
          </cell>
          <cell r="H1066" t="str">
            <v>AD</v>
          </cell>
        </row>
        <row r="1067">
          <cell r="B1067" t="str">
            <v>Smoke Detector &amp; Heat Detector</v>
          </cell>
          <cell r="D1067" t="str">
            <v>Al Danah Primary School</v>
          </cell>
          <cell r="H1067" t="str">
            <v>AD</v>
          </cell>
        </row>
        <row r="1068">
          <cell r="B1068" t="str">
            <v>Smoke Detector &amp; Heat Detector</v>
          </cell>
          <cell r="D1068" t="str">
            <v>Al Danah Primary School</v>
          </cell>
          <cell r="H1068" t="str">
            <v>AD</v>
          </cell>
        </row>
        <row r="1069">
          <cell r="B1069" t="str">
            <v>Smoke Detector &amp; Heat Detector</v>
          </cell>
          <cell r="D1069" t="str">
            <v>Al Danah Primary School</v>
          </cell>
          <cell r="H1069" t="str">
            <v>AD</v>
          </cell>
        </row>
        <row r="1070">
          <cell r="B1070" t="str">
            <v>Smoke Detector &amp; Heat Detector</v>
          </cell>
          <cell r="D1070" t="str">
            <v>Al Danah Primary School</v>
          </cell>
          <cell r="H1070" t="str">
            <v>AD</v>
          </cell>
        </row>
        <row r="1071">
          <cell r="B1071" t="str">
            <v>Smoke Detector &amp; Heat Detector</v>
          </cell>
          <cell r="D1071" t="str">
            <v>Al Danah Primary School</v>
          </cell>
          <cell r="H1071" t="str">
            <v>AD</v>
          </cell>
        </row>
        <row r="1072">
          <cell r="B1072" t="str">
            <v>Smoke Detector &amp; Heat Detector</v>
          </cell>
          <cell r="D1072" t="str">
            <v>Al Danah Primary School</v>
          </cell>
          <cell r="H1072" t="str">
            <v>AD</v>
          </cell>
        </row>
        <row r="1073">
          <cell r="B1073" t="str">
            <v>Smoke Detector &amp; Heat Detector</v>
          </cell>
          <cell r="D1073" t="str">
            <v>Al Danah Primary School</v>
          </cell>
          <cell r="H1073" t="str">
            <v>AD</v>
          </cell>
        </row>
        <row r="1074">
          <cell r="B1074" t="str">
            <v>Smoke Detector &amp; Heat Detector</v>
          </cell>
          <cell r="D1074" t="str">
            <v>Al Danah Primary School</v>
          </cell>
          <cell r="H1074" t="str">
            <v>AD</v>
          </cell>
        </row>
        <row r="1075">
          <cell r="B1075" t="str">
            <v>Smoke Detector &amp; Heat Detector</v>
          </cell>
          <cell r="D1075" t="str">
            <v>Al Danah Primary School</v>
          </cell>
          <cell r="H1075" t="str">
            <v>AD</v>
          </cell>
        </row>
        <row r="1076">
          <cell r="B1076" t="str">
            <v>Smoke Detector &amp; Heat Detector</v>
          </cell>
          <cell r="D1076" t="str">
            <v>Al Danah Primary School</v>
          </cell>
          <cell r="H1076" t="str">
            <v>AD</v>
          </cell>
        </row>
        <row r="1077">
          <cell r="B1077" t="str">
            <v>Smoke Detector &amp; Heat Detector</v>
          </cell>
          <cell r="D1077" t="str">
            <v>Al Danah Primary School</v>
          </cell>
          <cell r="H1077" t="str">
            <v>AD</v>
          </cell>
        </row>
        <row r="1078">
          <cell r="B1078" t="str">
            <v>Smoke Detector &amp; Heat Detector</v>
          </cell>
          <cell r="D1078" t="str">
            <v>Al Danah Primary School</v>
          </cell>
          <cell r="H1078" t="str">
            <v>AD</v>
          </cell>
        </row>
        <row r="1079">
          <cell r="B1079" t="str">
            <v>Smoke Detector &amp; Heat Detector</v>
          </cell>
          <cell r="D1079" t="str">
            <v>Al Danah Primary School</v>
          </cell>
          <cell r="H1079" t="str">
            <v>AD</v>
          </cell>
        </row>
        <row r="1080">
          <cell r="B1080" t="str">
            <v>Smoke Detector &amp; Heat Detector</v>
          </cell>
          <cell r="D1080" t="str">
            <v>Al Danah Primary School</v>
          </cell>
          <cell r="H1080" t="str">
            <v>AD</v>
          </cell>
        </row>
        <row r="1081">
          <cell r="B1081" t="str">
            <v>Smoke Detector &amp; Heat Detector</v>
          </cell>
          <cell r="D1081" t="str">
            <v>Al Danah Primary School</v>
          </cell>
          <cell r="H1081" t="str">
            <v>AD</v>
          </cell>
        </row>
        <row r="1082">
          <cell r="B1082" t="str">
            <v>Smoke Detector &amp; Heat Detector</v>
          </cell>
          <cell r="D1082" t="str">
            <v>Al Danah Primary School</v>
          </cell>
          <cell r="H1082" t="str">
            <v>AD</v>
          </cell>
        </row>
        <row r="1083">
          <cell r="B1083" t="str">
            <v>Smoke Detector &amp; Heat Detector</v>
          </cell>
          <cell r="D1083" t="str">
            <v>Al Danah Primary School</v>
          </cell>
          <cell r="H1083" t="str">
            <v>AD</v>
          </cell>
        </row>
        <row r="1084">
          <cell r="B1084" t="str">
            <v>Smoke Detector &amp; Heat Detector</v>
          </cell>
          <cell r="D1084" t="str">
            <v>Al Danah Primary School</v>
          </cell>
          <cell r="H1084" t="str">
            <v>AD</v>
          </cell>
        </row>
        <row r="1085">
          <cell r="B1085" t="str">
            <v>Smoke Detector &amp; Heat Detector</v>
          </cell>
          <cell r="D1085" t="str">
            <v>Al Danah Primary School</v>
          </cell>
          <cell r="H1085" t="str">
            <v>AD</v>
          </cell>
        </row>
        <row r="1086">
          <cell r="B1086" t="str">
            <v>Smoke Detector &amp; Heat Detector</v>
          </cell>
          <cell r="D1086" t="str">
            <v>Al Danah Primary School</v>
          </cell>
          <cell r="H1086" t="str">
            <v>AD</v>
          </cell>
        </row>
        <row r="1087">
          <cell r="B1087" t="str">
            <v>Smoke Detector &amp; Heat Detector</v>
          </cell>
          <cell r="D1087" t="str">
            <v>Al Danah Primary School</v>
          </cell>
          <cell r="H1087" t="str">
            <v>AD</v>
          </cell>
        </row>
        <row r="1088">
          <cell r="B1088" t="str">
            <v>Smoke Detector &amp; Heat Detector</v>
          </cell>
          <cell r="D1088" t="str">
            <v>Al Danah Primary School</v>
          </cell>
          <cell r="H1088" t="str">
            <v>AD</v>
          </cell>
        </row>
        <row r="1089">
          <cell r="B1089" t="str">
            <v>Smoke Detector &amp; Heat Detector</v>
          </cell>
          <cell r="D1089" t="str">
            <v>Al Danah Primary School</v>
          </cell>
          <cell r="H1089" t="str">
            <v>AD</v>
          </cell>
        </row>
        <row r="1090">
          <cell r="B1090" t="str">
            <v>Smoke Detector &amp; Heat Detector</v>
          </cell>
          <cell r="D1090" t="str">
            <v>Al Danah Primary School</v>
          </cell>
          <cell r="H1090" t="str">
            <v>AD</v>
          </cell>
        </row>
        <row r="1091">
          <cell r="B1091" t="str">
            <v>Smoke Detector &amp; Heat Detector</v>
          </cell>
          <cell r="D1091" t="str">
            <v>Al Danah Primary School</v>
          </cell>
          <cell r="H1091" t="str">
            <v>AD</v>
          </cell>
        </row>
        <row r="1092">
          <cell r="B1092" t="str">
            <v>Smoke Detector &amp; Heat Detector</v>
          </cell>
          <cell r="D1092" t="str">
            <v>Al Danah Primary School</v>
          </cell>
          <cell r="H1092" t="str">
            <v>AD</v>
          </cell>
        </row>
        <row r="1093">
          <cell r="B1093" t="str">
            <v>Smoke Detector &amp; Heat Detector</v>
          </cell>
          <cell r="D1093" t="str">
            <v>Al Danah Primary School</v>
          </cell>
          <cell r="H1093" t="str">
            <v>AD</v>
          </cell>
        </row>
        <row r="1094">
          <cell r="B1094" t="str">
            <v>Smoke Detector &amp; Heat Detector</v>
          </cell>
          <cell r="D1094" t="str">
            <v>Al Danah Primary School</v>
          </cell>
          <cell r="H1094" t="str">
            <v>AD</v>
          </cell>
        </row>
        <row r="1095">
          <cell r="B1095" t="str">
            <v>Smoke Detector &amp; Heat Detector</v>
          </cell>
          <cell r="D1095" t="str">
            <v>Al Danah Primary School</v>
          </cell>
          <cell r="H1095" t="str">
            <v>AD</v>
          </cell>
        </row>
        <row r="1096">
          <cell r="B1096" t="str">
            <v>Smoke Detector &amp; Heat Detector</v>
          </cell>
          <cell r="D1096" t="str">
            <v>Al Danah Primary School</v>
          </cell>
          <cell r="H1096" t="str">
            <v>AD</v>
          </cell>
        </row>
        <row r="1097">
          <cell r="B1097" t="str">
            <v>Smoke Detector &amp; Heat Detector</v>
          </cell>
          <cell r="D1097" t="str">
            <v>Al Danah Primary School</v>
          </cell>
          <cell r="H1097" t="str">
            <v>AD</v>
          </cell>
        </row>
        <row r="1098">
          <cell r="B1098" t="str">
            <v>Smoke Detector &amp; Heat Detector</v>
          </cell>
          <cell r="D1098" t="str">
            <v>Al Danah Primary School</v>
          </cell>
          <cell r="H1098" t="str">
            <v>AD</v>
          </cell>
        </row>
        <row r="1099">
          <cell r="B1099" t="str">
            <v>Smoke Detector &amp; Heat Detector</v>
          </cell>
          <cell r="D1099" t="str">
            <v>Al Danah Primary School</v>
          </cell>
          <cell r="H1099" t="str">
            <v>AD</v>
          </cell>
        </row>
        <row r="1100">
          <cell r="B1100" t="str">
            <v>Smoke Detector &amp; Heat Detector</v>
          </cell>
          <cell r="D1100" t="str">
            <v>Al Danah Primary School</v>
          </cell>
          <cell r="H1100" t="str">
            <v>AD</v>
          </cell>
        </row>
        <row r="1101">
          <cell r="B1101" t="str">
            <v>Smoke Detector &amp; Heat Detector</v>
          </cell>
          <cell r="D1101" t="str">
            <v>Al Danah Primary School</v>
          </cell>
          <cell r="H1101" t="str">
            <v>AD</v>
          </cell>
        </row>
        <row r="1102">
          <cell r="B1102" t="str">
            <v>Smoke Detector &amp; Heat Detector</v>
          </cell>
          <cell r="D1102" t="str">
            <v>Al Danah Primary School</v>
          </cell>
          <cell r="H1102" t="str">
            <v>AD</v>
          </cell>
        </row>
        <row r="1103">
          <cell r="B1103" t="str">
            <v>Smoke Detector &amp; Heat Detector</v>
          </cell>
          <cell r="D1103" t="str">
            <v>Al Danah Primary School</v>
          </cell>
          <cell r="H1103" t="str">
            <v>AD</v>
          </cell>
        </row>
        <row r="1104">
          <cell r="B1104" t="str">
            <v>Smoke Detector &amp; Heat Detector</v>
          </cell>
          <cell r="D1104" t="str">
            <v>Al Danah Primary School</v>
          </cell>
          <cell r="H1104" t="str">
            <v>AD</v>
          </cell>
        </row>
        <row r="1105">
          <cell r="B1105" t="str">
            <v>Smoke Detector &amp; Heat Detector</v>
          </cell>
          <cell r="D1105" t="str">
            <v>Al Danah Primary School</v>
          </cell>
          <cell r="H1105" t="str">
            <v>AD</v>
          </cell>
        </row>
        <row r="1106">
          <cell r="B1106" t="str">
            <v>Smoke Detector &amp; Heat Detector</v>
          </cell>
          <cell r="D1106" t="str">
            <v>Al Danah Primary School</v>
          </cell>
          <cell r="H1106" t="str">
            <v>AD</v>
          </cell>
        </row>
        <row r="1107">
          <cell r="B1107" t="str">
            <v>Smoke Detector &amp; Heat Detector</v>
          </cell>
          <cell r="D1107" t="str">
            <v>Al Danah Primary School</v>
          </cell>
          <cell r="H1107" t="str">
            <v>AD</v>
          </cell>
        </row>
        <row r="1108">
          <cell r="B1108" t="str">
            <v>Smoke Detector &amp; Heat Detector</v>
          </cell>
          <cell r="D1108" t="str">
            <v>Al Danah Primary School</v>
          </cell>
          <cell r="H1108" t="str">
            <v>AD</v>
          </cell>
        </row>
        <row r="1109">
          <cell r="B1109" t="str">
            <v>Smoke Detector &amp; Heat Detector</v>
          </cell>
          <cell r="D1109" t="str">
            <v>Al Danah Primary School</v>
          </cell>
          <cell r="H1109" t="str">
            <v>AD</v>
          </cell>
        </row>
        <row r="1110">
          <cell r="B1110" t="str">
            <v>Smoke Detector &amp; Heat Detector</v>
          </cell>
          <cell r="D1110" t="str">
            <v>Al Danah Primary School</v>
          </cell>
          <cell r="H1110" t="str">
            <v>AD</v>
          </cell>
        </row>
        <row r="1111">
          <cell r="B1111" t="str">
            <v>Smoke Detector &amp; Heat Detector</v>
          </cell>
          <cell r="D1111" t="str">
            <v>Al Danah Primary School</v>
          </cell>
          <cell r="H1111" t="str">
            <v>AD</v>
          </cell>
        </row>
        <row r="1112">
          <cell r="B1112" t="str">
            <v>Smoke Detector &amp; Heat Detector</v>
          </cell>
          <cell r="D1112" t="str">
            <v>Al Danah Primary School</v>
          </cell>
          <cell r="H1112" t="str">
            <v>AD</v>
          </cell>
        </row>
        <row r="1113">
          <cell r="B1113" t="str">
            <v>Smoke Detector &amp; Heat Detector</v>
          </cell>
          <cell r="D1113" t="str">
            <v>Al Danah Primary School</v>
          </cell>
          <cell r="H1113" t="str">
            <v>AD</v>
          </cell>
        </row>
        <row r="1114">
          <cell r="B1114" t="str">
            <v>Smoke Detector &amp; Heat Detector</v>
          </cell>
          <cell r="D1114" t="str">
            <v>Al Danah Primary School</v>
          </cell>
          <cell r="H1114" t="str">
            <v>AD</v>
          </cell>
        </row>
        <row r="1115">
          <cell r="B1115" t="str">
            <v>Smoke Detector &amp; Heat Detector</v>
          </cell>
          <cell r="D1115" t="str">
            <v>Al Danah Primary School</v>
          </cell>
          <cell r="H1115" t="str">
            <v>AD</v>
          </cell>
        </row>
        <row r="1116">
          <cell r="B1116" t="str">
            <v>Smoke Detector &amp; Heat Detector</v>
          </cell>
          <cell r="D1116" t="str">
            <v>Al Danah Primary School</v>
          </cell>
          <cell r="H1116" t="str">
            <v>AD</v>
          </cell>
        </row>
        <row r="1117">
          <cell r="B1117" t="str">
            <v>Smoke Detector &amp; Heat Detector</v>
          </cell>
          <cell r="D1117" t="str">
            <v>Al Danah Primary School</v>
          </cell>
          <cell r="H1117" t="str">
            <v>AD</v>
          </cell>
        </row>
        <row r="1118">
          <cell r="B1118" t="str">
            <v>Smoke Detector &amp; Heat Detector</v>
          </cell>
          <cell r="D1118" t="str">
            <v>Al Danah Primary School</v>
          </cell>
          <cell r="H1118" t="str">
            <v>AD</v>
          </cell>
        </row>
        <row r="1119">
          <cell r="B1119" t="str">
            <v>Smoke Detector &amp; Heat Detector</v>
          </cell>
          <cell r="D1119" t="str">
            <v>Al Danah Primary School</v>
          </cell>
          <cell r="H1119" t="str">
            <v>AD</v>
          </cell>
        </row>
        <row r="1120">
          <cell r="B1120" t="str">
            <v>Smoke Detector &amp; Heat Detector</v>
          </cell>
          <cell r="D1120" t="str">
            <v>Al Danah Primary School</v>
          </cell>
          <cell r="H1120" t="str">
            <v>AD</v>
          </cell>
        </row>
        <row r="1121">
          <cell r="B1121" t="str">
            <v>Smoke Detector &amp; Heat Detector</v>
          </cell>
          <cell r="D1121" t="str">
            <v>Al Danah Primary School</v>
          </cell>
          <cell r="H1121" t="str">
            <v>AD</v>
          </cell>
        </row>
        <row r="1122">
          <cell r="B1122" t="str">
            <v>Smoke Detector &amp; Heat Detector</v>
          </cell>
          <cell r="D1122" t="str">
            <v>Al Danah Primary School</v>
          </cell>
          <cell r="H1122" t="str">
            <v>AD</v>
          </cell>
        </row>
        <row r="1123">
          <cell r="B1123" t="str">
            <v>Smoke Detector &amp; Heat Detector</v>
          </cell>
          <cell r="D1123" t="str">
            <v>Al Danah Primary School</v>
          </cell>
          <cell r="H1123" t="str">
            <v>AD</v>
          </cell>
        </row>
        <row r="1124">
          <cell r="B1124" t="str">
            <v>Smoke Detector &amp; Heat Detector</v>
          </cell>
          <cell r="D1124" t="str">
            <v>Al Danah Primary School</v>
          </cell>
          <cell r="H1124" t="str">
            <v>AD</v>
          </cell>
        </row>
        <row r="1125">
          <cell r="B1125" t="str">
            <v>Smoke Detector &amp; Heat Detector</v>
          </cell>
          <cell r="D1125" t="str">
            <v>Al Danah Primary School</v>
          </cell>
          <cell r="H1125" t="str">
            <v>AD</v>
          </cell>
        </row>
        <row r="1126">
          <cell r="B1126" t="str">
            <v>Smoke Detector &amp; Heat Detector</v>
          </cell>
          <cell r="D1126" t="str">
            <v>Al Danah Primary School</v>
          </cell>
          <cell r="H1126" t="str">
            <v>AD</v>
          </cell>
        </row>
        <row r="1127">
          <cell r="B1127" t="str">
            <v>Smoke Detector &amp; Heat Detector</v>
          </cell>
          <cell r="D1127" t="str">
            <v>Al Danah Primary School</v>
          </cell>
          <cell r="H1127" t="str">
            <v>AD</v>
          </cell>
        </row>
        <row r="1128">
          <cell r="B1128" t="str">
            <v>Smoke Detector &amp; Heat Detector</v>
          </cell>
          <cell r="D1128" t="str">
            <v>Al Danah Primary School</v>
          </cell>
          <cell r="H1128" t="str">
            <v>AD</v>
          </cell>
        </row>
        <row r="1129">
          <cell r="B1129" t="str">
            <v>Smoke Detector &amp; Heat Detector</v>
          </cell>
          <cell r="D1129" t="str">
            <v>Al Danah Primary School</v>
          </cell>
          <cell r="H1129" t="str">
            <v>AD</v>
          </cell>
        </row>
        <row r="1130">
          <cell r="B1130" t="str">
            <v>Smoke Detector &amp; Heat Detector</v>
          </cell>
          <cell r="D1130" t="str">
            <v>Al Danah Primary School</v>
          </cell>
          <cell r="H1130" t="str">
            <v>AD</v>
          </cell>
        </row>
        <row r="1131">
          <cell r="B1131" t="str">
            <v>Smoke Detector &amp; Heat Detector</v>
          </cell>
          <cell r="D1131" t="str">
            <v>Al Danah Primary School</v>
          </cell>
          <cell r="H1131" t="str">
            <v>AD</v>
          </cell>
        </row>
        <row r="1132">
          <cell r="B1132" t="str">
            <v>Smoke Detector &amp; Heat Detector</v>
          </cell>
          <cell r="D1132" t="str">
            <v>Al Danah Primary School</v>
          </cell>
          <cell r="H1132" t="str">
            <v>AD</v>
          </cell>
        </row>
        <row r="1133">
          <cell r="B1133" t="str">
            <v>Smoke Detector &amp; Heat Detector</v>
          </cell>
          <cell r="D1133" t="str">
            <v>Al Danah Primary School</v>
          </cell>
          <cell r="H1133" t="str">
            <v>AD</v>
          </cell>
        </row>
        <row r="1134">
          <cell r="B1134" t="str">
            <v>Smoke Detector &amp; Heat Detector</v>
          </cell>
          <cell r="D1134" t="str">
            <v>Al Danah Primary School</v>
          </cell>
          <cell r="H1134" t="str">
            <v>AD</v>
          </cell>
        </row>
        <row r="1135">
          <cell r="B1135" t="str">
            <v>Smoke Detector &amp; Heat Detector</v>
          </cell>
          <cell r="D1135" t="str">
            <v>Al Danah Primary School</v>
          </cell>
          <cell r="H1135" t="str">
            <v>AD</v>
          </cell>
        </row>
        <row r="1136">
          <cell r="B1136" t="str">
            <v>Smoke Detector &amp; Heat Detector</v>
          </cell>
          <cell r="D1136" t="str">
            <v>Al Danah Primary School</v>
          </cell>
          <cell r="H1136" t="str">
            <v>AD</v>
          </cell>
        </row>
        <row r="1137">
          <cell r="B1137" t="str">
            <v>Smoke Detector &amp; Heat Detector</v>
          </cell>
          <cell r="D1137" t="str">
            <v>Al Danah Primary School</v>
          </cell>
          <cell r="H1137" t="str">
            <v>AD</v>
          </cell>
        </row>
        <row r="1138">
          <cell r="B1138" t="str">
            <v>Smoke Detector &amp; Heat Detector</v>
          </cell>
          <cell r="D1138" t="str">
            <v>Al Danah Primary School</v>
          </cell>
          <cell r="H1138" t="str">
            <v>AD</v>
          </cell>
        </row>
        <row r="1139">
          <cell r="B1139" t="str">
            <v>Smoke Detector &amp; Heat Detector</v>
          </cell>
          <cell r="D1139" t="str">
            <v>Al Danah Primary School</v>
          </cell>
          <cell r="H1139" t="str">
            <v>AD</v>
          </cell>
        </row>
        <row r="1140">
          <cell r="B1140" t="str">
            <v>Smoke Detector &amp; Heat Detector</v>
          </cell>
          <cell r="D1140" t="str">
            <v>Al Danah Primary School</v>
          </cell>
          <cell r="H1140" t="str">
            <v>AD</v>
          </cell>
        </row>
        <row r="1141">
          <cell r="B1141" t="str">
            <v>Smoke Detector &amp; Heat Detector</v>
          </cell>
          <cell r="D1141" t="str">
            <v>Al Danah Primary School</v>
          </cell>
          <cell r="H1141" t="str">
            <v>AD</v>
          </cell>
        </row>
        <row r="1142">
          <cell r="B1142" t="str">
            <v>Smoke Detector &amp; Heat Detector</v>
          </cell>
          <cell r="D1142" t="str">
            <v>Al Danah Primary School</v>
          </cell>
          <cell r="H1142" t="str">
            <v>AD</v>
          </cell>
        </row>
        <row r="1143">
          <cell r="B1143" t="str">
            <v>Smoke Detector &amp; Heat Detector</v>
          </cell>
          <cell r="D1143" t="str">
            <v>Al Danah Primary School</v>
          </cell>
          <cell r="H1143" t="str">
            <v>AD</v>
          </cell>
        </row>
        <row r="1144">
          <cell r="B1144" t="str">
            <v>Smoke Detector &amp; Heat Detector</v>
          </cell>
          <cell r="D1144" t="str">
            <v>Al Danah Primary School</v>
          </cell>
          <cell r="H1144" t="str">
            <v>AD</v>
          </cell>
        </row>
        <row r="1145">
          <cell r="B1145" t="str">
            <v>Smoke Detector &amp; Heat Detector</v>
          </cell>
          <cell r="D1145" t="str">
            <v>Al Danah Primary School</v>
          </cell>
          <cell r="H1145" t="str">
            <v>AD</v>
          </cell>
        </row>
        <row r="1146">
          <cell r="B1146" t="str">
            <v>Smoke Detector &amp; Heat Detector</v>
          </cell>
          <cell r="D1146" t="str">
            <v>Al Danah Primary School</v>
          </cell>
          <cell r="H1146" t="str">
            <v>AD</v>
          </cell>
        </row>
        <row r="1147">
          <cell r="B1147" t="str">
            <v>Smoke Detector &amp; Heat Detector</v>
          </cell>
          <cell r="D1147" t="str">
            <v>Al Danah Primary School</v>
          </cell>
          <cell r="H1147" t="str">
            <v>AD</v>
          </cell>
        </row>
        <row r="1148">
          <cell r="B1148" t="str">
            <v>Smoke Detector &amp; Heat Detector</v>
          </cell>
          <cell r="D1148" t="str">
            <v>Al Danah Primary School</v>
          </cell>
          <cell r="H1148" t="str">
            <v>AD</v>
          </cell>
        </row>
        <row r="1149">
          <cell r="B1149" t="str">
            <v>Smoke Detector &amp; Heat Detector</v>
          </cell>
          <cell r="D1149" t="str">
            <v>Al Danah Primary School</v>
          </cell>
          <cell r="H1149" t="str">
            <v>AD</v>
          </cell>
        </row>
        <row r="1150">
          <cell r="B1150" t="str">
            <v>Smoke Detector &amp; Heat Detector</v>
          </cell>
          <cell r="D1150" t="str">
            <v>Al Danah Primary School</v>
          </cell>
          <cell r="H1150" t="str">
            <v>AD</v>
          </cell>
        </row>
        <row r="1151">
          <cell r="B1151" t="str">
            <v>Smoke Detector &amp; Heat Detector</v>
          </cell>
          <cell r="D1151" t="str">
            <v>Al Danah Primary School</v>
          </cell>
          <cell r="H1151" t="str">
            <v>AD</v>
          </cell>
        </row>
        <row r="1152">
          <cell r="B1152" t="str">
            <v>Smoke Detector &amp; Heat Detector</v>
          </cell>
          <cell r="D1152" t="str">
            <v>Al Danah Primary School</v>
          </cell>
          <cell r="H1152" t="str">
            <v>AD</v>
          </cell>
        </row>
        <row r="1153">
          <cell r="B1153" t="str">
            <v>Smoke Detector &amp; Heat Detector</v>
          </cell>
          <cell r="D1153" t="str">
            <v>Al Danah Primary School</v>
          </cell>
          <cell r="H1153" t="str">
            <v>AD</v>
          </cell>
        </row>
        <row r="1154">
          <cell r="B1154" t="str">
            <v>Smoke Detector &amp; Heat Detector</v>
          </cell>
          <cell r="D1154" t="str">
            <v>Al Danah Primary School</v>
          </cell>
          <cell r="H1154" t="str">
            <v>AD</v>
          </cell>
        </row>
        <row r="1155">
          <cell r="B1155" t="str">
            <v>Water Tank</v>
          </cell>
          <cell r="D1155" t="str">
            <v>Al Danah Primary School</v>
          </cell>
          <cell r="H1155" t="str">
            <v>AD</v>
          </cell>
        </row>
        <row r="1156">
          <cell r="B1156" t="str">
            <v>Water Tank</v>
          </cell>
          <cell r="D1156" t="str">
            <v>Al Danah Primary School</v>
          </cell>
          <cell r="H1156" t="str">
            <v>AD</v>
          </cell>
        </row>
        <row r="1157">
          <cell r="B1157" t="str">
            <v>Water Tank</v>
          </cell>
          <cell r="D1157" t="str">
            <v>Al Danah Primary School</v>
          </cell>
          <cell r="H1157" t="str">
            <v>AD</v>
          </cell>
        </row>
        <row r="1158">
          <cell r="B1158" t="str">
            <v>Water Tank</v>
          </cell>
          <cell r="D1158" t="str">
            <v>Al Danah Primary School</v>
          </cell>
          <cell r="H1158" t="str">
            <v>AD</v>
          </cell>
        </row>
        <row r="1159">
          <cell r="B1159" t="str">
            <v>Water Tank</v>
          </cell>
          <cell r="D1159" t="str">
            <v>Al Danah Primary School</v>
          </cell>
          <cell r="H1159" t="str">
            <v>AD</v>
          </cell>
        </row>
        <row r="1160">
          <cell r="B1160" t="str">
            <v>Water Tank</v>
          </cell>
          <cell r="D1160" t="str">
            <v>Al Danah Primary School</v>
          </cell>
          <cell r="H1160" t="str">
            <v>AD</v>
          </cell>
        </row>
        <row r="1161">
          <cell r="B1161" t="str">
            <v>Water Tank</v>
          </cell>
          <cell r="D1161" t="str">
            <v>Al Danah Primary School</v>
          </cell>
          <cell r="H1161" t="str">
            <v>AD</v>
          </cell>
        </row>
        <row r="1162">
          <cell r="B1162" t="str">
            <v>Water Tank</v>
          </cell>
          <cell r="D1162" t="str">
            <v>Al Danah Primary School</v>
          </cell>
          <cell r="H1162" t="str">
            <v>AD</v>
          </cell>
        </row>
        <row r="1163">
          <cell r="B1163" t="str">
            <v>Water Tank</v>
          </cell>
          <cell r="D1163" t="str">
            <v>Al Danah Primary School</v>
          </cell>
          <cell r="H1163" t="str">
            <v>AD</v>
          </cell>
        </row>
        <row r="1164">
          <cell r="B1164" t="str">
            <v>Water Tank</v>
          </cell>
          <cell r="D1164" t="str">
            <v>Al Danah Primary School</v>
          </cell>
          <cell r="H1164" t="str">
            <v>AD</v>
          </cell>
        </row>
        <row r="1165">
          <cell r="B1165" t="str">
            <v>Water Tank</v>
          </cell>
          <cell r="D1165" t="str">
            <v>Al Danah Primary School</v>
          </cell>
          <cell r="H1165" t="str">
            <v>AD</v>
          </cell>
        </row>
        <row r="1166">
          <cell r="B1166" t="str">
            <v>Water Tank</v>
          </cell>
          <cell r="D1166" t="str">
            <v>Al Danah Primary School</v>
          </cell>
          <cell r="H1166" t="str">
            <v>AD</v>
          </cell>
        </row>
        <row r="1167">
          <cell r="B1167" t="str">
            <v>Fire Alarm Break Glass Call Point</v>
          </cell>
          <cell r="D1167" t="str">
            <v>Al Erteqa'a Primary School</v>
          </cell>
          <cell r="H1167" t="str">
            <v>AD</v>
          </cell>
        </row>
        <row r="1168">
          <cell r="B1168" t="str">
            <v>Fire Alarm Break Glass Call Point</v>
          </cell>
          <cell r="D1168" t="str">
            <v>Al Erteqa'a Primary School</v>
          </cell>
          <cell r="H1168" t="str">
            <v>AD</v>
          </cell>
        </row>
        <row r="1169">
          <cell r="B1169" t="str">
            <v>Fire Alarm Break Glass Call Point</v>
          </cell>
          <cell r="D1169" t="str">
            <v>Al Erteqa'a Primary School</v>
          </cell>
          <cell r="H1169" t="str">
            <v>AD</v>
          </cell>
        </row>
        <row r="1170">
          <cell r="B1170" t="str">
            <v>Fire Alarm Break Glass Call Point</v>
          </cell>
          <cell r="D1170" t="str">
            <v>Al Erteqa'a Primary School</v>
          </cell>
          <cell r="H1170" t="str">
            <v>AD</v>
          </cell>
        </row>
        <row r="1171">
          <cell r="B1171" t="str">
            <v>Fire Alarm Break Glass Call Point</v>
          </cell>
          <cell r="D1171" t="str">
            <v>Al Erteqa'a Primary School</v>
          </cell>
          <cell r="H1171" t="str">
            <v>AD</v>
          </cell>
        </row>
        <row r="1172">
          <cell r="B1172" t="str">
            <v>Fire Alarm Break Glass Call Point</v>
          </cell>
          <cell r="D1172" t="str">
            <v>Al Erteqa'a Primary School</v>
          </cell>
          <cell r="H1172" t="str">
            <v>AD</v>
          </cell>
        </row>
        <row r="1173">
          <cell r="B1173" t="str">
            <v>Fire Alarm Break Glass Call Point</v>
          </cell>
          <cell r="D1173" t="str">
            <v>Al Erteqa'a Primary School</v>
          </cell>
          <cell r="H1173" t="str">
            <v>AD</v>
          </cell>
        </row>
        <row r="1174">
          <cell r="B1174" t="str">
            <v>Fire Alarm Break Glass Call Point</v>
          </cell>
          <cell r="D1174" t="str">
            <v>Al Erteqa'a Primary School</v>
          </cell>
          <cell r="H1174" t="str">
            <v>AD</v>
          </cell>
        </row>
        <row r="1175">
          <cell r="B1175" t="str">
            <v>Fire Alarm Break Glass Call Point</v>
          </cell>
          <cell r="D1175" t="str">
            <v>Al Erteqa'a Primary School</v>
          </cell>
          <cell r="H1175" t="str">
            <v>AD</v>
          </cell>
        </row>
        <row r="1176">
          <cell r="B1176" t="str">
            <v>Fire Alarm Break Glass Call Point</v>
          </cell>
          <cell r="D1176" t="str">
            <v>Al Erteqa'a Primary School</v>
          </cell>
          <cell r="H1176" t="str">
            <v>AD</v>
          </cell>
        </row>
        <row r="1177">
          <cell r="B1177" t="str">
            <v>Fire Alarm Break Glass Call Point</v>
          </cell>
          <cell r="D1177" t="str">
            <v>Al Erteqa'a Primary School</v>
          </cell>
          <cell r="H1177" t="str">
            <v>AD</v>
          </cell>
        </row>
        <row r="1178">
          <cell r="B1178" t="str">
            <v>Fire Alarm Break Glass Call Point</v>
          </cell>
          <cell r="D1178" t="str">
            <v>Al Erteqa'a Primary School</v>
          </cell>
          <cell r="H1178" t="str">
            <v>AD</v>
          </cell>
        </row>
        <row r="1179">
          <cell r="B1179" t="str">
            <v>Fire Alarm Break Glass Call Point</v>
          </cell>
          <cell r="D1179" t="str">
            <v>Al Erteqa'a Primary School</v>
          </cell>
          <cell r="H1179" t="str">
            <v>AD</v>
          </cell>
        </row>
        <row r="1180">
          <cell r="B1180" t="str">
            <v>Fire Alarm Break Glass Call Point</v>
          </cell>
          <cell r="D1180" t="str">
            <v>Al Erteqa'a Primary School</v>
          </cell>
          <cell r="H1180" t="str">
            <v>AD</v>
          </cell>
        </row>
        <row r="1181">
          <cell r="B1181" t="str">
            <v>Fire Alarm Break Glass Call Point</v>
          </cell>
          <cell r="D1181" t="str">
            <v>Al Erteqa'a Primary School</v>
          </cell>
          <cell r="H1181" t="str">
            <v>AD</v>
          </cell>
        </row>
        <row r="1182">
          <cell r="B1182" t="str">
            <v>Fire Alarm Break Glass Call Point</v>
          </cell>
          <cell r="D1182" t="str">
            <v>Al Erteqa'a Primary School</v>
          </cell>
          <cell r="H1182" t="str">
            <v>AD</v>
          </cell>
        </row>
        <row r="1183">
          <cell r="B1183" t="str">
            <v>Fire Alarm Break Glass Call Point</v>
          </cell>
          <cell r="D1183" t="str">
            <v>Al Erteqa'a Primary School</v>
          </cell>
          <cell r="H1183" t="str">
            <v>AD</v>
          </cell>
        </row>
        <row r="1184">
          <cell r="B1184" t="str">
            <v>Fire Alarm Break Glass Call Point</v>
          </cell>
          <cell r="D1184" t="str">
            <v>Al Erteqa'a Primary School</v>
          </cell>
          <cell r="H1184" t="str">
            <v>AD</v>
          </cell>
        </row>
        <row r="1185">
          <cell r="B1185" t="str">
            <v>Fire Alarm Break Glass Call Point</v>
          </cell>
          <cell r="D1185" t="str">
            <v>Al Erteqa'a Primary School</v>
          </cell>
          <cell r="H1185" t="str">
            <v>AD</v>
          </cell>
        </row>
        <row r="1186">
          <cell r="B1186" t="str">
            <v>Fire Alarm Break Glass Call Point</v>
          </cell>
          <cell r="D1186" t="str">
            <v>Al Erteqa'a Primary School</v>
          </cell>
          <cell r="H1186" t="str">
            <v>AD</v>
          </cell>
        </row>
        <row r="1187">
          <cell r="B1187" t="str">
            <v>Fire Alarm Break Glass Call Point</v>
          </cell>
          <cell r="D1187" t="str">
            <v>Al Erteqa'a Primary School</v>
          </cell>
          <cell r="H1187" t="str">
            <v>AD</v>
          </cell>
        </row>
        <row r="1188">
          <cell r="B1188" t="str">
            <v>Fire Alarm Break Glass Call Point</v>
          </cell>
          <cell r="D1188" t="str">
            <v>Al Erteqa'a Primary School</v>
          </cell>
          <cell r="H1188" t="str">
            <v>AD</v>
          </cell>
        </row>
        <row r="1189">
          <cell r="B1189" t="str">
            <v>Fire Alarm Break Glass Call Point</v>
          </cell>
          <cell r="D1189" t="str">
            <v>Al Erteqa'a Primary School</v>
          </cell>
          <cell r="H1189" t="str">
            <v>AD</v>
          </cell>
        </row>
        <row r="1190">
          <cell r="B1190" t="str">
            <v>Fire Alarm Panel</v>
          </cell>
          <cell r="D1190" t="str">
            <v>Al Erteqa'a Primary School</v>
          </cell>
          <cell r="H1190" t="str">
            <v>AD</v>
          </cell>
        </row>
        <row r="1191">
          <cell r="B1191" t="str">
            <v>Fire Alarm Panel</v>
          </cell>
          <cell r="D1191" t="str">
            <v>Al Erteqa'a Primary School</v>
          </cell>
          <cell r="H1191" t="str">
            <v>AD</v>
          </cell>
        </row>
        <row r="1192">
          <cell r="B1192" t="str">
            <v>Fire Alarm Sounder, Bell, Light</v>
          </cell>
          <cell r="D1192" t="str">
            <v>Al Erteqa'a Primary School</v>
          </cell>
          <cell r="H1192" t="str">
            <v>AD</v>
          </cell>
        </row>
        <row r="1193">
          <cell r="B1193" t="str">
            <v>Fire Alarm Sounder, Bell, Light</v>
          </cell>
          <cell r="D1193" t="str">
            <v>Al Erteqa'a Primary School</v>
          </cell>
          <cell r="H1193" t="str">
            <v>AD</v>
          </cell>
        </row>
        <row r="1194">
          <cell r="B1194" t="str">
            <v>Fire Alarm Sounder, Bell, Light</v>
          </cell>
          <cell r="D1194" t="str">
            <v>Al Erteqa'a Primary School</v>
          </cell>
          <cell r="H1194" t="str">
            <v>AD</v>
          </cell>
        </row>
        <row r="1195">
          <cell r="B1195" t="str">
            <v>Fire Alarm Sounder, Bell, Light</v>
          </cell>
          <cell r="D1195" t="str">
            <v>Al Erteqa'a Primary School</v>
          </cell>
          <cell r="H1195" t="str">
            <v>AD</v>
          </cell>
        </row>
        <row r="1196">
          <cell r="B1196" t="str">
            <v>Fire Alarm Sounder, Bell, Light</v>
          </cell>
          <cell r="D1196" t="str">
            <v>Al Erteqa'a Primary School</v>
          </cell>
          <cell r="H1196" t="str">
            <v>AD</v>
          </cell>
        </row>
        <row r="1197">
          <cell r="B1197" t="str">
            <v>Fire Alarm Sounder, Bell, Light</v>
          </cell>
          <cell r="D1197" t="str">
            <v>Al Erteqa'a Primary School</v>
          </cell>
          <cell r="H1197" t="str">
            <v>AD</v>
          </cell>
        </row>
        <row r="1198">
          <cell r="B1198" t="str">
            <v>Fire Alarm Sounder, Bell, Light</v>
          </cell>
          <cell r="D1198" t="str">
            <v>Al Erteqa'a Primary School</v>
          </cell>
          <cell r="H1198" t="str">
            <v>AD</v>
          </cell>
        </row>
        <row r="1199">
          <cell r="B1199" t="str">
            <v>Fire Alarm Sounder, Bell, Light</v>
          </cell>
          <cell r="D1199" t="str">
            <v>Al Erteqa'a Primary School</v>
          </cell>
          <cell r="H1199" t="str">
            <v>AD</v>
          </cell>
        </row>
        <row r="1200">
          <cell r="B1200" t="str">
            <v>Fire Alarm Sounder, Bell, Light</v>
          </cell>
          <cell r="D1200" t="str">
            <v>Al Erteqa'a Primary School</v>
          </cell>
          <cell r="H1200" t="str">
            <v>AD</v>
          </cell>
        </row>
        <row r="1201">
          <cell r="B1201" t="str">
            <v>Fire Alarm Sounder, Bell, Light</v>
          </cell>
          <cell r="D1201" t="str">
            <v>Al Erteqa'a Primary School</v>
          </cell>
          <cell r="H1201" t="str">
            <v>AD</v>
          </cell>
        </row>
        <row r="1202">
          <cell r="B1202" t="str">
            <v>Fire Alarm Sounder, Bell, Light</v>
          </cell>
          <cell r="D1202" t="str">
            <v>Al Erteqa'a Primary School</v>
          </cell>
          <cell r="H1202" t="str">
            <v>AD</v>
          </cell>
        </row>
        <row r="1203">
          <cell r="B1203" t="str">
            <v>Fire Alarm Sounder, Bell, Light</v>
          </cell>
          <cell r="D1203" t="str">
            <v>Al Erteqa'a Primary School</v>
          </cell>
          <cell r="H1203" t="str">
            <v>AD</v>
          </cell>
        </row>
        <row r="1204">
          <cell r="B1204" t="str">
            <v>Fire Alarm Sounder, Bell, Light</v>
          </cell>
          <cell r="D1204" t="str">
            <v>Al Erteqa'a Primary School</v>
          </cell>
          <cell r="H1204" t="str">
            <v>AD</v>
          </cell>
        </row>
        <row r="1205">
          <cell r="B1205" t="str">
            <v>Fire Alarm Sounder, Bell, Light</v>
          </cell>
          <cell r="D1205" t="str">
            <v>Al Erteqa'a Primary School</v>
          </cell>
          <cell r="H1205" t="str">
            <v>AD</v>
          </cell>
        </row>
        <row r="1206">
          <cell r="B1206" t="str">
            <v>Fire Alarm Sounder, Bell, Light</v>
          </cell>
          <cell r="D1206" t="str">
            <v>Al Erteqa'a Primary School</v>
          </cell>
          <cell r="H1206" t="str">
            <v>AD</v>
          </cell>
        </row>
        <row r="1207">
          <cell r="B1207" t="str">
            <v>Fire Alarm Sounder, Bell, Light</v>
          </cell>
          <cell r="D1207" t="str">
            <v>Al Erteqa'a Primary School</v>
          </cell>
          <cell r="H1207" t="str">
            <v>AD</v>
          </cell>
        </row>
        <row r="1208">
          <cell r="B1208" t="str">
            <v>Fire Alarm Sounder, Bell, Light</v>
          </cell>
          <cell r="D1208" t="str">
            <v>Al Erteqa'a Primary School</v>
          </cell>
          <cell r="H1208" t="str">
            <v>AD</v>
          </cell>
        </row>
        <row r="1209">
          <cell r="B1209" t="str">
            <v>Fire Alarm Sounder, Bell, Light</v>
          </cell>
          <cell r="D1209" t="str">
            <v>Al Erteqa'a Primary School</v>
          </cell>
          <cell r="H1209" t="str">
            <v>AD</v>
          </cell>
        </row>
        <row r="1210">
          <cell r="B1210" t="str">
            <v>Fire Alarm Sounder, Bell, Light</v>
          </cell>
          <cell r="D1210" t="str">
            <v>Al Erteqa'a Primary School</v>
          </cell>
          <cell r="H1210" t="str">
            <v>AD</v>
          </cell>
        </row>
        <row r="1211">
          <cell r="B1211" t="str">
            <v>Fire Alarm Sounder, Bell, Light</v>
          </cell>
          <cell r="D1211" t="str">
            <v>Al Erteqa'a Primary School</v>
          </cell>
          <cell r="H1211" t="str">
            <v>AD</v>
          </cell>
        </row>
        <row r="1212">
          <cell r="B1212" t="str">
            <v>Fire Alarm Sounder, Bell, Light</v>
          </cell>
          <cell r="D1212" t="str">
            <v>Al Erteqa'a Primary School</v>
          </cell>
          <cell r="H1212" t="str">
            <v>AD</v>
          </cell>
        </row>
        <row r="1213">
          <cell r="B1213" t="str">
            <v>Fire Alarm Sounder, Bell, Light</v>
          </cell>
          <cell r="D1213" t="str">
            <v>Al Erteqa'a Primary School</v>
          </cell>
          <cell r="H1213" t="str">
            <v>AD</v>
          </cell>
        </row>
        <row r="1214">
          <cell r="B1214" t="str">
            <v>Fire Alarm Sounder, Bell, Light</v>
          </cell>
          <cell r="D1214" t="str">
            <v>Al Erteqa'a Primary School</v>
          </cell>
          <cell r="H1214" t="str">
            <v>AD</v>
          </cell>
        </row>
        <row r="1215">
          <cell r="B1215" t="str">
            <v>Fire Alarm Sounder, Bell, Light</v>
          </cell>
          <cell r="D1215" t="str">
            <v>Al Erteqa'a Primary School</v>
          </cell>
          <cell r="H1215" t="str">
            <v>AD</v>
          </cell>
        </row>
        <row r="1216">
          <cell r="B1216" t="str">
            <v>Fire Alarm Sounder, Bell, Light</v>
          </cell>
          <cell r="D1216" t="str">
            <v>Al Erteqa'a Primary School</v>
          </cell>
          <cell r="H1216" t="str">
            <v>AD</v>
          </cell>
        </row>
        <row r="1217">
          <cell r="B1217" t="str">
            <v>Fire Alarm Sounder, Bell, Light</v>
          </cell>
          <cell r="D1217" t="str">
            <v>Al Erteqa'a Primary School</v>
          </cell>
          <cell r="H1217" t="str">
            <v>AD</v>
          </cell>
        </row>
        <row r="1218">
          <cell r="B1218" t="str">
            <v>Fire Alarm Sounder, Bell, Light</v>
          </cell>
          <cell r="D1218" t="str">
            <v>Al Erteqa'a Primary School</v>
          </cell>
          <cell r="H1218" t="str">
            <v>AD</v>
          </cell>
        </row>
        <row r="1219">
          <cell r="B1219" t="str">
            <v>Fire Alarm Sounder, Bell, Light</v>
          </cell>
          <cell r="D1219" t="str">
            <v>Al Erteqa'a Primary School</v>
          </cell>
          <cell r="H1219" t="str">
            <v>AD</v>
          </cell>
        </row>
        <row r="1220">
          <cell r="B1220" t="str">
            <v>Fire Alarm Sounder, Bell, Light</v>
          </cell>
          <cell r="D1220" t="str">
            <v>Al Erteqa'a Primary School</v>
          </cell>
          <cell r="H1220" t="str">
            <v>AD</v>
          </cell>
        </row>
        <row r="1221">
          <cell r="B1221" t="str">
            <v>Fire Alarm Sounder, Bell, Light</v>
          </cell>
          <cell r="D1221" t="str">
            <v>Al Erteqa'a Primary School</v>
          </cell>
          <cell r="H1221" t="str">
            <v>AD</v>
          </cell>
        </row>
        <row r="1222">
          <cell r="B1222" t="str">
            <v>Fire Alarm Sounder, Bell, Light</v>
          </cell>
          <cell r="D1222" t="str">
            <v>Al Erteqa'a Primary School</v>
          </cell>
          <cell r="H1222" t="str">
            <v>AD</v>
          </cell>
        </row>
        <row r="1223">
          <cell r="B1223" t="str">
            <v>Fire Alarm Sounder, Bell, Light</v>
          </cell>
          <cell r="D1223" t="str">
            <v>Al Erteqa'a Primary School</v>
          </cell>
          <cell r="H1223" t="str">
            <v>AD</v>
          </cell>
        </row>
        <row r="1224">
          <cell r="B1224" t="str">
            <v>Fire Alarm Sounder, Bell, Light</v>
          </cell>
          <cell r="D1224" t="str">
            <v>Al Erteqa'a Primary School</v>
          </cell>
          <cell r="H1224" t="str">
            <v>AD</v>
          </cell>
        </row>
        <row r="1225">
          <cell r="B1225" t="str">
            <v>Fire Alarm Sounder, Bell, Light</v>
          </cell>
          <cell r="D1225" t="str">
            <v>Al Erteqa'a Primary School</v>
          </cell>
          <cell r="H1225" t="str">
            <v>AD</v>
          </cell>
        </row>
        <row r="1226">
          <cell r="B1226" t="str">
            <v>Fire Alarm Sounder, Bell, Light</v>
          </cell>
          <cell r="D1226" t="str">
            <v>Al Erteqa'a Primary School</v>
          </cell>
          <cell r="H1226" t="str">
            <v>AD</v>
          </cell>
        </row>
        <row r="1227">
          <cell r="B1227" t="str">
            <v>Fire Alarm Sounder, Bell, Light</v>
          </cell>
          <cell r="D1227" t="str">
            <v>Al Erteqa'a Primary School</v>
          </cell>
          <cell r="H1227" t="str">
            <v>AD</v>
          </cell>
        </row>
        <row r="1228">
          <cell r="B1228" t="str">
            <v>Fire Blanket</v>
          </cell>
          <cell r="D1228" t="str">
            <v>Al Erteqa'a Primary School</v>
          </cell>
          <cell r="H1228" t="str">
            <v>AD</v>
          </cell>
        </row>
        <row r="1229">
          <cell r="B1229" t="str">
            <v>Fire Blanket</v>
          </cell>
          <cell r="D1229" t="str">
            <v>Al Erteqa'a Primary School</v>
          </cell>
          <cell r="H1229" t="str">
            <v>AD</v>
          </cell>
        </row>
        <row r="1230">
          <cell r="B1230" t="str">
            <v>Fire Blanket</v>
          </cell>
          <cell r="D1230" t="str">
            <v>Al Erteqa'a Primary School</v>
          </cell>
          <cell r="H1230" t="str">
            <v>AD</v>
          </cell>
        </row>
        <row r="1231">
          <cell r="B1231" t="str">
            <v>Fire Blanket</v>
          </cell>
          <cell r="D1231" t="str">
            <v>Al Erteqa'a Primary School</v>
          </cell>
          <cell r="H1231" t="str">
            <v>AD</v>
          </cell>
        </row>
        <row r="1232">
          <cell r="B1232" t="str">
            <v>Fire Blanket</v>
          </cell>
          <cell r="D1232" t="str">
            <v>Al Erteqa'a Primary School</v>
          </cell>
          <cell r="H1232" t="str">
            <v>AD</v>
          </cell>
        </row>
        <row r="1233">
          <cell r="B1233" t="str">
            <v>Fire Extinguisher</v>
          </cell>
          <cell r="D1233" t="str">
            <v>Al Erteqa'a Primary School</v>
          </cell>
          <cell r="H1233" t="str">
            <v>AD</v>
          </cell>
        </row>
        <row r="1234">
          <cell r="B1234" t="str">
            <v>Fire Extinguisher</v>
          </cell>
          <cell r="D1234" t="str">
            <v>Al Erteqa'a Primary School</v>
          </cell>
          <cell r="H1234" t="str">
            <v>AD</v>
          </cell>
        </row>
        <row r="1235">
          <cell r="B1235" t="str">
            <v>Fire Extinguisher</v>
          </cell>
          <cell r="D1235" t="str">
            <v>Al Erteqa'a Primary School</v>
          </cell>
          <cell r="H1235" t="str">
            <v>AD</v>
          </cell>
        </row>
        <row r="1236">
          <cell r="B1236" t="str">
            <v>Fire Extinguisher</v>
          </cell>
          <cell r="D1236" t="str">
            <v>Al Erteqa'a Primary School</v>
          </cell>
          <cell r="H1236" t="str">
            <v>AD</v>
          </cell>
        </row>
        <row r="1237">
          <cell r="B1237" t="str">
            <v>Fire Extinguisher</v>
          </cell>
          <cell r="D1237" t="str">
            <v>Al Erteqa'a Primary School</v>
          </cell>
          <cell r="H1237" t="str">
            <v>AD</v>
          </cell>
        </row>
        <row r="1238">
          <cell r="B1238" t="str">
            <v>Fire Extinguisher</v>
          </cell>
          <cell r="D1238" t="str">
            <v>Al Erteqa'a Primary School</v>
          </cell>
          <cell r="H1238" t="str">
            <v>AD</v>
          </cell>
        </row>
        <row r="1239">
          <cell r="B1239" t="str">
            <v>Fire Extinguisher</v>
          </cell>
          <cell r="D1239" t="str">
            <v>Al Erteqa'a Primary School</v>
          </cell>
          <cell r="H1239" t="str">
            <v>AD</v>
          </cell>
        </row>
        <row r="1240">
          <cell r="B1240" t="str">
            <v>Fire Extinguisher</v>
          </cell>
          <cell r="D1240" t="str">
            <v>Al Erteqa'a Primary School</v>
          </cell>
          <cell r="H1240" t="str">
            <v>AD</v>
          </cell>
        </row>
        <row r="1241">
          <cell r="B1241" t="str">
            <v>Fire Extinguisher</v>
          </cell>
          <cell r="D1241" t="str">
            <v>Al Erteqa'a Primary School</v>
          </cell>
          <cell r="H1241" t="str">
            <v>AD</v>
          </cell>
        </row>
        <row r="1242">
          <cell r="B1242" t="str">
            <v>Fire Extinguisher</v>
          </cell>
          <cell r="D1242" t="str">
            <v>Al Erteqa'a Primary School</v>
          </cell>
          <cell r="H1242" t="str">
            <v>AD</v>
          </cell>
        </row>
        <row r="1243">
          <cell r="B1243" t="str">
            <v>Fire Extinguisher</v>
          </cell>
          <cell r="D1243" t="str">
            <v>Al Erteqa'a Primary School</v>
          </cell>
          <cell r="H1243" t="str">
            <v>AD</v>
          </cell>
        </row>
        <row r="1244">
          <cell r="B1244" t="str">
            <v>Fire Extinguisher</v>
          </cell>
          <cell r="D1244" t="str">
            <v>Al Erteqa'a Primary School</v>
          </cell>
          <cell r="H1244" t="str">
            <v>AD</v>
          </cell>
        </row>
        <row r="1245">
          <cell r="B1245" t="str">
            <v>Fire Extinguisher</v>
          </cell>
          <cell r="D1245" t="str">
            <v>Al Erteqa'a Primary School</v>
          </cell>
          <cell r="H1245" t="str">
            <v>AD</v>
          </cell>
        </row>
        <row r="1246">
          <cell r="B1246" t="str">
            <v>Fire Extinguisher</v>
          </cell>
          <cell r="D1246" t="str">
            <v>Al Erteqa'a Primary School</v>
          </cell>
          <cell r="H1246" t="str">
            <v>AD</v>
          </cell>
        </row>
        <row r="1247">
          <cell r="B1247" t="str">
            <v>Fire Extinguisher</v>
          </cell>
          <cell r="D1247" t="str">
            <v>Al Erteqa'a Primary School</v>
          </cell>
          <cell r="H1247" t="str">
            <v>AD</v>
          </cell>
        </row>
        <row r="1248">
          <cell r="B1248" t="str">
            <v>Fire Extinguisher</v>
          </cell>
          <cell r="D1248" t="str">
            <v>Al Erteqa'a Primary School</v>
          </cell>
          <cell r="H1248" t="str">
            <v>AD</v>
          </cell>
        </row>
        <row r="1249">
          <cell r="B1249" t="str">
            <v>Fire Extinguisher</v>
          </cell>
          <cell r="D1249" t="str">
            <v>Al Erteqa'a Primary School</v>
          </cell>
          <cell r="H1249" t="str">
            <v>AD</v>
          </cell>
        </row>
        <row r="1250">
          <cell r="B1250" t="str">
            <v>Fire Extinguisher</v>
          </cell>
          <cell r="D1250" t="str">
            <v>Al Erteqa'a Primary School</v>
          </cell>
          <cell r="H1250" t="str">
            <v>AD</v>
          </cell>
        </row>
        <row r="1251">
          <cell r="B1251" t="str">
            <v>Fire Extinguisher</v>
          </cell>
          <cell r="D1251" t="str">
            <v>Al Erteqa'a Primary School</v>
          </cell>
          <cell r="H1251" t="str">
            <v>AD</v>
          </cell>
        </row>
        <row r="1252">
          <cell r="B1252" t="str">
            <v>Fire Extinguisher</v>
          </cell>
          <cell r="D1252" t="str">
            <v>Al Erteqa'a Primary School</v>
          </cell>
          <cell r="H1252" t="str">
            <v>AD</v>
          </cell>
        </row>
        <row r="1253">
          <cell r="B1253" t="str">
            <v>Fire Extinguisher</v>
          </cell>
          <cell r="D1253" t="str">
            <v>Al Erteqa'a Primary School</v>
          </cell>
          <cell r="H1253" t="str">
            <v>AD</v>
          </cell>
        </row>
        <row r="1254">
          <cell r="B1254" t="str">
            <v>Fire Extinguisher</v>
          </cell>
          <cell r="D1254" t="str">
            <v>Al Erteqa'a Primary School</v>
          </cell>
          <cell r="H1254" t="str">
            <v>AD</v>
          </cell>
        </row>
        <row r="1255">
          <cell r="B1255" t="str">
            <v>Fire Extinguisher</v>
          </cell>
          <cell r="D1255" t="str">
            <v>Al Erteqa'a Primary School</v>
          </cell>
          <cell r="H1255" t="str">
            <v>AD</v>
          </cell>
        </row>
        <row r="1256">
          <cell r="B1256" t="str">
            <v>Fire Extinguisher</v>
          </cell>
          <cell r="D1256" t="str">
            <v>Al Erteqa'a Primary School</v>
          </cell>
          <cell r="H1256" t="str">
            <v>AD</v>
          </cell>
        </row>
        <row r="1257">
          <cell r="B1257" t="str">
            <v>Fire Extinguisher</v>
          </cell>
          <cell r="D1257" t="str">
            <v>Al Erteqa'a Primary School</v>
          </cell>
          <cell r="H1257" t="str">
            <v>AD</v>
          </cell>
        </row>
        <row r="1258">
          <cell r="B1258" t="str">
            <v>Fire Extinguisher</v>
          </cell>
          <cell r="D1258" t="str">
            <v>Al Erteqa'a Primary School</v>
          </cell>
          <cell r="H1258" t="str">
            <v>AD</v>
          </cell>
        </row>
        <row r="1259">
          <cell r="B1259" t="str">
            <v>Fire Extinguisher</v>
          </cell>
          <cell r="D1259" t="str">
            <v>Al Erteqa'a Primary School</v>
          </cell>
          <cell r="H1259" t="str">
            <v>AD</v>
          </cell>
        </row>
        <row r="1260">
          <cell r="B1260" t="str">
            <v>Fire Extinguisher</v>
          </cell>
          <cell r="D1260" t="str">
            <v>Al Erteqa'a Primary School</v>
          </cell>
          <cell r="H1260" t="str">
            <v>AD</v>
          </cell>
        </row>
        <row r="1261">
          <cell r="B1261" t="str">
            <v>Fire Extinguisher</v>
          </cell>
          <cell r="D1261" t="str">
            <v>Al Erteqa'a Primary School</v>
          </cell>
          <cell r="H1261" t="str">
            <v>AD</v>
          </cell>
        </row>
        <row r="1262">
          <cell r="B1262" t="str">
            <v>Fire Extinguisher</v>
          </cell>
          <cell r="D1262" t="str">
            <v>Al Erteqa'a Primary School</v>
          </cell>
          <cell r="H1262" t="str">
            <v>AD</v>
          </cell>
        </row>
        <row r="1263">
          <cell r="B1263" t="str">
            <v>Fire Extinguisher</v>
          </cell>
          <cell r="D1263" t="str">
            <v>Al Erteqa'a Primary School</v>
          </cell>
          <cell r="H1263" t="str">
            <v>AD</v>
          </cell>
        </row>
        <row r="1264">
          <cell r="B1264" t="str">
            <v>Fire Extinguisher</v>
          </cell>
          <cell r="D1264" t="str">
            <v>Al Erteqa'a Primary School</v>
          </cell>
          <cell r="H1264" t="str">
            <v>AD</v>
          </cell>
        </row>
        <row r="1265">
          <cell r="B1265" t="str">
            <v>Fire Extinguisher</v>
          </cell>
          <cell r="D1265" t="str">
            <v>Al Erteqa'a Primary School</v>
          </cell>
          <cell r="H1265" t="str">
            <v>AD</v>
          </cell>
        </row>
        <row r="1266">
          <cell r="B1266" t="str">
            <v>Fire Extinguisher</v>
          </cell>
          <cell r="D1266" t="str">
            <v>Al Erteqa'a Primary School</v>
          </cell>
          <cell r="H1266" t="str">
            <v>AD</v>
          </cell>
        </row>
        <row r="1267">
          <cell r="B1267" t="str">
            <v>Fire Extinguisher</v>
          </cell>
          <cell r="D1267" t="str">
            <v>Al Erteqa'a Primary School</v>
          </cell>
          <cell r="H1267" t="str">
            <v>AD</v>
          </cell>
        </row>
        <row r="1268">
          <cell r="B1268" t="str">
            <v>Fire Extinguisher</v>
          </cell>
          <cell r="D1268" t="str">
            <v>Al Erteqa'a Primary School</v>
          </cell>
          <cell r="H1268" t="str">
            <v>AD</v>
          </cell>
        </row>
        <row r="1269">
          <cell r="B1269" t="str">
            <v>Fire Extinguisher</v>
          </cell>
          <cell r="D1269" t="str">
            <v>Al Erteqa'a Primary School</v>
          </cell>
          <cell r="H1269" t="str">
            <v>AD</v>
          </cell>
        </row>
        <row r="1270">
          <cell r="B1270" t="str">
            <v>Fire Extinguisher</v>
          </cell>
          <cell r="D1270" t="str">
            <v>Al Erteqa'a Primary School</v>
          </cell>
          <cell r="H1270" t="str">
            <v>AD</v>
          </cell>
        </row>
        <row r="1271">
          <cell r="B1271" t="str">
            <v>Fire Extinguisher</v>
          </cell>
          <cell r="D1271" t="str">
            <v>Al Erteqa'a Primary School</v>
          </cell>
          <cell r="H1271" t="str">
            <v>AD</v>
          </cell>
        </row>
        <row r="1272">
          <cell r="B1272" t="str">
            <v>Fire Extinguisher</v>
          </cell>
          <cell r="D1272" t="str">
            <v>Al Erteqa'a Primary School</v>
          </cell>
          <cell r="H1272" t="str">
            <v>AD</v>
          </cell>
        </row>
        <row r="1273">
          <cell r="B1273" t="str">
            <v>Fire Extinguisher</v>
          </cell>
          <cell r="D1273" t="str">
            <v>Al Erteqa'a Primary School</v>
          </cell>
          <cell r="H1273" t="str">
            <v>AD</v>
          </cell>
        </row>
        <row r="1274">
          <cell r="B1274" t="str">
            <v>Fire Extinguisher</v>
          </cell>
          <cell r="D1274" t="str">
            <v>Al Erteqa'a Primary School</v>
          </cell>
          <cell r="H1274" t="str">
            <v>AD</v>
          </cell>
        </row>
        <row r="1275">
          <cell r="B1275" t="str">
            <v>Fire Extinguisher</v>
          </cell>
          <cell r="D1275" t="str">
            <v>Al Erteqa'a Primary School</v>
          </cell>
          <cell r="H1275" t="str">
            <v>AD</v>
          </cell>
        </row>
        <row r="1276">
          <cell r="B1276" t="str">
            <v>Fire Extinguisher</v>
          </cell>
          <cell r="D1276" t="str">
            <v>Al Erteqa'a Primary School</v>
          </cell>
          <cell r="H1276" t="str">
            <v>AD</v>
          </cell>
        </row>
        <row r="1277">
          <cell r="B1277" t="str">
            <v>Fire Extinguisher</v>
          </cell>
          <cell r="D1277" t="str">
            <v>Al Erteqa'a Primary School</v>
          </cell>
          <cell r="H1277" t="str">
            <v>AD</v>
          </cell>
        </row>
        <row r="1278">
          <cell r="B1278" t="str">
            <v>Fire Extinguisher</v>
          </cell>
          <cell r="D1278" t="str">
            <v>Al Erteqa'a Primary School</v>
          </cell>
          <cell r="H1278" t="str">
            <v>AD</v>
          </cell>
        </row>
        <row r="1279">
          <cell r="B1279" t="str">
            <v>Fire Extinguisher</v>
          </cell>
          <cell r="D1279" t="str">
            <v>Al Erteqa'a Primary School</v>
          </cell>
          <cell r="H1279" t="str">
            <v>AD</v>
          </cell>
        </row>
        <row r="1280">
          <cell r="B1280" t="str">
            <v>Fire Extinguisher</v>
          </cell>
          <cell r="D1280" t="str">
            <v>Al Erteqa'a Primary School</v>
          </cell>
          <cell r="H1280" t="str">
            <v>AD</v>
          </cell>
        </row>
        <row r="1281">
          <cell r="B1281" t="str">
            <v>Fire Extinguisher</v>
          </cell>
          <cell r="D1281" t="str">
            <v>Al Erteqa'a Primary School</v>
          </cell>
          <cell r="H1281" t="str">
            <v>AD</v>
          </cell>
        </row>
        <row r="1282">
          <cell r="B1282" t="str">
            <v>Fire Extinguisher</v>
          </cell>
          <cell r="D1282" t="str">
            <v>Al Erteqa'a Primary School</v>
          </cell>
          <cell r="H1282" t="str">
            <v>AD</v>
          </cell>
        </row>
        <row r="1283">
          <cell r="B1283" t="str">
            <v>Fire Extinguisher</v>
          </cell>
          <cell r="D1283" t="str">
            <v>Al Erteqa'a Primary School</v>
          </cell>
          <cell r="H1283" t="str">
            <v>AD</v>
          </cell>
        </row>
        <row r="1284">
          <cell r="B1284" t="str">
            <v>Fire Extinguisher</v>
          </cell>
          <cell r="D1284" t="str">
            <v>Al Erteqa'a Primary School</v>
          </cell>
          <cell r="H1284" t="str">
            <v>AD</v>
          </cell>
        </row>
        <row r="1285">
          <cell r="B1285" t="str">
            <v>Fire Extinguisher</v>
          </cell>
          <cell r="D1285" t="str">
            <v>Al Erteqa'a Primary School</v>
          </cell>
          <cell r="H1285" t="str">
            <v>AD</v>
          </cell>
        </row>
        <row r="1286">
          <cell r="B1286" t="str">
            <v>Fire Extinguisher</v>
          </cell>
          <cell r="D1286" t="str">
            <v>Al Erteqa'a Primary School</v>
          </cell>
          <cell r="H1286" t="str">
            <v>AD</v>
          </cell>
        </row>
        <row r="1287">
          <cell r="B1287" t="str">
            <v>Fire Extinguisher</v>
          </cell>
          <cell r="D1287" t="str">
            <v>Al Erteqa'a Primary School</v>
          </cell>
          <cell r="H1287" t="str">
            <v>AD</v>
          </cell>
        </row>
        <row r="1288">
          <cell r="B1288" t="str">
            <v>Fire Hose Reel</v>
          </cell>
          <cell r="D1288" t="str">
            <v>Al Erteqa'a Primary School</v>
          </cell>
          <cell r="H1288" t="str">
            <v>AD</v>
          </cell>
        </row>
        <row r="1289">
          <cell r="B1289" t="str">
            <v>Fire Hose Reel</v>
          </cell>
          <cell r="D1289" t="str">
            <v>Al Erteqa'a Primary School</v>
          </cell>
          <cell r="H1289" t="str">
            <v>AD</v>
          </cell>
        </row>
        <row r="1290">
          <cell r="B1290" t="str">
            <v>Fire Hose Reel</v>
          </cell>
          <cell r="D1290" t="str">
            <v>Al Erteqa'a Primary School</v>
          </cell>
          <cell r="H1290" t="str">
            <v>AD</v>
          </cell>
        </row>
        <row r="1291">
          <cell r="B1291" t="str">
            <v>Fire Hose Reel</v>
          </cell>
          <cell r="D1291" t="str">
            <v>Al Erteqa'a Primary School</v>
          </cell>
          <cell r="H1291" t="str">
            <v>AD</v>
          </cell>
        </row>
        <row r="1292">
          <cell r="B1292" t="str">
            <v>Fire Hose Reel</v>
          </cell>
          <cell r="D1292" t="str">
            <v>Al Erteqa'a Primary School</v>
          </cell>
          <cell r="H1292" t="str">
            <v>AD</v>
          </cell>
        </row>
        <row r="1293">
          <cell r="B1293" t="str">
            <v>Fire Hose Reel</v>
          </cell>
          <cell r="D1293" t="str">
            <v>Al Erteqa'a Primary School</v>
          </cell>
          <cell r="H1293" t="str">
            <v>AD</v>
          </cell>
        </row>
        <row r="1294">
          <cell r="B1294" t="str">
            <v>Fire Hose Reel</v>
          </cell>
          <cell r="D1294" t="str">
            <v>Al Erteqa'a Primary School</v>
          </cell>
          <cell r="H1294" t="str">
            <v>AD</v>
          </cell>
        </row>
        <row r="1295">
          <cell r="B1295" t="str">
            <v>Fire Hose Reel</v>
          </cell>
          <cell r="D1295" t="str">
            <v>Al Erteqa'a Primary School</v>
          </cell>
          <cell r="H1295" t="str">
            <v>AD</v>
          </cell>
        </row>
        <row r="1296">
          <cell r="B1296" t="str">
            <v>Fire Hose Reel</v>
          </cell>
          <cell r="D1296" t="str">
            <v>Al Erteqa'a Primary School</v>
          </cell>
          <cell r="H1296" t="str">
            <v>AD</v>
          </cell>
        </row>
        <row r="1297">
          <cell r="B1297" t="str">
            <v>Fire Hose Reel</v>
          </cell>
          <cell r="D1297" t="str">
            <v>Al Erteqa'a Primary School</v>
          </cell>
          <cell r="H1297" t="str">
            <v>AD</v>
          </cell>
        </row>
        <row r="1298">
          <cell r="B1298" t="str">
            <v>Fire Hose Reel</v>
          </cell>
          <cell r="D1298" t="str">
            <v>Al Erteqa'a Primary School</v>
          </cell>
          <cell r="H1298" t="str">
            <v>AD</v>
          </cell>
        </row>
        <row r="1299">
          <cell r="B1299" t="str">
            <v>Fire Hose Reel</v>
          </cell>
          <cell r="D1299" t="str">
            <v>Al Erteqa'a Primary School</v>
          </cell>
          <cell r="H1299" t="str">
            <v>AD</v>
          </cell>
        </row>
        <row r="1300">
          <cell r="B1300" t="str">
            <v>Fire Hose Reel</v>
          </cell>
          <cell r="D1300" t="str">
            <v>Al Erteqa'a Primary School</v>
          </cell>
          <cell r="H1300" t="str">
            <v>AD</v>
          </cell>
        </row>
        <row r="1301">
          <cell r="B1301" t="str">
            <v>Fire Hose Reel</v>
          </cell>
          <cell r="D1301" t="str">
            <v>Al Erteqa'a Primary School</v>
          </cell>
          <cell r="H1301" t="str">
            <v>AD</v>
          </cell>
        </row>
        <row r="1302">
          <cell r="B1302" t="str">
            <v>FIRE PUMP - Diesel</v>
          </cell>
          <cell r="D1302" t="str">
            <v>Al Erteqa'a Primary School</v>
          </cell>
          <cell r="H1302" t="str">
            <v>AD</v>
          </cell>
        </row>
        <row r="1303">
          <cell r="B1303" t="str">
            <v>FIRE PUMP - Electric</v>
          </cell>
          <cell r="D1303" t="str">
            <v>Al Erteqa'a Primary School</v>
          </cell>
          <cell r="H1303" t="str">
            <v>AD</v>
          </cell>
        </row>
        <row r="1304">
          <cell r="B1304" t="str">
            <v>Fire Smoke / Heat Detector, Sounder</v>
          </cell>
          <cell r="D1304" t="str">
            <v>Al Erteqa'a Primary School</v>
          </cell>
          <cell r="H1304" t="str">
            <v>AD</v>
          </cell>
        </row>
        <row r="1305">
          <cell r="B1305" t="str">
            <v>Fire Smoke / Heat Detector, Sounder</v>
          </cell>
          <cell r="D1305" t="str">
            <v>Al Erteqa'a Primary School</v>
          </cell>
          <cell r="H1305" t="str">
            <v>AD</v>
          </cell>
        </row>
        <row r="1306">
          <cell r="B1306" t="str">
            <v>Fire Smoke / Heat Detector, Sounder</v>
          </cell>
          <cell r="D1306" t="str">
            <v>Al Erteqa'a Primary School</v>
          </cell>
          <cell r="H1306" t="str">
            <v>AD</v>
          </cell>
        </row>
        <row r="1307">
          <cell r="B1307" t="str">
            <v>Fire Smoke / Heat Detector, Sounder</v>
          </cell>
          <cell r="D1307" t="str">
            <v>Al Erteqa'a Primary School</v>
          </cell>
          <cell r="H1307" t="str">
            <v>AD</v>
          </cell>
        </row>
        <row r="1308">
          <cell r="B1308" t="str">
            <v>Fire Smoke / Heat Detector, Sounder</v>
          </cell>
          <cell r="D1308" t="str">
            <v>Al Erteqa'a Primary School</v>
          </cell>
          <cell r="H1308" t="str">
            <v>AD</v>
          </cell>
        </row>
        <row r="1309">
          <cell r="B1309" t="str">
            <v>Fire Smoke / Heat Detector, Sounder</v>
          </cell>
          <cell r="D1309" t="str">
            <v>Al Erteqa'a Primary School</v>
          </cell>
          <cell r="H1309" t="str">
            <v>AD</v>
          </cell>
        </row>
        <row r="1310">
          <cell r="B1310" t="str">
            <v>Fire Smoke / Heat Detector, Sounder</v>
          </cell>
          <cell r="D1310" t="str">
            <v>Al Erteqa'a Primary School</v>
          </cell>
          <cell r="H1310" t="str">
            <v>AD</v>
          </cell>
        </row>
        <row r="1311">
          <cell r="B1311" t="str">
            <v>Fire Smoke / Heat Detector, Sounder</v>
          </cell>
          <cell r="D1311" t="str">
            <v>Al Erteqa'a Primary School</v>
          </cell>
          <cell r="H1311" t="str">
            <v>AD</v>
          </cell>
        </row>
        <row r="1312">
          <cell r="B1312" t="str">
            <v>Fire Smoke / Heat Detector, Sounder</v>
          </cell>
          <cell r="D1312" t="str">
            <v>Al Erteqa'a Primary School</v>
          </cell>
          <cell r="H1312" t="str">
            <v>AD</v>
          </cell>
        </row>
        <row r="1313">
          <cell r="B1313" t="str">
            <v>Fire Smoke / Heat Detector, Sounder</v>
          </cell>
          <cell r="D1313" t="str">
            <v>Al Erteqa'a Primary School</v>
          </cell>
          <cell r="H1313" t="str">
            <v>AD</v>
          </cell>
        </row>
        <row r="1314">
          <cell r="B1314" t="str">
            <v>Fire Smoke / Heat Detector, Sounder</v>
          </cell>
          <cell r="D1314" t="str">
            <v>Al Erteqa'a Primary School</v>
          </cell>
          <cell r="H1314" t="str">
            <v>AD</v>
          </cell>
        </row>
        <row r="1315">
          <cell r="B1315" t="str">
            <v>Fire Smoke / Heat Detector, Sounder</v>
          </cell>
          <cell r="D1315" t="str">
            <v>Al Erteqa'a Primary School</v>
          </cell>
          <cell r="H1315" t="str">
            <v>AD</v>
          </cell>
        </row>
        <row r="1316">
          <cell r="B1316" t="str">
            <v>Fire Smoke / Heat Detector, Sounder</v>
          </cell>
          <cell r="D1316" t="str">
            <v>Al Erteqa'a Primary School</v>
          </cell>
          <cell r="H1316" t="str">
            <v>AD</v>
          </cell>
        </row>
        <row r="1317">
          <cell r="B1317" t="str">
            <v>Fire Smoke / Heat Detector, Sounder</v>
          </cell>
          <cell r="D1317" t="str">
            <v>Al Erteqa'a Primary School</v>
          </cell>
          <cell r="H1317" t="str">
            <v>AD</v>
          </cell>
        </row>
        <row r="1318">
          <cell r="B1318" t="str">
            <v>Fire Smoke / Heat Detector, Sounder</v>
          </cell>
          <cell r="D1318" t="str">
            <v>Al Erteqa'a Primary School</v>
          </cell>
          <cell r="H1318" t="str">
            <v>AD</v>
          </cell>
        </row>
        <row r="1319">
          <cell r="B1319" t="str">
            <v>Fire Smoke / Heat Detector, Sounder</v>
          </cell>
          <cell r="D1319" t="str">
            <v>Al Erteqa'a Primary School</v>
          </cell>
          <cell r="H1319" t="str">
            <v>AD</v>
          </cell>
        </row>
        <row r="1320">
          <cell r="B1320" t="str">
            <v>Fire Smoke / Heat Detector, Sounder</v>
          </cell>
          <cell r="D1320" t="str">
            <v>Al Erteqa'a Primary School</v>
          </cell>
          <cell r="H1320" t="str">
            <v>AD</v>
          </cell>
        </row>
        <row r="1321">
          <cell r="B1321" t="str">
            <v>Fire Smoke / Heat Detector, Sounder</v>
          </cell>
          <cell r="D1321" t="str">
            <v>Al Erteqa'a Primary School</v>
          </cell>
          <cell r="H1321" t="str">
            <v>AD</v>
          </cell>
        </row>
        <row r="1322">
          <cell r="B1322" t="str">
            <v>Fire Smoke / Heat Detector, Sounder</v>
          </cell>
          <cell r="D1322" t="str">
            <v>Al Erteqa'a Primary School</v>
          </cell>
          <cell r="H1322" t="str">
            <v>AD</v>
          </cell>
        </row>
        <row r="1323">
          <cell r="B1323" t="str">
            <v>Fire Smoke / Heat Detector, Sounder</v>
          </cell>
          <cell r="D1323" t="str">
            <v>Al Erteqa'a Primary School</v>
          </cell>
          <cell r="H1323" t="str">
            <v>AD</v>
          </cell>
        </row>
        <row r="1324">
          <cell r="B1324" t="str">
            <v>Fire Smoke / Heat Detector, Sounder</v>
          </cell>
          <cell r="D1324" t="str">
            <v>Al Erteqa'a Primary School</v>
          </cell>
          <cell r="H1324" t="str">
            <v>AD</v>
          </cell>
        </row>
        <row r="1325">
          <cell r="B1325" t="str">
            <v>Fire Smoke / Heat Detector, Sounder</v>
          </cell>
          <cell r="D1325" t="str">
            <v>Al Erteqa'a Primary School</v>
          </cell>
          <cell r="H1325" t="str">
            <v>AD</v>
          </cell>
        </row>
        <row r="1326">
          <cell r="B1326" t="str">
            <v>Fire Smoke / Heat Detector, Sounder</v>
          </cell>
          <cell r="D1326" t="str">
            <v>Al Erteqa'a Primary School</v>
          </cell>
          <cell r="H1326" t="str">
            <v>AD</v>
          </cell>
        </row>
        <row r="1327">
          <cell r="B1327" t="str">
            <v>Fire Smoke / Heat Detector, Sounder</v>
          </cell>
          <cell r="D1327" t="str">
            <v>Al Erteqa'a Primary School</v>
          </cell>
          <cell r="H1327" t="str">
            <v>AD</v>
          </cell>
        </row>
        <row r="1328">
          <cell r="B1328" t="str">
            <v>Fire Smoke / Heat Detector, Sounder</v>
          </cell>
          <cell r="D1328" t="str">
            <v>Al Erteqa'a Primary School</v>
          </cell>
          <cell r="H1328" t="str">
            <v>AD</v>
          </cell>
        </row>
        <row r="1329">
          <cell r="B1329" t="str">
            <v>Fire Smoke / Heat Detector, Sounder</v>
          </cell>
          <cell r="D1329" t="str">
            <v>Al Erteqa'a Primary School</v>
          </cell>
          <cell r="H1329" t="str">
            <v>AD</v>
          </cell>
        </row>
        <row r="1330">
          <cell r="B1330" t="str">
            <v>Fire Smoke / Heat Detector, Sounder</v>
          </cell>
          <cell r="D1330" t="str">
            <v>Al Erteqa'a Primary School</v>
          </cell>
          <cell r="H1330" t="str">
            <v>AD</v>
          </cell>
        </row>
        <row r="1331">
          <cell r="B1331" t="str">
            <v>Fire Smoke / Heat Detector, Sounder</v>
          </cell>
          <cell r="D1331" t="str">
            <v>Al Erteqa'a Primary School</v>
          </cell>
          <cell r="H1331" t="str">
            <v>AD</v>
          </cell>
        </row>
        <row r="1332">
          <cell r="B1332" t="str">
            <v>Fire Smoke / Heat Detector, Sounder</v>
          </cell>
          <cell r="D1332" t="str">
            <v>Al Erteqa'a Primary School</v>
          </cell>
          <cell r="H1332" t="str">
            <v>AD</v>
          </cell>
        </row>
        <row r="1333">
          <cell r="B1333" t="str">
            <v>Fire Smoke / Heat Detector, Sounder</v>
          </cell>
          <cell r="D1333" t="str">
            <v>Al Erteqa'a Primary School</v>
          </cell>
          <cell r="H1333" t="str">
            <v>AD</v>
          </cell>
        </row>
        <row r="1334">
          <cell r="B1334" t="str">
            <v>Fire Smoke / Heat Detector, Sounder</v>
          </cell>
          <cell r="D1334" t="str">
            <v>Al Erteqa'a Primary School</v>
          </cell>
          <cell r="H1334" t="str">
            <v>AD</v>
          </cell>
        </row>
        <row r="1335">
          <cell r="B1335" t="str">
            <v>Fire Smoke / Heat Detector, Sounder</v>
          </cell>
          <cell r="D1335" t="str">
            <v>Al Erteqa'a Primary School</v>
          </cell>
          <cell r="H1335" t="str">
            <v>AD</v>
          </cell>
        </row>
        <row r="1336">
          <cell r="B1336" t="str">
            <v>Fire Smoke / Heat Detector, Sounder</v>
          </cell>
          <cell r="D1336" t="str">
            <v>Al Erteqa'a Primary School</v>
          </cell>
          <cell r="H1336" t="str">
            <v>AD</v>
          </cell>
        </row>
        <row r="1337">
          <cell r="B1337" t="str">
            <v>Fire Smoke / Heat Detector, Sounder</v>
          </cell>
          <cell r="D1337" t="str">
            <v>Al Erteqa'a Primary School</v>
          </cell>
          <cell r="H1337" t="str">
            <v>AD</v>
          </cell>
        </row>
        <row r="1338">
          <cell r="B1338" t="str">
            <v>Fire Smoke / Heat Detector, Sounder</v>
          </cell>
          <cell r="D1338" t="str">
            <v>Al Erteqa'a Primary School</v>
          </cell>
          <cell r="H1338" t="str">
            <v>AD</v>
          </cell>
        </row>
        <row r="1339">
          <cell r="B1339" t="str">
            <v>Fire Smoke / Heat Detector, Sounder</v>
          </cell>
          <cell r="D1339" t="str">
            <v>Al Erteqa'a Primary School</v>
          </cell>
          <cell r="H1339" t="str">
            <v>AD</v>
          </cell>
        </row>
        <row r="1340">
          <cell r="B1340" t="str">
            <v>Fire Smoke / Heat Detector, Sounder</v>
          </cell>
          <cell r="D1340" t="str">
            <v>Al Erteqa'a Primary School</v>
          </cell>
          <cell r="H1340" t="str">
            <v>AD</v>
          </cell>
        </row>
        <row r="1341">
          <cell r="B1341" t="str">
            <v>Fire Smoke / Heat Detector, Sounder</v>
          </cell>
          <cell r="D1341" t="str">
            <v>Al Erteqa'a Primary School</v>
          </cell>
          <cell r="H1341" t="str">
            <v>AD</v>
          </cell>
        </row>
        <row r="1342">
          <cell r="B1342" t="str">
            <v>Fire Smoke / Heat Detector, Sounder</v>
          </cell>
          <cell r="D1342" t="str">
            <v>Al Erteqa'a Primary School</v>
          </cell>
          <cell r="H1342" t="str">
            <v>AD</v>
          </cell>
        </row>
        <row r="1343">
          <cell r="B1343" t="str">
            <v>Fire Smoke / Heat Detector, Sounder</v>
          </cell>
          <cell r="D1343" t="str">
            <v>Al Erteqa'a Primary School</v>
          </cell>
          <cell r="H1343" t="str">
            <v>AD</v>
          </cell>
        </row>
        <row r="1344">
          <cell r="B1344" t="str">
            <v>Fire Smoke / Heat Detector, Sounder</v>
          </cell>
          <cell r="D1344" t="str">
            <v>Al Erteqa'a Primary School</v>
          </cell>
          <cell r="H1344" t="str">
            <v>AD</v>
          </cell>
        </row>
        <row r="1345">
          <cell r="B1345" t="str">
            <v>Fire Smoke / Heat Detector, Sounder</v>
          </cell>
          <cell r="D1345" t="str">
            <v>Al Erteqa'a Primary School</v>
          </cell>
          <cell r="H1345" t="str">
            <v>AD</v>
          </cell>
        </row>
        <row r="1346">
          <cell r="B1346" t="str">
            <v>Fire Smoke / Heat Detector, Sounder</v>
          </cell>
          <cell r="D1346" t="str">
            <v>Al Erteqa'a Primary School</v>
          </cell>
          <cell r="H1346" t="str">
            <v>AD</v>
          </cell>
        </row>
        <row r="1347">
          <cell r="B1347" t="str">
            <v>Fire Smoke / Heat Detector, Sounder</v>
          </cell>
          <cell r="D1347" t="str">
            <v>Al Erteqa'a Primary School</v>
          </cell>
          <cell r="H1347" t="str">
            <v>AD</v>
          </cell>
        </row>
        <row r="1348">
          <cell r="B1348" t="str">
            <v>Fire Smoke / Heat Detector, Sounder</v>
          </cell>
          <cell r="D1348" t="str">
            <v>Al Erteqa'a Primary School</v>
          </cell>
          <cell r="H1348" t="str">
            <v>AD</v>
          </cell>
        </row>
        <row r="1349">
          <cell r="B1349" t="str">
            <v>Fire Smoke / Heat Detector, Sounder</v>
          </cell>
          <cell r="D1349" t="str">
            <v>Al Erteqa'a Primary School</v>
          </cell>
          <cell r="H1349" t="str">
            <v>AD</v>
          </cell>
        </row>
        <row r="1350">
          <cell r="B1350" t="str">
            <v>Fire Smoke / Heat Detector, Sounder</v>
          </cell>
          <cell r="D1350" t="str">
            <v>Al Erteqa'a Primary School</v>
          </cell>
          <cell r="H1350" t="str">
            <v>AD</v>
          </cell>
        </row>
        <row r="1351">
          <cell r="B1351" t="str">
            <v>Fire Smoke / Heat Detector, Sounder</v>
          </cell>
          <cell r="D1351" t="str">
            <v>Al Erteqa'a Primary School</v>
          </cell>
          <cell r="H1351" t="str">
            <v>AD</v>
          </cell>
        </row>
        <row r="1352">
          <cell r="B1352" t="str">
            <v>Fire Smoke / Heat Detector, Sounder</v>
          </cell>
          <cell r="D1352" t="str">
            <v>Al Erteqa'a Primary School</v>
          </cell>
          <cell r="H1352" t="str">
            <v>AD</v>
          </cell>
        </row>
        <row r="1353">
          <cell r="B1353" t="str">
            <v>Fire Smoke / Heat Detector, Sounder</v>
          </cell>
          <cell r="D1353" t="str">
            <v>Al Erteqa'a Primary School</v>
          </cell>
          <cell r="H1353" t="str">
            <v>AD</v>
          </cell>
        </row>
        <row r="1354">
          <cell r="B1354" t="str">
            <v>Fire Smoke / Heat Detector, Sounder</v>
          </cell>
          <cell r="D1354" t="str">
            <v>Al Erteqa'a Primary School</v>
          </cell>
          <cell r="H1354" t="str">
            <v>AD</v>
          </cell>
        </row>
        <row r="1355">
          <cell r="B1355" t="str">
            <v>Fire Smoke / Heat Detector, Sounder</v>
          </cell>
          <cell r="D1355" t="str">
            <v>Al Erteqa'a Primary School</v>
          </cell>
          <cell r="H1355" t="str">
            <v>AD</v>
          </cell>
        </row>
        <row r="1356">
          <cell r="B1356" t="str">
            <v>Fire Smoke / Heat Detector, Sounder</v>
          </cell>
          <cell r="D1356" t="str">
            <v>Al Erteqa'a Primary School</v>
          </cell>
          <cell r="H1356" t="str">
            <v>AD</v>
          </cell>
        </row>
        <row r="1357">
          <cell r="B1357" t="str">
            <v>Fire Smoke / Heat Detector, Sounder</v>
          </cell>
          <cell r="D1357" t="str">
            <v>Al Erteqa'a Primary School</v>
          </cell>
          <cell r="H1357" t="str">
            <v>AD</v>
          </cell>
        </row>
        <row r="1358">
          <cell r="B1358" t="str">
            <v>Fire Smoke / Heat Detector, Sounder</v>
          </cell>
          <cell r="D1358" t="str">
            <v>Al Erteqa'a Primary School</v>
          </cell>
          <cell r="H1358" t="str">
            <v>AD</v>
          </cell>
        </row>
        <row r="1359">
          <cell r="B1359" t="str">
            <v>Fire Smoke / Heat Detector, Sounder</v>
          </cell>
          <cell r="D1359" t="str">
            <v>Al Erteqa'a Primary School</v>
          </cell>
          <cell r="H1359" t="str">
            <v>AD</v>
          </cell>
        </row>
        <row r="1360">
          <cell r="B1360" t="str">
            <v>Fire Smoke / Heat Detector, Sounder</v>
          </cell>
          <cell r="D1360" t="str">
            <v>Al Erteqa'a Primary School</v>
          </cell>
          <cell r="H1360" t="str">
            <v>AD</v>
          </cell>
        </row>
        <row r="1361">
          <cell r="B1361" t="str">
            <v>Fire Smoke / Heat Detector, Sounder</v>
          </cell>
          <cell r="D1361" t="str">
            <v>Al Erteqa'a Primary School</v>
          </cell>
          <cell r="H1361" t="str">
            <v>AD</v>
          </cell>
        </row>
        <row r="1362">
          <cell r="B1362" t="str">
            <v>Fire Smoke / Heat Detector, Sounder</v>
          </cell>
          <cell r="D1362" t="str">
            <v>Al Erteqa'a Primary School</v>
          </cell>
          <cell r="H1362" t="str">
            <v>AD</v>
          </cell>
        </row>
        <row r="1363">
          <cell r="B1363" t="str">
            <v>Fire Smoke / Heat Detector, Sounder</v>
          </cell>
          <cell r="D1363" t="str">
            <v>Al Erteqa'a Primary School</v>
          </cell>
          <cell r="H1363" t="str">
            <v>AD</v>
          </cell>
        </row>
        <row r="1364">
          <cell r="B1364" t="str">
            <v>Fire Smoke / Heat Detector, Sounder</v>
          </cell>
          <cell r="D1364" t="str">
            <v>Al Erteqa'a Primary School</v>
          </cell>
          <cell r="H1364" t="str">
            <v>AD</v>
          </cell>
        </row>
        <row r="1365">
          <cell r="B1365" t="str">
            <v>Fire Smoke / Heat Detector, Sounder</v>
          </cell>
          <cell r="D1365" t="str">
            <v>Al Erteqa'a Primary School</v>
          </cell>
          <cell r="H1365" t="str">
            <v>AD</v>
          </cell>
        </row>
        <row r="1366">
          <cell r="B1366" t="str">
            <v>Fire Smoke / Heat Detector, Sounder</v>
          </cell>
          <cell r="D1366" t="str">
            <v>Al Erteqa'a Primary School</v>
          </cell>
          <cell r="H1366" t="str">
            <v>AD</v>
          </cell>
        </row>
        <row r="1367">
          <cell r="B1367" t="str">
            <v>Fire Smoke / Heat Detector, Sounder</v>
          </cell>
          <cell r="D1367" t="str">
            <v>Al Erteqa'a Primary School</v>
          </cell>
          <cell r="H1367" t="str">
            <v>AD</v>
          </cell>
        </row>
        <row r="1368">
          <cell r="B1368" t="str">
            <v>Fire Smoke / Heat Detector, Sounder</v>
          </cell>
          <cell r="D1368" t="str">
            <v>Al Erteqa'a Primary School</v>
          </cell>
          <cell r="H1368" t="str">
            <v>AD</v>
          </cell>
        </row>
        <row r="1369">
          <cell r="B1369" t="str">
            <v>Fire Smoke / Heat Detector, Sounder</v>
          </cell>
          <cell r="D1369" t="str">
            <v>Al Erteqa'a Primary School</v>
          </cell>
          <cell r="H1369" t="str">
            <v>AD</v>
          </cell>
        </row>
        <row r="1370">
          <cell r="B1370" t="str">
            <v>Fire Smoke / Heat Detector, Sounder</v>
          </cell>
          <cell r="D1370" t="str">
            <v>Al Erteqa'a Primary School</v>
          </cell>
          <cell r="H1370" t="str">
            <v>AD</v>
          </cell>
        </row>
        <row r="1371">
          <cell r="B1371" t="str">
            <v>Fire Smoke / Heat Detector, Sounder</v>
          </cell>
          <cell r="D1371" t="str">
            <v>Al Erteqa'a Primary School</v>
          </cell>
          <cell r="H1371" t="str">
            <v>AD</v>
          </cell>
        </row>
        <row r="1372">
          <cell r="B1372" t="str">
            <v>Fire Smoke / Heat Detector, Sounder</v>
          </cell>
          <cell r="D1372" t="str">
            <v>Al Erteqa'a Primary School</v>
          </cell>
          <cell r="H1372" t="str">
            <v>AD</v>
          </cell>
        </row>
        <row r="1373">
          <cell r="B1373" t="str">
            <v>Fire Smoke / Heat Detector, Sounder</v>
          </cell>
          <cell r="D1373" t="str">
            <v>Al Erteqa'a Primary School</v>
          </cell>
          <cell r="H1373" t="str">
            <v>AD</v>
          </cell>
        </row>
        <row r="1374">
          <cell r="B1374" t="str">
            <v>Fire Smoke / Heat Detector, Sounder</v>
          </cell>
          <cell r="D1374" t="str">
            <v>Al Erteqa'a Primary School</v>
          </cell>
          <cell r="H1374" t="str">
            <v>AD</v>
          </cell>
        </row>
        <row r="1375">
          <cell r="B1375" t="str">
            <v>Fire Smoke / Heat Detector, Sounder</v>
          </cell>
          <cell r="D1375" t="str">
            <v>Al Erteqa'a Primary School</v>
          </cell>
          <cell r="H1375" t="str">
            <v>AD</v>
          </cell>
        </row>
        <row r="1376">
          <cell r="B1376" t="str">
            <v>Fire Smoke / Heat Detector, Sounder</v>
          </cell>
          <cell r="D1376" t="str">
            <v>Al Erteqa'a Primary School</v>
          </cell>
          <cell r="H1376" t="str">
            <v>AD</v>
          </cell>
        </row>
        <row r="1377">
          <cell r="B1377" t="str">
            <v>Fire Smoke / Heat Detector, Sounder</v>
          </cell>
          <cell r="D1377" t="str">
            <v>Al Erteqa'a Primary School</v>
          </cell>
          <cell r="H1377" t="str">
            <v>AD</v>
          </cell>
        </row>
        <row r="1378">
          <cell r="B1378" t="str">
            <v>Fire Smoke / Heat Detector, Sounder</v>
          </cell>
          <cell r="D1378" t="str">
            <v>Al Erteqa'a Primary School</v>
          </cell>
          <cell r="H1378" t="str">
            <v>AD</v>
          </cell>
        </row>
        <row r="1379">
          <cell r="B1379" t="str">
            <v>Fire Smoke / Heat Detector, Sounder</v>
          </cell>
          <cell r="D1379" t="str">
            <v>Al Erteqa'a Primary School</v>
          </cell>
          <cell r="H1379" t="str">
            <v>AD</v>
          </cell>
        </row>
        <row r="1380">
          <cell r="B1380" t="str">
            <v>Fire Smoke / Heat Detector, Sounder</v>
          </cell>
          <cell r="D1380" t="str">
            <v>Al Erteqa'a Primary School</v>
          </cell>
          <cell r="H1380" t="str">
            <v>AD</v>
          </cell>
        </row>
        <row r="1381">
          <cell r="B1381" t="str">
            <v>Fire Smoke / Heat Detector, Sounder</v>
          </cell>
          <cell r="D1381" t="str">
            <v>Al Erteqa'a Primary School</v>
          </cell>
          <cell r="H1381" t="str">
            <v>AD</v>
          </cell>
        </row>
        <row r="1382">
          <cell r="B1382" t="str">
            <v>Fire Smoke / Heat Detector, Sounder</v>
          </cell>
          <cell r="D1382" t="str">
            <v>Al Erteqa'a Primary School</v>
          </cell>
          <cell r="H1382" t="str">
            <v>AD</v>
          </cell>
        </row>
        <row r="1383">
          <cell r="B1383" t="str">
            <v>Fire Smoke / Heat Detector, Sounder</v>
          </cell>
          <cell r="D1383" t="str">
            <v>Al Erteqa'a Primary School</v>
          </cell>
          <cell r="H1383" t="str">
            <v>AD</v>
          </cell>
        </row>
        <row r="1384">
          <cell r="B1384" t="str">
            <v>Fire Smoke / Heat Detector, Sounder</v>
          </cell>
          <cell r="D1384" t="str">
            <v>Al Erteqa'a Primary School</v>
          </cell>
          <cell r="H1384" t="str">
            <v>AD</v>
          </cell>
        </row>
        <row r="1385">
          <cell r="B1385" t="str">
            <v>Fire Smoke / Heat Detector, Sounder</v>
          </cell>
          <cell r="D1385" t="str">
            <v>Al Erteqa'a Primary School</v>
          </cell>
          <cell r="H1385" t="str">
            <v>AD</v>
          </cell>
        </row>
        <row r="1386">
          <cell r="B1386" t="str">
            <v>Fire Smoke / Heat Detector, Sounder</v>
          </cell>
          <cell r="D1386" t="str">
            <v>Al Erteqa'a Primary School</v>
          </cell>
          <cell r="H1386" t="str">
            <v>AD</v>
          </cell>
        </row>
        <row r="1387">
          <cell r="B1387" t="str">
            <v>Fire Smoke / Heat Detector, Sounder</v>
          </cell>
          <cell r="D1387" t="str">
            <v>Al Erteqa'a Primary School</v>
          </cell>
          <cell r="H1387" t="str">
            <v>AD</v>
          </cell>
        </row>
        <row r="1388">
          <cell r="B1388" t="str">
            <v>Fire Smoke / Heat Detector, Sounder</v>
          </cell>
          <cell r="D1388" t="str">
            <v>Al Erteqa'a Primary School</v>
          </cell>
          <cell r="H1388" t="str">
            <v>AD</v>
          </cell>
        </row>
        <row r="1389">
          <cell r="B1389" t="str">
            <v>Fire Smoke / Heat Detector, Sounder</v>
          </cell>
          <cell r="D1389" t="str">
            <v>Al Erteqa'a Primary School</v>
          </cell>
          <cell r="H1389" t="str">
            <v>AD</v>
          </cell>
        </row>
        <row r="1390">
          <cell r="B1390" t="str">
            <v>Fire Smoke / Heat Detector, Sounder</v>
          </cell>
          <cell r="D1390" t="str">
            <v>Al Erteqa'a Primary School</v>
          </cell>
          <cell r="H1390" t="str">
            <v>AD</v>
          </cell>
        </row>
        <row r="1391">
          <cell r="B1391" t="str">
            <v>Fire Smoke / Heat Detector, Sounder</v>
          </cell>
          <cell r="D1391" t="str">
            <v>Al Erteqa'a Primary School</v>
          </cell>
          <cell r="H1391" t="str">
            <v>AD</v>
          </cell>
        </row>
        <row r="1392">
          <cell r="B1392" t="str">
            <v>Fire Smoke / Heat Detector, Sounder</v>
          </cell>
          <cell r="D1392" t="str">
            <v>Al Erteqa'a Primary School</v>
          </cell>
          <cell r="H1392" t="str">
            <v>AD</v>
          </cell>
        </row>
        <row r="1393">
          <cell r="B1393" t="str">
            <v>Fire Smoke / Heat Detector, Sounder</v>
          </cell>
          <cell r="D1393" t="str">
            <v>Al Erteqa'a Primary School</v>
          </cell>
          <cell r="H1393" t="str">
            <v>AD</v>
          </cell>
        </row>
        <row r="1394">
          <cell r="B1394" t="str">
            <v>Fire Smoke / Heat Detector, Sounder</v>
          </cell>
          <cell r="D1394" t="str">
            <v>Al Erteqa'a Primary School</v>
          </cell>
          <cell r="H1394" t="str">
            <v>AD</v>
          </cell>
        </row>
        <row r="1395">
          <cell r="B1395" t="str">
            <v>Fire Smoke / Heat Detector, Sounder</v>
          </cell>
          <cell r="D1395" t="str">
            <v>Al Erteqa'a Primary School</v>
          </cell>
          <cell r="H1395" t="str">
            <v>AD</v>
          </cell>
        </row>
        <row r="1396">
          <cell r="B1396" t="str">
            <v>Fire Smoke / Heat Detector, Sounder</v>
          </cell>
          <cell r="D1396" t="str">
            <v>Al Erteqa'a Primary School</v>
          </cell>
          <cell r="H1396" t="str">
            <v>AD</v>
          </cell>
        </row>
        <row r="1397">
          <cell r="B1397" t="str">
            <v>Fire Smoke / Heat Detector, Sounder</v>
          </cell>
          <cell r="D1397" t="str">
            <v>Al Erteqa'a Primary School</v>
          </cell>
          <cell r="H1397" t="str">
            <v>AD</v>
          </cell>
        </row>
        <row r="1398">
          <cell r="B1398" t="str">
            <v>Fire Smoke / Heat Detector, Sounder</v>
          </cell>
          <cell r="D1398" t="str">
            <v>Al Erteqa'a Primary School</v>
          </cell>
          <cell r="H1398" t="str">
            <v>AD</v>
          </cell>
        </row>
        <row r="1399">
          <cell r="B1399" t="str">
            <v>Fire Smoke / Heat Detector, Sounder</v>
          </cell>
          <cell r="D1399" t="str">
            <v>Al Erteqa'a Primary School</v>
          </cell>
          <cell r="H1399" t="str">
            <v>AD</v>
          </cell>
        </row>
        <row r="1400">
          <cell r="B1400" t="str">
            <v>Fire Smoke / Heat Detector, Sounder</v>
          </cell>
          <cell r="D1400" t="str">
            <v>Al Erteqa'a Primary School</v>
          </cell>
          <cell r="H1400" t="str">
            <v>AD</v>
          </cell>
        </row>
        <row r="1401">
          <cell r="B1401" t="str">
            <v>Fire Smoke / Heat Detector, Sounder</v>
          </cell>
          <cell r="D1401" t="str">
            <v>Al Erteqa'a Primary School</v>
          </cell>
          <cell r="H1401" t="str">
            <v>AD</v>
          </cell>
        </row>
        <row r="1402">
          <cell r="B1402" t="str">
            <v>Fire Smoke / Heat Detector, Sounder</v>
          </cell>
          <cell r="D1402" t="str">
            <v>Al Erteqa'a Primary School</v>
          </cell>
          <cell r="H1402" t="str">
            <v>AD</v>
          </cell>
        </row>
        <row r="1403">
          <cell r="B1403" t="str">
            <v>Fire Smoke / Heat Detector, Sounder</v>
          </cell>
          <cell r="D1403" t="str">
            <v>Al Erteqa'a Primary School</v>
          </cell>
          <cell r="H1403" t="str">
            <v>AD</v>
          </cell>
        </row>
        <row r="1404">
          <cell r="B1404" t="str">
            <v>Fire Smoke / Heat Detector, Sounder</v>
          </cell>
          <cell r="D1404" t="str">
            <v>Al Erteqa'a Primary School</v>
          </cell>
          <cell r="H1404" t="str">
            <v>AD</v>
          </cell>
        </row>
        <row r="1405">
          <cell r="B1405" t="str">
            <v>Fire Smoke / Heat Detector, Sounder</v>
          </cell>
          <cell r="D1405" t="str">
            <v>Al Erteqa'a Primary School</v>
          </cell>
          <cell r="H1405" t="str">
            <v>AD</v>
          </cell>
        </row>
        <row r="1406">
          <cell r="B1406" t="str">
            <v>Fire Smoke / Heat Detector, Sounder</v>
          </cell>
          <cell r="D1406" t="str">
            <v>Al Erteqa'a Primary School</v>
          </cell>
          <cell r="H1406" t="str">
            <v>AD</v>
          </cell>
        </row>
        <row r="1407">
          <cell r="B1407" t="str">
            <v>Fire Smoke / Heat Detector, Sounder</v>
          </cell>
          <cell r="D1407" t="str">
            <v>Al Erteqa'a Primary School</v>
          </cell>
          <cell r="H1407" t="str">
            <v>AD</v>
          </cell>
        </row>
        <row r="1408">
          <cell r="B1408" t="str">
            <v>Fire Smoke / Heat Detector, Sounder</v>
          </cell>
          <cell r="D1408" t="str">
            <v>Al Erteqa'a Primary School</v>
          </cell>
          <cell r="H1408" t="str">
            <v>AD</v>
          </cell>
        </row>
        <row r="1409">
          <cell r="B1409" t="str">
            <v>Fire Smoke / Heat Detector, Sounder</v>
          </cell>
          <cell r="D1409" t="str">
            <v>Al Erteqa'a Primary School</v>
          </cell>
          <cell r="H1409" t="str">
            <v>AD</v>
          </cell>
        </row>
        <row r="1410">
          <cell r="B1410" t="str">
            <v>Fire Smoke / Heat Detector, Sounder</v>
          </cell>
          <cell r="D1410" t="str">
            <v>Al Erteqa'a Primary School</v>
          </cell>
          <cell r="H1410" t="str">
            <v>AD</v>
          </cell>
        </row>
        <row r="1411">
          <cell r="B1411" t="str">
            <v>Fire Smoke / Heat Detector, Sounder</v>
          </cell>
          <cell r="D1411" t="str">
            <v>Al Erteqa'a Primary School</v>
          </cell>
          <cell r="H1411" t="str">
            <v>AD</v>
          </cell>
        </row>
        <row r="1412">
          <cell r="B1412" t="str">
            <v>Fire Smoke / Heat Detector, Sounder</v>
          </cell>
          <cell r="D1412" t="str">
            <v>Al Erteqa'a Primary School</v>
          </cell>
          <cell r="H1412" t="str">
            <v>AD</v>
          </cell>
        </row>
        <row r="1413">
          <cell r="B1413" t="str">
            <v>Fire Smoke / Heat Detector, Sounder</v>
          </cell>
          <cell r="D1413" t="str">
            <v>Al Erteqa'a Primary School</v>
          </cell>
          <cell r="H1413" t="str">
            <v>AD</v>
          </cell>
        </row>
        <row r="1414">
          <cell r="B1414" t="str">
            <v>Fire Smoke / Heat Detector, Sounder</v>
          </cell>
          <cell r="D1414" t="str">
            <v>Al Erteqa'a Primary School</v>
          </cell>
          <cell r="H1414" t="str">
            <v>AD</v>
          </cell>
        </row>
        <row r="1415">
          <cell r="B1415" t="str">
            <v>Fire Smoke / Heat Detector, Sounder</v>
          </cell>
          <cell r="D1415" t="str">
            <v>Al Erteqa'a Primary School</v>
          </cell>
          <cell r="H1415" t="str">
            <v>AD</v>
          </cell>
        </row>
        <row r="1416">
          <cell r="B1416" t="str">
            <v>Fire Smoke / Heat Detector, Sounder</v>
          </cell>
          <cell r="D1416" t="str">
            <v>Al Erteqa'a Primary School</v>
          </cell>
          <cell r="H1416" t="str">
            <v>AD</v>
          </cell>
        </row>
        <row r="1417">
          <cell r="B1417" t="str">
            <v>Fire Smoke / Heat Detector, Sounder</v>
          </cell>
          <cell r="D1417" t="str">
            <v>Al Erteqa'a Primary School</v>
          </cell>
          <cell r="H1417" t="str">
            <v>AD</v>
          </cell>
        </row>
        <row r="1418">
          <cell r="B1418" t="str">
            <v>Fire Smoke / Heat Detector, Sounder</v>
          </cell>
          <cell r="D1418" t="str">
            <v>Al Erteqa'a Primary School</v>
          </cell>
          <cell r="H1418" t="str">
            <v>AD</v>
          </cell>
        </row>
        <row r="1419">
          <cell r="B1419" t="str">
            <v>Fire Smoke / Heat Detector, Sounder</v>
          </cell>
          <cell r="D1419" t="str">
            <v>Al Erteqa'a Primary School</v>
          </cell>
          <cell r="H1419" t="str">
            <v>AD</v>
          </cell>
        </row>
        <row r="1420">
          <cell r="B1420" t="str">
            <v>Fire Smoke / Heat Detector, Sounder</v>
          </cell>
          <cell r="D1420" t="str">
            <v>Al Erteqa'a Primary School</v>
          </cell>
          <cell r="H1420" t="str">
            <v>AD</v>
          </cell>
        </row>
        <row r="1421">
          <cell r="B1421" t="str">
            <v>Fire Smoke / Heat Detector, Sounder</v>
          </cell>
          <cell r="D1421" t="str">
            <v>Al Erteqa'a Primary School</v>
          </cell>
          <cell r="H1421" t="str">
            <v>AD</v>
          </cell>
        </row>
        <row r="1422">
          <cell r="B1422" t="str">
            <v>Fire Smoke / Heat Detector, Sounder</v>
          </cell>
          <cell r="D1422" t="str">
            <v>Al Erteqa'a Primary School</v>
          </cell>
          <cell r="H1422" t="str">
            <v>AD</v>
          </cell>
        </row>
        <row r="1423">
          <cell r="B1423" t="str">
            <v>Fire Smoke / Heat Detector, Sounder</v>
          </cell>
          <cell r="D1423" t="str">
            <v>Al Erteqa'a Primary School</v>
          </cell>
          <cell r="H1423" t="str">
            <v>AD</v>
          </cell>
        </row>
        <row r="1424">
          <cell r="B1424" t="str">
            <v>Fire Smoke / Heat Detector, Sounder</v>
          </cell>
          <cell r="D1424" t="str">
            <v>Al Erteqa'a Primary School</v>
          </cell>
          <cell r="H1424" t="str">
            <v>AD</v>
          </cell>
        </row>
        <row r="1425">
          <cell r="B1425" t="str">
            <v>Fire Smoke / Heat Detector, Sounder</v>
          </cell>
          <cell r="D1425" t="str">
            <v>Al Erteqa'a Primary School</v>
          </cell>
          <cell r="H1425" t="str">
            <v>AD</v>
          </cell>
        </row>
        <row r="1426">
          <cell r="B1426" t="str">
            <v>Fire Smoke / Heat Detector, Sounder</v>
          </cell>
          <cell r="D1426" t="str">
            <v>Al Erteqa'a Primary School</v>
          </cell>
          <cell r="H1426" t="str">
            <v>AD</v>
          </cell>
        </row>
        <row r="1427">
          <cell r="B1427" t="str">
            <v>Fire Smoke / Heat Detector, Sounder</v>
          </cell>
          <cell r="D1427" t="str">
            <v>Al Erteqa'a Primary School</v>
          </cell>
          <cell r="H1427" t="str">
            <v>AD</v>
          </cell>
        </row>
        <row r="1428">
          <cell r="B1428" t="str">
            <v>Fire Smoke / Heat Detector, Sounder</v>
          </cell>
          <cell r="D1428" t="str">
            <v>Al Erteqa'a Primary School</v>
          </cell>
          <cell r="H1428" t="str">
            <v>AD</v>
          </cell>
        </row>
        <row r="1429">
          <cell r="B1429" t="str">
            <v>Fire Smoke / Heat Detector, Sounder</v>
          </cell>
          <cell r="D1429" t="str">
            <v>Al Erteqa'a Primary School</v>
          </cell>
          <cell r="H1429" t="str">
            <v>AD</v>
          </cell>
        </row>
        <row r="1430">
          <cell r="B1430" t="str">
            <v>Fire Smoke / Heat Detector, Sounder</v>
          </cell>
          <cell r="D1430" t="str">
            <v>Al Erteqa'a Primary School</v>
          </cell>
          <cell r="H1430" t="str">
            <v>AD</v>
          </cell>
        </row>
        <row r="1431">
          <cell r="B1431" t="str">
            <v>Fire Smoke / Heat Detector, Sounder</v>
          </cell>
          <cell r="D1431" t="str">
            <v>Al Erteqa'a Primary School</v>
          </cell>
          <cell r="H1431" t="str">
            <v>AD</v>
          </cell>
        </row>
        <row r="1432">
          <cell r="B1432" t="str">
            <v>Fire Smoke / Heat Detector, Sounder</v>
          </cell>
          <cell r="D1432" t="str">
            <v>Al Erteqa'a Primary School</v>
          </cell>
          <cell r="H1432" t="str">
            <v>AD</v>
          </cell>
        </row>
        <row r="1433">
          <cell r="B1433" t="str">
            <v>Fire Smoke / Heat Detector, Sounder</v>
          </cell>
          <cell r="D1433" t="str">
            <v>Al Erteqa'a Primary School</v>
          </cell>
          <cell r="H1433" t="str">
            <v>AD</v>
          </cell>
        </row>
        <row r="1434">
          <cell r="B1434" t="str">
            <v>Fire Smoke / Heat Detector, Sounder</v>
          </cell>
          <cell r="D1434" t="str">
            <v>Al Erteqa'a Primary School</v>
          </cell>
          <cell r="H1434" t="str">
            <v>AD</v>
          </cell>
        </row>
        <row r="1435">
          <cell r="B1435" t="str">
            <v>Fire Smoke / Heat Detector, Sounder</v>
          </cell>
          <cell r="D1435" t="str">
            <v>Al Erteqa'a Primary School</v>
          </cell>
          <cell r="H1435" t="str">
            <v>AD</v>
          </cell>
        </row>
        <row r="1436">
          <cell r="B1436" t="str">
            <v>Fire Smoke / Heat Detector, Sounder</v>
          </cell>
          <cell r="D1436" t="str">
            <v>Al Erteqa'a Primary School</v>
          </cell>
          <cell r="H1436" t="str">
            <v>AD</v>
          </cell>
        </row>
        <row r="1437">
          <cell r="B1437" t="str">
            <v>Fire Smoke / Heat Detector, Sounder</v>
          </cell>
          <cell r="D1437" t="str">
            <v>Al Erteqa'a Primary School</v>
          </cell>
          <cell r="H1437" t="str">
            <v>AD</v>
          </cell>
        </row>
        <row r="1438">
          <cell r="B1438" t="str">
            <v>Fire Smoke / Heat Detector, Sounder</v>
          </cell>
          <cell r="D1438" t="str">
            <v>Al Erteqa'a Primary School</v>
          </cell>
          <cell r="H1438" t="str">
            <v>AD</v>
          </cell>
        </row>
        <row r="1439">
          <cell r="B1439" t="str">
            <v>Fire Smoke / Heat Detector, Sounder</v>
          </cell>
          <cell r="D1439" t="str">
            <v>Al Erteqa'a Primary School</v>
          </cell>
          <cell r="H1439" t="str">
            <v>AD</v>
          </cell>
        </row>
        <row r="1440">
          <cell r="B1440" t="str">
            <v>Fire Smoke / Heat Detector, Sounder</v>
          </cell>
          <cell r="D1440" t="str">
            <v>Al Erteqa'a Primary School</v>
          </cell>
          <cell r="H1440" t="str">
            <v>AD</v>
          </cell>
        </row>
        <row r="1441">
          <cell r="B1441" t="str">
            <v>Fire Smoke / Heat Detector, Sounder</v>
          </cell>
          <cell r="D1441" t="str">
            <v>Al Erteqa'a Primary School</v>
          </cell>
          <cell r="H1441" t="str">
            <v>AD</v>
          </cell>
        </row>
        <row r="1442">
          <cell r="B1442" t="str">
            <v>Fire Smoke / Heat Detector, Sounder</v>
          </cell>
          <cell r="D1442" t="str">
            <v>Al Erteqa'a Primary School</v>
          </cell>
          <cell r="H1442" t="str">
            <v>AD</v>
          </cell>
        </row>
        <row r="1443">
          <cell r="B1443" t="str">
            <v>Fire Smoke / Heat Detector, Sounder</v>
          </cell>
          <cell r="D1443" t="str">
            <v>Al Erteqa'a Primary School</v>
          </cell>
          <cell r="H1443" t="str">
            <v>AD</v>
          </cell>
        </row>
        <row r="1444">
          <cell r="B1444" t="str">
            <v>Fire Smoke / Heat Detector, Sounder</v>
          </cell>
          <cell r="D1444" t="str">
            <v>Al Erteqa'a Primary School</v>
          </cell>
          <cell r="H1444" t="str">
            <v>AD</v>
          </cell>
        </row>
        <row r="1445">
          <cell r="B1445" t="str">
            <v>Fire Smoke / Heat Detector, Sounder</v>
          </cell>
          <cell r="D1445" t="str">
            <v>Al Erteqa'a Primary School</v>
          </cell>
          <cell r="H1445" t="str">
            <v>AD</v>
          </cell>
        </row>
        <row r="1446">
          <cell r="B1446" t="str">
            <v>Fire Smoke / Heat Detector, Sounder</v>
          </cell>
          <cell r="D1446" t="str">
            <v>Al Erteqa'a Primary School</v>
          </cell>
          <cell r="H1446" t="str">
            <v>AD</v>
          </cell>
        </row>
        <row r="1447">
          <cell r="B1447" t="str">
            <v>Intercom System</v>
          </cell>
          <cell r="D1447" t="str">
            <v>Al Erteqa'a Primary School</v>
          </cell>
          <cell r="H1447" t="str">
            <v>AD</v>
          </cell>
        </row>
        <row r="1448">
          <cell r="B1448" t="str">
            <v>Fire Alarm Break Glass Call Point</v>
          </cell>
          <cell r="D1448" t="str">
            <v>Al Falah KG</v>
          </cell>
          <cell r="H1448" t="str">
            <v>AD</v>
          </cell>
        </row>
        <row r="1449">
          <cell r="B1449" t="str">
            <v>Fire Alarm Break Glass Call Point</v>
          </cell>
          <cell r="D1449" t="str">
            <v>Al Falah KG</v>
          </cell>
          <cell r="H1449" t="str">
            <v>AD</v>
          </cell>
        </row>
        <row r="1450">
          <cell r="B1450" t="str">
            <v>Fire Alarm Break Glass Call Point</v>
          </cell>
          <cell r="D1450" t="str">
            <v>Al Falah KG</v>
          </cell>
          <cell r="H1450" t="str">
            <v>AD</v>
          </cell>
        </row>
        <row r="1451">
          <cell r="B1451" t="str">
            <v>Fire Alarm Break Glass Call Point</v>
          </cell>
          <cell r="D1451" t="str">
            <v>Al Falah KG</v>
          </cell>
          <cell r="H1451" t="str">
            <v>AD</v>
          </cell>
        </row>
        <row r="1452">
          <cell r="B1452" t="str">
            <v>Fire Alarm Panel</v>
          </cell>
          <cell r="D1452" t="str">
            <v>Al Falah KG</v>
          </cell>
          <cell r="H1452" t="str">
            <v>AD</v>
          </cell>
        </row>
        <row r="1453">
          <cell r="B1453" t="str">
            <v>Fire Alarm Panel</v>
          </cell>
          <cell r="D1453" t="str">
            <v>Al Falah KG</v>
          </cell>
          <cell r="H1453" t="str">
            <v>AD</v>
          </cell>
        </row>
        <row r="1454">
          <cell r="B1454" t="str">
            <v>Fire Alarm Sounder, Bell, Light</v>
          </cell>
          <cell r="D1454" t="str">
            <v>Al Falah KG</v>
          </cell>
          <cell r="H1454" t="str">
            <v>AD</v>
          </cell>
        </row>
        <row r="1455">
          <cell r="B1455" t="str">
            <v>Fire Alarm Sounder, Bell, Light</v>
          </cell>
          <cell r="D1455" t="str">
            <v>Al Falah KG</v>
          </cell>
          <cell r="H1455" t="str">
            <v>AD</v>
          </cell>
        </row>
        <row r="1456">
          <cell r="B1456" t="str">
            <v>Fire Alarm Sounder, Bell, Light</v>
          </cell>
          <cell r="D1456" t="str">
            <v>Al Falah KG</v>
          </cell>
          <cell r="H1456" t="str">
            <v>AD</v>
          </cell>
        </row>
        <row r="1457">
          <cell r="B1457" t="str">
            <v>Fire Alarm Sounder, Bell, Light</v>
          </cell>
          <cell r="D1457" t="str">
            <v>Al Falah KG</v>
          </cell>
          <cell r="H1457" t="str">
            <v>AD</v>
          </cell>
        </row>
        <row r="1458">
          <cell r="B1458" t="str">
            <v>Fire Alarm Sounder, Bell, Light</v>
          </cell>
          <cell r="D1458" t="str">
            <v>Al Falah KG</v>
          </cell>
          <cell r="H1458" t="str">
            <v>AD</v>
          </cell>
        </row>
        <row r="1459">
          <cell r="B1459" t="str">
            <v>Fire Alarm Sounder, Bell, Light</v>
          </cell>
          <cell r="D1459" t="str">
            <v>Al Falah KG</v>
          </cell>
          <cell r="H1459" t="str">
            <v>AD</v>
          </cell>
        </row>
        <row r="1460">
          <cell r="B1460" t="str">
            <v>Fire Alarm Sounder, Bell, Light</v>
          </cell>
          <cell r="D1460" t="str">
            <v>Al Falah KG</v>
          </cell>
          <cell r="H1460" t="str">
            <v>AD</v>
          </cell>
        </row>
        <row r="1461">
          <cell r="B1461" t="str">
            <v>Fire Alarm Sounder, Bell, Light</v>
          </cell>
          <cell r="D1461" t="str">
            <v>Al Falah KG</v>
          </cell>
          <cell r="H1461" t="str">
            <v>AD</v>
          </cell>
        </row>
        <row r="1462">
          <cell r="B1462" t="str">
            <v>Fire Extinguisher</v>
          </cell>
          <cell r="D1462" t="str">
            <v>Al Falah KG</v>
          </cell>
          <cell r="H1462" t="str">
            <v>AD</v>
          </cell>
        </row>
        <row r="1463">
          <cell r="B1463" t="str">
            <v>Fire Extinguisher</v>
          </cell>
          <cell r="D1463" t="str">
            <v>Al Falah KG</v>
          </cell>
          <cell r="H1463" t="str">
            <v>AD</v>
          </cell>
        </row>
        <row r="1464">
          <cell r="B1464" t="str">
            <v>Fire Extinguisher</v>
          </cell>
          <cell r="D1464" t="str">
            <v>Al Falah KG</v>
          </cell>
          <cell r="H1464" t="str">
            <v>AD</v>
          </cell>
        </row>
        <row r="1465">
          <cell r="B1465" t="str">
            <v>Fire Extinguisher</v>
          </cell>
          <cell r="D1465" t="str">
            <v>Al Falah KG</v>
          </cell>
          <cell r="H1465" t="str">
            <v>AD</v>
          </cell>
        </row>
        <row r="1466">
          <cell r="B1466" t="str">
            <v>Fire Extinguisher</v>
          </cell>
          <cell r="D1466" t="str">
            <v>Al Falah KG</v>
          </cell>
          <cell r="H1466" t="str">
            <v>AD</v>
          </cell>
        </row>
        <row r="1467">
          <cell r="B1467" t="str">
            <v>Fire Extinguisher</v>
          </cell>
          <cell r="D1467" t="str">
            <v>Al Falah KG</v>
          </cell>
          <cell r="H1467" t="str">
            <v>AD</v>
          </cell>
        </row>
        <row r="1468">
          <cell r="B1468" t="str">
            <v>Fire Extinguisher</v>
          </cell>
          <cell r="D1468" t="str">
            <v>Al Falah KG</v>
          </cell>
          <cell r="H1468" t="str">
            <v>AD</v>
          </cell>
        </row>
        <row r="1469">
          <cell r="B1469" t="str">
            <v>Fire Extinguisher</v>
          </cell>
          <cell r="D1469" t="str">
            <v>Al Falah KG</v>
          </cell>
          <cell r="H1469" t="str">
            <v>AD</v>
          </cell>
        </row>
        <row r="1470">
          <cell r="B1470" t="str">
            <v>Fire Extinguisher</v>
          </cell>
          <cell r="D1470" t="str">
            <v>Al Falah KG</v>
          </cell>
          <cell r="H1470" t="str">
            <v>AD</v>
          </cell>
        </row>
        <row r="1471">
          <cell r="B1471" t="str">
            <v>Fire Extinguisher</v>
          </cell>
          <cell r="D1471" t="str">
            <v>Al Falah KG</v>
          </cell>
          <cell r="H1471" t="str">
            <v>AD</v>
          </cell>
        </row>
        <row r="1472">
          <cell r="B1472" t="str">
            <v>Fire Extinguisher</v>
          </cell>
          <cell r="D1472" t="str">
            <v>Al Falah KG</v>
          </cell>
          <cell r="H1472" t="str">
            <v>AD</v>
          </cell>
        </row>
        <row r="1473">
          <cell r="B1473" t="str">
            <v>Fire Hose Reel</v>
          </cell>
          <cell r="D1473" t="str">
            <v>Al Falah KG</v>
          </cell>
          <cell r="H1473" t="str">
            <v>AD</v>
          </cell>
        </row>
        <row r="1474">
          <cell r="B1474" t="str">
            <v>FIRE PUMP - Electric</v>
          </cell>
          <cell r="D1474" t="str">
            <v>Al Falah KG</v>
          </cell>
          <cell r="H1474" t="str">
            <v>AD</v>
          </cell>
        </row>
        <row r="1475">
          <cell r="B1475" t="str">
            <v>FIRE PUMP - Electric</v>
          </cell>
          <cell r="D1475" t="str">
            <v>Al Falah KG</v>
          </cell>
          <cell r="H1475" t="str">
            <v>AD</v>
          </cell>
        </row>
        <row r="1476">
          <cell r="B1476" t="str">
            <v>Fire Smoke / Heat Detector, Sounder</v>
          </cell>
          <cell r="D1476" t="str">
            <v>Al Falah KG</v>
          </cell>
          <cell r="H1476" t="str">
            <v>AD</v>
          </cell>
        </row>
        <row r="1477">
          <cell r="B1477" t="str">
            <v>Fire Smoke / Heat Detector, Sounder</v>
          </cell>
          <cell r="D1477" t="str">
            <v>Al Falah KG</v>
          </cell>
          <cell r="H1477" t="str">
            <v>AD</v>
          </cell>
        </row>
        <row r="1478">
          <cell r="B1478" t="str">
            <v>Fire Smoke / Heat Detector, Sounder</v>
          </cell>
          <cell r="D1478" t="str">
            <v>Al Falah KG</v>
          </cell>
          <cell r="H1478" t="str">
            <v>AD</v>
          </cell>
        </row>
        <row r="1479">
          <cell r="B1479" t="str">
            <v>Fire Smoke / Heat Detector, Sounder</v>
          </cell>
          <cell r="D1479" t="str">
            <v>Al Falah KG</v>
          </cell>
          <cell r="H1479" t="str">
            <v>AD</v>
          </cell>
        </row>
        <row r="1480">
          <cell r="B1480" t="str">
            <v>Fire Smoke / Heat Detector, Sounder</v>
          </cell>
          <cell r="D1480" t="str">
            <v>Al Falah KG</v>
          </cell>
          <cell r="H1480" t="str">
            <v>AD</v>
          </cell>
        </row>
        <row r="1481">
          <cell r="B1481" t="str">
            <v>Fire Smoke / Heat Detector, Sounder</v>
          </cell>
          <cell r="D1481" t="str">
            <v>Al Falah KG</v>
          </cell>
          <cell r="H1481" t="str">
            <v>AD</v>
          </cell>
        </row>
        <row r="1482">
          <cell r="B1482" t="str">
            <v>Fire Smoke / Heat Detector, Sounder</v>
          </cell>
          <cell r="D1482" t="str">
            <v>Al Falah KG</v>
          </cell>
          <cell r="H1482" t="str">
            <v>AD</v>
          </cell>
        </row>
        <row r="1483">
          <cell r="B1483" t="str">
            <v>Fire Smoke / Heat Detector, Sounder</v>
          </cell>
          <cell r="D1483" t="str">
            <v>Al Falah KG</v>
          </cell>
          <cell r="H1483" t="str">
            <v>AD</v>
          </cell>
        </row>
        <row r="1484">
          <cell r="B1484" t="str">
            <v>Fire Smoke / Heat Detector, Sounder</v>
          </cell>
          <cell r="D1484" t="str">
            <v>Al Falah KG</v>
          </cell>
          <cell r="H1484" t="str">
            <v>AD</v>
          </cell>
        </row>
        <row r="1485">
          <cell r="B1485" t="str">
            <v>Fire Smoke / Heat Detector, Sounder</v>
          </cell>
          <cell r="D1485" t="str">
            <v>Al Falah KG</v>
          </cell>
          <cell r="H1485" t="str">
            <v>AD</v>
          </cell>
        </row>
        <row r="1486">
          <cell r="B1486" t="str">
            <v>Fire Smoke / Heat Detector, Sounder</v>
          </cell>
          <cell r="D1486" t="str">
            <v>Al Falah KG</v>
          </cell>
          <cell r="H1486" t="str">
            <v>AD</v>
          </cell>
        </row>
        <row r="1487">
          <cell r="B1487" t="str">
            <v>Fire Smoke / Heat Detector, Sounder</v>
          </cell>
          <cell r="D1487" t="str">
            <v>Al Falah KG</v>
          </cell>
          <cell r="H1487" t="str">
            <v>AD</v>
          </cell>
        </row>
        <row r="1488">
          <cell r="B1488" t="str">
            <v>Fire Smoke / Heat Detector, Sounder</v>
          </cell>
          <cell r="D1488" t="str">
            <v>Al Falah KG</v>
          </cell>
          <cell r="H1488" t="str">
            <v>AD</v>
          </cell>
        </row>
        <row r="1489">
          <cell r="B1489" t="str">
            <v>Fire Smoke / Heat Detector, Sounder</v>
          </cell>
          <cell r="D1489" t="str">
            <v>Al Falah KG</v>
          </cell>
          <cell r="H1489" t="str">
            <v>AD</v>
          </cell>
        </row>
        <row r="1490">
          <cell r="B1490" t="str">
            <v>Fire Smoke / Heat Detector, Sounder</v>
          </cell>
          <cell r="D1490" t="str">
            <v>Al Falah KG</v>
          </cell>
          <cell r="H1490" t="str">
            <v>AD</v>
          </cell>
        </row>
        <row r="1491">
          <cell r="B1491" t="str">
            <v>Fire Smoke / Heat Detector, Sounder</v>
          </cell>
          <cell r="D1491" t="str">
            <v>Al Falah KG</v>
          </cell>
          <cell r="H1491" t="str">
            <v>AD</v>
          </cell>
        </row>
        <row r="1492">
          <cell r="B1492" t="str">
            <v>Fire Smoke / Heat Detector, Sounder</v>
          </cell>
          <cell r="D1492" t="str">
            <v>Al Falah KG</v>
          </cell>
          <cell r="H1492" t="str">
            <v>AD</v>
          </cell>
        </row>
        <row r="1493">
          <cell r="B1493" t="str">
            <v>Fire Smoke / Heat Detector, Sounder</v>
          </cell>
          <cell r="D1493" t="str">
            <v>Al Falah KG</v>
          </cell>
          <cell r="H1493" t="str">
            <v>AD</v>
          </cell>
        </row>
        <row r="1494">
          <cell r="B1494" t="str">
            <v>Fire Smoke / Heat Detector, Sounder</v>
          </cell>
          <cell r="D1494" t="str">
            <v>Al Falah KG</v>
          </cell>
          <cell r="H1494" t="str">
            <v>AD</v>
          </cell>
        </row>
        <row r="1495">
          <cell r="B1495" t="str">
            <v>Fire Smoke / Heat Detector, Sounder</v>
          </cell>
          <cell r="D1495" t="str">
            <v>Al Falah KG</v>
          </cell>
          <cell r="H1495" t="str">
            <v>AD</v>
          </cell>
        </row>
        <row r="1496">
          <cell r="B1496" t="str">
            <v>Fire Smoke / Heat Detector, Sounder</v>
          </cell>
          <cell r="D1496" t="str">
            <v>Al Falah KG</v>
          </cell>
          <cell r="H1496" t="str">
            <v>AD</v>
          </cell>
        </row>
        <row r="1497">
          <cell r="B1497" t="str">
            <v>Fire Smoke / Heat Detector, Sounder</v>
          </cell>
          <cell r="D1497" t="str">
            <v>Al Falah KG</v>
          </cell>
          <cell r="H1497" t="str">
            <v>AD</v>
          </cell>
        </row>
        <row r="1498">
          <cell r="B1498" t="str">
            <v>Fire Smoke / Heat Detector, Sounder</v>
          </cell>
          <cell r="D1498" t="str">
            <v>Al Falah KG</v>
          </cell>
          <cell r="H1498" t="str">
            <v>AD</v>
          </cell>
        </row>
        <row r="1499">
          <cell r="B1499" t="str">
            <v>Fire Smoke / Heat Detector, Sounder</v>
          </cell>
          <cell r="D1499" t="str">
            <v>Al Falah KG</v>
          </cell>
          <cell r="H1499" t="str">
            <v>AD</v>
          </cell>
        </row>
        <row r="1500">
          <cell r="B1500" t="str">
            <v>Fire Smoke / Heat Detector, Sounder</v>
          </cell>
          <cell r="D1500" t="str">
            <v>Al Falah KG</v>
          </cell>
          <cell r="H1500" t="str">
            <v>AD</v>
          </cell>
        </row>
        <row r="1501">
          <cell r="B1501" t="str">
            <v>Fire Smoke / Heat Detector, Sounder</v>
          </cell>
          <cell r="D1501" t="str">
            <v>Al Falah KG</v>
          </cell>
          <cell r="H1501" t="str">
            <v>AD</v>
          </cell>
        </row>
        <row r="1502">
          <cell r="B1502" t="str">
            <v>Fire Smoke / Heat Detector, Sounder</v>
          </cell>
          <cell r="D1502" t="str">
            <v>Al Falah KG</v>
          </cell>
          <cell r="H1502" t="str">
            <v>AD</v>
          </cell>
        </row>
        <row r="1503">
          <cell r="B1503" t="str">
            <v>Fire Smoke / Heat Detector, Sounder</v>
          </cell>
          <cell r="D1503" t="str">
            <v>Al Falah KG</v>
          </cell>
          <cell r="H1503" t="str">
            <v>AD</v>
          </cell>
        </row>
        <row r="1504">
          <cell r="B1504" t="str">
            <v>Fire Smoke / Heat Detector, Sounder</v>
          </cell>
          <cell r="D1504" t="str">
            <v>Al Falah KG</v>
          </cell>
          <cell r="H1504" t="str">
            <v>AD</v>
          </cell>
        </row>
        <row r="1505">
          <cell r="B1505" t="str">
            <v>Intercom System</v>
          </cell>
          <cell r="D1505" t="str">
            <v>Al Falah KG</v>
          </cell>
          <cell r="H1505" t="str">
            <v>AD</v>
          </cell>
        </row>
        <row r="1506">
          <cell r="B1506" t="str">
            <v>Intercom System</v>
          </cell>
          <cell r="D1506" t="str">
            <v>Al Falah KG</v>
          </cell>
          <cell r="H1506" t="str">
            <v>AD</v>
          </cell>
        </row>
        <row r="1507">
          <cell r="B1507" t="str">
            <v>Intercom System</v>
          </cell>
          <cell r="D1507" t="str">
            <v>Al Falah KG</v>
          </cell>
          <cell r="H1507" t="str">
            <v>AD</v>
          </cell>
        </row>
        <row r="1508">
          <cell r="B1508" t="str">
            <v>Intercom System</v>
          </cell>
          <cell r="D1508" t="str">
            <v>Al Falah KG</v>
          </cell>
          <cell r="H1508" t="str">
            <v>AD</v>
          </cell>
        </row>
        <row r="1509">
          <cell r="B1509" t="str">
            <v>Irrigation System</v>
          </cell>
          <cell r="D1509" t="str">
            <v>Al Falah KG</v>
          </cell>
          <cell r="H1509" t="str">
            <v>AD</v>
          </cell>
        </row>
        <row r="1510">
          <cell r="B1510" t="str">
            <v>Irrigation System</v>
          </cell>
          <cell r="D1510" t="str">
            <v>Al Falah KG</v>
          </cell>
          <cell r="H1510" t="str">
            <v>AD</v>
          </cell>
        </row>
        <row r="1511">
          <cell r="B1511" t="str">
            <v>Fire Alarm Panel</v>
          </cell>
          <cell r="D1511" t="str">
            <v>Al Farooq School</v>
          </cell>
          <cell r="H1511" t="str">
            <v>WR</v>
          </cell>
        </row>
        <row r="1512">
          <cell r="B1512" t="str">
            <v>Fire Alarm Panel</v>
          </cell>
          <cell r="D1512" t="str">
            <v>Al Farooq School</v>
          </cell>
          <cell r="H1512" t="str">
            <v>WR</v>
          </cell>
        </row>
        <row r="1513">
          <cell r="B1513" t="str">
            <v>Fire Extinguisher - C02</v>
          </cell>
          <cell r="D1513" t="str">
            <v>Al Farooq School</v>
          </cell>
          <cell r="H1513" t="str">
            <v>WR</v>
          </cell>
        </row>
        <row r="1514">
          <cell r="B1514" t="str">
            <v>Fire Extinguisher - C02</v>
          </cell>
          <cell r="D1514" t="str">
            <v>Al Farooq School</v>
          </cell>
          <cell r="H1514" t="str">
            <v>WR</v>
          </cell>
        </row>
        <row r="1515">
          <cell r="B1515" t="str">
            <v>Fire Extinguisher - C02</v>
          </cell>
          <cell r="D1515" t="str">
            <v>Al Farooq School</v>
          </cell>
          <cell r="H1515" t="str">
            <v>WR</v>
          </cell>
        </row>
        <row r="1516">
          <cell r="B1516" t="str">
            <v>Fire Extinguisher - C02</v>
          </cell>
          <cell r="D1516" t="str">
            <v>Al Farooq School</v>
          </cell>
          <cell r="H1516" t="str">
            <v>WR</v>
          </cell>
        </row>
        <row r="1517">
          <cell r="B1517" t="str">
            <v>Fire Extinguisher - C02</v>
          </cell>
          <cell r="D1517" t="str">
            <v>Al Farooq School</v>
          </cell>
          <cell r="H1517" t="str">
            <v>WR</v>
          </cell>
        </row>
        <row r="1518">
          <cell r="B1518" t="str">
            <v>Fire Extinguisher - C02</v>
          </cell>
          <cell r="D1518" t="str">
            <v>Al Farooq School</v>
          </cell>
          <cell r="H1518" t="str">
            <v>WR</v>
          </cell>
        </row>
        <row r="1519">
          <cell r="B1519" t="str">
            <v>Fire Extinguisher - C02</v>
          </cell>
          <cell r="D1519" t="str">
            <v>Al Farooq School</v>
          </cell>
          <cell r="H1519" t="str">
            <v>WR</v>
          </cell>
        </row>
        <row r="1520">
          <cell r="B1520" t="str">
            <v>Fire Extinguisher - C02</v>
          </cell>
          <cell r="D1520" t="str">
            <v>Al Farooq School</v>
          </cell>
          <cell r="H1520" t="str">
            <v>WR</v>
          </cell>
        </row>
        <row r="1521">
          <cell r="B1521" t="str">
            <v>Fire Extinguisher - C02</v>
          </cell>
          <cell r="D1521" t="str">
            <v>Al Farooq School</v>
          </cell>
          <cell r="H1521" t="str">
            <v>WR</v>
          </cell>
        </row>
        <row r="1522">
          <cell r="B1522" t="str">
            <v>Fire Extinguisher - C02</v>
          </cell>
          <cell r="D1522" t="str">
            <v>Al Farooq School</v>
          </cell>
          <cell r="H1522" t="str">
            <v>WR</v>
          </cell>
        </row>
        <row r="1523">
          <cell r="B1523" t="str">
            <v>Fire Extinguisher - C02</v>
          </cell>
          <cell r="D1523" t="str">
            <v>Al Farooq School</v>
          </cell>
          <cell r="H1523" t="str">
            <v>WR</v>
          </cell>
        </row>
        <row r="1524">
          <cell r="B1524" t="str">
            <v>Fire Extinguisher - C02</v>
          </cell>
          <cell r="D1524" t="str">
            <v>Al Farooq School</v>
          </cell>
          <cell r="H1524" t="str">
            <v>WR</v>
          </cell>
        </row>
        <row r="1525">
          <cell r="B1525" t="str">
            <v>Fire Extinguisher - C02</v>
          </cell>
          <cell r="D1525" t="str">
            <v>Al Farooq School</v>
          </cell>
          <cell r="H1525" t="str">
            <v>WR</v>
          </cell>
        </row>
        <row r="1526">
          <cell r="B1526" t="str">
            <v>Fire Extinguisher - Dry</v>
          </cell>
          <cell r="D1526" t="str">
            <v>Al Farooq School</v>
          </cell>
          <cell r="H1526" t="str">
            <v>WR</v>
          </cell>
        </row>
        <row r="1527">
          <cell r="B1527" t="str">
            <v>Fire Extinguisher - Dry</v>
          </cell>
          <cell r="D1527" t="str">
            <v>Al Farooq School</v>
          </cell>
          <cell r="H1527" t="str">
            <v>WR</v>
          </cell>
        </row>
        <row r="1528">
          <cell r="B1528" t="str">
            <v>Fire Extinguisher - Dry</v>
          </cell>
          <cell r="D1528" t="str">
            <v>Al Farooq School</v>
          </cell>
          <cell r="H1528" t="str">
            <v>WR</v>
          </cell>
        </row>
        <row r="1529">
          <cell r="B1529" t="str">
            <v>Fire Extinguisher - Dry</v>
          </cell>
          <cell r="D1529" t="str">
            <v>Al Farooq School</v>
          </cell>
          <cell r="H1529" t="str">
            <v>WR</v>
          </cell>
        </row>
        <row r="1530">
          <cell r="B1530" t="str">
            <v>Fire Extinguisher - Dry</v>
          </cell>
          <cell r="D1530" t="str">
            <v>Al Farooq School</v>
          </cell>
          <cell r="H1530" t="str">
            <v>WR</v>
          </cell>
        </row>
        <row r="1531">
          <cell r="B1531" t="str">
            <v>Fire Extinguisher - Dry</v>
          </cell>
          <cell r="D1531" t="str">
            <v>Al Farooq School</v>
          </cell>
          <cell r="H1531" t="str">
            <v>WR</v>
          </cell>
        </row>
        <row r="1532">
          <cell r="B1532" t="str">
            <v>Fire Extinguisher - Dry</v>
          </cell>
          <cell r="D1532" t="str">
            <v>Al Farooq School</v>
          </cell>
          <cell r="H1532" t="str">
            <v>WR</v>
          </cell>
        </row>
        <row r="1533">
          <cell r="B1533" t="str">
            <v>Fire Extinguisher - Dry</v>
          </cell>
          <cell r="D1533" t="str">
            <v>Al Farooq School</v>
          </cell>
          <cell r="H1533" t="str">
            <v>WR</v>
          </cell>
        </row>
        <row r="1534">
          <cell r="B1534" t="str">
            <v>Fire Extinguisher - Dry</v>
          </cell>
          <cell r="D1534" t="str">
            <v>Al Farooq School</v>
          </cell>
          <cell r="H1534" t="str">
            <v>WR</v>
          </cell>
        </row>
        <row r="1535">
          <cell r="B1535" t="str">
            <v>Fire Extinguisher - Dry</v>
          </cell>
          <cell r="D1535" t="str">
            <v>Al Farooq School</v>
          </cell>
          <cell r="H1535" t="str">
            <v>WR</v>
          </cell>
        </row>
        <row r="1536">
          <cell r="B1536" t="str">
            <v>Fire Extinguisher - Dry</v>
          </cell>
          <cell r="D1536" t="str">
            <v>Al Farooq School</v>
          </cell>
          <cell r="H1536" t="str">
            <v>WR</v>
          </cell>
        </row>
        <row r="1537">
          <cell r="B1537" t="str">
            <v>Fire Extinguisher - Dry</v>
          </cell>
          <cell r="D1537" t="str">
            <v>Al Farooq School</v>
          </cell>
          <cell r="H1537" t="str">
            <v>WR</v>
          </cell>
        </row>
        <row r="1538">
          <cell r="B1538" t="str">
            <v>Fire Pump</v>
          </cell>
          <cell r="D1538" t="str">
            <v>Al Farooq School</v>
          </cell>
          <cell r="H1538" t="str">
            <v>WR</v>
          </cell>
        </row>
        <row r="1539">
          <cell r="B1539" t="str">
            <v>FIRE PUMP - Diesel</v>
          </cell>
          <cell r="D1539" t="str">
            <v>Al Farooq School</v>
          </cell>
          <cell r="H1539" t="str">
            <v>WR</v>
          </cell>
        </row>
        <row r="1540">
          <cell r="B1540" t="str">
            <v>FIRE PUMP - Electric</v>
          </cell>
          <cell r="D1540" t="str">
            <v>Al Farooq School</v>
          </cell>
          <cell r="H1540" t="str">
            <v>WR</v>
          </cell>
        </row>
        <row r="1541">
          <cell r="B1541" t="str">
            <v>Water Tank</v>
          </cell>
          <cell r="D1541" t="str">
            <v>Al Farooq School</v>
          </cell>
          <cell r="H1541" t="str">
            <v>WR</v>
          </cell>
        </row>
        <row r="1542">
          <cell r="B1542" t="str">
            <v>Water Tank</v>
          </cell>
          <cell r="D1542" t="str">
            <v>Al Farooq School</v>
          </cell>
          <cell r="H1542" t="str">
            <v>WR</v>
          </cell>
        </row>
        <row r="1543">
          <cell r="B1543" t="str">
            <v>Water Tank</v>
          </cell>
          <cell r="D1543" t="str">
            <v>Al Farooq School</v>
          </cell>
          <cell r="H1543" t="str">
            <v>WR</v>
          </cell>
        </row>
        <row r="1544">
          <cell r="B1544" t="str">
            <v>Fire Alarm Break Glass Call Point</v>
          </cell>
          <cell r="D1544" t="str">
            <v>Al Fursan KG</v>
          </cell>
          <cell r="H1544" t="str">
            <v>AD</v>
          </cell>
        </row>
        <row r="1545">
          <cell r="B1545" t="str">
            <v>Fire Alarm Break Glass Call Point</v>
          </cell>
          <cell r="D1545" t="str">
            <v>Al Fursan KG</v>
          </cell>
          <cell r="H1545" t="str">
            <v>AD</v>
          </cell>
        </row>
        <row r="1546">
          <cell r="B1546" t="str">
            <v>Fire Alarm Break Glass Call Point</v>
          </cell>
          <cell r="D1546" t="str">
            <v>Al Fursan KG</v>
          </cell>
          <cell r="H1546" t="str">
            <v>AD</v>
          </cell>
        </row>
        <row r="1547">
          <cell r="B1547" t="str">
            <v>Fire Alarm Break Glass Call Point</v>
          </cell>
          <cell r="D1547" t="str">
            <v>Al Fursan KG</v>
          </cell>
          <cell r="H1547" t="str">
            <v>AD</v>
          </cell>
        </row>
        <row r="1548">
          <cell r="B1548" t="str">
            <v>Fire Alarm Break Glass Call Point</v>
          </cell>
          <cell r="D1548" t="str">
            <v>Al Fursan KG</v>
          </cell>
          <cell r="H1548" t="str">
            <v>AD</v>
          </cell>
        </row>
        <row r="1549">
          <cell r="B1549" t="str">
            <v>Fire Alarm Control Panel Board</v>
          </cell>
          <cell r="D1549" t="str">
            <v>Al Fursan KG</v>
          </cell>
          <cell r="H1549" t="str">
            <v>AD</v>
          </cell>
        </row>
        <row r="1550">
          <cell r="B1550" t="str">
            <v>Fire Alarm Sounder, Bell, Light</v>
          </cell>
          <cell r="D1550" t="str">
            <v>Al Fursan KG</v>
          </cell>
          <cell r="H1550" t="str">
            <v>AD</v>
          </cell>
        </row>
        <row r="1551">
          <cell r="B1551" t="str">
            <v>Fire Alarm Sounder, Bell, Light</v>
          </cell>
          <cell r="D1551" t="str">
            <v>Al Fursan KG</v>
          </cell>
          <cell r="H1551" t="str">
            <v>AD</v>
          </cell>
        </row>
        <row r="1552">
          <cell r="B1552" t="str">
            <v>Fire Alarm Sounder, Bell, Light</v>
          </cell>
          <cell r="D1552" t="str">
            <v>Al Fursan KG</v>
          </cell>
          <cell r="H1552" t="str">
            <v>AD</v>
          </cell>
        </row>
        <row r="1553">
          <cell r="B1553" t="str">
            <v>Fire Alarm Sounder, Bell, Light</v>
          </cell>
          <cell r="D1553" t="str">
            <v>Al Fursan KG</v>
          </cell>
          <cell r="H1553" t="str">
            <v>AD</v>
          </cell>
        </row>
        <row r="1554">
          <cell r="B1554" t="str">
            <v>Fire Alarm Sounder, Bell, Light</v>
          </cell>
          <cell r="D1554" t="str">
            <v>Al Fursan KG</v>
          </cell>
          <cell r="H1554" t="str">
            <v>AD</v>
          </cell>
        </row>
        <row r="1555">
          <cell r="B1555" t="str">
            <v>Fire Alarm Sounder, Bell, Light</v>
          </cell>
          <cell r="D1555" t="str">
            <v>Al Fursan KG</v>
          </cell>
          <cell r="H1555" t="str">
            <v>AD</v>
          </cell>
        </row>
        <row r="1556">
          <cell r="B1556" t="str">
            <v>Fire Alarm Sounder, Bell, Light</v>
          </cell>
          <cell r="D1556" t="str">
            <v>Al Fursan KG</v>
          </cell>
          <cell r="H1556" t="str">
            <v>AD</v>
          </cell>
        </row>
        <row r="1557">
          <cell r="B1557" t="str">
            <v>Fire Alarm Sounder, Bell, Light</v>
          </cell>
          <cell r="D1557" t="str">
            <v>Al Fursan KG</v>
          </cell>
          <cell r="H1557" t="str">
            <v>AD</v>
          </cell>
        </row>
        <row r="1558">
          <cell r="B1558" t="str">
            <v>Fire Extinguisher</v>
          </cell>
          <cell r="D1558" t="str">
            <v>Al Fursan KG</v>
          </cell>
          <cell r="H1558" t="str">
            <v>AD</v>
          </cell>
        </row>
        <row r="1559">
          <cell r="B1559" t="str">
            <v>Fire Extinguisher</v>
          </cell>
          <cell r="D1559" t="str">
            <v>Al Fursan KG</v>
          </cell>
          <cell r="H1559" t="str">
            <v>AD</v>
          </cell>
        </row>
        <row r="1560">
          <cell r="B1560" t="str">
            <v>Fire Extinguisher</v>
          </cell>
          <cell r="D1560" t="str">
            <v>Al Fursan KG</v>
          </cell>
          <cell r="H1560" t="str">
            <v>AD</v>
          </cell>
        </row>
        <row r="1561">
          <cell r="B1561" t="str">
            <v>Fire Extinguisher</v>
          </cell>
          <cell r="D1561" t="str">
            <v>Al Fursan KG</v>
          </cell>
          <cell r="H1561" t="str">
            <v>AD</v>
          </cell>
        </row>
        <row r="1562">
          <cell r="B1562" t="str">
            <v>Fire Hose Reel</v>
          </cell>
          <cell r="D1562" t="str">
            <v>Al Fursan KG</v>
          </cell>
          <cell r="H1562" t="str">
            <v>AD</v>
          </cell>
        </row>
        <row r="1563">
          <cell r="B1563" t="str">
            <v>FIRE PUMP - Diesel</v>
          </cell>
          <cell r="D1563" t="str">
            <v>Al Fursan KG</v>
          </cell>
          <cell r="H1563" t="str">
            <v>AD</v>
          </cell>
        </row>
        <row r="1564">
          <cell r="B1564" t="str">
            <v>FIRE PUMP - Electric</v>
          </cell>
          <cell r="D1564" t="str">
            <v>Al Fursan KG</v>
          </cell>
          <cell r="H1564" t="str">
            <v>AD</v>
          </cell>
        </row>
        <row r="1565">
          <cell r="B1565" t="str">
            <v>Fire Smoke / Heat Detector, Sounder</v>
          </cell>
          <cell r="D1565" t="str">
            <v>Al Fursan KG</v>
          </cell>
          <cell r="H1565" t="str">
            <v>AD</v>
          </cell>
        </row>
        <row r="1566">
          <cell r="B1566" t="str">
            <v>Fire Smoke / Heat Detector, Sounder</v>
          </cell>
          <cell r="D1566" t="str">
            <v>Al Fursan KG</v>
          </cell>
          <cell r="H1566" t="str">
            <v>AD</v>
          </cell>
        </row>
        <row r="1567">
          <cell r="B1567" t="str">
            <v>Fire Smoke / Heat Detector, Sounder</v>
          </cell>
          <cell r="D1567" t="str">
            <v>Al Fursan KG</v>
          </cell>
          <cell r="H1567" t="str">
            <v>AD</v>
          </cell>
        </row>
        <row r="1568">
          <cell r="B1568" t="str">
            <v>Fire Smoke / Heat Detector, Sounder</v>
          </cell>
          <cell r="D1568" t="str">
            <v>Al Fursan KG</v>
          </cell>
          <cell r="H1568" t="str">
            <v>AD</v>
          </cell>
        </row>
        <row r="1569">
          <cell r="B1569" t="str">
            <v>Fire Smoke / Heat Detector, Sounder</v>
          </cell>
          <cell r="D1569" t="str">
            <v>Al Fursan KG</v>
          </cell>
          <cell r="H1569" t="str">
            <v>AD</v>
          </cell>
        </row>
        <row r="1570">
          <cell r="B1570" t="str">
            <v>Fire Smoke / Heat Detector, Sounder</v>
          </cell>
          <cell r="D1570" t="str">
            <v>Al Fursan KG</v>
          </cell>
          <cell r="H1570" t="str">
            <v>AD</v>
          </cell>
        </row>
        <row r="1571">
          <cell r="B1571" t="str">
            <v>Fire Smoke / Heat Detector, Sounder</v>
          </cell>
          <cell r="D1571" t="str">
            <v>Al Fursan KG</v>
          </cell>
          <cell r="H1571" t="str">
            <v>AD</v>
          </cell>
        </row>
        <row r="1572">
          <cell r="B1572" t="str">
            <v>Fire Smoke / Heat Detector, Sounder</v>
          </cell>
          <cell r="D1572" t="str">
            <v>Al Fursan KG</v>
          </cell>
          <cell r="H1572" t="str">
            <v>AD</v>
          </cell>
        </row>
        <row r="1573">
          <cell r="B1573" t="str">
            <v>Fire Smoke / Heat Detector, Sounder</v>
          </cell>
          <cell r="D1573" t="str">
            <v>Al Fursan KG</v>
          </cell>
          <cell r="H1573" t="str">
            <v>AD</v>
          </cell>
        </row>
        <row r="1574">
          <cell r="B1574" t="str">
            <v>Fire Smoke / Heat Detector, Sounder</v>
          </cell>
          <cell r="D1574" t="str">
            <v>Al Fursan KG</v>
          </cell>
          <cell r="H1574" t="str">
            <v>AD</v>
          </cell>
        </row>
        <row r="1575">
          <cell r="B1575" t="str">
            <v>Fire Smoke / Heat Detector, Sounder</v>
          </cell>
          <cell r="D1575" t="str">
            <v>Al Fursan KG</v>
          </cell>
          <cell r="H1575" t="str">
            <v>AD</v>
          </cell>
        </row>
        <row r="1576">
          <cell r="B1576" t="str">
            <v>Fire Smoke / Heat Detector, Sounder</v>
          </cell>
          <cell r="D1576" t="str">
            <v>Al Fursan KG</v>
          </cell>
          <cell r="H1576" t="str">
            <v>AD</v>
          </cell>
        </row>
        <row r="1577">
          <cell r="B1577" t="str">
            <v>Fire Smoke / Heat Detector, Sounder</v>
          </cell>
          <cell r="D1577" t="str">
            <v>Al Fursan KG</v>
          </cell>
          <cell r="H1577" t="str">
            <v>AD</v>
          </cell>
        </row>
        <row r="1578">
          <cell r="B1578" t="str">
            <v>Fire Alarm Panel</v>
          </cell>
          <cell r="D1578" t="str">
            <v>Al Gharbiya Model School</v>
          </cell>
          <cell r="H1578" t="str">
            <v>WR</v>
          </cell>
        </row>
        <row r="1579">
          <cell r="B1579" t="str">
            <v>FIRE BREAKGLASS</v>
          </cell>
          <cell r="D1579" t="str">
            <v>Al Gharbiya Model School</v>
          </cell>
          <cell r="H1579" t="str">
            <v>WR</v>
          </cell>
        </row>
        <row r="1580">
          <cell r="B1580" t="str">
            <v>FIRE BREAKGLASS</v>
          </cell>
          <cell r="D1580" t="str">
            <v>Al Gharbiya Model School</v>
          </cell>
          <cell r="H1580" t="str">
            <v>WR</v>
          </cell>
        </row>
        <row r="1581">
          <cell r="B1581" t="str">
            <v>FIRE BREAKGLASS</v>
          </cell>
          <cell r="D1581" t="str">
            <v>Al Gharbiya Model School</v>
          </cell>
          <cell r="H1581" t="str">
            <v>WR</v>
          </cell>
        </row>
        <row r="1582">
          <cell r="B1582" t="str">
            <v>FIRE BREAKGLASS</v>
          </cell>
          <cell r="D1582" t="str">
            <v>Al Gharbiya Model School</v>
          </cell>
          <cell r="H1582" t="str">
            <v>WR</v>
          </cell>
        </row>
        <row r="1583">
          <cell r="B1583" t="str">
            <v>FIRE BREAKGLASS</v>
          </cell>
          <cell r="D1583" t="str">
            <v>Al Gharbiya Model School</v>
          </cell>
          <cell r="H1583" t="str">
            <v>WR</v>
          </cell>
        </row>
        <row r="1584">
          <cell r="B1584" t="str">
            <v>FIRE BREAKGLASS</v>
          </cell>
          <cell r="D1584" t="str">
            <v>Al Gharbiya Model School</v>
          </cell>
          <cell r="H1584" t="str">
            <v>WR</v>
          </cell>
        </row>
        <row r="1585">
          <cell r="B1585" t="str">
            <v>FIRE BREAKGLASS</v>
          </cell>
          <cell r="D1585" t="str">
            <v>Al Gharbiya Model School</v>
          </cell>
          <cell r="H1585" t="str">
            <v>WR</v>
          </cell>
        </row>
        <row r="1586">
          <cell r="B1586" t="str">
            <v>FIRE BREAKGLASS</v>
          </cell>
          <cell r="D1586" t="str">
            <v>Al Gharbiya Model School</v>
          </cell>
          <cell r="H1586" t="str">
            <v>WR</v>
          </cell>
        </row>
        <row r="1587">
          <cell r="B1587" t="str">
            <v>FIRE BREAKGLASS</v>
          </cell>
          <cell r="D1587" t="str">
            <v>Al Gharbiya Model School</v>
          </cell>
          <cell r="H1587" t="str">
            <v>WR</v>
          </cell>
        </row>
        <row r="1588">
          <cell r="B1588" t="str">
            <v>FIRE BREAKGLASS</v>
          </cell>
          <cell r="D1588" t="str">
            <v>Al Gharbiya Model School</v>
          </cell>
          <cell r="H1588" t="str">
            <v>WR</v>
          </cell>
        </row>
        <row r="1589">
          <cell r="B1589" t="str">
            <v>FIRE BREAKGLASS</v>
          </cell>
          <cell r="D1589" t="str">
            <v>Al Gharbiya Model School</v>
          </cell>
          <cell r="H1589" t="str">
            <v>WR</v>
          </cell>
        </row>
        <row r="1590">
          <cell r="B1590" t="str">
            <v>FIRE BREAKGLASS</v>
          </cell>
          <cell r="D1590" t="str">
            <v>Al Gharbiya Model School</v>
          </cell>
          <cell r="H1590" t="str">
            <v>WR</v>
          </cell>
        </row>
        <row r="1591">
          <cell r="B1591" t="str">
            <v>FIRE BREAKGLASS</v>
          </cell>
          <cell r="D1591" t="str">
            <v>Al Gharbiya Model School</v>
          </cell>
          <cell r="H1591" t="str">
            <v>WR</v>
          </cell>
        </row>
        <row r="1592">
          <cell r="B1592" t="str">
            <v>FIRE BREAKGLASS</v>
          </cell>
          <cell r="D1592" t="str">
            <v>Al Gharbiya Model School</v>
          </cell>
          <cell r="H1592" t="str">
            <v>WR</v>
          </cell>
        </row>
        <row r="1593">
          <cell r="B1593" t="str">
            <v>FIRE BREAKGLASS</v>
          </cell>
          <cell r="D1593" t="str">
            <v>Al Gharbiya Model School</v>
          </cell>
          <cell r="H1593" t="str">
            <v>WR</v>
          </cell>
        </row>
        <row r="1594">
          <cell r="B1594" t="str">
            <v>FIRE BREAKGLASS</v>
          </cell>
          <cell r="D1594" t="str">
            <v>Al Gharbiya Model School</v>
          </cell>
          <cell r="H1594" t="str">
            <v>WR</v>
          </cell>
        </row>
        <row r="1595">
          <cell r="B1595" t="str">
            <v>FIRE BREAKGLASS</v>
          </cell>
          <cell r="D1595" t="str">
            <v>Al Gharbiya Model School</v>
          </cell>
          <cell r="H1595" t="str">
            <v>WR</v>
          </cell>
        </row>
        <row r="1596">
          <cell r="B1596" t="str">
            <v>FIRE BREAKGLASS</v>
          </cell>
          <cell r="D1596" t="str">
            <v>Al Gharbiya Model School</v>
          </cell>
          <cell r="H1596" t="str">
            <v>WR</v>
          </cell>
        </row>
        <row r="1597">
          <cell r="B1597" t="str">
            <v>Fire Extinguisher - Dry</v>
          </cell>
          <cell r="D1597" t="str">
            <v>Al Gharbiya Model School</v>
          </cell>
          <cell r="H1597" t="str">
            <v>WR</v>
          </cell>
        </row>
        <row r="1598">
          <cell r="B1598" t="str">
            <v>Fire Extinguisher - Dry</v>
          </cell>
          <cell r="D1598" t="str">
            <v>Al Gharbiya Model School</v>
          </cell>
          <cell r="H1598" t="str">
            <v>WR</v>
          </cell>
        </row>
        <row r="1599">
          <cell r="B1599" t="str">
            <v>Fire Extinguisher - Dry</v>
          </cell>
          <cell r="D1599" t="str">
            <v>Al Gharbiya Model School</v>
          </cell>
          <cell r="H1599" t="str">
            <v>WR</v>
          </cell>
        </row>
        <row r="1600">
          <cell r="B1600" t="str">
            <v>Fire Extinguisher - Dry</v>
          </cell>
          <cell r="D1600" t="str">
            <v>Al Gharbiya Model School</v>
          </cell>
          <cell r="H1600" t="str">
            <v>WR</v>
          </cell>
        </row>
        <row r="1601">
          <cell r="B1601" t="str">
            <v>Fire Extinguisher - Dry</v>
          </cell>
          <cell r="D1601" t="str">
            <v>Al Gharbiya Model School</v>
          </cell>
          <cell r="H1601" t="str">
            <v>WR</v>
          </cell>
        </row>
        <row r="1602">
          <cell r="B1602" t="str">
            <v>Fire Extinguisher - Dry</v>
          </cell>
          <cell r="D1602" t="str">
            <v>Al Gharbiya Model School</v>
          </cell>
          <cell r="H1602" t="str">
            <v>WR</v>
          </cell>
        </row>
        <row r="1603">
          <cell r="B1603" t="str">
            <v>Fire Extinguisher - Dry</v>
          </cell>
          <cell r="D1603" t="str">
            <v>Al Gharbiya Model School</v>
          </cell>
          <cell r="H1603" t="str">
            <v>WR</v>
          </cell>
        </row>
        <row r="1604">
          <cell r="B1604" t="str">
            <v>Fire Extinguisher - Dry</v>
          </cell>
          <cell r="D1604" t="str">
            <v>Al Gharbiya Model School</v>
          </cell>
          <cell r="H1604" t="str">
            <v>WR</v>
          </cell>
        </row>
        <row r="1605">
          <cell r="B1605" t="str">
            <v>Fire Extinguisher - Dry</v>
          </cell>
          <cell r="D1605" t="str">
            <v>Al Gharbiya Model School</v>
          </cell>
          <cell r="H1605" t="str">
            <v>WR</v>
          </cell>
        </row>
        <row r="1606">
          <cell r="B1606" t="str">
            <v>Fire Extinguisher - Dry</v>
          </cell>
          <cell r="D1606" t="str">
            <v>Al Gharbiya Model School</v>
          </cell>
          <cell r="H1606" t="str">
            <v>WR</v>
          </cell>
        </row>
        <row r="1607">
          <cell r="B1607" t="str">
            <v>Fire Extinguisher - Dry</v>
          </cell>
          <cell r="D1607" t="str">
            <v>Al Gharbiya Model School</v>
          </cell>
          <cell r="H1607" t="str">
            <v>WR</v>
          </cell>
        </row>
        <row r="1608">
          <cell r="B1608" t="str">
            <v>Fire Extinguisher - Dry</v>
          </cell>
          <cell r="D1608" t="str">
            <v>Al Gharbiya Model School</v>
          </cell>
          <cell r="H1608" t="str">
            <v>WR</v>
          </cell>
        </row>
        <row r="1609">
          <cell r="B1609" t="str">
            <v>Fire Extinguisher - Dry</v>
          </cell>
          <cell r="D1609" t="str">
            <v>Al Gharbiya Model School</v>
          </cell>
          <cell r="H1609" t="str">
            <v>WR</v>
          </cell>
        </row>
        <row r="1610">
          <cell r="B1610" t="str">
            <v>FIRE HOSE REEL</v>
          </cell>
          <cell r="D1610" t="str">
            <v>Al Gharbiya Model School</v>
          </cell>
          <cell r="H1610" t="str">
            <v>WR</v>
          </cell>
        </row>
        <row r="1611">
          <cell r="B1611" t="str">
            <v>FIRE HOSE REEL</v>
          </cell>
          <cell r="D1611" t="str">
            <v>Al Gharbiya Model School</v>
          </cell>
          <cell r="H1611" t="str">
            <v>WR</v>
          </cell>
        </row>
        <row r="1612">
          <cell r="B1612" t="str">
            <v>FIRE HOSE REEL</v>
          </cell>
          <cell r="D1612" t="str">
            <v>Al Gharbiya Model School</v>
          </cell>
          <cell r="H1612" t="str">
            <v>WR</v>
          </cell>
        </row>
        <row r="1613">
          <cell r="B1613" t="str">
            <v>FIRE HOSE REEL</v>
          </cell>
          <cell r="D1613" t="str">
            <v>Al Gharbiya Model School</v>
          </cell>
          <cell r="H1613" t="str">
            <v>WR</v>
          </cell>
        </row>
        <row r="1614">
          <cell r="B1614" t="str">
            <v>FIRE HOSE REEL</v>
          </cell>
          <cell r="D1614" t="str">
            <v>Al Gharbiya Model School</v>
          </cell>
          <cell r="H1614" t="str">
            <v>WR</v>
          </cell>
        </row>
        <row r="1615">
          <cell r="B1615" t="str">
            <v>FIRE HOSE REEL</v>
          </cell>
          <cell r="D1615" t="str">
            <v>Al Gharbiya Model School</v>
          </cell>
          <cell r="H1615" t="str">
            <v>WR</v>
          </cell>
        </row>
        <row r="1616">
          <cell r="B1616" t="str">
            <v>FIRE HOSE REEL</v>
          </cell>
          <cell r="D1616" t="str">
            <v>Al Gharbiya Model School</v>
          </cell>
          <cell r="H1616" t="str">
            <v>WR</v>
          </cell>
        </row>
        <row r="1617">
          <cell r="B1617" t="str">
            <v>FIRE HOSE REEL</v>
          </cell>
          <cell r="D1617" t="str">
            <v>Al Gharbiya Model School</v>
          </cell>
          <cell r="H1617" t="str">
            <v>WR</v>
          </cell>
        </row>
        <row r="1618">
          <cell r="B1618" t="str">
            <v>FIRE HOSE REEL</v>
          </cell>
          <cell r="D1618" t="str">
            <v>Al Gharbiya Model School</v>
          </cell>
          <cell r="H1618" t="str">
            <v>WR</v>
          </cell>
        </row>
        <row r="1619">
          <cell r="B1619" t="str">
            <v>FIRE HOSE REEL</v>
          </cell>
          <cell r="D1619" t="str">
            <v>Al Gharbiya Model School</v>
          </cell>
          <cell r="H1619" t="str">
            <v>WR</v>
          </cell>
        </row>
        <row r="1620">
          <cell r="B1620" t="str">
            <v>FIRE PUMP - Diesel</v>
          </cell>
          <cell r="D1620" t="str">
            <v>Al Gharbiya Model School</v>
          </cell>
          <cell r="H1620" t="str">
            <v>WR</v>
          </cell>
        </row>
        <row r="1621">
          <cell r="B1621" t="str">
            <v>FIRE PUMP - Electric</v>
          </cell>
          <cell r="D1621" t="str">
            <v>Al Gharbiya Model School</v>
          </cell>
          <cell r="H1621" t="str">
            <v>WR</v>
          </cell>
        </row>
        <row r="1622">
          <cell r="B1622" t="str">
            <v>Fire Water Tank</v>
          </cell>
          <cell r="D1622" t="str">
            <v>Al Gharbiya Model School</v>
          </cell>
          <cell r="H1622" t="str">
            <v>WR</v>
          </cell>
        </row>
        <row r="1623">
          <cell r="B1623" t="str">
            <v>Water Tank</v>
          </cell>
          <cell r="D1623" t="str">
            <v>Al Gharbiya Model School</v>
          </cell>
          <cell r="H1623" t="str">
            <v>WR</v>
          </cell>
        </row>
        <row r="1624">
          <cell r="B1624" t="str">
            <v>Water Tank</v>
          </cell>
          <cell r="D1624" t="str">
            <v>Al Gharbiya Model School</v>
          </cell>
          <cell r="H1624" t="str">
            <v>WR</v>
          </cell>
        </row>
        <row r="1625">
          <cell r="B1625" t="str">
            <v>DRY RAISER SYSTEM</v>
          </cell>
          <cell r="D1625" t="str">
            <v xml:space="preserve">Al Hayer Pri. and Sec. School - Boys                  </v>
          </cell>
          <cell r="H1625" t="str">
            <v>AA</v>
          </cell>
        </row>
        <row r="1626">
          <cell r="B1626" t="str">
            <v>DRY RAISER SYSTEM</v>
          </cell>
          <cell r="D1626" t="str">
            <v xml:space="preserve">Al Hayer Pri. and Sec. School - Boys                  </v>
          </cell>
          <cell r="H1626" t="str">
            <v>AA</v>
          </cell>
        </row>
        <row r="1627">
          <cell r="B1627" t="str">
            <v>Fire Extinguisher - C02</v>
          </cell>
          <cell r="D1627" t="str">
            <v xml:space="preserve">Al Hayer Pri. and Sec. School - Boys                  </v>
          </cell>
          <cell r="H1627" t="str">
            <v>AA</v>
          </cell>
        </row>
        <row r="1628">
          <cell r="B1628" t="str">
            <v>Fire Extinguisher - C02</v>
          </cell>
          <cell r="D1628" t="str">
            <v xml:space="preserve">Al Hayer Pri. and Sec. School - Boys                  </v>
          </cell>
          <cell r="H1628" t="str">
            <v>AA</v>
          </cell>
        </row>
        <row r="1629">
          <cell r="B1629" t="str">
            <v>Fire Extinguisher - C02</v>
          </cell>
          <cell r="D1629" t="str">
            <v xml:space="preserve">Al Hayer Pri. and Sec. School - Boys                  </v>
          </cell>
          <cell r="H1629" t="str">
            <v>AA</v>
          </cell>
        </row>
        <row r="1630">
          <cell r="B1630" t="str">
            <v>Fire Extinguisher - C02</v>
          </cell>
          <cell r="D1630" t="str">
            <v xml:space="preserve">Al Hayer Pri. and Sec. School - Boys                  </v>
          </cell>
          <cell r="H1630" t="str">
            <v>AA</v>
          </cell>
        </row>
        <row r="1631">
          <cell r="B1631" t="str">
            <v>Fire Extinguisher - C02</v>
          </cell>
          <cell r="D1631" t="str">
            <v xml:space="preserve">Al Hayer Pri. and Sec. School - Boys                  </v>
          </cell>
          <cell r="H1631" t="str">
            <v>AA</v>
          </cell>
        </row>
        <row r="1632">
          <cell r="B1632" t="str">
            <v>Fire Extinguisher - C02</v>
          </cell>
          <cell r="D1632" t="str">
            <v xml:space="preserve">Al Hayer Pri. and Sec. School - Boys                  </v>
          </cell>
          <cell r="H1632" t="str">
            <v>AA</v>
          </cell>
        </row>
        <row r="1633">
          <cell r="B1633" t="str">
            <v>Fire Extinguisher - C02</v>
          </cell>
          <cell r="D1633" t="str">
            <v xml:space="preserve">Al Hayer Pri. and Sec. School - Boys                  </v>
          </cell>
          <cell r="H1633" t="str">
            <v>AA</v>
          </cell>
        </row>
        <row r="1634">
          <cell r="B1634" t="str">
            <v>Fire Extinguisher - C02</v>
          </cell>
          <cell r="D1634" t="str">
            <v xml:space="preserve">Al Hayer Pri. and Sec. School - Boys                  </v>
          </cell>
          <cell r="H1634" t="str">
            <v>AA</v>
          </cell>
        </row>
        <row r="1635">
          <cell r="B1635" t="str">
            <v>Fire Extinguisher - C02</v>
          </cell>
          <cell r="D1635" t="str">
            <v xml:space="preserve">Al Hayer Pri. and Sec. School - Boys                  </v>
          </cell>
          <cell r="H1635" t="str">
            <v>AA</v>
          </cell>
        </row>
        <row r="1636">
          <cell r="B1636" t="str">
            <v>Fire Extinguisher - C02</v>
          </cell>
          <cell r="D1636" t="str">
            <v xml:space="preserve">Al Hayer Pri. and Sec. School - Boys                  </v>
          </cell>
          <cell r="H1636" t="str">
            <v>AA</v>
          </cell>
        </row>
        <row r="1637">
          <cell r="B1637" t="str">
            <v>Fire Extinguisher - C02</v>
          </cell>
          <cell r="D1637" t="str">
            <v xml:space="preserve">Al Hayer Pri. and Sec. School - Boys                  </v>
          </cell>
          <cell r="H1637" t="str">
            <v>AA</v>
          </cell>
        </row>
        <row r="1638">
          <cell r="B1638" t="str">
            <v>Fire Extinguisher - C02</v>
          </cell>
          <cell r="D1638" t="str">
            <v xml:space="preserve">Al Hayer Pri. and Sec. School - Boys                  </v>
          </cell>
          <cell r="H1638" t="str">
            <v>AA</v>
          </cell>
        </row>
        <row r="1639">
          <cell r="B1639" t="str">
            <v>Fire Extinguisher - Dry</v>
          </cell>
          <cell r="D1639" t="str">
            <v xml:space="preserve">Al Hayer Pri. and Sec. School - Boys                  </v>
          </cell>
          <cell r="H1639" t="str">
            <v>AA</v>
          </cell>
        </row>
        <row r="1640">
          <cell r="B1640" t="str">
            <v>Fire Extinguisher - Dry</v>
          </cell>
          <cell r="D1640" t="str">
            <v xml:space="preserve">Al Hayer Pri. and Sec. School - Boys                  </v>
          </cell>
          <cell r="H1640" t="str">
            <v>AA</v>
          </cell>
        </row>
        <row r="1641">
          <cell r="B1641" t="str">
            <v>Fire Extinguisher - Dry</v>
          </cell>
          <cell r="D1641" t="str">
            <v xml:space="preserve">Al Hayer Pri. and Sec. School - Boys                  </v>
          </cell>
          <cell r="H1641" t="str">
            <v>AA</v>
          </cell>
        </row>
        <row r="1642">
          <cell r="B1642" t="str">
            <v>Fire Extinguisher - Dry</v>
          </cell>
          <cell r="D1642" t="str">
            <v xml:space="preserve">Al Hayer Pri. and Sec. School - Boys                  </v>
          </cell>
          <cell r="H1642" t="str">
            <v>AA</v>
          </cell>
        </row>
        <row r="1643">
          <cell r="B1643" t="str">
            <v>Fire Extinguisher - Dry</v>
          </cell>
          <cell r="D1643" t="str">
            <v xml:space="preserve">Al Hayer Pri. and Sec. School - Boys                  </v>
          </cell>
          <cell r="H1643" t="str">
            <v>AA</v>
          </cell>
        </row>
        <row r="1644">
          <cell r="B1644" t="str">
            <v>Fire Extinguisher - Dry</v>
          </cell>
          <cell r="D1644" t="str">
            <v xml:space="preserve">Al Hayer Pri. and Sec. School - Boys                  </v>
          </cell>
          <cell r="H1644" t="str">
            <v>AA</v>
          </cell>
        </row>
        <row r="1645">
          <cell r="B1645" t="str">
            <v>Fire Extinguisher - Dry</v>
          </cell>
          <cell r="D1645" t="str">
            <v xml:space="preserve">Al Hayer Pri. and Sec. School - Boys                  </v>
          </cell>
          <cell r="H1645" t="str">
            <v>AA</v>
          </cell>
        </row>
        <row r="1646">
          <cell r="B1646" t="str">
            <v>Fire Extinguisher - Dry</v>
          </cell>
          <cell r="D1646" t="str">
            <v xml:space="preserve">Al Hayer Pri. and Sec. School - Boys                  </v>
          </cell>
          <cell r="H1646" t="str">
            <v>AA</v>
          </cell>
        </row>
        <row r="1647">
          <cell r="B1647" t="str">
            <v>FIRE PUMP SYSTEM</v>
          </cell>
          <cell r="D1647" t="str">
            <v xml:space="preserve">Al Hayer Pri. and Sec. School - Boys                  </v>
          </cell>
          <cell r="H1647" t="str">
            <v>AA</v>
          </cell>
        </row>
        <row r="1648">
          <cell r="B1648" t="str">
            <v>FIRE PUMP SYSTEM</v>
          </cell>
          <cell r="D1648" t="str">
            <v xml:space="preserve">Al Hayer Pri. and Sec. School - Boys                  </v>
          </cell>
          <cell r="H1648" t="str">
            <v>AA</v>
          </cell>
        </row>
        <row r="1649">
          <cell r="B1649" t="str">
            <v>Water Tank</v>
          </cell>
          <cell r="D1649" t="str">
            <v xml:space="preserve">Al Hayer Pri. and Sec. School - Boys                  </v>
          </cell>
          <cell r="H1649" t="str">
            <v>AA</v>
          </cell>
        </row>
        <row r="1650">
          <cell r="B1650" t="str">
            <v>Water Tank</v>
          </cell>
          <cell r="D1650" t="str">
            <v xml:space="preserve">Al Hayer Pri. and Sec. School - Boys                  </v>
          </cell>
          <cell r="H1650" t="str">
            <v>AA</v>
          </cell>
        </row>
        <row r="1651">
          <cell r="B1651" t="str">
            <v>Water Tank</v>
          </cell>
          <cell r="D1651" t="str">
            <v xml:space="preserve">Al Hayer Pri. and Sec. School - Boys                  </v>
          </cell>
          <cell r="H1651" t="str">
            <v>AA</v>
          </cell>
        </row>
        <row r="1652">
          <cell r="B1652" t="str">
            <v>Drinking Fountain</v>
          </cell>
          <cell r="D1652" t="str">
            <v>Al Hedaya KG</v>
          </cell>
          <cell r="H1652" t="str">
            <v>AD</v>
          </cell>
        </row>
        <row r="1653">
          <cell r="B1653" t="str">
            <v>Fire Alarm Interface Panel Board</v>
          </cell>
          <cell r="D1653" t="str">
            <v>Al Hedaya KG</v>
          </cell>
          <cell r="H1653" t="str">
            <v>AD</v>
          </cell>
        </row>
        <row r="1654">
          <cell r="B1654" t="str">
            <v>Fire Alarm Control Panel Board</v>
          </cell>
          <cell r="D1654" t="str">
            <v>Al Hedaya KG</v>
          </cell>
          <cell r="H1654" t="str">
            <v>AD</v>
          </cell>
        </row>
        <row r="1655">
          <cell r="B1655" t="str">
            <v>Fire Alarm Control Panel Board</v>
          </cell>
          <cell r="D1655" t="str">
            <v>Al Hedaya KG</v>
          </cell>
          <cell r="H1655" t="str">
            <v>AD</v>
          </cell>
        </row>
        <row r="1656">
          <cell r="B1656" t="str">
            <v>Fire Alarm Control Panel Board</v>
          </cell>
          <cell r="D1656" t="str">
            <v>Al Hedaya KG</v>
          </cell>
          <cell r="H1656" t="str">
            <v>AD</v>
          </cell>
        </row>
        <row r="1657">
          <cell r="B1657" t="str">
            <v>Fire Extinguisher</v>
          </cell>
          <cell r="D1657" t="str">
            <v>Al Hedaya KG</v>
          </cell>
          <cell r="H1657" t="str">
            <v>AD</v>
          </cell>
        </row>
        <row r="1658">
          <cell r="B1658" t="str">
            <v>Fire Extinguisher</v>
          </cell>
          <cell r="D1658" t="str">
            <v>Al Hedaya KG</v>
          </cell>
          <cell r="H1658" t="str">
            <v>AD</v>
          </cell>
        </row>
        <row r="1659">
          <cell r="B1659" t="str">
            <v>Fire Extinguisher</v>
          </cell>
          <cell r="D1659" t="str">
            <v>Al Hedaya KG</v>
          </cell>
          <cell r="H1659" t="str">
            <v>AD</v>
          </cell>
        </row>
        <row r="1660">
          <cell r="B1660" t="str">
            <v>Fire Extinguisher</v>
          </cell>
          <cell r="D1660" t="str">
            <v>Al Hedaya KG</v>
          </cell>
          <cell r="H1660" t="str">
            <v>AD</v>
          </cell>
        </row>
        <row r="1661">
          <cell r="B1661" t="str">
            <v>Smoke Detector &amp; Heat Detector</v>
          </cell>
          <cell r="D1661" t="str">
            <v>Al Hedaya KG</v>
          </cell>
          <cell r="H1661" t="str">
            <v>AD</v>
          </cell>
        </row>
        <row r="1662">
          <cell r="B1662" t="str">
            <v>Smoke Detector &amp; Heat Detector</v>
          </cell>
          <cell r="D1662" t="str">
            <v>Al Hedaya KG</v>
          </cell>
          <cell r="H1662" t="str">
            <v>AD</v>
          </cell>
        </row>
        <row r="1663">
          <cell r="B1663" t="str">
            <v>Smoke Detector &amp; Heat Detector</v>
          </cell>
          <cell r="D1663" t="str">
            <v>Al Hedaya KG</v>
          </cell>
          <cell r="H1663" t="str">
            <v>AD</v>
          </cell>
        </row>
        <row r="1664">
          <cell r="B1664" t="str">
            <v>Smoke Detector &amp; Heat Detector</v>
          </cell>
          <cell r="D1664" t="str">
            <v>Al Hedaya KG</v>
          </cell>
          <cell r="H1664" t="str">
            <v>AD</v>
          </cell>
        </row>
        <row r="1665">
          <cell r="B1665" t="str">
            <v>Smoke Detector &amp; Heat Detector</v>
          </cell>
          <cell r="D1665" t="str">
            <v>Al Hedaya KG</v>
          </cell>
          <cell r="H1665" t="str">
            <v>AD</v>
          </cell>
        </row>
        <row r="1666">
          <cell r="B1666" t="str">
            <v>Smoke Detector &amp; Heat Detector</v>
          </cell>
          <cell r="D1666" t="str">
            <v>Al Hedaya KG</v>
          </cell>
          <cell r="H1666" t="str">
            <v>AD</v>
          </cell>
        </row>
        <row r="1667">
          <cell r="B1667" t="str">
            <v>Smoke Detector &amp; Heat Detector</v>
          </cell>
          <cell r="D1667" t="str">
            <v>Al Hedaya KG</v>
          </cell>
          <cell r="H1667" t="str">
            <v>AD</v>
          </cell>
        </row>
        <row r="1668">
          <cell r="B1668" t="str">
            <v>Smoke Detector &amp; Heat Detector</v>
          </cell>
          <cell r="D1668" t="str">
            <v>Al Hedaya KG</v>
          </cell>
          <cell r="H1668" t="str">
            <v>AD</v>
          </cell>
        </row>
        <row r="1669">
          <cell r="B1669" t="str">
            <v>Smoke Detector &amp; Heat Detector</v>
          </cell>
          <cell r="D1669" t="str">
            <v>Al Hedaya KG</v>
          </cell>
          <cell r="H1669" t="str">
            <v>AD</v>
          </cell>
        </row>
        <row r="1670">
          <cell r="B1670" t="str">
            <v>Smoke Detector &amp; Heat Detector</v>
          </cell>
          <cell r="D1670" t="str">
            <v>Al Hedaya KG</v>
          </cell>
          <cell r="H1670" t="str">
            <v>AD</v>
          </cell>
        </row>
        <row r="1671">
          <cell r="B1671" t="str">
            <v>Smoke Detector &amp; Heat Detector</v>
          </cell>
          <cell r="D1671" t="str">
            <v>Al Hedaya KG</v>
          </cell>
          <cell r="H1671" t="str">
            <v>AD</v>
          </cell>
        </row>
        <row r="1672">
          <cell r="B1672" t="str">
            <v>Smoke Detector &amp; Heat Detector</v>
          </cell>
          <cell r="D1672" t="str">
            <v>Al Hedaya KG</v>
          </cell>
          <cell r="H1672" t="str">
            <v>AD</v>
          </cell>
        </row>
        <row r="1673">
          <cell r="B1673" t="str">
            <v>Smoke Detector &amp; Heat Detector</v>
          </cell>
          <cell r="D1673" t="str">
            <v>Al Hedaya KG</v>
          </cell>
          <cell r="H1673" t="str">
            <v>AD</v>
          </cell>
        </row>
        <row r="1674">
          <cell r="B1674" t="str">
            <v>Smoke Detector &amp; Heat Detector</v>
          </cell>
          <cell r="D1674" t="str">
            <v>Al Hedaya KG</v>
          </cell>
          <cell r="H1674" t="str">
            <v>AD</v>
          </cell>
        </row>
        <row r="1675">
          <cell r="B1675" t="str">
            <v>Smoke Detector &amp; Heat Detector</v>
          </cell>
          <cell r="D1675" t="str">
            <v>Al Hedaya KG</v>
          </cell>
          <cell r="H1675" t="str">
            <v>AD</v>
          </cell>
        </row>
        <row r="1676">
          <cell r="B1676" t="str">
            <v>Smoke Detector &amp; Heat Detector</v>
          </cell>
          <cell r="D1676" t="str">
            <v>Al Hedaya KG</v>
          </cell>
          <cell r="H1676" t="str">
            <v>AD</v>
          </cell>
        </row>
        <row r="1677">
          <cell r="B1677" t="str">
            <v>Smoke Detector &amp; Heat Detector</v>
          </cell>
          <cell r="D1677" t="str">
            <v>Al Hedaya KG</v>
          </cell>
          <cell r="H1677" t="str">
            <v>AD</v>
          </cell>
        </row>
        <row r="1678">
          <cell r="B1678" t="str">
            <v>Smoke Detector &amp; Heat Detector</v>
          </cell>
          <cell r="D1678" t="str">
            <v>Al Hedaya KG</v>
          </cell>
          <cell r="H1678" t="str">
            <v>AD</v>
          </cell>
        </row>
        <row r="1679">
          <cell r="B1679" t="str">
            <v>Smoke Detector &amp; Heat Detector</v>
          </cell>
          <cell r="D1679" t="str">
            <v>Al Hedaya KG</v>
          </cell>
          <cell r="H1679" t="str">
            <v>AD</v>
          </cell>
        </row>
        <row r="1680">
          <cell r="B1680" t="str">
            <v>Smoke Detector &amp; Heat Detector</v>
          </cell>
          <cell r="D1680" t="str">
            <v>Al Hedaya KG</v>
          </cell>
          <cell r="H1680" t="str">
            <v>AD</v>
          </cell>
        </row>
        <row r="1681">
          <cell r="B1681" t="str">
            <v>Smoke Detector &amp; Heat Detector</v>
          </cell>
          <cell r="D1681" t="str">
            <v>Al Hedaya KG</v>
          </cell>
          <cell r="H1681" t="str">
            <v>AD</v>
          </cell>
        </row>
        <row r="1682">
          <cell r="B1682" t="str">
            <v>Smoke Detector &amp; Heat Detector</v>
          </cell>
          <cell r="D1682" t="str">
            <v>Al Hedaya KG</v>
          </cell>
          <cell r="H1682" t="str">
            <v>AD</v>
          </cell>
        </row>
        <row r="1683">
          <cell r="B1683" t="str">
            <v>Smoke Detector &amp; Heat Detector</v>
          </cell>
          <cell r="D1683" t="str">
            <v>Al Hedaya KG</v>
          </cell>
          <cell r="H1683" t="str">
            <v>AD</v>
          </cell>
        </row>
        <row r="1684">
          <cell r="B1684" t="str">
            <v>Chiller</v>
          </cell>
          <cell r="D1684" t="str">
            <v>Al Hosn Seconday School</v>
          </cell>
          <cell r="H1684" t="str">
            <v>AD</v>
          </cell>
        </row>
        <row r="1685">
          <cell r="B1685" t="str">
            <v>Chiller</v>
          </cell>
          <cell r="D1685" t="str">
            <v>Al Hosn Seconday School</v>
          </cell>
          <cell r="H1685" t="str">
            <v>AD</v>
          </cell>
        </row>
        <row r="1686">
          <cell r="B1686" t="str">
            <v>Fire Alarm Break Glass Call Point</v>
          </cell>
          <cell r="D1686" t="str">
            <v>Al Hosn Seconday School</v>
          </cell>
          <cell r="H1686" t="str">
            <v>AD</v>
          </cell>
        </row>
        <row r="1687">
          <cell r="B1687" t="str">
            <v>Fire Alarm Break Glass Call Point</v>
          </cell>
          <cell r="D1687" t="str">
            <v>Al Hosn Seconday School</v>
          </cell>
          <cell r="H1687" t="str">
            <v>AD</v>
          </cell>
        </row>
        <row r="1688">
          <cell r="B1688" t="str">
            <v>Fire Alarm Break Glass Call Point</v>
          </cell>
          <cell r="D1688" t="str">
            <v>Al Hosn Seconday School</v>
          </cell>
          <cell r="H1688" t="str">
            <v>AD</v>
          </cell>
        </row>
        <row r="1689">
          <cell r="B1689" t="str">
            <v>Fire Alarm Break Glass Call Point</v>
          </cell>
          <cell r="D1689" t="str">
            <v>Al Hosn Seconday School</v>
          </cell>
          <cell r="H1689" t="str">
            <v>AD</v>
          </cell>
        </row>
        <row r="1690">
          <cell r="B1690" t="str">
            <v>Fire Alarm Break Glass Call Point</v>
          </cell>
          <cell r="D1690" t="str">
            <v>Al Hosn Seconday School</v>
          </cell>
          <cell r="H1690" t="str">
            <v>AD</v>
          </cell>
        </row>
        <row r="1691">
          <cell r="B1691" t="str">
            <v>Fire Alarm Break Glass Call Point</v>
          </cell>
          <cell r="D1691" t="str">
            <v>Al Hosn Seconday School</v>
          </cell>
          <cell r="H1691" t="str">
            <v>AD</v>
          </cell>
        </row>
        <row r="1692">
          <cell r="B1692" t="str">
            <v>Fire Alarm Break Glass Call Point</v>
          </cell>
          <cell r="D1692" t="str">
            <v>Al Hosn Seconday School</v>
          </cell>
          <cell r="H1692" t="str">
            <v>AD</v>
          </cell>
        </row>
        <row r="1693">
          <cell r="B1693" t="str">
            <v>Fire Alarm Break Glass Call Point</v>
          </cell>
          <cell r="D1693" t="str">
            <v>Al Hosn Seconday School</v>
          </cell>
          <cell r="H1693" t="str">
            <v>AD</v>
          </cell>
        </row>
        <row r="1694">
          <cell r="B1694" t="str">
            <v>Fire Alarm Break Glass Call Point</v>
          </cell>
          <cell r="D1694" t="str">
            <v>Al Hosn Seconday School</v>
          </cell>
          <cell r="H1694" t="str">
            <v>AD</v>
          </cell>
        </row>
        <row r="1695">
          <cell r="B1695" t="str">
            <v>Fire Alarm Break Glass Call Point</v>
          </cell>
          <cell r="D1695" t="str">
            <v>Al Hosn Seconday School</v>
          </cell>
          <cell r="H1695" t="str">
            <v>AD</v>
          </cell>
        </row>
        <row r="1696">
          <cell r="B1696" t="str">
            <v>Fire Alarm Break Glass Call Point</v>
          </cell>
          <cell r="D1696" t="str">
            <v>Al Hosn Seconday School</v>
          </cell>
          <cell r="H1696" t="str">
            <v>AD</v>
          </cell>
        </row>
        <row r="1697">
          <cell r="B1697" t="str">
            <v>Fire Alarm Break Glass Call Point</v>
          </cell>
          <cell r="D1697" t="str">
            <v>Al Hosn Seconday School</v>
          </cell>
          <cell r="H1697" t="str">
            <v>AD</v>
          </cell>
        </row>
        <row r="1698">
          <cell r="B1698" t="str">
            <v>Fire Alarm Break Glass Call Point</v>
          </cell>
          <cell r="D1698" t="str">
            <v>Al Hosn Seconday School</v>
          </cell>
          <cell r="H1698" t="str">
            <v>AD</v>
          </cell>
        </row>
        <row r="1699">
          <cell r="B1699" t="str">
            <v>Fire Alarm Break Glass Call Point</v>
          </cell>
          <cell r="D1699" t="str">
            <v>Al Hosn Seconday School</v>
          </cell>
          <cell r="H1699" t="str">
            <v>AD</v>
          </cell>
        </row>
        <row r="1700">
          <cell r="B1700" t="str">
            <v>Fire Alarm Break Glass Call Point</v>
          </cell>
          <cell r="D1700" t="str">
            <v>Al Hosn Seconday School</v>
          </cell>
          <cell r="H1700" t="str">
            <v>AD</v>
          </cell>
        </row>
        <row r="1701">
          <cell r="B1701" t="str">
            <v>Fire Alarm Break Glass Call Point</v>
          </cell>
          <cell r="D1701" t="str">
            <v>Al Hosn Seconday School</v>
          </cell>
          <cell r="H1701" t="str">
            <v>AD</v>
          </cell>
        </row>
        <row r="1702">
          <cell r="B1702" t="str">
            <v>Fire Alarm Break Glass Call Point</v>
          </cell>
          <cell r="D1702" t="str">
            <v>Al Hosn Seconday School</v>
          </cell>
          <cell r="H1702" t="str">
            <v>AD</v>
          </cell>
        </row>
        <row r="1703">
          <cell r="B1703" t="str">
            <v>Fire Alarm Break Glass Call Point</v>
          </cell>
          <cell r="D1703" t="str">
            <v>Al Hosn Seconday School</v>
          </cell>
          <cell r="H1703" t="str">
            <v>AD</v>
          </cell>
        </row>
        <row r="1704">
          <cell r="B1704" t="str">
            <v>Fire Alarm Panel</v>
          </cell>
          <cell r="D1704" t="str">
            <v>Al Hosn Seconday School</v>
          </cell>
          <cell r="H1704" t="str">
            <v>AD</v>
          </cell>
        </row>
        <row r="1705">
          <cell r="B1705" t="str">
            <v>Fire Alarm Panel</v>
          </cell>
          <cell r="D1705" t="str">
            <v>Al Hosn Seconday School</v>
          </cell>
          <cell r="H1705" t="str">
            <v>AD</v>
          </cell>
        </row>
        <row r="1706">
          <cell r="B1706" t="str">
            <v>Fire Alarm Panel</v>
          </cell>
          <cell r="D1706" t="str">
            <v>Al Hosn Seconday School</v>
          </cell>
          <cell r="H1706" t="str">
            <v>AD</v>
          </cell>
        </row>
        <row r="1707">
          <cell r="B1707" t="str">
            <v>Fire Alarm Sounder, Bell, Light</v>
          </cell>
          <cell r="D1707" t="str">
            <v>Al Hosn Seconday School</v>
          </cell>
          <cell r="H1707" t="str">
            <v>AD</v>
          </cell>
        </row>
        <row r="1708">
          <cell r="B1708" t="str">
            <v>Fire Alarm Sounder, Bell, Light</v>
          </cell>
          <cell r="D1708" t="str">
            <v>Al Hosn Seconday School</v>
          </cell>
          <cell r="H1708" t="str">
            <v>AD</v>
          </cell>
        </row>
        <row r="1709">
          <cell r="B1709" t="str">
            <v>Fire Alarm Sounder, Bell, Light</v>
          </cell>
          <cell r="D1709" t="str">
            <v>Al Hosn Seconday School</v>
          </cell>
          <cell r="H1709" t="str">
            <v>AD</v>
          </cell>
        </row>
        <row r="1710">
          <cell r="B1710" t="str">
            <v>Fire Alarm Sounder, Bell, Light</v>
          </cell>
          <cell r="D1710" t="str">
            <v>Al Hosn Seconday School</v>
          </cell>
          <cell r="H1710" t="str">
            <v>AD</v>
          </cell>
        </row>
        <row r="1711">
          <cell r="B1711" t="str">
            <v>Fire Alarm Sounder, Bell, Light</v>
          </cell>
          <cell r="D1711" t="str">
            <v>Al Hosn Seconday School</v>
          </cell>
          <cell r="H1711" t="str">
            <v>AD</v>
          </cell>
        </row>
        <row r="1712">
          <cell r="B1712" t="str">
            <v>Fire Alarm Sounder, Bell, Light</v>
          </cell>
          <cell r="D1712" t="str">
            <v>Al Hosn Seconday School</v>
          </cell>
          <cell r="H1712" t="str">
            <v>AD</v>
          </cell>
        </row>
        <row r="1713">
          <cell r="B1713" t="str">
            <v>Fire Alarm Sounder, Bell, Light</v>
          </cell>
          <cell r="D1713" t="str">
            <v>Al Hosn Seconday School</v>
          </cell>
          <cell r="H1713" t="str">
            <v>AD</v>
          </cell>
        </row>
        <row r="1714">
          <cell r="B1714" t="str">
            <v>Fire Alarm Sounder, Bell, Light</v>
          </cell>
          <cell r="D1714" t="str">
            <v>Al Hosn Seconday School</v>
          </cell>
          <cell r="H1714" t="str">
            <v>AD</v>
          </cell>
        </row>
        <row r="1715">
          <cell r="B1715" t="str">
            <v>Fire Alarm Sounder, Bell, Light</v>
          </cell>
          <cell r="D1715" t="str">
            <v>Al Hosn Seconday School</v>
          </cell>
          <cell r="H1715" t="str">
            <v>AD</v>
          </cell>
        </row>
        <row r="1716">
          <cell r="B1716" t="str">
            <v>Fire Alarm Sounder, Bell, Light</v>
          </cell>
          <cell r="D1716" t="str">
            <v>Al Hosn Seconday School</v>
          </cell>
          <cell r="H1716" t="str">
            <v>AD</v>
          </cell>
        </row>
        <row r="1717">
          <cell r="B1717" t="str">
            <v>Fire Alarm Sounder, Bell, Light</v>
          </cell>
          <cell r="D1717" t="str">
            <v>Al Hosn Seconday School</v>
          </cell>
          <cell r="H1717" t="str">
            <v>AD</v>
          </cell>
        </row>
        <row r="1718">
          <cell r="B1718" t="str">
            <v>Fire Alarm Sounder, Bell, Light</v>
          </cell>
          <cell r="D1718" t="str">
            <v>Al Hosn Seconday School</v>
          </cell>
          <cell r="H1718" t="str">
            <v>AD</v>
          </cell>
        </row>
        <row r="1719">
          <cell r="B1719" t="str">
            <v>Fire Alarm Sounder, Bell, Light</v>
          </cell>
          <cell r="D1719" t="str">
            <v>Al Hosn Seconday School</v>
          </cell>
          <cell r="H1719" t="str">
            <v>AD</v>
          </cell>
        </row>
        <row r="1720">
          <cell r="B1720" t="str">
            <v>Fire Alarm Sounder, Bell, Light</v>
          </cell>
          <cell r="D1720" t="str">
            <v>Al Hosn Seconday School</v>
          </cell>
          <cell r="H1720" t="str">
            <v>AD</v>
          </cell>
        </row>
        <row r="1721">
          <cell r="B1721" t="str">
            <v>Fire Alarm Sounder, Bell, Light</v>
          </cell>
          <cell r="D1721" t="str">
            <v>Al Hosn Seconday School</v>
          </cell>
          <cell r="H1721" t="str">
            <v>AD</v>
          </cell>
        </row>
        <row r="1722">
          <cell r="B1722" t="str">
            <v>Fire Alarm Sounder, Bell, Light</v>
          </cell>
          <cell r="D1722" t="str">
            <v>Al Hosn Seconday School</v>
          </cell>
          <cell r="H1722" t="str">
            <v>AD</v>
          </cell>
        </row>
        <row r="1723">
          <cell r="B1723" t="str">
            <v>Fire Alarm Sounder, Bell, Light</v>
          </cell>
          <cell r="D1723" t="str">
            <v>Al Hosn Seconday School</v>
          </cell>
          <cell r="H1723" t="str">
            <v>AD</v>
          </cell>
        </row>
        <row r="1724">
          <cell r="B1724" t="str">
            <v>Fire Alarm Sounder, Bell, Light</v>
          </cell>
          <cell r="D1724" t="str">
            <v>Al Hosn Seconday School</v>
          </cell>
          <cell r="H1724" t="str">
            <v>AD</v>
          </cell>
        </row>
        <row r="1725">
          <cell r="B1725" t="str">
            <v>Fire Alarm Sounder, Bell, Light</v>
          </cell>
          <cell r="D1725" t="str">
            <v>Al Hosn Seconday School</v>
          </cell>
          <cell r="H1725" t="str">
            <v>AD</v>
          </cell>
        </row>
        <row r="1726">
          <cell r="B1726" t="str">
            <v>Fire Alarm Sounder, Bell, Light</v>
          </cell>
          <cell r="D1726" t="str">
            <v>Al Hosn Seconday School</v>
          </cell>
          <cell r="H1726" t="str">
            <v>AD</v>
          </cell>
        </row>
        <row r="1727">
          <cell r="B1727" t="str">
            <v>Fire Alarm Sounder, Bell, Light</v>
          </cell>
          <cell r="D1727" t="str">
            <v>Al Hosn Seconday School</v>
          </cell>
          <cell r="H1727" t="str">
            <v>AD</v>
          </cell>
        </row>
        <row r="1728">
          <cell r="B1728" t="str">
            <v>Fire Alarm Sounder, Bell, Light</v>
          </cell>
          <cell r="D1728" t="str">
            <v>Al Hosn Seconday School</v>
          </cell>
          <cell r="H1728" t="str">
            <v>AD</v>
          </cell>
        </row>
        <row r="1729">
          <cell r="B1729" t="str">
            <v>Fire Alarm Sounder, Bell, Light</v>
          </cell>
          <cell r="D1729" t="str">
            <v>Al Hosn Seconday School</v>
          </cell>
          <cell r="H1729" t="str">
            <v>AD</v>
          </cell>
        </row>
        <row r="1730">
          <cell r="B1730" t="str">
            <v>Fire Alarm Sounder, Bell, Light</v>
          </cell>
          <cell r="D1730" t="str">
            <v>Al Hosn Seconday School</v>
          </cell>
          <cell r="H1730" t="str">
            <v>AD</v>
          </cell>
        </row>
        <row r="1731">
          <cell r="B1731" t="str">
            <v>Fire Alarm Sounder, Bell, Light</v>
          </cell>
          <cell r="D1731" t="str">
            <v>Al Hosn Seconday School</v>
          </cell>
          <cell r="H1731" t="str">
            <v>AD</v>
          </cell>
        </row>
        <row r="1732">
          <cell r="B1732" t="str">
            <v>Fire Alarm Sounder, Bell, Light</v>
          </cell>
          <cell r="D1732" t="str">
            <v>Al Hosn Seconday School</v>
          </cell>
          <cell r="H1732" t="str">
            <v>AD</v>
          </cell>
        </row>
        <row r="1733">
          <cell r="B1733" t="str">
            <v>Fire Extinguisher</v>
          </cell>
          <cell r="D1733" t="str">
            <v>Al Hosn Seconday School</v>
          </cell>
          <cell r="H1733" t="str">
            <v>AD</v>
          </cell>
        </row>
        <row r="1734">
          <cell r="B1734" t="str">
            <v>Fire Extinguisher</v>
          </cell>
          <cell r="D1734" t="str">
            <v>Al Hosn Seconday School</v>
          </cell>
          <cell r="H1734" t="str">
            <v>AD</v>
          </cell>
        </row>
        <row r="1735">
          <cell r="B1735" t="str">
            <v>Fire Extinguisher</v>
          </cell>
          <cell r="D1735" t="str">
            <v>Al Hosn Seconday School</v>
          </cell>
          <cell r="H1735" t="str">
            <v>AD</v>
          </cell>
        </row>
        <row r="1736">
          <cell r="B1736" t="str">
            <v>Fire Extinguisher</v>
          </cell>
          <cell r="D1736" t="str">
            <v>Al Hosn Seconday School</v>
          </cell>
          <cell r="H1736" t="str">
            <v>AD</v>
          </cell>
        </row>
        <row r="1737">
          <cell r="B1737" t="str">
            <v>Fire Extinguisher</v>
          </cell>
          <cell r="D1737" t="str">
            <v>Al Hosn Seconday School</v>
          </cell>
          <cell r="H1737" t="str">
            <v>AD</v>
          </cell>
        </row>
        <row r="1738">
          <cell r="B1738" t="str">
            <v>Fire Extinguisher</v>
          </cell>
          <cell r="D1738" t="str">
            <v>Al Hosn Seconday School</v>
          </cell>
          <cell r="H1738" t="str">
            <v>AD</v>
          </cell>
        </row>
        <row r="1739">
          <cell r="B1739" t="str">
            <v>Fire Extinguisher</v>
          </cell>
          <cell r="D1739" t="str">
            <v>Al Hosn Seconday School</v>
          </cell>
          <cell r="H1739" t="str">
            <v>AD</v>
          </cell>
        </row>
        <row r="1740">
          <cell r="B1740" t="str">
            <v>Fire Extinguisher</v>
          </cell>
          <cell r="D1740" t="str">
            <v>Al Hosn Seconday School</v>
          </cell>
          <cell r="H1740" t="str">
            <v>AD</v>
          </cell>
        </row>
        <row r="1741">
          <cell r="B1741" t="str">
            <v>Fire Extinguisher</v>
          </cell>
          <cell r="D1741" t="str">
            <v>Al Hosn Seconday School</v>
          </cell>
          <cell r="H1741" t="str">
            <v>AD</v>
          </cell>
        </row>
        <row r="1742">
          <cell r="B1742" t="str">
            <v>Fire Extinguisher</v>
          </cell>
          <cell r="D1742" t="str">
            <v>Al Hosn Seconday School</v>
          </cell>
          <cell r="H1742" t="str">
            <v>AD</v>
          </cell>
        </row>
        <row r="1743">
          <cell r="B1743" t="str">
            <v>Fire Extinguisher</v>
          </cell>
          <cell r="D1743" t="str">
            <v>Al Hosn Seconday School</v>
          </cell>
          <cell r="H1743" t="str">
            <v>AD</v>
          </cell>
        </row>
        <row r="1744">
          <cell r="B1744" t="str">
            <v>Fire Extinguisher</v>
          </cell>
          <cell r="D1744" t="str">
            <v>Al Hosn Seconday School</v>
          </cell>
          <cell r="H1744" t="str">
            <v>AD</v>
          </cell>
        </row>
        <row r="1745">
          <cell r="B1745" t="str">
            <v>Fire Extinguisher</v>
          </cell>
          <cell r="D1745" t="str">
            <v>Al Hosn Seconday School</v>
          </cell>
          <cell r="H1745" t="str">
            <v>AD</v>
          </cell>
        </row>
        <row r="1746">
          <cell r="B1746" t="str">
            <v>Fire Extinguisher</v>
          </cell>
          <cell r="D1746" t="str">
            <v>Al Hosn Seconday School</v>
          </cell>
          <cell r="H1746" t="str">
            <v>AD</v>
          </cell>
        </row>
        <row r="1747">
          <cell r="B1747" t="str">
            <v>Fire Extinguisher</v>
          </cell>
          <cell r="D1747" t="str">
            <v>Al Hosn Seconday School</v>
          </cell>
          <cell r="H1747" t="str">
            <v>AD</v>
          </cell>
        </row>
        <row r="1748">
          <cell r="B1748" t="str">
            <v>Fire Extinguisher</v>
          </cell>
          <cell r="D1748" t="str">
            <v>Al Hosn Seconday School</v>
          </cell>
          <cell r="H1748" t="str">
            <v>AD</v>
          </cell>
        </row>
        <row r="1749">
          <cell r="B1749" t="str">
            <v>Fire Extinguisher</v>
          </cell>
          <cell r="D1749" t="str">
            <v>Al Hosn Seconday School</v>
          </cell>
          <cell r="H1749" t="str">
            <v>AD</v>
          </cell>
        </row>
        <row r="1750">
          <cell r="B1750" t="str">
            <v>Fire Extinguisher</v>
          </cell>
          <cell r="D1750" t="str">
            <v>Al Hosn Seconday School</v>
          </cell>
          <cell r="H1750" t="str">
            <v>AD</v>
          </cell>
        </row>
        <row r="1751">
          <cell r="B1751" t="str">
            <v>Fire Extinguisher</v>
          </cell>
          <cell r="D1751" t="str">
            <v>Al Hosn Seconday School</v>
          </cell>
          <cell r="H1751" t="str">
            <v>AD</v>
          </cell>
        </row>
        <row r="1752">
          <cell r="B1752" t="str">
            <v>Fire Extinguisher</v>
          </cell>
          <cell r="D1752" t="str">
            <v>Al Hosn Seconday School</v>
          </cell>
          <cell r="H1752" t="str">
            <v>AD</v>
          </cell>
        </row>
        <row r="1753">
          <cell r="B1753" t="str">
            <v>Fire Extinguisher</v>
          </cell>
          <cell r="D1753" t="str">
            <v>Al Hosn Seconday School</v>
          </cell>
          <cell r="H1753" t="str">
            <v>AD</v>
          </cell>
        </row>
        <row r="1754">
          <cell r="B1754" t="str">
            <v>Fire Extinguisher</v>
          </cell>
          <cell r="D1754" t="str">
            <v>Al Hosn Seconday School</v>
          </cell>
          <cell r="H1754" t="str">
            <v>AD</v>
          </cell>
        </row>
        <row r="1755">
          <cell r="B1755" t="str">
            <v>Fire Extinguisher</v>
          </cell>
          <cell r="D1755" t="str">
            <v>Al Hosn Seconday School</v>
          </cell>
          <cell r="H1755" t="str">
            <v>AD</v>
          </cell>
        </row>
        <row r="1756">
          <cell r="B1756" t="str">
            <v>Fire Extinguisher</v>
          </cell>
          <cell r="D1756" t="str">
            <v>Al Hosn Seconday School</v>
          </cell>
          <cell r="H1756" t="str">
            <v>AD</v>
          </cell>
        </row>
        <row r="1757">
          <cell r="B1757" t="str">
            <v>Fire Extinguisher</v>
          </cell>
          <cell r="D1757" t="str">
            <v>Al Hosn Seconday School</v>
          </cell>
          <cell r="H1757" t="str">
            <v>AD</v>
          </cell>
        </row>
        <row r="1758">
          <cell r="B1758" t="str">
            <v>Fire Extinguisher</v>
          </cell>
          <cell r="D1758" t="str">
            <v>Al Hosn Seconday School</v>
          </cell>
          <cell r="H1758" t="str">
            <v>AD</v>
          </cell>
        </row>
        <row r="1759">
          <cell r="B1759" t="str">
            <v>Fire Extinguisher</v>
          </cell>
          <cell r="D1759" t="str">
            <v>Al Hosn Seconday School</v>
          </cell>
          <cell r="H1759" t="str">
            <v>AD</v>
          </cell>
        </row>
        <row r="1760">
          <cell r="B1760" t="str">
            <v>Fire Extinguisher</v>
          </cell>
          <cell r="D1760" t="str">
            <v>Al Hosn Seconday School</v>
          </cell>
          <cell r="H1760" t="str">
            <v>AD</v>
          </cell>
        </row>
        <row r="1761">
          <cell r="B1761" t="str">
            <v>Fire Extinguisher</v>
          </cell>
          <cell r="D1761" t="str">
            <v>Al Hosn Seconday School</v>
          </cell>
          <cell r="H1761" t="str">
            <v>AD</v>
          </cell>
        </row>
        <row r="1762">
          <cell r="B1762" t="str">
            <v>Fire Extinguisher</v>
          </cell>
          <cell r="D1762" t="str">
            <v>Al Hosn Seconday School</v>
          </cell>
          <cell r="H1762" t="str">
            <v>AD</v>
          </cell>
        </row>
        <row r="1763">
          <cell r="B1763" t="str">
            <v>Fire Extinguisher</v>
          </cell>
          <cell r="D1763" t="str">
            <v>Al Hosn Seconday School</v>
          </cell>
          <cell r="H1763" t="str">
            <v>AD</v>
          </cell>
        </row>
        <row r="1764">
          <cell r="B1764" t="str">
            <v>Fire Extinguisher</v>
          </cell>
          <cell r="D1764" t="str">
            <v>Al Hosn Seconday School</v>
          </cell>
          <cell r="H1764" t="str">
            <v>AD</v>
          </cell>
        </row>
        <row r="1765">
          <cell r="B1765" t="str">
            <v>Fire Extinguisher</v>
          </cell>
          <cell r="D1765" t="str">
            <v>Al Hosn Seconday School</v>
          </cell>
          <cell r="H1765" t="str">
            <v>AD</v>
          </cell>
        </row>
        <row r="1766">
          <cell r="B1766" t="str">
            <v>Fire Extinguisher</v>
          </cell>
          <cell r="D1766" t="str">
            <v>Al Hosn Seconday School</v>
          </cell>
          <cell r="H1766" t="str">
            <v>AD</v>
          </cell>
        </row>
        <row r="1767">
          <cell r="B1767" t="str">
            <v>Fire Extinguisher</v>
          </cell>
          <cell r="D1767" t="str">
            <v>Al Hosn Seconday School</v>
          </cell>
          <cell r="H1767" t="str">
            <v>AD</v>
          </cell>
        </row>
        <row r="1768">
          <cell r="B1768" t="str">
            <v>Fire Extinguisher</v>
          </cell>
          <cell r="D1768" t="str">
            <v>Al Hosn Seconday School</v>
          </cell>
          <cell r="H1768" t="str">
            <v>AD</v>
          </cell>
        </row>
        <row r="1769">
          <cell r="B1769" t="str">
            <v>Fire Extinguisher</v>
          </cell>
          <cell r="D1769" t="str">
            <v>Al Hosn Seconday School</v>
          </cell>
          <cell r="H1769" t="str">
            <v>AD</v>
          </cell>
        </row>
        <row r="1770">
          <cell r="B1770" t="str">
            <v>Fire Extinguisher</v>
          </cell>
          <cell r="D1770" t="str">
            <v>Al Hosn Seconday School</v>
          </cell>
          <cell r="H1770" t="str">
            <v>AD</v>
          </cell>
        </row>
        <row r="1771">
          <cell r="B1771" t="str">
            <v>Fire Extinguisher</v>
          </cell>
          <cell r="D1771" t="str">
            <v>Al Hosn Seconday School</v>
          </cell>
          <cell r="H1771" t="str">
            <v>AD</v>
          </cell>
        </row>
        <row r="1772">
          <cell r="B1772" t="str">
            <v>Fire Extinguisher</v>
          </cell>
          <cell r="D1772" t="str">
            <v>Al Hosn Seconday School</v>
          </cell>
          <cell r="H1772" t="str">
            <v>AD</v>
          </cell>
        </row>
        <row r="1773">
          <cell r="B1773" t="str">
            <v>Fire Extinguisher</v>
          </cell>
          <cell r="D1773" t="str">
            <v>Al Hosn Seconday School</v>
          </cell>
          <cell r="H1773" t="str">
            <v>AD</v>
          </cell>
        </row>
        <row r="1774">
          <cell r="B1774" t="str">
            <v>Fire Extinguisher</v>
          </cell>
          <cell r="D1774" t="str">
            <v>Al Hosn Seconday School</v>
          </cell>
          <cell r="H1774" t="str">
            <v>AD</v>
          </cell>
        </row>
        <row r="1775">
          <cell r="B1775" t="str">
            <v>Fire Extinguisher</v>
          </cell>
          <cell r="D1775" t="str">
            <v>Al Hosn Seconday School</v>
          </cell>
          <cell r="H1775" t="str">
            <v>AD</v>
          </cell>
        </row>
        <row r="1776">
          <cell r="B1776" t="str">
            <v>Fire Extinguisher</v>
          </cell>
          <cell r="D1776" t="str">
            <v>Al Hosn Seconday School</v>
          </cell>
          <cell r="H1776" t="str">
            <v>AD</v>
          </cell>
        </row>
        <row r="1777">
          <cell r="B1777" t="str">
            <v>Fire Extinguisher</v>
          </cell>
          <cell r="D1777" t="str">
            <v>Al Hosn Seconday School</v>
          </cell>
          <cell r="H1777" t="str">
            <v>AD</v>
          </cell>
        </row>
        <row r="1778">
          <cell r="B1778" t="str">
            <v>Fire Extinguisher</v>
          </cell>
          <cell r="D1778" t="str">
            <v>Al Hosn Seconday School</v>
          </cell>
          <cell r="H1778" t="str">
            <v>AD</v>
          </cell>
        </row>
        <row r="1779">
          <cell r="B1779" t="str">
            <v>Fire Extinguisher</v>
          </cell>
          <cell r="D1779" t="str">
            <v>Al Hosn Seconday School</v>
          </cell>
          <cell r="H1779" t="str">
            <v>AD</v>
          </cell>
        </row>
        <row r="1780">
          <cell r="B1780" t="str">
            <v>Fire Extinguisher</v>
          </cell>
          <cell r="D1780" t="str">
            <v>Al Hosn Seconday School</v>
          </cell>
          <cell r="H1780" t="str">
            <v>AD</v>
          </cell>
        </row>
        <row r="1781">
          <cell r="B1781" t="str">
            <v>Fire Hose Reel</v>
          </cell>
          <cell r="D1781" t="str">
            <v>Al Hosn Seconday School</v>
          </cell>
          <cell r="H1781" t="str">
            <v>AD</v>
          </cell>
        </row>
        <row r="1782">
          <cell r="B1782" t="str">
            <v>Fire Hose Reel</v>
          </cell>
          <cell r="D1782" t="str">
            <v>Al Hosn Seconday School</v>
          </cell>
          <cell r="H1782" t="str">
            <v>AD</v>
          </cell>
        </row>
        <row r="1783">
          <cell r="B1783" t="str">
            <v>Fire Hose Reel</v>
          </cell>
          <cell r="D1783" t="str">
            <v>Al Hosn Seconday School</v>
          </cell>
          <cell r="H1783" t="str">
            <v>AD</v>
          </cell>
        </row>
        <row r="1784">
          <cell r="B1784" t="str">
            <v>Fire Hose Reel</v>
          </cell>
          <cell r="D1784" t="str">
            <v>Al Hosn Seconday School</v>
          </cell>
          <cell r="H1784" t="str">
            <v>AD</v>
          </cell>
        </row>
        <row r="1785">
          <cell r="B1785" t="str">
            <v>Fire Hose Reel</v>
          </cell>
          <cell r="D1785" t="str">
            <v>Al Hosn Seconday School</v>
          </cell>
          <cell r="H1785" t="str">
            <v>AD</v>
          </cell>
        </row>
        <row r="1786">
          <cell r="B1786" t="str">
            <v>Fire Hose Reel</v>
          </cell>
          <cell r="D1786" t="str">
            <v>Al Hosn Seconday School</v>
          </cell>
          <cell r="H1786" t="str">
            <v>AD</v>
          </cell>
        </row>
        <row r="1787">
          <cell r="B1787" t="str">
            <v>Fire Hose Reel</v>
          </cell>
          <cell r="D1787" t="str">
            <v>Al Hosn Seconday School</v>
          </cell>
          <cell r="H1787" t="str">
            <v>AD</v>
          </cell>
        </row>
        <row r="1788">
          <cell r="B1788" t="str">
            <v>Fire Hose Reel</v>
          </cell>
          <cell r="D1788" t="str">
            <v>Al Hosn Seconday School</v>
          </cell>
          <cell r="H1788" t="str">
            <v>AD</v>
          </cell>
        </row>
        <row r="1789">
          <cell r="B1789" t="str">
            <v>Fire Hose Reel</v>
          </cell>
          <cell r="D1789" t="str">
            <v>Al Hosn Seconday School</v>
          </cell>
          <cell r="H1789" t="str">
            <v>AD</v>
          </cell>
        </row>
        <row r="1790">
          <cell r="B1790" t="str">
            <v>Fire Hose Reel</v>
          </cell>
          <cell r="D1790" t="str">
            <v>Al Hosn Seconday School</v>
          </cell>
          <cell r="H1790" t="str">
            <v>AD</v>
          </cell>
        </row>
        <row r="1791">
          <cell r="B1791" t="str">
            <v>Fire Hose Reel</v>
          </cell>
          <cell r="D1791" t="str">
            <v>Al Hosn Seconday School</v>
          </cell>
          <cell r="H1791" t="str">
            <v>AD</v>
          </cell>
        </row>
        <row r="1792">
          <cell r="B1792" t="str">
            <v>Fire Hose Reel</v>
          </cell>
          <cell r="D1792" t="str">
            <v>Al Hosn Seconday School</v>
          </cell>
          <cell r="H1792" t="str">
            <v>AD</v>
          </cell>
        </row>
        <row r="1793">
          <cell r="B1793" t="str">
            <v>Fire Hose Reel</v>
          </cell>
          <cell r="D1793" t="str">
            <v>Al Hosn Seconday School</v>
          </cell>
          <cell r="H1793" t="str">
            <v>AD</v>
          </cell>
        </row>
        <row r="1794">
          <cell r="B1794" t="str">
            <v>Fire Hose Reel</v>
          </cell>
          <cell r="D1794" t="str">
            <v>Al Hosn Seconday School</v>
          </cell>
          <cell r="H1794" t="str">
            <v>AD</v>
          </cell>
        </row>
        <row r="1795">
          <cell r="B1795" t="str">
            <v>Fire Hose Reel</v>
          </cell>
          <cell r="D1795" t="str">
            <v>Al Hosn Seconday School</v>
          </cell>
          <cell r="H1795" t="str">
            <v>AD</v>
          </cell>
        </row>
        <row r="1796">
          <cell r="B1796" t="str">
            <v>Fire Smoke / Heat Detector, Sounder</v>
          </cell>
          <cell r="D1796" t="str">
            <v>Al Hosn Seconday School</v>
          </cell>
          <cell r="H1796" t="str">
            <v>AD</v>
          </cell>
        </row>
        <row r="1797">
          <cell r="B1797" t="str">
            <v>Fire Smoke / Heat Detector, Sounder</v>
          </cell>
          <cell r="D1797" t="str">
            <v>Al Hosn Seconday School</v>
          </cell>
          <cell r="H1797" t="str">
            <v>AD</v>
          </cell>
        </row>
        <row r="1798">
          <cell r="B1798" t="str">
            <v>Fire Smoke / Heat Detector, Sounder</v>
          </cell>
          <cell r="D1798" t="str">
            <v>Al Hosn Seconday School</v>
          </cell>
          <cell r="H1798" t="str">
            <v>AD</v>
          </cell>
        </row>
        <row r="1799">
          <cell r="B1799" t="str">
            <v>Fire Smoke / Heat Detector, Sounder</v>
          </cell>
          <cell r="D1799" t="str">
            <v>Al Hosn Seconday School</v>
          </cell>
          <cell r="H1799" t="str">
            <v>AD</v>
          </cell>
        </row>
        <row r="1800">
          <cell r="B1800" t="str">
            <v>Fire Smoke / Heat Detector, Sounder</v>
          </cell>
          <cell r="D1800" t="str">
            <v>Al Hosn Seconday School</v>
          </cell>
          <cell r="H1800" t="str">
            <v>AD</v>
          </cell>
        </row>
        <row r="1801">
          <cell r="B1801" t="str">
            <v>Fire Smoke / Heat Detector, Sounder</v>
          </cell>
          <cell r="D1801" t="str">
            <v>Al Hosn Seconday School</v>
          </cell>
          <cell r="H1801" t="str">
            <v>AD</v>
          </cell>
        </row>
        <row r="1802">
          <cell r="B1802" t="str">
            <v>Fire Smoke / Heat Detector, Sounder</v>
          </cell>
          <cell r="D1802" t="str">
            <v>Al Hosn Seconday School</v>
          </cell>
          <cell r="H1802" t="str">
            <v>AD</v>
          </cell>
        </row>
        <row r="1803">
          <cell r="B1803" t="str">
            <v>Fire Smoke / Heat Detector, Sounder</v>
          </cell>
          <cell r="D1803" t="str">
            <v>Al Hosn Seconday School</v>
          </cell>
          <cell r="H1803" t="str">
            <v>AD</v>
          </cell>
        </row>
        <row r="1804">
          <cell r="B1804" t="str">
            <v>Fire Smoke / Heat Detector, Sounder</v>
          </cell>
          <cell r="D1804" t="str">
            <v>Al Hosn Seconday School</v>
          </cell>
          <cell r="H1804" t="str">
            <v>AD</v>
          </cell>
        </row>
        <row r="1805">
          <cell r="B1805" t="str">
            <v>Fire Smoke / Heat Detector, Sounder</v>
          </cell>
          <cell r="D1805" t="str">
            <v>Al Hosn Seconday School</v>
          </cell>
          <cell r="H1805" t="str">
            <v>AD</v>
          </cell>
        </row>
        <row r="1806">
          <cell r="B1806" t="str">
            <v>Fire Smoke / Heat Detector, Sounder</v>
          </cell>
          <cell r="D1806" t="str">
            <v>Al Hosn Seconday School</v>
          </cell>
          <cell r="H1806" t="str">
            <v>AD</v>
          </cell>
        </row>
        <row r="1807">
          <cell r="B1807" t="str">
            <v>Fire Smoke / Heat Detector, Sounder</v>
          </cell>
          <cell r="D1807" t="str">
            <v>Al Hosn Seconday School</v>
          </cell>
          <cell r="H1807" t="str">
            <v>AD</v>
          </cell>
        </row>
        <row r="1808">
          <cell r="B1808" t="str">
            <v>Fire Smoke / Heat Detector, Sounder</v>
          </cell>
          <cell r="D1808" t="str">
            <v>Al Hosn Seconday School</v>
          </cell>
          <cell r="H1808" t="str">
            <v>AD</v>
          </cell>
        </row>
        <row r="1809">
          <cell r="B1809" t="str">
            <v>Fire Smoke / Heat Detector, Sounder</v>
          </cell>
          <cell r="D1809" t="str">
            <v>Al Hosn Seconday School</v>
          </cell>
          <cell r="H1809" t="str">
            <v>AD</v>
          </cell>
        </row>
        <row r="1810">
          <cell r="B1810" t="str">
            <v>Fire Smoke / Heat Detector, Sounder</v>
          </cell>
          <cell r="D1810" t="str">
            <v>Al Hosn Seconday School</v>
          </cell>
          <cell r="H1810" t="str">
            <v>AD</v>
          </cell>
        </row>
        <row r="1811">
          <cell r="B1811" t="str">
            <v>Fire Smoke / Heat Detector, Sounder</v>
          </cell>
          <cell r="D1811" t="str">
            <v>Al Hosn Seconday School</v>
          </cell>
          <cell r="H1811" t="str">
            <v>AD</v>
          </cell>
        </row>
        <row r="1812">
          <cell r="B1812" t="str">
            <v>Fire Smoke / Heat Detector, Sounder</v>
          </cell>
          <cell r="D1812" t="str">
            <v>Al Hosn Seconday School</v>
          </cell>
          <cell r="H1812" t="str">
            <v>AD</v>
          </cell>
        </row>
        <row r="1813">
          <cell r="B1813" t="str">
            <v>Fire Smoke / Heat Detector, Sounder</v>
          </cell>
          <cell r="D1813" t="str">
            <v>Al Hosn Seconday School</v>
          </cell>
          <cell r="H1813" t="str">
            <v>AD</v>
          </cell>
        </row>
        <row r="1814">
          <cell r="B1814" t="str">
            <v>Fire Smoke / Heat Detector, Sounder</v>
          </cell>
          <cell r="D1814" t="str">
            <v>Al Hosn Seconday School</v>
          </cell>
          <cell r="H1814" t="str">
            <v>AD</v>
          </cell>
        </row>
        <row r="1815">
          <cell r="B1815" t="str">
            <v>Fire Smoke / Heat Detector, Sounder</v>
          </cell>
          <cell r="D1815" t="str">
            <v>Al Hosn Seconday School</v>
          </cell>
          <cell r="H1815" t="str">
            <v>AD</v>
          </cell>
        </row>
        <row r="1816">
          <cell r="B1816" t="str">
            <v>Fire Smoke / Heat Detector, Sounder</v>
          </cell>
          <cell r="D1816" t="str">
            <v>Al Hosn Seconday School</v>
          </cell>
          <cell r="H1816" t="str">
            <v>AD</v>
          </cell>
        </row>
        <row r="1817">
          <cell r="B1817" t="str">
            <v>Fire Smoke / Heat Detector, Sounder</v>
          </cell>
          <cell r="D1817" t="str">
            <v>Al Hosn Seconday School</v>
          </cell>
          <cell r="H1817" t="str">
            <v>AD</v>
          </cell>
        </row>
        <row r="1818">
          <cell r="B1818" t="str">
            <v>Fire Smoke / Heat Detector, Sounder</v>
          </cell>
          <cell r="D1818" t="str">
            <v>Al Hosn Seconday School</v>
          </cell>
          <cell r="H1818" t="str">
            <v>AD</v>
          </cell>
        </row>
        <row r="1819">
          <cell r="B1819" t="str">
            <v>Fire Smoke / Heat Detector, Sounder</v>
          </cell>
          <cell r="D1819" t="str">
            <v>Al Hosn Seconday School</v>
          </cell>
          <cell r="H1819" t="str">
            <v>AD</v>
          </cell>
        </row>
        <row r="1820">
          <cell r="B1820" t="str">
            <v>Fire Smoke / Heat Detector, Sounder</v>
          </cell>
          <cell r="D1820" t="str">
            <v>Al Hosn Seconday School</v>
          </cell>
          <cell r="H1820" t="str">
            <v>AD</v>
          </cell>
        </row>
        <row r="1821">
          <cell r="B1821" t="str">
            <v>Fire Smoke / Heat Detector, Sounder</v>
          </cell>
          <cell r="D1821" t="str">
            <v>Al Hosn Seconday School</v>
          </cell>
          <cell r="H1821" t="str">
            <v>AD</v>
          </cell>
        </row>
        <row r="1822">
          <cell r="B1822" t="str">
            <v>Fire Smoke / Heat Detector, Sounder</v>
          </cell>
          <cell r="D1822" t="str">
            <v>Al Hosn Seconday School</v>
          </cell>
          <cell r="H1822" t="str">
            <v>AD</v>
          </cell>
        </row>
        <row r="1823">
          <cell r="B1823" t="str">
            <v>Fire Smoke / Heat Detector, Sounder</v>
          </cell>
          <cell r="D1823" t="str">
            <v>Al Hosn Seconday School</v>
          </cell>
          <cell r="H1823" t="str">
            <v>AD</v>
          </cell>
        </row>
        <row r="1824">
          <cell r="B1824" t="str">
            <v>Fire Smoke / Heat Detector, Sounder</v>
          </cell>
          <cell r="D1824" t="str">
            <v>Al Hosn Seconday School</v>
          </cell>
          <cell r="H1824" t="str">
            <v>AD</v>
          </cell>
        </row>
        <row r="1825">
          <cell r="B1825" t="str">
            <v>Fire Smoke / Heat Detector, Sounder</v>
          </cell>
          <cell r="D1825" t="str">
            <v>Al Hosn Seconday School</v>
          </cell>
          <cell r="H1825" t="str">
            <v>AD</v>
          </cell>
        </row>
        <row r="1826">
          <cell r="B1826" t="str">
            <v>Fire Smoke / Heat Detector, Sounder</v>
          </cell>
          <cell r="D1826" t="str">
            <v>Al Hosn Seconday School</v>
          </cell>
          <cell r="H1826" t="str">
            <v>AD</v>
          </cell>
        </row>
        <row r="1827">
          <cell r="B1827" t="str">
            <v>Fire Smoke / Heat Detector, Sounder</v>
          </cell>
          <cell r="D1827" t="str">
            <v>Al Hosn Seconday School</v>
          </cell>
          <cell r="H1827" t="str">
            <v>AD</v>
          </cell>
        </row>
        <row r="1828">
          <cell r="B1828" t="str">
            <v>Fire Smoke / Heat Detector, Sounder</v>
          </cell>
          <cell r="D1828" t="str">
            <v>Al Hosn Seconday School</v>
          </cell>
          <cell r="H1828" t="str">
            <v>AD</v>
          </cell>
        </row>
        <row r="1829">
          <cell r="B1829" t="str">
            <v>Fire Smoke / Heat Detector, Sounder</v>
          </cell>
          <cell r="D1829" t="str">
            <v>Al Hosn Seconday School</v>
          </cell>
          <cell r="H1829" t="str">
            <v>AD</v>
          </cell>
        </row>
        <row r="1830">
          <cell r="B1830" t="str">
            <v>Fire Smoke / Heat Detector, Sounder</v>
          </cell>
          <cell r="D1830" t="str">
            <v>Al Hosn Seconday School</v>
          </cell>
          <cell r="H1830" t="str">
            <v>AD</v>
          </cell>
        </row>
        <row r="1831">
          <cell r="B1831" t="str">
            <v>Fire Smoke / Heat Detector, Sounder</v>
          </cell>
          <cell r="D1831" t="str">
            <v>Al Hosn Seconday School</v>
          </cell>
          <cell r="H1831" t="str">
            <v>AD</v>
          </cell>
        </row>
        <row r="1832">
          <cell r="B1832" t="str">
            <v>Fire Smoke / Heat Detector, Sounder</v>
          </cell>
          <cell r="D1832" t="str">
            <v>Al Hosn Seconday School</v>
          </cell>
          <cell r="H1832" t="str">
            <v>AD</v>
          </cell>
        </row>
        <row r="1833">
          <cell r="B1833" t="str">
            <v>Fire Smoke / Heat Detector, Sounder</v>
          </cell>
          <cell r="D1833" t="str">
            <v>Al Hosn Seconday School</v>
          </cell>
          <cell r="H1833" t="str">
            <v>AD</v>
          </cell>
        </row>
        <row r="1834">
          <cell r="B1834" t="str">
            <v>Fire Smoke / Heat Detector, Sounder</v>
          </cell>
          <cell r="D1834" t="str">
            <v>Al Hosn Seconday School</v>
          </cell>
          <cell r="H1834" t="str">
            <v>AD</v>
          </cell>
        </row>
        <row r="1835">
          <cell r="B1835" t="str">
            <v>Fire Smoke / Heat Detector, Sounder</v>
          </cell>
          <cell r="D1835" t="str">
            <v>Al Hosn Seconday School</v>
          </cell>
          <cell r="H1835" t="str">
            <v>AD</v>
          </cell>
        </row>
        <row r="1836">
          <cell r="B1836" t="str">
            <v>Fire Smoke / Heat Detector, Sounder</v>
          </cell>
          <cell r="D1836" t="str">
            <v>Al Hosn Seconday School</v>
          </cell>
          <cell r="H1836" t="str">
            <v>AD</v>
          </cell>
        </row>
        <row r="1837">
          <cell r="B1837" t="str">
            <v>Fire Smoke / Heat Detector, Sounder</v>
          </cell>
          <cell r="D1837" t="str">
            <v>Al Hosn Seconday School</v>
          </cell>
          <cell r="H1837" t="str">
            <v>AD</v>
          </cell>
        </row>
        <row r="1838">
          <cell r="B1838" t="str">
            <v>Fire Smoke / Heat Detector, Sounder</v>
          </cell>
          <cell r="D1838" t="str">
            <v>Al Hosn Seconday School</v>
          </cell>
          <cell r="H1838" t="str">
            <v>AD</v>
          </cell>
        </row>
        <row r="1839">
          <cell r="B1839" t="str">
            <v>Fire Smoke / Heat Detector, Sounder</v>
          </cell>
          <cell r="D1839" t="str">
            <v>Al Hosn Seconday School</v>
          </cell>
          <cell r="H1839" t="str">
            <v>AD</v>
          </cell>
        </row>
        <row r="1840">
          <cell r="B1840" t="str">
            <v>Fire Smoke / Heat Detector, Sounder</v>
          </cell>
          <cell r="D1840" t="str">
            <v>Al Hosn Seconday School</v>
          </cell>
          <cell r="H1840" t="str">
            <v>AD</v>
          </cell>
        </row>
        <row r="1841">
          <cell r="B1841" t="str">
            <v>Fire Smoke / Heat Detector, Sounder</v>
          </cell>
          <cell r="D1841" t="str">
            <v>Al Hosn Seconday School</v>
          </cell>
          <cell r="H1841" t="str">
            <v>AD</v>
          </cell>
        </row>
        <row r="1842">
          <cell r="B1842" t="str">
            <v>Fire Smoke / Heat Detector, Sounder</v>
          </cell>
          <cell r="D1842" t="str">
            <v>Al Hosn Seconday School</v>
          </cell>
          <cell r="H1842" t="str">
            <v>AD</v>
          </cell>
        </row>
        <row r="1843">
          <cell r="B1843" t="str">
            <v>Fire Smoke / Heat Detector, Sounder</v>
          </cell>
          <cell r="D1843" t="str">
            <v>Al Hosn Seconday School</v>
          </cell>
          <cell r="H1843" t="str">
            <v>AD</v>
          </cell>
        </row>
        <row r="1844">
          <cell r="B1844" t="str">
            <v>Fire Smoke / Heat Detector, Sounder</v>
          </cell>
          <cell r="D1844" t="str">
            <v>Al Hosn Seconday School</v>
          </cell>
          <cell r="H1844" t="str">
            <v>AD</v>
          </cell>
        </row>
        <row r="1845">
          <cell r="B1845" t="str">
            <v>Fire Smoke / Heat Detector, Sounder</v>
          </cell>
          <cell r="D1845" t="str">
            <v>Al Hosn Seconday School</v>
          </cell>
          <cell r="H1845" t="str">
            <v>AD</v>
          </cell>
        </row>
        <row r="1846">
          <cell r="B1846" t="str">
            <v>Fire Smoke / Heat Detector, Sounder</v>
          </cell>
          <cell r="D1846" t="str">
            <v>Al Hosn Seconday School</v>
          </cell>
          <cell r="H1846" t="str">
            <v>AD</v>
          </cell>
        </row>
        <row r="1847">
          <cell r="B1847" t="str">
            <v>Fire Smoke / Heat Detector, Sounder</v>
          </cell>
          <cell r="D1847" t="str">
            <v>Al Hosn Seconday School</v>
          </cell>
          <cell r="H1847" t="str">
            <v>AD</v>
          </cell>
        </row>
        <row r="1848">
          <cell r="B1848" t="str">
            <v>Fire Smoke / Heat Detector, Sounder</v>
          </cell>
          <cell r="D1848" t="str">
            <v>Al Hosn Seconday School</v>
          </cell>
          <cell r="H1848" t="str">
            <v>AD</v>
          </cell>
        </row>
        <row r="1849">
          <cell r="B1849" t="str">
            <v>Fire Smoke / Heat Detector, Sounder</v>
          </cell>
          <cell r="D1849" t="str">
            <v>Al Hosn Seconday School</v>
          </cell>
          <cell r="H1849" t="str">
            <v>AD</v>
          </cell>
        </row>
        <row r="1850">
          <cell r="B1850" t="str">
            <v>Fire Smoke / Heat Detector, Sounder</v>
          </cell>
          <cell r="D1850" t="str">
            <v>Al Hosn Seconday School</v>
          </cell>
          <cell r="H1850" t="str">
            <v>AD</v>
          </cell>
        </row>
        <row r="1851">
          <cell r="B1851" t="str">
            <v>Fire Smoke / Heat Detector, Sounder</v>
          </cell>
          <cell r="D1851" t="str">
            <v>Al Hosn Seconday School</v>
          </cell>
          <cell r="H1851" t="str">
            <v>AD</v>
          </cell>
        </row>
        <row r="1852">
          <cell r="B1852" t="str">
            <v>Fire Smoke / Heat Detector, Sounder</v>
          </cell>
          <cell r="D1852" t="str">
            <v>Al Hosn Seconday School</v>
          </cell>
          <cell r="H1852" t="str">
            <v>AD</v>
          </cell>
        </row>
        <row r="1853">
          <cell r="B1853" t="str">
            <v>Fire Smoke / Heat Detector, Sounder</v>
          </cell>
          <cell r="D1853" t="str">
            <v>Al Hosn Seconday School</v>
          </cell>
          <cell r="H1853" t="str">
            <v>AD</v>
          </cell>
        </row>
        <row r="1854">
          <cell r="B1854" t="str">
            <v>Fire Smoke / Heat Detector, Sounder</v>
          </cell>
          <cell r="D1854" t="str">
            <v>Al Hosn Seconday School</v>
          </cell>
          <cell r="H1854" t="str">
            <v>AD</v>
          </cell>
        </row>
        <row r="1855">
          <cell r="B1855" t="str">
            <v>Fire Smoke / Heat Detector, Sounder</v>
          </cell>
          <cell r="D1855" t="str">
            <v>Al Hosn Seconday School</v>
          </cell>
          <cell r="H1855" t="str">
            <v>AD</v>
          </cell>
        </row>
        <row r="1856">
          <cell r="B1856" t="str">
            <v>Fire Smoke / Heat Detector, Sounder</v>
          </cell>
          <cell r="D1856" t="str">
            <v>Al Hosn Seconday School</v>
          </cell>
          <cell r="H1856" t="str">
            <v>AD</v>
          </cell>
        </row>
        <row r="1857">
          <cell r="B1857" t="str">
            <v>Fire Smoke / Heat Detector, Sounder</v>
          </cell>
          <cell r="D1857" t="str">
            <v>Al Hosn Seconday School</v>
          </cell>
          <cell r="H1857" t="str">
            <v>AD</v>
          </cell>
        </row>
        <row r="1858">
          <cell r="B1858" t="str">
            <v>Fire Smoke / Heat Detector, Sounder</v>
          </cell>
          <cell r="D1858" t="str">
            <v>Al Hosn Seconday School</v>
          </cell>
          <cell r="H1858" t="str">
            <v>AD</v>
          </cell>
        </row>
        <row r="1859">
          <cell r="B1859" t="str">
            <v>Fire Smoke / Heat Detector, Sounder</v>
          </cell>
          <cell r="D1859" t="str">
            <v>Al Hosn Seconday School</v>
          </cell>
          <cell r="H1859" t="str">
            <v>AD</v>
          </cell>
        </row>
        <row r="1860">
          <cell r="B1860" t="str">
            <v>Fire Smoke / Heat Detector, Sounder</v>
          </cell>
          <cell r="D1860" t="str">
            <v>Al Hosn Seconday School</v>
          </cell>
          <cell r="H1860" t="str">
            <v>AD</v>
          </cell>
        </row>
        <row r="1861">
          <cell r="B1861" t="str">
            <v>Fire Smoke / Heat Detector, Sounder</v>
          </cell>
          <cell r="D1861" t="str">
            <v>Al Hosn Seconday School</v>
          </cell>
          <cell r="H1861" t="str">
            <v>AD</v>
          </cell>
        </row>
        <row r="1862">
          <cell r="B1862" t="str">
            <v>Fire Smoke / Heat Detector, Sounder</v>
          </cell>
          <cell r="D1862" t="str">
            <v>Al Hosn Seconday School</v>
          </cell>
          <cell r="H1862" t="str">
            <v>AD</v>
          </cell>
        </row>
        <row r="1863">
          <cell r="B1863" t="str">
            <v>Fire Smoke / Heat Detector, Sounder</v>
          </cell>
          <cell r="D1863" t="str">
            <v>Al Hosn Seconday School</v>
          </cell>
          <cell r="H1863" t="str">
            <v>AD</v>
          </cell>
        </row>
        <row r="1864">
          <cell r="B1864" t="str">
            <v>Fire Smoke / Heat Detector, Sounder</v>
          </cell>
          <cell r="D1864" t="str">
            <v>Al Hosn Seconday School</v>
          </cell>
          <cell r="H1864" t="str">
            <v>AD</v>
          </cell>
        </row>
        <row r="1865">
          <cell r="B1865" t="str">
            <v>Fire Smoke / Heat Detector, Sounder</v>
          </cell>
          <cell r="D1865" t="str">
            <v>Al Hosn Seconday School</v>
          </cell>
          <cell r="H1865" t="str">
            <v>AD</v>
          </cell>
        </row>
        <row r="1866">
          <cell r="B1866" t="str">
            <v>Fire Smoke / Heat Detector, Sounder</v>
          </cell>
          <cell r="D1866" t="str">
            <v>Al Hosn Seconday School</v>
          </cell>
          <cell r="H1866" t="str">
            <v>AD</v>
          </cell>
        </row>
        <row r="1867">
          <cell r="B1867" t="str">
            <v>Fire Smoke / Heat Detector, Sounder</v>
          </cell>
          <cell r="D1867" t="str">
            <v>Al Hosn Seconday School</v>
          </cell>
          <cell r="H1867" t="str">
            <v>AD</v>
          </cell>
        </row>
        <row r="1868">
          <cell r="B1868" t="str">
            <v>Fire Smoke / Heat Detector, Sounder</v>
          </cell>
          <cell r="D1868" t="str">
            <v>Al Hosn Seconday School</v>
          </cell>
          <cell r="H1868" t="str">
            <v>AD</v>
          </cell>
        </row>
        <row r="1869">
          <cell r="B1869" t="str">
            <v>Fire Smoke / Heat Detector, Sounder</v>
          </cell>
          <cell r="D1869" t="str">
            <v>Al Hosn Seconday School</v>
          </cell>
          <cell r="H1869" t="str">
            <v>AD</v>
          </cell>
        </row>
        <row r="1870">
          <cell r="B1870" t="str">
            <v>Fire Smoke / Heat Detector, Sounder</v>
          </cell>
          <cell r="D1870" t="str">
            <v>Al Hosn Seconday School</v>
          </cell>
          <cell r="H1870" t="str">
            <v>AD</v>
          </cell>
        </row>
        <row r="1871">
          <cell r="B1871" t="str">
            <v>Fire Smoke / Heat Detector, Sounder</v>
          </cell>
          <cell r="D1871" t="str">
            <v>Al Hosn Seconday School</v>
          </cell>
          <cell r="H1871" t="str">
            <v>AD</v>
          </cell>
        </row>
        <row r="1872">
          <cell r="B1872" t="str">
            <v>Fire Smoke / Heat Detector, Sounder</v>
          </cell>
          <cell r="D1872" t="str">
            <v>Al Hosn Seconday School</v>
          </cell>
          <cell r="H1872" t="str">
            <v>AD</v>
          </cell>
        </row>
        <row r="1873">
          <cell r="B1873" t="str">
            <v>Fire Smoke / Heat Detector, Sounder</v>
          </cell>
          <cell r="D1873" t="str">
            <v>Al Hosn Seconday School</v>
          </cell>
          <cell r="H1873" t="str">
            <v>AD</v>
          </cell>
        </row>
        <row r="1874">
          <cell r="B1874" t="str">
            <v>Fire Smoke / Heat Detector, Sounder</v>
          </cell>
          <cell r="D1874" t="str">
            <v>Al Hosn Seconday School</v>
          </cell>
          <cell r="H1874" t="str">
            <v>AD</v>
          </cell>
        </row>
        <row r="1875">
          <cell r="B1875" t="str">
            <v>Fire Smoke / Heat Detector, Sounder</v>
          </cell>
          <cell r="D1875" t="str">
            <v>Al Hosn Seconday School</v>
          </cell>
          <cell r="H1875" t="str">
            <v>AD</v>
          </cell>
        </row>
        <row r="1876">
          <cell r="B1876" t="str">
            <v>Fire Smoke / Heat Detector, Sounder</v>
          </cell>
          <cell r="D1876" t="str">
            <v>Al Hosn Seconday School</v>
          </cell>
          <cell r="H1876" t="str">
            <v>AD</v>
          </cell>
        </row>
        <row r="1877">
          <cell r="B1877" t="str">
            <v>Fire Smoke / Heat Detector, Sounder</v>
          </cell>
          <cell r="D1877" t="str">
            <v>Al Hosn Seconday School</v>
          </cell>
          <cell r="H1877" t="str">
            <v>AD</v>
          </cell>
        </row>
        <row r="1878">
          <cell r="B1878" t="str">
            <v>Fire Smoke / Heat Detector, Sounder</v>
          </cell>
          <cell r="D1878" t="str">
            <v>Al Hosn Seconday School</v>
          </cell>
          <cell r="H1878" t="str">
            <v>AD</v>
          </cell>
        </row>
        <row r="1879">
          <cell r="B1879" t="str">
            <v>Fire Smoke / Heat Detector, Sounder</v>
          </cell>
          <cell r="D1879" t="str">
            <v>Al Hosn Seconday School</v>
          </cell>
          <cell r="H1879" t="str">
            <v>AD</v>
          </cell>
        </row>
        <row r="1880">
          <cell r="B1880" t="str">
            <v>Fire Smoke / Heat Detector, Sounder</v>
          </cell>
          <cell r="D1880" t="str">
            <v>Al Hosn Seconday School</v>
          </cell>
          <cell r="H1880" t="str">
            <v>AD</v>
          </cell>
        </row>
        <row r="1881">
          <cell r="B1881" t="str">
            <v>Fire Smoke / Heat Detector, Sounder</v>
          </cell>
          <cell r="D1881" t="str">
            <v>Al Hosn Seconday School</v>
          </cell>
          <cell r="H1881" t="str">
            <v>AD</v>
          </cell>
        </row>
        <row r="1882">
          <cell r="B1882" t="str">
            <v>Fire Smoke / Heat Detector, Sounder</v>
          </cell>
          <cell r="D1882" t="str">
            <v>Al Hosn Seconday School</v>
          </cell>
          <cell r="H1882" t="str">
            <v>AD</v>
          </cell>
        </row>
        <row r="1883">
          <cell r="B1883" t="str">
            <v>Fire Smoke / Heat Detector, Sounder</v>
          </cell>
          <cell r="D1883" t="str">
            <v>Al Hosn Seconday School</v>
          </cell>
          <cell r="H1883" t="str">
            <v>AD</v>
          </cell>
        </row>
        <row r="1884">
          <cell r="B1884" t="str">
            <v>Fire Smoke / Heat Detector, Sounder</v>
          </cell>
          <cell r="D1884" t="str">
            <v>Al Hosn Seconday School</v>
          </cell>
          <cell r="H1884" t="str">
            <v>AD</v>
          </cell>
        </row>
        <row r="1885">
          <cell r="B1885" t="str">
            <v>Fire Smoke / Heat Detector, Sounder</v>
          </cell>
          <cell r="D1885" t="str">
            <v>Al Hosn Seconday School</v>
          </cell>
          <cell r="H1885" t="str">
            <v>AD</v>
          </cell>
        </row>
        <row r="1886">
          <cell r="B1886" t="str">
            <v>Fire Smoke / Heat Detector, Sounder</v>
          </cell>
          <cell r="D1886" t="str">
            <v>Al Hosn Seconday School</v>
          </cell>
          <cell r="H1886" t="str">
            <v>AD</v>
          </cell>
        </row>
        <row r="1887">
          <cell r="B1887" t="str">
            <v>Fire Smoke / Heat Detector, Sounder</v>
          </cell>
          <cell r="D1887" t="str">
            <v>Al Hosn Seconday School</v>
          </cell>
          <cell r="H1887" t="str">
            <v>AD</v>
          </cell>
        </row>
        <row r="1888">
          <cell r="B1888" t="str">
            <v>Fire Smoke / Heat Detector, Sounder</v>
          </cell>
          <cell r="D1888" t="str">
            <v>Al Hosn Seconday School</v>
          </cell>
          <cell r="H1888" t="str">
            <v>AD</v>
          </cell>
        </row>
        <row r="1889">
          <cell r="B1889" t="str">
            <v>Fire Smoke / Heat Detector, Sounder</v>
          </cell>
          <cell r="D1889" t="str">
            <v>Al Hosn Seconday School</v>
          </cell>
          <cell r="H1889" t="str">
            <v>AD</v>
          </cell>
        </row>
        <row r="1890">
          <cell r="B1890" t="str">
            <v>Fire Smoke / Heat Detector, Sounder</v>
          </cell>
          <cell r="D1890" t="str">
            <v>Al Hosn Seconday School</v>
          </cell>
          <cell r="H1890" t="str">
            <v>AD</v>
          </cell>
        </row>
        <row r="1891">
          <cell r="B1891" t="str">
            <v>Fire Smoke / Heat Detector, Sounder</v>
          </cell>
          <cell r="D1891" t="str">
            <v>Al Hosn Seconday School</v>
          </cell>
          <cell r="H1891" t="str">
            <v>AD</v>
          </cell>
        </row>
        <row r="1892">
          <cell r="B1892" t="str">
            <v>Fire Smoke / Heat Detector, Sounder</v>
          </cell>
          <cell r="D1892" t="str">
            <v>Al Hosn Seconday School</v>
          </cell>
          <cell r="H1892" t="str">
            <v>AD</v>
          </cell>
        </row>
        <row r="1893">
          <cell r="B1893" t="str">
            <v>Fire Smoke / Heat Detector, Sounder</v>
          </cell>
          <cell r="D1893" t="str">
            <v>Al Hosn Seconday School</v>
          </cell>
          <cell r="H1893" t="str">
            <v>AD</v>
          </cell>
        </row>
        <row r="1894">
          <cell r="B1894" t="str">
            <v>Fire Smoke / Heat Detector, Sounder</v>
          </cell>
          <cell r="D1894" t="str">
            <v>Al Hosn Seconday School</v>
          </cell>
          <cell r="H1894" t="str">
            <v>AD</v>
          </cell>
        </row>
        <row r="1895">
          <cell r="B1895" t="str">
            <v>Fire Smoke / Heat Detector, Sounder</v>
          </cell>
          <cell r="D1895" t="str">
            <v>Al Hosn Seconday School</v>
          </cell>
          <cell r="H1895" t="str">
            <v>AD</v>
          </cell>
        </row>
        <row r="1896">
          <cell r="B1896" t="str">
            <v>Fire Smoke / Heat Detector, Sounder</v>
          </cell>
          <cell r="D1896" t="str">
            <v>Al Hosn Seconday School</v>
          </cell>
          <cell r="H1896" t="str">
            <v>AD</v>
          </cell>
        </row>
        <row r="1897">
          <cell r="B1897" t="str">
            <v>Fire Smoke / Heat Detector, Sounder</v>
          </cell>
          <cell r="D1897" t="str">
            <v>Al Hosn Seconday School</v>
          </cell>
          <cell r="H1897" t="str">
            <v>AD</v>
          </cell>
        </row>
        <row r="1898">
          <cell r="B1898" t="str">
            <v>Fire Smoke / Heat Detector, Sounder</v>
          </cell>
          <cell r="D1898" t="str">
            <v>Al Hosn Seconday School</v>
          </cell>
          <cell r="H1898" t="str">
            <v>AD</v>
          </cell>
        </row>
        <row r="1899">
          <cell r="B1899" t="str">
            <v>Fire Smoke / Heat Detector, Sounder</v>
          </cell>
          <cell r="D1899" t="str">
            <v>Al Hosn Seconday School</v>
          </cell>
          <cell r="H1899" t="str">
            <v>AD</v>
          </cell>
        </row>
        <row r="1900">
          <cell r="B1900" t="str">
            <v>Fire Smoke / Heat Detector, Sounder</v>
          </cell>
          <cell r="D1900" t="str">
            <v>Al Hosn Seconday School</v>
          </cell>
          <cell r="H1900" t="str">
            <v>AD</v>
          </cell>
        </row>
        <row r="1901">
          <cell r="B1901" t="str">
            <v>Fire Smoke / Heat Detector, Sounder</v>
          </cell>
          <cell r="D1901" t="str">
            <v>Al Hosn Seconday School</v>
          </cell>
          <cell r="H1901" t="str">
            <v>AD</v>
          </cell>
        </row>
        <row r="1902">
          <cell r="B1902" t="str">
            <v>Fire Smoke / Heat Detector, Sounder</v>
          </cell>
          <cell r="D1902" t="str">
            <v>Al Hosn Seconday School</v>
          </cell>
          <cell r="H1902" t="str">
            <v>AD</v>
          </cell>
        </row>
        <row r="1903">
          <cell r="B1903" t="str">
            <v>Fire Smoke / Heat Detector, Sounder</v>
          </cell>
          <cell r="D1903" t="str">
            <v>Al Hosn Seconday School</v>
          </cell>
          <cell r="H1903" t="str">
            <v>AD</v>
          </cell>
        </row>
        <row r="1904">
          <cell r="B1904" t="str">
            <v>Fire Smoke / Heat Detector, Sounder</v>
          </cell>
          <cell r="D1904" t="str">
            <v>Al Hosn Seconday School</v>
          </cell>
          <cell r="H1904" t="str">
            <v>AD</v>
          </cell>
        </row>
        <row r="1905">
          <cell r="B1905" t="str">
            <v>Fire Smoke / Heat Detector, Sounder</v>
          </cell>
          <cell r="D1905" t="str">
            <v>Al Hosn Seconday School</v>
          </cell>
          <cell r="H1905" t="str">
            <v>AD</v>
          </cell>
        </row>
        <row r="1906">
          <cell r="B1906" t="str">
            <v>Fire Smoke / Heat Detector, Sounder</v>
          </cell>
          <cell r="D1906" t="str">
            <v>Al Hosn Seconday School</v>
          </cell>
          <cell r="H1906" t="str">
            <v>AD</v>
          </cell>
        </row>
        <row r="1907">
          <cell r="B1907" t="str">
            <v>Fire Smoke / Heat Detector, Sounder</v>
          </cell>
          <cell r="D1907" t="str">
            <v>Al Hosn Seconday School</v>
          </cell>
          <cell r="H1907" t="str">
            <v>AD</v>
          </cell>
        </row>
        <row r="1908">
          <cell r="B1908" t="str">
            <v>Fire Smoke / Heat Detector, Sounder</v>
          </cell>
          <cell r="D1908" t="str">
            <v>Al Hosn Seconday School</v>
          </cell>
          <cell r="H1908" t="str">
            <v>AD</v>
          </cell>
        </row>
        <row r="1909">
          <cell r="B1909" t="str">
            <v>Fire Smoke / Heat Detector, Sounder</v>
          </cell>
          <cell r="D1909" t="str">
            <v>Al Hosn Seconday School</v>
          </cell>
          <cell r="H1909" t="str">
            <v>AD</v>
          </cell>
        </row>
        <row r="1910">
          <cell r="B1910" t="str">
            <v>Fire Smoke / Heat Detector, Sounder</v>
          </cell>
          <cell r="D1910" t="str">
            <v>Al Hosn Seconday School</v>
          </cell>
          <cell r="H1910" t="str">
            <v>AD</v>
          </cell>
        </row>
        <row r="1911">
          <cell r="B1911" t="str">
            <v>Fire Smoke / Heat Detector, Sounder</v>
          </cell>
          <cell r="D1911" t="str">
            <v>Al Hosn Seconday School</v>
          </cell>
          <cell r="H1911" t="str">
            <v>AD</v>
          </cell>
        </row>
        <row r="1912">
          <cell r="B1912" t="str">
            <v>Fire Smoke / Heat Detector, Sounder</v>
          </cell>
          <cell r="D1912" t="str">
            <v>Al Hosn Seconday School</v>
          </cell>
          <cell r="H1912" t="str">
            <v>AD</v>
          </cell>
        </row>
        <row r="1913">
          <cell r="B1913" t="str">
            <v>Fire Smoke / Heat Detector, Sounder</v>
          </cell>
          <cell r="D1913" t="str">
            <v>Al Hosn Seconday School</v>
          </cell>
          <cell r="H1913" t="str">
            <v>AD</v>
          </cell>
        </row>
        <row r="1914">
          <cell r="B1914" t="str">
            <v>Fire Smoke / Heat Detector, Sounder</v>
          </cell>
          <cell r="D1914" t="str">
            <v>Al Hosn Seconday School</v>
          </cell>
          <cell r="H1914" t="str">
            <v>AD</v>
          </cell>
        </row>
        <row r="1915">
          <cell r="B1915" t="str">
            <v>Fire Smoke / Heat Detector, Sounder</v>
          </cell>
          <cell r="D1915" t="str">
            <v>Al Hosn Seconday School</v>
          </cell>
          <cell r="H1915" t="str">
            <v>AD</v>
          </cell>
        </row>
        <row r="1916">
          <cell r="B1916" t="str">
            <v>Fire Smoke / Heat Detector, Sounder</v>
          </cell>
          <cell r="D1916" t="str">
            <v>Al Hosn Seconday School</v>
          </cell>
          <cell r="H1916" t="str">
            <v>AD</v>
          </cell>
        </row>
        <row r="1917">
          <cell r="B1917" t="str">
            <v>Gas Manifolds</v>
          </cell>
          <cell r="D1917" t="str">
            <v>Al Hosn Seconday School</v>
          </cell>
          <cell r="H1917" t="str">
            <v>AD</v>
          </cell>
        </row>
        <row r="1918">
          <cell r="B1918" t="str">
            <v>Goods Lift</v>
          </cell>
          <cell r="D1918" t="str">
            <v>Al Hosn Seconday School</v>
          </cell>
          <cell r="H1918" t="str">
            <v>AD</v>
          </cell>
        </row>
        <row r="1919">
          <cell r="B1919" t="str">
            <v>Irrigation System</v>
          </cell>
          <cell r="D1919" t="str">
            <v>Al Hosn Seconday School</v>
          </cell>
          <cell r="H1919" t="str">
            <v>AD</v>
          </cell>
        </row>
        <row r="1920">
          <cell r="B1920" t="str">
            <v>Irrigation System</v>
          </cell>
          <cell r="D1920" t="str">
            <v>Al Hosn Seconday School</v>
          </cell>
          <cell r="H1920" t="str">
            <v>AD</v>
          </cell>
        </row>
        <row r="1921">
          <cell r="B1921" t="str">
            <v>Irrigation System</v>
          </cell>
          <cell r="D1921" t="str">
            <v>Al Hosn Seconday School</v>
          </cell>
          <cell r="H1921" t="str">
            <v>AD</v>
          </cell>
        </row>
        <row r="1922">
          <cell r="B1922" t="str">
            <v>Irrigation System</v>
          </cell>
          <cell r="D1922" t="str">
            <v>Al Hosn Seconday School</v>
          </cell>
          <cell r="H1922" t="str">
            <v>AD</v>
          </cell>
        </row>
        <row r="1923">
          <cell r="B1923" t="str">
            <v>Irrigation System</v>
          </cell>
          <cell r="D1923" t="str">
            <v>Al Hosn Seconday School</v>
          </cell>
          <cell r="H1923" t="str">
            <v>AD</v>
          </cell>
        </row>
        <row r="1924">
          <cell r="B1924" t="str">
            <v>LPG Gas System</v>
          </cell>
          <cell r="D1924" t="str">
            <v>Al Hosn Seconday School</v>
          </cell>
          <cell r="H1924" t="str">
            <v>AD</v>
          </cell>
        </row>
        <row r="1925">
          <cell r="B1925" t="str">
            <v>LPG Gas System</v>
          </cell>
          <cell r="D1925" t="str">
            <v>Al Hosn Seconday School</v>
          </cell>
          <cell r="H1925" t="str">
            <v>AD</v>
          </cell>
        </row>
        <row r="1926">
          <cell r="B1926" t="str">
            <v>LPG Gas System</v>
          </cell>
          <cell r="D1926" t="str">
            <v>Al Hosn Seconday School</v>
          </cell>
          <cell r="H1926" t="str">
            <v>AD</v>
          </cell>
        </row>
        <row r="1927">
          <cell r="B1927" t="str">
            <v>LPG Gas System</v>
          </cell>
          <cell r="D1927" t="str">
            <v>Al Hosn Seconday School</v>
          </cell>
          <cell r="H1927" t="str">
            <v>AD</v>
          </cell>
        </row>
        <row r="1928">
          <cell r="B1928" t="str">
            <v>LPG Gas System</v>
          </cell>
          <cell r="D1928" t="str">
            <v>Al Hosn Seconday School</v>
          </cell>
          <cell r="H1928" t="str">
            <v>AD</v>
          </cell>
        </row>
        <row r="1929">
          <cell r="B1929" t="str">
            <v>LPG Gas System</v>
          </cell>
          <cell r="D1929" t="str">
            <v>Al Hosn Seconday School</v>
          </cell>
          <cell r="H1929" t="str">
            <v>AD</v>
          </cell>
        </row>
        <row r="1930">
          <cell r="B1930" t="str">
            <v>LPG Gas System</v>
          </cell>
          <cell r="D1930" t="str">
            <v>Al Hosn Seconday School</v>
          </cell>
          <cell r="H1930" t="str">
            <v>AD</v>
          </cell>
        </row>
        <row r="1931">
          <cell r="B1931" t="str">
            <v>LPG Gas System</v>
          </cell>
          <cell r="D1931" t="str">
            <v>Al Hosn Seconday School</v>
          </cell>
          <cell r="H1931" t="str">
            <v>AD</v>
          </cell>
        </row>
        <row r="1932">
          <cell r="B1932" t="str">
            <v>Automatic Dry Powder Cylinder</v>
          </cell>
          <cell r="D1932" t="str">
            <v>Al Jana'aen Primary School</v>
          </cell>
          <cell r="H1932" t="str">
            <v>AD</v>
          </cell>
        </row>
        <row r="1933">
          <cell r="B1933" t="str">
            <v>Elevator</v>
          </cell>
          <cell r="D1933" t="str">
            <v>Al Jana'aen Primary School</v>
          </cell>
          <cell r="H1933" t="str">
            <v>AD</v>
          </cell>
        </row>
        <row r="1934">
          <cell r="B1934" t="str">
            <v>Fire Alarm Break Glass Call Point</v>
          </cell>
          <cell r="D1934" t="str">
            <v>Al Jana'aen Primary School</v>
          </cell>
          <cell r="H1934" t="str">
            <v>AD</v>
          </cell>
        </row>
        <row r="1935">
          <cell r="B1935" t="str">
            <v>Fire Alarm Break Glass Call Point</v>
          </cell>
          <cell r="D1935" t="str">
            <v>Al Jana'aen Primary School</v>
          </cell>
          <cell r="H1935" t="str">
            <v>AD</v>
          </cell>
        </row>
        <row r="1936">
          <cell r="B1936" t="str">
            <v>Fire Alarm Break Glass Call Point</v>
          </cell>
          <cell r="D1936" t="str">
            <v>Al Jana'aen Primary School</v>
          </cell>
          <cell r="H1936" t="str">
            <v>AD</v>
          </cell>
        </row>
        <row r="1937">
          <cell r="B1937" t="str">
            <v>Fire Alarm Break Glass Call Point</v>
          </cell>
          <cell r="D1937" t="str">
            <v>Al Jana'aen Primary School</v>
          </cell>
          <cell r="H1937" t="str">
            <v>AD</v>
          </cell>
        </row>
        <row r="1938">
          <cell r="B1938" t="str">
            <v>Fire Alarm Break Glass Call Point</v>
          </cell>
          <cell r="D1938" t="str">
            <v>Al Jana'aen Primary School</v>
          </cell>
          <cell r="H1938" t="str">
            <v>AD</v>
          </cell>
        </row>
        <row r="1939">
          <cell r="B1939" t="str">
            <v>Fire Alarm Break Glass Call Point</v>
          </cell>
          <cell r="D1939" t="str">
            <v>Al Jana'aen Primary School</v>
          </cell>
          <cell r="H1939" t="str">
            <v>AD</v>
          </cell>
        </row>
        <row r="1940">
          <cell r="B1940" t="str">
            <v>Fire Alarm Break Glass Call Point</v>
          </cell>
          <cell r="D1940" t="str">
            <v>Al Jana'aen Primary School</v>
          </cell>
          <cell r="H1940" t="str">
            <v>AD</v>
          </cell>
        </row>
        <row r="1941">
          <cell r="B1941" t="str">
            <v>Fire Alarm Break Glass Call Point</v>
          </cell>
          <cell r="D1941" t="str">
            <v>Al Jana'aen Primary School</v>
          </cell>
          <cell r="H1941" t="str">
            <v>AD</v>
          </cell>
        </row>
        <row r="1942">
          <cell r="B1942" t="str">
            <v>Fire Alarm Break Glass Call Point</v>
          </cell>
          <cell r="D1942" t="str">
            <v>Al Jana'aen Primary School</v>
          </cell>
          <cell r="H1942" t="str">
            <v>AD</v>
          </cell>
        </row>
        <row r="1943">
          <cell r="B1943" t="str">
            <v>Fire Alarm Break Glass Call Point</v>
          </cell>
          <cell r="D1943" t="str">
            <v>Al Jana'aen Primary School</v>
          </cell>
          <cell r="H1943" t="str">
            <v>AD</v>
          </cell>
        </row>
        <row r="1944">
          <cell r="B1944" t="str">
            <v>Fire Alarm Break Glass Call Point</v>
          </cell>
          <cell r="D1944" t="str">
            <v>Al Jana'aen Primary School</v>
          </cell>
          <cell r="H1944" t="str">
            <v>AD</v>
          </cell>
        </row>
        <row r="1945">
          <cell r="B1945" t="str">
            <v>Fire Alarm Break Glass Call Point</v>
          </cell>
          <cell r="D1945" t="str">
            <v>Al Jana'aen Primary School</v>
          </cell>
          <cell r="H1945" t="str">
            <v>AD</v>
          </cell>
        </row>
        <row r="1946">
          <cell r="B1946" t="str">
            <v>Fire Alarm Break Glass Call Point</v>
          </cell>
          <cell r="D1946" t="str">
            <v>Al Jana'aen Primary School</v>
          </cell>
          <cell r="H1946" t="str">
            <v>AD</v>
          </cell>
        </row>
        <row r="1947">
          <cell r="B1947" t="str">
            <v>Fire Alarm Break Glass Call Point</v>
          </cell>
          <cell r="D1947" t="str">
            <v>Al Jana'aen Primary School</v>
          </cell>
          <cell r="H1947" t="str">
            <v>AD</v>
          </cell>
        </row>
        <row r="1948">
          <cell r="B1948" t="str">
            <v>Fire Alarm Break Glass Call Point</v>
          </cell>
          <cell r="D1948" t="str">
            <v>Al Jana'aen Primary School</v>
          </cell>
          <cell r="H1948" t="str">
            <v>AD</v>
          </cell>
        </row>
        <row r="1949">
          <cell r="B1949" t="str">
            <v>Fire Alarm Break Glass Call Point</v>
          </cell>
          <cell r="D1949" t="str">
            <v>Al Jana'aen Primary School</v>
          </cell>
          <cell r="H1949" t="str">
            <v>AD</v>
          </cell>
        </row>
        <row r="1950">
          <cell r="B1950" t="str">
            <v>Fire Alarm Break Glass Call Point</v>
          </cell>
          <cell r="D1950" t="str">
            <v>Al Jana'aen Primary School</v>
          </cell>
          <cell r="H1950" t="str">
            <v>AD</v>
          </cell>
        </row>
        <row r="1951">
          <cell r="B1951" t="str">
            <v>Fire Alarm Panel</v>
          </cell>
          <cell r="D1951" t="str">
            <v>Al Jana'aen Primary School</v>
          </cell>
          <cell r="H1951" t="str">
            <v>AD</v>
          </cell>
        </row>
        <row r="1952">
          <cell r="B1952" t="str">
            <v>Fire Alarm Panel</v>
          </cell>
          <cell r="D1952" t="str">
            <v>Al Jana'aen Primary School</v>
          </cell>
          <cell r="H1952" t="str">
            <v>AD</v>
          </cell>
        </row>
        <row r="1953">
          <cell r="B1953" t="str">
            <v>Fire Alarm Panel</v>
          </cell>
          <cell r="D1953" t="str">
            <v>Al Jana'aen Primary School</v>
          </cell>
          <cell r="H1953" t="str">
            <v>AD</v>
          </cell>
        </row>
        <row r="1954">
          <cell r="B1954" t="str">
            <v>Fire Alarm Sounder, Bell, Light</v>
          </cell>
          <cell r="D1954" t="str">
            <v>Al Jana'aen Primary School</v>
          </cell>
          <cell r="H1954" t="str">
            <v>AD</v>
          </cell>
        </row>
        <row r="1955">
          <cell r="B1955" t="str">
            <v>Fire Alarm Sounder, Bell, Light</v>
          </cell>
          <cell r="D1955" t="str">
            <v>Al Jana'aen Primary School</v>
          </cell>
          <cell r="H1955" t="str">
            <v>AD</v>
          </cell>
        </row>
        <row r="1956">
          <cell r="B1956" t="str">
            <v>Fire Alarm Sounder, Bell, Light</v>
          </cell>
          <cell r="D1956" t="str">
            <v>Al Jana'aen Primary School</v>
          </cell>
          <cell r="H1956" t="str">
            <v>AD</v>
          </cell>
        </row>
        <row r="1957">
          <cell r="B1957" t="str">
            <v>Fire Alarm Sounder, Bell, Light</v>
          </cell>
          <cell r="D1957" t="str">
            <v>Al Jana'aen Primary School</v>
          </cell>
          <cell r="H1957" t="str">
            <v>AD</v>
          </cell>
        </row>
        <row r="1958">
          <cell r="B1958" t="str">
            <v>Fire Alarm Sounder, Bell, Light</v>
          </cell>
          <cell r="D1958" t="str">
            <v>Al Jana'aen Primary School</v>
          </cell>
          <cell r="H1958" t="str">
            <v>AD</v>
          </cell>
        </row>
        <row r="1959">
          <cell r="B1959" t="str">
            <v>Fire Alarm Sounder, Bell, Light</v>
          </cell>
          <cell r="D1959" t="str">
            <v>Al Jana'aen Primary School</v>
          </cell>
          <cell r="H1959" t="str">
            <v>AD</v>
          </cell>
        </row>
        <row r="1960">
          <cell r="B1960" t="str">
            <v>Fire Alarm Sounder, Bell, Light</v>
          </cell>
          <cell r="D1960" t="str">
            <v>Al Jana'aen Primary School</v>
          </cell>
          <cell r="H1960" t="str">
            <v>AD</v>
          </cell>
        </row>
        <row r="1961">
          <cell r="B1961" t="str">
            <v>Fire Alarm Sounder, Bell, Light</v>
          </cell>
          <cell r="D1961" t="str">
            <v>Al Jana'aen Primary School</v>
          </cell>
          <cell r="H1961" t="str">
            <v>AD</v>
          </cell>
        </row>
        <row r="1962">
          <cell r="B1962" t="str">
            <v>Fire Alarm Sounder, Bell, Light</v>
          </cell>
          <cell r="D1962" t="str">
            <v>Al Jana'aen Primary School</v>
          </cell>
          <cell r="H1962" t="str">
            <v>AD</v>
          </cell>
        </row>
        <row r="1963">
          <cell r="B1963" t="str">
            <v>Fire Alarm Sounder, Bell, Light</v>
          </cell>
          <cell r="D1963" t="str">
            <v>Al Jana'aen Primary School</v>
          </cell>
          <cell r="H1963" t="str">
            <v>AD</v>
          </cell>
        </row>
        <row r="1964">
          <cell r="B1964" t="str">
            <v>Fire Alarm Sounder, Bell, Light</v>
          </cell>
          <cell r="D1964" t="str">
            <v>Al Jana'aen Primary School</v>
          </cell>
          <cell r="H1964" t="str">
            <v>AD</v>
          </cell>
        </row>
        <row r="1965">
          <cell r="B1965" t="str">
            <v>Fire Alarm Sounder, Bell, Light</v>
          </cell>
          <cell r="D1965" t="str">
            <v>Al Jana'aen Primary School</v>
          </cell>
          <cell r="H1965" t="str">
            <v>AD</v>
          </cell>
        </row>
        <row r="1966">
          <cell r="B1966" t="str">
            <v>Fire Alarm Sounder, Bell, Light</v>
          </cell>
          <cell r="D1966" t="str">
            <v>Al Jana'aen Primary School</v>
          </cell>
          <cell r="H1966" t="str">
            <v>AD</v>
          </cell>
        </row>
        <row r="1967">
          <cell r="B1967" t="str">
            <v>Fire Alarm Sounder, Bell, Light</v>
          </cell>
          <cell r="D1967" t="str">
            <v>Al Jana'aen Primary School</v>
          </cell>
          <cell r="H1967" t="str">
            <v>AD</v>
          </cell>
        </row>
        <row r="1968">
          <cell r="B1968" t="str">
            <v>Fire Alarm Sounder, Bell, Light</v>
          </cell>
          <cell r="D1968" t="str">
            <v>Al Jana'aen Primary School</v>
          </cell>
          <cell r="H1968" t="str">
            <v>AD</v>
          </cell>
        </row>
        <row r="1969">
          <cell r="B1969" t="str">
            <v>Fire Alarm Sounder, Bell, Light</v>
          </cell>
          <cell r="D1969" t="str">
            <v>Al Jana'aen Primary School</v>
          </cell>
          <cell r="H1969" t="str">
            <v>AD</v>
          </cell>
        </row>
        <row r="1970">
          <cell r="B1970" t="str">
            <v>Fire Alarm Sounder, Bell, Light</v>
          </cell>
          <cell r="D1970" t="str">
            <v>Al Jana'aen Primary School</v>
          </cell>
          <cell r="H1970" t="str">
            <v>AD</v>
          </cell>
        </row>
        <row r="1971">
          <cell r="B1971" t="str">
            <v>Fire Alarm Sounder, Bell, Light</v>
          </cell>
          <cell r="D1971" t="str">
            <v>Al Jana'aen Primary School</v>
          </cell>
          <cell r="H1971" t="str">
            <v>AD</v>
          </cell>
        </row>
        <row r="1972">
          <cell r="B1972" t="str">
            <v>Fire Alarm Sounder, Bell, Light</v>
          </cell>
          <cell r="D1972" t="str">
            <v>Al Jana'aen Primary School</v>
          </cell>
          <cell r="H1972" t="str">
            <v>AD</v>
          </cell>
        </row>
        <row r="1973">
          <cell r="B1973" t="str">
            <v>Fire Alarm Sounder, Bell, Light</v>
          </cell>
          <cell r="D1973" t="str">
            <v>Al Jana'aen Primary School</v>
          </cell>
          <cell r="H1973" t="str">
            <v>AD</v>
          </cell>
        </row>
        <row r="1974">
          <cell r="B1974" t="str">
            <v>Fire Alarm Sounder, Bell, Light</v>
          </cell>
          <cell r="D1974" t="str">
            <v>Al Jana'aen Primary School</v>
          </cell>
          <cell r="H1974" t="str">
            <v>AD</v>
          </cell>
        </row>
        <row r="1975">
          <cell r="B1975" t="str">
            <v>Fire Alarm Sounder, Bell, Light</v>
          </cell>
          <cell r="D1975" t="str">
            <v>Al Jana'aen Primary School</v>
          </cell>
          <cell r="H1975" t="str">
            <v>AD</v>
          </cell>
        </row>
        <row r="1976">
          <cell r="B1976" t="str">
            <v>Fire Alarm Sounder, Bell, Light</v>
          </cell>
          <cell r="D1976" t="str">
            <v>Al Jana'aen Primary School</v>
          </cell>
          <cell r="H1976" t="str">
            <v>AD</v>
          </cell>
        </row>
        <row r="1977">
          <cell r="B1977" t="str">
            <v>Fire Alarm Sounder, Bell, Light</v>
          </cell>
          <cell r="D1977" t="str">
            <v>Al Jana'aen Primary School</v>
          </cell>
          <cell r="H1977" t="str">
            <v>AD</v>
          </cell>
        </row>
        <row r="1978">
          <cell r="B1978" t="str">
            <v>Fire Alarm Sounder, Bell, Light</v>
          </cell>
          <cell r="D1978" t="str">
            <v>Al Jana'aen Primary School</v>
          </cell>
          <cell r="H1978" t="str">
            <v>AD</v>
          </cell>
        </row>
        <row r="1979">
          <cell r="B1979" t="str">
            <v>Fire Alarm Sounder, Bell, Light</v>
          </cell>
          <cell r="D1979" t="str">
            <v>Al Jana'aen Primary School</v>
          </cell>
          <cell r="H1979" t="str">
            <v>AD</v>
          </cell>
        </row>
        <row r="1980">
          <cell r="B1980" t="str">
            <v>Fire Alarm Sounder, Bell, Light</v>
          </cell>
          <cell r="D1980" t="str">
            <v>Al Jana'aen Primary School</v>
          </cell>
          <cell r="H1980" t="str">
            <v>AD</v>
          </cell>
        </row>
        <row r="1981">
          <cell r="B1981" t="str">
            <v>Fire Alarm Sounder, Bell, Light</v>
          </cell>
          <cell r="D1981" t="str">
            <v>Al Jana'aen Primary School</v>
          </cell>
          <cell r="H1981" t="str">
            <v>AD</v>
          </cell>
        </row>
        <row r="1982">
          <cell r="B1982" t="str">
            <v>Fire Alarm Sounder, Bell, Light</v>
          </cell>
          <cell r="D1982" t="str">
            <v>Al Jana'aen Primary School</v>
          </cell>
          <cell r="H1982" t="str">
            <v>AD</v>
          </cell>
        </row>
        <row r="1983">
          <cell r="B1983" t="str">
            <v>Fire Alarm Sounder, Bell, Light</v>
          </cell>
          <cell r="D1983" t="str">
            <v>Al Jana'aen Primary School</v>
          </cell>
          <cell r="H1983" t="str">
            <v>AD</v>
          </cell>
        </row>
        <row r="1984">
          <cell r="B1984" t="str">
            <v>Fire Alarm Sounder, Bell, Light</v>
          </cell>
          <cell r="D1984" t="str">
            <v>Al Jana'aen Primary School</v>
          </cell>
          <cell r="H1984" t="str">
            <v>AD</v>
          </cell>
        </row>
        <row r="1985">
          <cell r="B1985" t="str">
            <v>Fire Alarm Sounder, Bell, Light</v>
          </cell>
          <cell r="D1985" t="str">
            <v>Al Jana'aen Primary School</v>
          </cell>
          <cell r="H1985" t="str">
            <v>AD</v>
          </cell>
        </row>
        <row r="1986">
          <cell r="B1986" t="str">
            <v>Fire Alarm Sounder, Bell, Light</v>
          </cell>
          <cell r="D1986" t="str">
            <v>Al Jana'aen Primary School</v>
          </cell>
          <cell r="H1986" t="str">
            <v>AD</v>
          </cell>
        </row>
        <row r="1987">
          <cell r="B1987" t="str">
            <v>Fire Alarm Sounder, Bell, Light</v>
          </cell>
          <cell r="D1987" t="str">
            <v>Al Jana'aen Primary School</v>
          </cell>
          <cell r="H1987" t="str">
            <v>AD</v>
          </cell>
        </row>
        <row r="1988">
          <cell r="B1988" t="str">
            <v>Fire Alarm Sounder, Bell, Light</v>
          </cell>
          <cell r="D1988" t="str">
            <v>Al Jana'aen Primary School</v>
          </cell>
          <cell r="H1988" t="str">
            <v>AD</v>
          </cell>
        </row>
        <row r="1989">
          <cell r="B1989" t="str">
            <v>Fire Extinguisher</v>
          </cell>
          <cell r="D1989" t="str">
            <v>Al Jana'aen Primary School</v>
          </cell>
          <cell r="H1989" t="str">
            <v>AD</v>
          </cell>
        </row>
        <row r="1990">
          <cell r="B1990" t="str">
            <v>Fire Extinguisher</v>
          </cell>
          <cell r="D1990" t="str">
            <v>Al Jana'aen Primary School</v>
          </cell>
          <cell r="H1990" t="str">
            <v>AD</v>
          </cell>
        </row>
        <row r="1991">
          <cell r="B1991" t="str">
            <v>Fire Extinguisher</v>
          </cell>
          <cell r="D1991" t="str">
            <v>Al Jana'aen Primary School</v>
          </cell>
          <cell r="H1991" t="str">
            <v>AD</v>
          </cell>
        </row>
        <row r="1992">
          <cell r="B1992" t="str">
            <v>Fire Extinguisher</v>
          </cell>
          <cell r="D1992" t="str">
            <v>Al Jana'aen Primary School</v>
          </cell>
          <cell r="H1992" t="str">
            <v>AD</v>
          </cell>
        </row>
        <row r="1993">
          <cell r="B1993" t="str">
            <v>Fire Extinguisher</v>
          </cell>
          <cell r="D1993" t="str">
            <v>Al Jana'aen Primary School</v>
          </cell>
          <cell r="H1993" t="str">
            <v>AD</v>
          </cell>
        </row>
        <row r="1994">
          <cell r="B1994" t="str">
            <v>Fire Extinguisher</v>
          </cell>
          <cell r="D1994" t="str">
            <v>Al Jana'aen Primary School</v>
          </cell>
          <cell r="H1994" t="str">
            <v>AD</v>
          </cell>
        </row>
        <row r="1995">
          <cell r="B1995" t="str">
            <v>Fire Extinguisher</v>
          </cell>
          <cell r="D1995" t="str">
            <v>Al Jana'aen Primary School</v>
          </cell>
          <cell r="H1995" t="str">
            <v>AD</v>
          </cell>
        </row>
        <row r="1996">
          <cell r="B1996" t="str">
            <v>Fire Extinguisher</v>
          </cell>
          <cell r="D1996" t="str">
            <v>Al Jana'aen Primary School</v>
          </cell>
          <cell r="H1996" t="str">
            <v>AD</v>
          </cell>
        </row>
        <row r="1997">
          <cell r="B1997" t="str">
            <v>Fire Extinguisher</v>
          </cell>
          <cell r="D1997" t="str">
            <v>Al Jana'aen Primary School</v>
          </cell>
          <cell r="H1997" t="str">
            <v>AD</v>
          </cell>
        </row>
        <row r="1998">
          <cell r="B1998" t="str">
            <v>Fire Extinguisher</v>
          </cell>
          <cell r="D1998" t="str">
            <v>Al Jana'aen Primary School</v>
          </cell>
          <cell r="H1998" t="str">
            <v>AD</v>
          </cell>
        </row>
        <row r="1999">
          <cell r="B1999" t="str">
            <v>Fire Extinguisher</v>
          </cell>
          <cell r="D1999" t="str">
            <v>Al Jana'aen Primary School</v>
          </cell>
          <cell r="H1999" t="str">
            <v>AD</v>
          </cell>
        </row>
        <row r="2000">
          <cell r="B2000" t="str">
            <v>Fire Extinguisher</v>
          </cell>
          <cell r="D2000" t="str">
            <v>Al Jana'aen Primary School</v>
          </cell>
          <cell r="H2000" t="str">
            <v>AD</v>
          </cell>
        </row>
        <row r="2001">
          <cell r="B2001" t="str">
            <v>Fire Extinguisher</v>
          </cell>
          <cell r="D2001" t="str">
            <v>Al Jana'aen Primary School</v>
          </cell>
          <cell r="H2001" t="str">
            <v>AD</v>
          </cell>
        </row>
        <row r="2002">
          <cell r="B2002" t="str">
            <v>Fire Extinguisher</v>
          </cell>
          <cell r="D2002" t="str">
            <v>Al Jana'aen Primary School</v>
          </cell>
          <cell r="H2002" t="str">
            <v>AD</v>
          </cell>
        </row>
        <row r="2003">
          <cell r="B2003" t="str">
            <v>Fire Extinguisher</v>
          </cell>
          <cell r="D2003" t="str">
            <v>Al Jana'aen Primary School</v>
          </cell>
          <cell r="H2003" t="str">
            <v>AD</v>
          </cell>
        </row>
        <row r="2004">
          <cell r="B2004" t="str">
            <v>Fire Extinguisher</v>
          </cell>
          <cell r="D2004" t="str">
            <v>Al Jana'aen Primary School</v>
          </cell>
          <cell r="H2004" t="str">
            <v>AD</v>
          </cell>
        </row>
        <row r="2005">
          <cell r="B2005" t="str">
            <v>Fire Extinguisher</v>
          </cell>
          <cell r="D2005" t="str">
            <v>Al Jana'aen Primary School</v>
          </cell>
          <cell r="H2005" t="str">
            <v>AD</v>
          </cell>
        </row>
        <row r="2006">
          <cell r="B2006" t="str">
            <v>Fire Extinguisher</v>
          </cell>
          <cell r="D2006" t="str">
            <v>Al Jana'aen Primary School</v>
          </cell>
          <cell r="H2006" t="str">
            <v>AD</v>
          </cell>
        </row>
        <row r="2007">
          <cell r="B2007" t="str">
            <v>Fire Extinguisher</v>
          </cell>
          <cell r="D2007" t="str">
            <v>Al Jana'aen Primary School</v>
          </cell>
          <cell r="H2007" t="str">
            <v>AD</v>
          </cell>
        </row>
        <row r="2008">
          <cell r="B2008" t="str">
            <v>Fire Extinguisher</v>
          </cell>
          <cell r="D2008" t="str">
            <v>Al Jana'aen Primary School</v>
          </cell>
          <cell r="H2008" t="str">
            <v>AD</v>
          </cell>
        </row>
        <row r="2009">
          <cell r="B2009" t="str">
            <v>Fire Extinguisher</v>
          </cell>
          <cell r="D2009" t="str">
            <v>Al Jana'aen Primary School</v>
          </cell>
          <cell r="H2009" t="str">
            <v>AD</v>
          </cell>
        </row>
        <row r="2010">
          <cell r="B2010" t="str">
            <v>Fire Extinguisher</v>
          </cell>
          <cell r="D2010" t="str">
            <v>Al Jana'aen Primary School</v>
          </cell>
          <cell r="H2010" t="str">
            <v>AD</v>
          </cell>
        </row>
        <row r="2011">
          <cell r="B2011" t="str">
            <v>Fire Extinguisher</v>
          </cell>
          <cell r="D2011" t="str">
            <v>Al Jana'aen Primary School</v>
          </cell>
          <cell r="H2011" t="str">
            <v>AD</v>
          </cell>
        </row>
        <row r="2012">
          <cell r="B2012" t="str">
            <v>Fire Extinguisher</v>
          </cell>
          <cell r="D2012" t="str">
            <v>Al Jana'aen Primary School</v>
          </cell>
          <cell r="H2012" t="str">
            <v>AD</v>
          </cell>
        </row>
        <row r="2013">
          <cell r="B2013" t="str">
            <v>Fire Extinguisher</v>
          </cell>
          <cell r="D2013" t="str">
            <v>Al Jana'aen Primary School</v>
          </cell>
          <cell r="H2013" t="str">
            <v>AD</v>
          </cell>
        </row>
        <row r="2014">
          <cell r="B2014" t="str">
            <v>Fire Extinguisher</v>
          </cell>
          <cell r="D2014" t="str">
            <v>Al Jana'aen Primary School</v>
          </cell>
          <cell r="H2014" t="str">
            <v>AD</v>
          </cell>
        </row>
        <row r="2015">
          <cell r="B2015" t="str">
            <v>Fire Extinguisher</v>
          </cell>
          <cell r="D2015" t="str">
            <v>Al Jana'aen Primary School</v>
          </cell>
          <cell r="H2015" t="str">
            <v>AD</v>
          </cell>
        </row>
        <row r="2016">
          <cell r="B2016" t="str">
            <v>Fire Extinguisher</v>
          </cell>
          <cell r="D2016" t="str">
            <v>Al Jana'aen Primary School</v>
          </cell>
          <cell r="H2016" t="str">
            <v>AD</v>
          </cell>
        </row>
        <row r="2017">
          <cell r="B2017" t="str">
            <v>Fire Extinguisher</v>
          </cell>
          <cell r="D2017" t="str">
            <v>Al Jana'aen Primary School</v>
          </cell>
          <cell r="H2017" t="str">
            <v>AD</v>
          </cell>
        </row>
        <row r="2018">
          <cell r="B2018" t="str">
            <v>Fire Extinguisher</v>
          </cell>
          <cell r="D2018" t="str">
            <v>Al Jana'aen Primary School</v>
          </cell>
          <cell r="H2018" t="str">
            <v>AD</v>
          </cell>
        </row>
        <row r="2019">
          <cell r="B2019" t="str">
            <v>Fire Extinguisher</v>
          </cell>
          <cell r="D2019" t="str">
            <v>Al Jana'aen Primary School</v>
          </cell>
          <cell r="H2019" t="str">
            <v>AD</v>
          </cell>
        </row>
        <row r="2020">
          <cell r="B2020" t="str">
            <v>Fire Extinguisher</v>
          </cell>
          <cell r="D2020" t="str">
            <v>Al Jana'aen Primary School</v>
          </cell>
          <cell r="H2020" t="str">
            <v>AD</v>
          </cell>
        </row>
        <row r="2021">
          <cell r="B2021" t="str">
            <v>Fire Extinguisher</v>
          </cell>
          <cell r="D2021" t="str">
            <v>Al Jana'aen Primary School</v>
          </cell>
          <cell r="H2021" t="str">
            <v>AD</v>
          </cell>
        </row>
        <row r="2022">
          <cell r="B2022" t="str">
            <v>Fire Extinguisher</v>
          </cell>
          <cell r="D2022" t="str">
            <v>Al Jana'aen Primary School</v>
          </cell>
          <cell r="H2022" t="str">
            <v>AD</v>
          </cell>
        </row>
        <row r="2023">
          <cell r="B2023" t="str">
            <v>Fire Hose Reel</v>
          </cell>
          <cell r="D2023" t="str">
            <v>Al Jana'aen Primary School</v>
          </cell>
          <cell r="H2023" t="str">
            <v>AD</v>
          </cell>
        </row>
        <row r="2024">
          <cell r="B2024" t="str">
            <v>Fire Hose Reel</v>
          </cell>
          <cell r="D2024" t="str">
            <v>Al Jana'aen Primary School</v>
          </cell>
          <cell r="H2024" t="str">
            <v>AD</v>
          </cell>
        </row>
        <row r="2025">
          <cell r="B2025" t="str">
            <v>Fire Hose Reel</v>
          </cell>
          <cell r="D2025" t="str">
            <v>Al Jana'aen Primary School</v>
          </cell>
          <cell r="H2025" t="str">
            <v>AD</v>
          </cell>
        </row>
        <row r="2026">
          <cell r="B2026" t="str">
            <v>Fire Hose Reel</v>
          </cell>
          <cell r="D2026" t="str">
            <v>Al Jana'aen Primary School</v>
          </cell>
          <cell r="H2026" t="str">
            <v>AD</v>
          </cell>
        </row>
        <row r="2027">
          <cell r="B2027" t="str">
            <v>Fire Hose Reel</v>
          </cell>
          <cell r="D2027" t="str">
            <v>Al Jana'aen Primary School</v>
          </cell>
          <cell r="H2027" t="str">
            <v>AD</v>
          </cell>
        </row>
        <row r="2028">
          <cell r="B2028" t="str">
            <v>Fire Hose Reel</v>
          </cell>
          <cell r="D2028" t="str">
            <v>Al Jana'aen Primary School</v>
          </cell>
          <cell r="H2028" t="str">
            <v>AD</v>
          </cell>
        </row>
        <row r="2029">
          <cell r="B2029" t="str">
            <v>Fire Hose Reel</v>
          </cell>
          <cell r="D2029" t="str">
            <v>Al Jana'aen Primary School</v>
          </cell>
          <cell r="H2029" t="str">
            <v>AD</v>
          </cell>
        </row>
        <row r="2030">
          <cell r="B2030" t="str">
            <v>Fire Hose Reel</v>
          </cell>
          <cell r="D2030" t="str">
            <v>Al Jana'aen Primary School</v>
          </cell>
          <cell r="H2030" t="str">
            <v>AD</v>
          </cell>
        </row>
        <row r="2031">
          <cell r="B2031" t="str">
            <v>Fire Hose Reel</v>
          </cell>
          <cell r="D2031" t="str">
            <v>Al Jana'aen Primary School</v>
          </cell>
          <cell r="H2031" t="str">
            <v>AD</v>
          </cell>
        </row>
        <row r="2032">
          <cell r="B2032" t="str">
            <v>Fire Hose Reel</v>
          </cell>
          <cell r="D2032" t="str">
            <v>Al Jana'aen Primary School</v>
          </cell>
          <cell r="H2032" t="str">
            <v>AD</v>
          </cell>
        </row>
        <row r="2033">
          <cell r="B2033" t="str">
            <v>Fire Hose Reel</v>
          </cell>
          <cell r="D2033" t="str">
            <v>Al Jana'aen Primary School</v>
          </cell>
          <cell r="H2033" t="str">
            <v>AD</v>
          </cell>
        </row>
        <row r="2034">
          <cell r="B2034" t="str">
            <v>FIRE PUMP - Diesel</v>
          </cell>
          <cell r="D2034" t="str">
            <v>Al Jana'aen Primary School</v>
          </cell>
          <cell r="H2034" t="str">
            <v>AD</v>
          </cell>
        </row>
        <row r="2035">
          <cell r="B2035" t="str">
            <v>FIRE PUMP - Electric</v>
          </cell>
          <cell r="D2035" t="str">
            <v>Al Jana'aen Primary School</v>
          </cell>
          <cell r="H2035" t="str">
            <v>AD</v>
          </cell>
        </row>
        <row r="2036">
          <cell r="B2036" t="str">
            <v>Fire Smoke / Heat Detector, Sounder</v>
          </cell>
          <cell r="D2036" t="str">
            <v>Al Jana'aen Primary School</v>
          </cell>
          <cell r="H2036" t="str">
            <v>AD</v>
          </cell>
        </row>
        <row r="2037">
          <cell r="B2037" t="str">
            <v>Fire Smoke / Heat Detector, Sounder</v>
          </cell>
          <cell r="D2037" t="str">
            <v>Al Jana'aen Primary School</v>
          </cell>
          <cell r="H2037" t="str">
            <v>AD</v>
          </cell>
        </row>
        <row r="2038">
          <cell r="B2038" t="str">
            <v>Fire Smoke / Heat Detector, Sounder</v>
          </cell>
          <cell r="D2038" t="str">
            <v>Al Jana'aen Primary School</v>
          </cell>
          <cell r="H2038" t="str">
            <v>AD</v>
          </cell>
        </row>
        <row r="2039">
          <cell r="B2039" t="str">
            <v>Fire Smoke / Heat Detector, Sounder</v>
          </cell>
          <cell r="D2039" t="str">
            <v>Al Jana'aen Primary School</v>
          </cell>
          <cell r="H2039" t="str">
            <v>AD</v>
          </cell>
        </row>
        <row r="2040">
          <cell r="B2040" t="str">
            <v>Fire Smoke / Heat Detector, Sounder</v>
          </cell>
          <cell r="D2040" t="str">
            <v>Al Jana'aen Primary School</v>
          </cell>
          <cell r="H2040" t="str">
            <v>AD</v>
          </cell>
        </row>
        <row r="2041">
          <cell r="B2041" t="str">
            <v>Fire Smoke / Heat Detector, Sounder</v>
          </cell>
          <cell r="D2041" t="str">
            <v>Al Jana'aen Primary School</v>
          </cell>
          <cell r="H2041" t="str">
            <v>AD</v>
          </cell>
        </row>
        <row r="2042">
          <cell r="B2042" t="str">
            <v>Fire Smoke / Heat Detector, Sounder</v>
          </cell>
          <cell r="D2042" t="str">
            <v>Al Jana'aen Primary School</v>
          </cell>
          <cell r="H2042" t="str">
            <v>AD</v>
          </cell>
        </row>
        <row r="2043">
          <cell r="B2043" t="str">
            <v>Fire Smoke / Heat Detector, Sounder</v>
          </cell>
          <cell r="D2043" t="str">
            <v>Al Jana'aen Primary School</v>
          </cell>
          <cell r="H2043" t="str">
            <v>AD</v>
          </cell>
        </row>
        <row r="2044">
          <cell r="B2044" t="str">
            <v>Fire Smoke / Heat Detector, Sounder</v>
          </cell>
          <cell r="D2044" t="str">
            <v>Al Jana'aen Primary School</v>
          </cell>
          <cell r="H2044" t="str">
            <v>AD</v>
          </cell>
        </row>
        <row r="2045">
          <cell r="B2045" t="str">
            <v>Fire Smoke / Heat Detector, Sounder</v>
          </cell>
          <cell r="D2045" t="str">
            <v>Al Jana'aen Primary School</v>
          </cell>
          <cell r="H2045" t="str">
            <v>AD</v>
          </cell>
        </row>
        <row r="2046">
          <cell r="B2046" t="str">
            <v>Fire Smoke / Heat Detector, Sounder</v>
          </cell>
          <cell r="D2046" t="str">
            <v>Al Jana'aen Primary School</v>
          </cell>
          <cell r="H2046" t="str">
            <v>AD</v>
          </cell>
        </row>
        <row r="2047">
          <cell r="B2047" t="str">
            <v>Fire Smoke / Heat Detector, Sounder</v>
          </cell>
          <cell r="D2047" t="str">
            <v>Al Jana'aen Primary School</v>
          </cell>
          <cell r="H2047" t="str">
            <v>AD</v>
          </cell>
        </row>
        <row r="2048">
          <cell r="B2048" t="str">
            <v>Fire Smoke / Heat Detector, Sounder</v>
          </cell>
          <cell r="D2048" t="str">
            <v>Al Jana'aen Primary School</v>
          </cell>
          <cell r="H2048" t="str">
            <v>AD</v>
          </cell>
        </row>
        <row r="2049">
          <cell r="B2049" t="str">
            <v>Fire Smoke / Heat Detector, Sounder</v>
          </cell>
          <cell r="D2049" t="str">
            <v>Al Jana'aen Primary School</v>
          </cell>
          <cell r="H2049" t="str">
            <v>AD</v>
          </cell>
        </row>
        <row r="2050">
          <cell r="B2050" t="str">
            <v>Fire Smoke / Heat Detector, Sounder</v>
          </cell>
          <cell r="D2050" t="str">
            <v>Al Jana'aen Primary School</v>
          </cell>
          <cell r="H2050" t="str">
            <v>AD</v>
          </cell>
        </row>
        <row r="2051">
          <cell r="B2051" t="str">
            <v>Fire Smoke / Heat Detector, Sounder</v>
          </cell>
          <cell r="D2051" t="str">
            <v>Al Jana'aen Primary School</v>
          </cell>
          <cell r="H2051" t="str">
            <v>AD</v>
          </cell>
        </row>
        <row r="2052">
          <cell r="B2052" t="str">
            <v>Fire Smoke / Heat Detector, Sounder</v>
          </cell>
          <cell r="D2052" t="str">
            <v>Al Jana'aen Primary School</v>
          </cell>
          <cell r="H2052" t="str">
            <v>AD</v>
          </cell>
        </row>
        <row r="2053">
          <cell r="B2053" t="str">
            <v>Fire Smoke / Heat Detector, Sounder</v>
          </cell>
          <cell r="D2053" t="str">
            <v>Al Jana'aen Primary School</v>
          </cell>
          <cell r="H2053" t="str">
            <v>AD</v>
          </cell>
        </row>
        <row r="2054">
          <cell r="B2054" t="str">
            <v>Fire Smoke / Heat Detector, Sounder</v>
          </cell>
          <cell r="D2054" t="str">
            <v>Al Jana'aen Primary School</v>
          </cell>
          <cell r="H2054" t="str">
            <v>AD</v>
          </cell>
        </row>
        <row r="2055">
          <cell r="B2055" t="str">
            <v>Fire Smoke / Heat Detector, Sounder</v>
          </cell>
          <cell r="D2055" t="str">
            <v>Al Jana'aen Primary School</v>
          </cell>
          <cell r="H2055" t="str">
            <v>AD</v>
          </cell>
        </row>
        <row r="2056">
          <cell r="B2056" t="str">
            <v>Fire Smoke / Heat Detector, Sounder</v>
          </cell>
          <cell r="D2056" t="str">
            <v>Al Jana'aen Primary School</v>
          </cell>
          <cell r="H2056" t="str">
            <v>AD</v>
          </cell>
        </row>
        <row r="2057">
          <cell r="B2057" t="str">
            <v>Fire Smoke / Heat Detector, Sounder</v>
          </cell>
          <cell r="D2057" t="str">
            <v>Al Jana'aen Primary School</v>
          </cell>
          <cell r="H2057" t="str">
            <v>AD</v>
          </cell>
        </row>
        <row r="2058">
          <cell r="B2058" t="str">
            <v>Fire Smoke / Heat Detector, Sounder</v>
          </cell>
          <cell r="D2058" t="str">
            <v>Al Jana'aen Primary School</v>
          </cell>
          <cell r="H2058" t="str">
            <v>AD</v>
          </cell>
        </row>
        <row r="2059">
          <cell r="B2059" t="str">
            <v>Fire Smoke / Heat Detector, Sounder</v>
          </cell>
          <cell r="D2059" t="str">
            <v>Al Jana'aen Primary School</v>
          </cell>
          <cell r="H2059" t="str">
            <v>AD</v>
          </cell>
        </row>
        <row r="2060">
          <cell r="B2060" t="str">
            <v>Fire Smoke / Heat Detector, Sounder</v>
          </cell>
          <cell r="D2060" t="str">
            <v>Al Jana'aen Primary School</v>
          </cell>
          <cell r="H2060" t="str">
            <v>AD</v>
          </cell>
        </row>
        <row r="2061">
          <cell r="B2061" t="str">
            <v>Fire Smoke / Heat Detector, Sounder</v>
          </cell>
          <cell r="D2061" t="str">
            <v>Al Jana'aen Primary School</v>
          </cell>
          <cell r="H2061" t="str">
            <v>AD</v>
          </cell>
        </row>
        <row r="2062">
          <cell r="B2062" t="str">
            <v>Fire Smoke / Heat Detector, Sounder</v>
          </cell>
          <cell r="D2062" t="str">
            <v>Al Jana'aen Primary School</v>
          </cell>
          <cell r="H2062" t="str">
            <v>AD</v>
          </cell>
        </row>
        <row r="2063">
          <cell r="B2063" t="str">
            <v>Fire Smoke / Heat Detector, Sounder</v>
          </cell>
          <cell r="D2063" t="str">
            <v>Al Jana'aen Primary School</v>
          </cell>
          <cell r="H2063" t="str">
            <v>AD</v>
          </cell>
        </row>
        <row r="2064">
          <cell r="B2064" t="str">
            <v>Fire Smoke / Heat Detector, Sounder</v>
          </cell>
          <cell r="D2064" t="str">
            <v>Al Jana'aen Primary School</v>
          </cell>
          <cell r="H2064" t="str">
            <v>AD</v>
          </cell>
        </row>
        <row r="2065">
          <cell r="B2065" t="str">
            <v>Fire Smoke / Heat Detector, Sounder</v>
          </cell>
          <cell r="D2065" t="str">
            <v>Al Jana'aen Primary School</v>
          </cell>
          <cell r="H2065" t="str">
            <v>AD</v>
          </cell>
        </row>
        <row r="2066">
          <cell r="B2066" t="str">
            <v>Fire Smoke / Heat Detector, Sounder</v>
          </cell>
          <cell r="D2066" t="str">
            <v>Al Jana'aen Primary School</v>
          </cell>
          <cell r="H2066" t="str">
            <v>AD</v>
          </cell>
        </row>
        <row r="2067">
          <cell r="B2067" t="str">
            <v>Fire Smoke / Heat Detector, Sounder</v>
          </cell>
          <cell r="D2067" t="str">
            <v>Al Jana'aen Primary School</v>
          </cell>
          <cell r="H2067" t="str">
            <v>AD</v>
          </cell>
        </row>
        <row r="2068">
          <cell r="B2068" t="str">
            <v>Fire Smoke / Heat Detector, Sounder</v>
          </cell>
          <cell r="D2068" t="str">
            <v>Al Jana'aen Primary School</v>
          </cell>
          <cell r="H2068" t="str">
            <v>AD</v>
          </cell>
        </row>
        <row r="2069">
          <cell r="B2069" t="str">
            <v>Fire Smoke / Heat Detector, Sounder</v>
          </cell>
          <cell r="D2069" t="str">
            <v>Al Jana'aen Primary School</v>
          </cell>
          <cell r="H2069" t="str">
            <v>AD</v>
          </cell>
        </row>
        <row r="2070">
          <cell r="B2070" t="str">
            <v>Fire Smoke / Heat Detector, Sounder</v>
          </cell>
          <cell r="D2070" t="str">
            <v>Al Jana'aen Primary School</v>
          </cell>
          <cell r="H2070" t="str">
            <v>AD</v>
          </cell>
        </row>
        <row r="2071">
          <cell r="B2071" t="str">
            <v>Fire Smoke / Heat Detector, Sounder</v>
          </cell>
          <cell r="D2071" t="str">
            <v>Al Jana'aen Primary School</v>
          </cell>
          <cell r="H2071" t="str">
            <v>AD</v>
          </cell>
        </row>
        <row r="2072">
          <cell r="B2072" t="str">
            <v>Fire Smoke / Heat Detector, Sounder</v>
          </cell>
          <cell r="D2072" t="str">
            <v>Al Jana'aen Primary School</v>
          </cell>
          <cell r="H2072" t="str">
            <v>AD</v>
          </cell>
        </row>
        <row r="2073">
          <cell r="B2073" t="str">
            <v>Fire Smoke / Heat Detector, Sounder</v>
          </cell>
          <cell r="D2073" t="str">
            <v>Al Jana'aen Primary School</v>
          </cell>
          <cell r="H2073" t="str">
            <v>AD</v>
          </cell>
        </row>
        <row r="2074">
          <cell r="B2074" t="str">
            <v>Fire Smoke / Heat Detector, Sounder</v>
          </cell>
          <cell r="D2074" t="str">
            <v>Al Jana'aen Primary School</v>
          </cell>
          <cell r="H2074" t="str">
            <v>AD</v>
          </cell>
        </row>
        <row r="2075">
          <cell r="B2075" t="str">
            <v>Fire Smoke / Heat Detector, Sounder</v>
          </cell>
          <cell r="D2075" t="str">
            <v>Al Jana'aen Primary School</v>
          </cell>
          <cell r="H2075" t="str">
            <v>AD</v>
          </cell>
        </row>
        <row r="2076">
          <cell r="B2076" t="str">
            <v>Fire Smoke / Heat Detector, Sounder</v>
          </cell>
          <cell r="D2076" t="str">
            <v>Al Jana'aen Primary School</v>
          </cell>
          <cell r="H2076" t="str">
            <v>AD</v>
          </cell>
        </row>
        <row r="2077">
          <cell r="B2077" t="str">
            <v>Fire Smoke / Heat Detector, Sounder</v>
          </cell>
          <cell r="D2077" t="str">
            <v>Al Jana'aen Primary School</v>
          </cell>
          <cell r="H2077" t="str">
            <v>AD</v>
          </cell>
        </row>
        <row r="2078">
          <cell r="B2078" t="str">
            <v>Fire Smoke / Heat Detector, Sounder</v>
          </cell>
          <cell r="D2078" t="str">
            <v>Al Jana'aen Primary School</v>
          </cell>
          <cell r="H2078" t="str">
            <v>AD</v>
          </cell>
        </row>
        <row r="2079">
          <cell r="B2079" t="str">
            <v>Fire Smoke / Heat Detector, Sounder</v>
          </cell>
          <cell r="D2079" t="str">
            <v>Al Jana'aen Primary School</v>
          </cell>
          <cell r="H2079" t="str">
            <v>AD</v>
          </cell>
        </row>
        <row r="2080">
          <cell r="B2080" t="str">
            <v>Fire Smoke / Heat Detector, Sounder</v>
          </cell>
          <cell r="D2080" t="str">
            <v>Al Jana'aen Primary School</v>
          </cell>
          <cell r="H2080" t="str">
            <v>AD</v>
          </cell>
        </row>
        <row r="2081">
          <cell r="B2081" t="str">
            <v>Fire Smoke / Heat Detector, Sounder</v>
          </cell>
          <cell r="D2081" t="str">
            <v>Al Jana'aen Primary School</v>
          </cell>
          <cell r="H2081" t="str">
            <v>AD</v>
          </cell>
        </row>
        <row r="2082">
          <cell r="B2082" t="str">
            <v>Fire Smoke / Heat Detector, Sounder</v>
          </cell>
          <cell r="D2082" t="str">
            <v>Al Jana'aen Primary School</v>
          </cell>
          <cell r="H2082" t="str">
            <v>AD</v>
          </cell>
        </row>
        <row r="2083">
          <cell r="B2083" t="str">
            <v>Fire Smoke / Heat Detector, Sounder</v>
          </cell>
          <cell r="D2083" t="str">
            <v>Al Jana'aen Primary School</v>
          </cell>
          <cell r="H2083" t="str">
            <v>AD</v>
          </cell>
        </row>
        <row r="2084">
          <cell r="B2084" t="str">
            <v>Fire Smoke / Heat Detector, Sounder</v>
          </cell>
          <cell r="D2084" t="str">
            <v>Al Jana'aen Primary School</v>
          </cell>
          <cell r="H2084" t="str">
            <v>AD</v>
          </cell>
        </row>
        <row r="2085">
          <cell r="B2085" t="str">
            <v>Fire Smoke / Heat Detector, Sounder</v>
          </cell>
          <cell r="D2085" t="str">
            <v>Al Jana'aen Primary School</v>
          </cell>
          <cell r="H2085" t="str">
            <v>AD</v>
          </cell>
        </row>
        <row r="2086">
          <cell r="B2086" t="str">
            <v>Fire Smoke / Heat Detector, Sounder</v>
          </cell>
          <cell r="D2086" t="str">
            <v>Al Jana'aen Primary School</v>
          </cell>
          <cell r="H2086" t="str">
            <v>AD</v>
          </cell>
        </row>
        <row r="2087">
          <cell r="B2087" t="str">
            <v>Fire Smoke / Heat Detector, Sounder</v>
          </cell>
          <cell r="D2087" t="str">
            <v>Al Jana'aen Primary School</v>
          </cell>
          <cell r="H2087" t="str">
            <v>AD</v>
          </cell>
        </row>
        <row r="2088">
          <cell r="B2088" t="str">
            <v>Fire Smoke / Heat Detector, Sounder</v>
          </cell>
          <cell r="D2088" t="str">
            <v>Al Jana'aen Primary School</v>
          </cell>
          <cell r="H2088" t="str">
            <v>AD</v>
          </cell>
        </row>
        <row r="2089">
          <cell r="B2089" t="str">
            <v>Fire Smoke / Heat Detector, Sounder</v>
          </cell>
          <cell r="D2089" t="str">
            <v>Al Jana'aen Primary School</v>
          </cell>
          <cell r="H2089" t="str">
            <v>AD</v>
          </cell>
        </row>
        <row r="2090">
          <cell r="B2090" t="str">
            <v>Fire Smoke / Heat Detector, Sounder</v>
          </cell>
          <cell r="D2090" t="str">
            <v>Al Jana'aen Primary School</v>
          </cell>
          <cell r="H2090" t="str">
            <v>AD</v>
          </cell>
        </row>
        <row r="2091">
          <cell r="B2091" t="str">
            <v>Fire Smoke / Heat Detector, Sounder</v>
          </cell>
          <cell r="D2091" t="str">
            <v>Al Jana'aen Primary School</v>
          </cell>
          <cell r="H2091" t="str">
            <v>AD</v>
          </cell>
        </row>
        <row r="2092">
          <cell r="B2092" t="str">
            <v>Fire Smoke / Heat Detector, Sounder</v>
          </cell>
          <cell r="D2092" t="str">
            <v>Al Jana'aen Primary School</v>
          </cell>
          <cell r="H2092" t="str">
            <v>AD</v>
          </cell>
        </row>
        <row r="2093">
          <cell r="B2093" t="str">
            <v>Fire Smoke / Heat Detector, Sounder</v>
          </cell>
          <cell r="D2093" t="str">
            <v>Al Jana'aen Primary School</v>
          </cell>
          <cell r="H2093" t="str">
            <v>AD</v>
          </cell>
        </row>
        <row r="2094">
          <cell r="B2094" t="str">
            <v>Fire Smoke / Heat Detector, Sounder</v>
          </cell>
          <cell r="D2094" t="str">
            <v>Al Jana'aen Primary School</v>
          </cell>
          <cell r="H2094" t="str">
            <v>AD</v>
          </cell>
        </row>
        <row r="2095">
          <cell r="B2095" t="str">
            <v>Fire Smoke / Heat Detector, Sounder</v>
          </cell>
          <cell r="D2095" t="str">
            <v>Al Jana'aen Primary School</v>
          </cell>
          <cell r="H2095" t="str">
            <v>AD</v>
          </cell>
        </row>
        <row r="2096">
          <cell r="B2096" t="str">
            <v>Fire Smoke / Heat Detector, Sounder</v>
          </cell>
          <cell r="D2096" t="str">
            <v>Al Jana'aen Primary School</v>
          </cell>
          <cell r="H2096" t="str">
            <v>AD</v>
          </cell>
        </row>
        <row r="2097">
          <cell r="B2097" t="str">
            <v>Fire Smoke / Heat Detector, Sounder</v>
          </cell>
          <cell r="D2097" t="str">
            <v>Al Jana'aen Primary School</v>
          </cell>
          <cell r="H2097" t="str">
            <v>AD</v>
          </cell>
        </row>
        <row r="2098">
          <cell r="B2098" t="str">
            <v>Fire Smoke / Heat Detector, Sounder</v>
          </cell>
          <cell r="D2098" t="str">
            <v>Al Jana'aen Primary School</v>
          </cell>
          <cell r="H2098" t="str">
            <v>AD</v>
          </cell>
        </row>
        <row r="2099">
          <cell r="B2099" t="str">
            <v>Fire Smoke / Heat Detector, Sounder</v>
          </cell>
          <cell r="D2099" t="str">
            <v>Al Jana'aen Primary School</v>
          </cell>
          <cell r="H2099" t="str">
            <v>AD</v>
          </cell>
        </row>
        <row r="2100">
          <cell r="B2100" t="str">
            <v>Fire Smoke / Heat Detector, Sounder</v>
          </cell>
          <cell r="D2100" t="str">
            <v>Al Jana'aen Primary School</v>
          </cell>
          <cell r="H2100" t="str">
            <v>AD</v>
          </cell>
        </row>
        <row r="2101">
          <cell r="B2101" t="str">
            <v>Fire Smoke / Heat Detector, Sounder</v>
          </cell>
          <cell r="D2101" t="str">
            <v>Al Jana'aen Primary School</v>
          </cell>
          <cell r="H2101" t="str">
            <v>AD</v>
          </cell>
        </row>
        <row r="2102">
          <cell r="B2102" t="str">
            <v>Fire Smoke / Heat Detector, Sounder</v>
          </cell>
          <cell r="D2102" t="str">
            <v>Al Jana'aen Primary School</v>
          </cell>
          <cell r="H2102" t="str">
            <v>AD</v>
          </cell>
        </row>
        <row r="2103">
          <cell r="B2103" t="str">
            <v>Fire Smoke / Heat Detector, Sounder</v>
          </cell>
          <cell r="D2103" t="str">
            <v>Al Jana'aen Primary School</v>
          </cell>
          <cell r="H2103" t="str">
            <v>AD</v>
          </cell>
        </row>
        <row r="2104">
          <cell r="B2104" t="str">
            <v>Fire Smoke / Heat Detector, Sounder</v>
          </cell>
          <cell r="D2104" t="str">
            <v>Al Jana'aen Primary School</v>
          </cell>
          <cell r="H2104" t="str">
            <v>AD</v>
          </cell>
        </row>
        <row r="2105">
          <cell r="B2105" t="str">
            <v>Fire Smoke / Heat Detector, Sounder</v>
          </cell>
          <cell r="D2105" t="str">
            <v>Al Jana'aen Primary School</v>
          </cell>
          <cell r="H2105" t="str">
            <v>AD</v>
          </cell>
        </row>
        <row r="2106">
          <cell r="B2106" t="str">
            <v>Fire Smoke / Heat Detector, Sounder</v>
          </cell>
          <cell r="D2106" t="str">
            <v>Al Jana'aen Primary School</v>
          </cell>
          <cell r="H2106" t="str">
            <v>AD</v>
          </cell>
        </row>
        <row r="2107">
          <cell r="B2107" t="str">
            <v>Fire Smoke / Heat Detector, Sounder</v>
          </cell>
          <cell r="D2107" t="str">
            <v>Al Jana'aen Primary School</v>
          </cell>
          <cell r="H2107" t="str">
            <v>AD</v>
          </cell>
        </row>
        <row r="2108">
          <cell r="B2108" t="str">
            <v>Fire Smoke / Heat Detector, Sounder</v>
          </cell>
          <cell r="D2108" t="str">
            <v>Al Jana'aen Primary School</v>
          </cell>
          <cell r="H2108" t="str">
            <v>AD</v>
          </cell>
        </row>
        <row r="2109">
          <cell r="B2109" t="str">
            <v>Fire Smoke / Heat Detector, Sounder</v>
          </cell>
          <cell r="D2109" t="str">
            <v>Al Jana'aen Primary School</v>
          </cell>
          <cell r="H2109" t="str">
            <v>AD</v>
          </cell>
        </row>
        <row r="2110">
          <cell r="B2110" t="str">
            <v>Fire Smoke / Heat Detector, Sounder</v>
          </cell>
          <cell r="D2110" t="str">
            <v>Al Jana'aen Primary School</v>
          </cell>
          <cell r="H2110" t="str">
            <v>AD</v>
          </cell>
        </row>
        <row r="2111">
          <cell r="B2111" t="str">
            <v>Fire Smoke / Heat Detector, Sounder</v>
          </cell>
          <cell r="D2111" t="str">
            <v>Al Jana'aen Primary School</v>
          </cell>
          <cell r="H2111" t="str">
            <v>AD</v>
          </cell>
        </row>
        <row r="2112">
          <cell r="B2112" t="str">
            <v>Fire Smoke / Heat Detector, Sounder</v>
          </cell>
          <cell r="D2112" t="str">
            <v>Al Jana'aen Primary School</v>
          </cell>
          <cell r="H2112" t="str">
            <v>AD</v>
          </cell>
        </row>
        <row r="2113">
          <cell r="B2113" t="str">
            <v>Fire Smoke / Heat Detector, Sounder</v>
          </cell>
          <cell r="D2113" t="str">
            <v>Al Jana'aen Primary School</v>
          </cell>
          <cell r="H2113" t="str">
            <v>AD</v>
          </cell>
        </row>
        <row r="2114">
          <cell r="B2114" t="str">
            <v>Fire Smoke / Heat Detector, Sounder</v>
          </cell>
          <cell r="D2114" t="str">
            <v>Al Jana'aen Primary School</v>
          </cell>
          <cell r="H2114" t="str">
            <v>AD</v>
          </cell>
        </row>
        <row r="2115">
          <cell r="B2115" t="str">
            <v>Fire Smoke / Heat Detector, Sounder</v>
          </cell>
          <cell r="D2115" t="str">
            <v>Al Jana'aen Primary School</v>
          </cell>
          <cell r="H2115" t="str">
            <v>AD</v>
          </cell>
        </row>
        <row r="2116">
          <cell r="B2116" t="str">
            <v>Fire Smoke / Heat Detector, Sounder</v>
          </cell>
          <cell r="D2116" t="str">
            <v>Al Jana'aen Primary School</v>
          </cell>
          <cell r="H2116" t="str">
            <v>AD</v>
          </cell>
        </row>
        <row r="2117">
          <cell r="B2117" t="str">
            <v>Fire Smoke / Heat Detector, Sounder</v>
          </cell>
          <cell r="D2117" t="str">
            <v>Al Jana'aen Primary School</v>
          </cell>
          <cell r="H2117" t="str">
            <v>AD</v>
          </cell>
        </row>
        <row r="2118">
          <cell r="B2118" t="str">
            <v>Fire Smoke / Heat Detector, Sounder</v>
          </cell>
          <cell r="D2118" t="str">
            <v>Al Jana'aen Primary School</v>
          </cell>
          <cell r="H2118" t="str">
            <v>AD</v>
          </cell>
        </row>
        <row r="2119">
          <cell r="B2119" t="str">
            <v>Fire Smoke / Heat Detector, Sounder</v>
          </cell>
          <cell r="D2119" t="str">
            <v>Al Jana'aen Primary School</v>
          </cell>
          <cell r="H2119" t="str">
            <v>AD</v>
          </cell>
        </row>
        <row r="2120">
          <cell r="B2120" t="str">
            <v>Fire Smoke / Heat Detector, Sounder</v>
          </cell>
          <cell r="D2120" t="str">
            <v>Al Jana'aen Primary School</v>
          </cell>
          <cell r="H2120" t="str">
            <v>AD</v>
          </cell>
        </row>
        <row r="2121">
          <cell r="B2121" t="str">
            <v>Fire Smoke / Heat Detector, Sounder</v>
          </cell>
          <cell r="D2121" t="str">
            <v>Al Jana'aen Primary School</v>
          </cell>
          <cell r="H2121" t="str">
            <v>AD</v>
          </cell>
        </row>
        <row r="2122">
          <cell r="B2122" t="str">
            <v>Fire Smoke / Heat Detector, Sounder</v>
          </cell>
          <cell r="D2122" t="str">
            <v>Al Jana'aen Primary School</v>
          </cell>
          <cell r="H2122" t="str">
            <v>AD</v>
          </cell>
        </row>
        <row r="2123">
          <cell r="B2123" t="str">
            <v>Fire Smoke / Heat Detector, Sounder</v>
          </cell>
          <cell r="D2123" t="str">
            <v>Al Jana'aen Primary School</v>
          </cell>
          <cell r="H2123" t="str">
            <v>AD</v>
          </cell>
        </row>
        <row r="2124">
          <cell r="B2124" t="str">
            <v>Fire Smoke / Heat Detector, Sounder</v>
          </cell>
          <cell r="D2124" t="str">
            <v>Al Jana'aen Primary School</v>
          </cell>
          <cell r="H2124" t="str">
            <v>AD</v>
          </cell>
        </row>
        <row r="2125">
          <cell r="B2125" t="str">
            <v>Fire Smoke / Heat Detector, Sounder</v>
          </cell>
          <cell r="D2125" t="str">
            <v>Al Jana'aen Primary School</v>
          </cell>
          <cell r="H2125" t="str">
            <v>AD</v>
          </cell>
        </row>
        <row r="2126">
          <cell r="B2126" t="str">
            <v>Fire Smoke / Heat Detector, Sounder</v>
          </cell>
          <cell r="D2126" t="str">
            <v>Al Jana'aen Primary School</v>
          </cell>
          <cell r="H2126" t="str">
            <v>AD</v>
          </cell>
        </row>
        <row r="2127">
          <cell r="B2127" t="str">
            <v>Fire Smoke / Heat Detector, Sounder</v>
          </cell>
          <cell r="D2127" t="str">
            <v>Al Jana'aen Primary School</v>
          </cell>
          <cell r="H2127" t="str">
            <v>AD</v>
          </cell>
        </row>
        <row r="2128">
          <cell r="B2128" t="str">
            <v>Fire Smoke / Heat Detector, Sounder</v>
          </cell>
          <cell r="D2128" t="str">
            <v>Al Jana'aen Primary School</v>
          </cell>
          <cell r="H2128" t="str">
            <v>AD</v>
          </cell>
        </row>
        <row r="2129">
          <cell r="B2129" t="str">
            <v>Fire Smoke / Heat Detector, Sounder</v>
          </cell>
          <cell r="D2129" t="str">
            <v>Al Jana'aen Primary School</v>
          </cell>
          <cell r="H2129" t="str">
            <v>AD</v>
          </cell>
        </row>
        <row r="2130">
          <cell r="B2130" t="str">
            <v>Finger Print Reader Machine</v>
          </cell>
          <cell r="D2130" t="str">
            <v>Al Jazeera KG</v>
          </cell>
          <cell r="H2130" t="str">
            <v>AD</v>
          </cell>
        </row>
        <row r="2131">
          <cell r="B2131" t="str">
            <v>Fire Alarm Bell</v>
          </cell>
          <cell r="D2131" t="str">
            <v>Al Jazeera KG</v>
          </cell>
          <cell r="H2131" t="str">
            <v>AD</v>
          </cell>
        </row>
        <row r="2132">
          <cell r="B2132" t="str">
            <v>Fire Alarm Bell</v>
          </cell>
          <cell r="D2132" t="str">
            <v>Al Jazeera KG</v>
          </cell>
          <cell r="H2132" t="str">
            <v>AD</v>
          </cell>
        </row>
        <row r="2133">
          <cell r="B2133" t="str">
            <v>Fire Alarm Bell</v>
          </cell>
          <cell r="D2133" t="str">
            <v>Al Jazeera KG</v>
          </cell>
          <cell r="H2133" t="str">
            <v>AD</v>
          </cell>
        </row>
        <row r="2134">
          <cell r="B2134" t="str">
            <v>Fire Alarm Bell</v>
          </cell>
          <cell r="D2134" t="str">
            <v>Al Jazeera KG</v>
          </cell>
          <cell r="H2134" t="str">
            <v>AD</v>
          </cell>
        </row>
        <row r="2135">
          <cell r="B2135" t="str">
            <v>Fire Alarm Bell</v>
          </cell>
          <cell r="D2135" t="str">
            <v>Al Jazeera KG</v>
          </cell>
          <cell r="H2135" t="str">
            <v>AD</v>
          </cell>
        </row>
        <row r="2136">
          <cell r="B2136" t="str">
            <v>Fire Alarm Control Panel Board</v>
          </cell>
          <cell r="D2136" t="str">
            <v>Al Jazeera KG</v>
          </cell>
          <cell r="H2136" t="str">
            <v>AD</v>
          </cell>
        </row>
        <row r="2137">
          <cell r="B2137" t="str">
            <v>Fire Alarm Control Panel Board</v>
          </cell>
          <cell r="D2137" t="str">
            <v>Al Jazeera KG</v>
          </cell>
          <cell r="H2137" t="str">
            <v>AD</v>
          </cell>
        </row>
        <row r="2138">
          <cell r="B2138" t="str">
            <v>Fire Break Glass</v>
          </cell>
          <cell r="D2138" t="str">
            <v>Al Jazeera KG</v>
          </cell>
          <cell r="H2138" t="str">
            <v>AD</v>
          </cell>
        </row>
        <row r="2139">
          <cell r="B2139" t="str">
            <v>Fire Extinguisher</v>
          </cell>
          <cell r="D2139" t="str">
            <v>Al Jazeera KG</v>
          </cell>
          <cell r="H2139" t="str">
            <v>AD</v>
          </cell>
        </row>
        <row r="2140">
          <cell r="B2140" t="str">
            <v>Fire Extinguisher</v>
          </cell>
          <cell r="D2140" t="str">
            <v>Al Jazeera KG</v>
          </cell>
          <cell r="H2140" t="str">
            <v>AD</v>
          </cell>
        </row>
        <row r="2141">
          <cell r="B2141" t="str">
            <v>Fire Extinguisher</v>
          </cell>
          <cell r="D2141" t="str">
            <v>Al Jazeera KG</v>
          </cell>
          <cell r="H2141" t="str">
            <v>AD</v>
          </cell>
        </row>
        <row r="2142">
          <cell r="B2142" t="str">
            <v>Fire Extinguisher</v>
          </cell>
          <cell r="D2142" t="str">
            <v>Al Jazeera KG</v>
          </cell>
          <cell r="H2142" t="str">
            <v>AD</v>
          </cell>
        </row>
        <row r="2143">
          <cell r="B2143" t="str">
            <v>Fire Extinguisher</v>
          </cell>
          <cell r="D2143" t="str">
            <v>Al Jazeera KG</v>
          </cell>
          <cell r="H2143" t="str">
            <v>AD</v>
          </cell>
        </row>
        <row r="2144">
          <cell r="B2144" t="str">
            <v>Fire Extinguisher</v>
          </cell>
          <cell r="D2144" t="str">
            <v>Al Jazeera KG</v>
          </cell>
          <cell r="H2144" t="str">
            <v>AD</v>
          </cell>
        </row>
        <row r="2145">
          <cell r="B2145" t="str">
            <v>Fire Extinguisher</v>
          </cell>
          <cell r="D2145" t="str">
            <v>Al Jazeera KG</v>
          </cell>
          <cell r="H2145" t="str">
            <v>AD</v>
          </cell>
        </row>
        <row r="2146">
          <cell r="B2146" t="str">
            <v>Fire Extinguisher</v>
          </cell>
          <cell r="D2146" t="str">
            <v>Al Jazeera KG</v>
          </cell>
          <cell r="H2146" t="str">
            <v>AD</v>
          </cell>
        </row>
        <row r="2147">
          <cell r="B2147" t="str">
            <v>Fire Extinguisher</v>
          </cell>
          <cell r="D2147" t="str">
            <v>Al Jazeera KG</v>
          </cell>
          <cell r="H2147" t="str">
            <v>AD</v>
          </cell>
        </row>
        <row r="2148">
          <cell r="B2148" t="str">
            <v>Fire Extinguisher</v>
          </cell>
          <cell r="D2148" t="str">
            <v>Al Jazeera KG</v>
          </cell>
          <cell r="H2148" t="str">
            <v>AD</v>
          </cell>
        </row>
        <row r="2149">
          <cell r="B2149" t="str">
            <v>Fire Extinguisher</v>
          </cell>
          <cell r="D2149" t="str">
            <v>Al Jazeera KG</v>
          </cell>
          <cell r="H2149" t="str">
            <v>AD</v>
          </cell>
        </row>
        <row r="2150">
          <cell r="B2150" t="str">
            <v>Fire Extinguisher</v>
          </cell>
          <cell r="D2150" t="str">
            <v>Al Jazeera KG</v>
          </cell>
          <cell r="H2150" t="str">
            <v>AD</v>
          </cell>
        </row>
        <row r="2151">
          <cell r="B2151" t="str">
            <v>Fire Extinguisher</v>
          </cell>
          <cell r="D2151" t="str">
            <v>Al Jazeera KG</v>
          </cell>
          <cell r="H2151" t="str">
            <v>AD</v>
          </cell>
        </row>
        <row r="2152">
          <cell r="B2152" t="str">
            <v>Fire Extinguisher</v>
          </cell>
          <cell r="D2152" t="str">
            <v>Al Jazeera KG</v>
          </cell>
          <cell r="H2152" t="str">
            <v>AD</v>
          </cell>
        </row>
        <row r="2153">
          <cell r="B2153" t="str">
            <v>Fire Extinguisher</v>
          </cell>
          <cell r="D2153" t="str">
            <v>Al Jazeera KG</v>
          </cell>
          <cell r="H2153" t="str">
            <v>AD</v>
          </cell>
        </row>
        <row r="2154">
          <cell r="B2154" t="str">
            <v>Fire Extinguisher Cabinet</v>
          </cell>
          <cell r="D2154" t="str">
            <v>Al Jazeera KG</v>
          </cell>
          <cell r="H2154" t="str">
            <v>AD</v>
          </cell>
        </row>
        <row r="2155">
          <cell r="B2155" t="str">
            <v>Fire Extinguisher Cabinet</v>
          </cell>
          <cell r="D2155" t="str">
            <v>Al Jazeera KG</v>
          </cell>
          <cell r="H2155" t="str">
            <v>AD</v>
          </cell>
        </row>
        <row r="2156">
          <cell r="B2156" t="str">
            <v>Fire Extinguisher Cabinet</v>
          </cell>
          <cell r="D2156" t="str">
            <v>Al Jazeera KG</v>
          </cell>
          <cell r="H2156" t="str">
            <v>AD</v>
          </cell>
        </row>
        <row r="2157">
          <cell r="B2157" t="str">
            <v>Fire Extinguisher Cabinet</v>
          </cell>
          <cell r="D2157" t="str">
            <v>Al Jazeera KG</v>
          </cell>
          <cell r="H2157" t="str">
            <v>AD</v>
          </cell>
        </row>
        <row r="2158">
          <cell r="B2158" t="str">
            <v>Fire Extinguisher Cabinet</v>
          </cell>
          <cell r="D2158" t="str">
            <v>Al Jazeera KG</v>
          </cell>
          <cell r="H2158" t="str">
            <v>AD</v>
          </cell>
        </row>
        <row r="2159">
          <cell r="B2159" t="str">
            <v>Fire Extinguisher Cabinet</v>
          </cell>
          <cell r="D2159" t="str">
            <v>Al Jazeera KG</v>
          </cell>
          <cell r="H2159" t="str">
            <v>AD</v>
          </cell>
        </row>
        <row r="2160">
          <cell r="B2160" t="str">
            <v>Fire Hose Reel</v>
          </cell>
          <cell r="D2160" t="str">
            <v>Al Jazeera KG</v>
          </cell>
          <cell r="H2160" t="str">
            <v>AD</v>
          </cell>
        </row>
        <row r="2161">
          <cell r="B2161" t="str">
            <v>Fire Hose Reel</v>
          </cell>
          <cell r="D2161" t="str">
            <v>Al Jazeera KG</v>
          </cell>
          <cell r="H2161" t="str">
            <v>AD</v>
          </cell>
        </row>
        <row r="2162">
          <cell r="B2162" t="str">
            <v>Fire Hose Reel</v>
          </cell>
          <cell r="D2162" t="str">
            <v>Al Jazeera KG</v>
          </cell>
          <cell r="H2162" t="str">
            <v>AD</v>
          </cell>
        </row>
        <row r="2163">
          <cell r="B2163" t="str">
            <v>Fire Hose Reel</v>
          </cell>
          <cell r="D2163" t="str">
            <v>Al Jazeera KG</v>
          </cell>
          <cell r="H2163" t="str">
            <v>AD</v>
          </cell>
        </row>
        <row r="2164">
          <cell r="B2164" t="str">
            <v>Fire Hose Reel Cabinet</v>
          </cell>
          <cell r="D2164" t="str">
            <v>Al Jazeera KG</v>
          </cell>
          <cell r="H2164" t="str">
            <v>AD</v>
          </cell>
        </row>
        <row r="2165">
          <cell r="B2165" t="str">
            <v>Fire Hose Reel Cabinet</v>
          </cell>
          <cell r="D2165" t="str">
            <v>Al Jazeera KG</v>
          </cell>
          <cell r="H2165" t="str">
            <v>AD</v>
          </cell>
        </row>
        <row r="2166">
          <cell r="B2166" t="str">
            <v>Fire Hose Reel Cabinet</v>
          </cell>
          <cell r="D2166" t="str">
            <v>Al Jazeera KG</v>
          </cell>
          <cell r="H2166" t="str">
            <v>AD</v>
          </cell>
        </row>
        <row r="2167">
          <cell r="B2167" t="str">
            <v>Fire Hose Reel Cabinet</v>
          </cell>
          <cell r="D2167" t="str">
            <v>Al Jazeera KG</v>
          </cell>
          <cell r="H2167" t="str">
            <v>AD</v>
          </cell>
        </row>
        <row r="2168">
          <cell r="B2168" t="str">
            <v>Smoke Detector &amp; Heat Detector</v>
          </cell>
          <cell r="D2168" t="str">
            <v>Al Jazeera KG</v>
          </cell>
          <cell r="H2168" t="str">
            <v>AD</v>
          </cell>
        </row>
        <row r="2169">
          <cell r="B2169" t="str">
            <v>Smoke Detector &amp; Heat Detector</v>
          </cell>
          <cell r="D2169" t="str">
            <v>Al Jazeera KG</v>
          </cell>
          <cell r="H2169" t="str">
            <v>AD</v>
          </cell>
        </row>
        <row r="2170">
          <cell r="B2170" t="str">
            <v>Smoke Detector &amp; Heat Detector</v>
          </cell>
          <cell r="D2170" t="str">
            <v>Al Jazeera KG</v>
          </cell>
          <cell r="H2170" t="str">
            <v>AD</v>
          </cell>
        </row>
        <row r="2171">
          <cell r="B2171" t="str">
            <v>Smoke Detector &amp; Heat Detector</v>
          </cell>
          <cell r="D2171" t="str">
            <v>Al Jazeera KG</v>
          </cell>
          <cell r="H2171" t="str">
            <v>AD</v>
          </cell>
        </row>
        <row r="2172">
          <cell r="B2172" t="str">
            <v>Smoke Detector &amp; Heat Detector</v>
          </cell>
          <cell r="D2172" t="str">
            <v>Al Jazeera KG</v>
          </cell>
          <cell r="H2172" t="str">
            <v>AD</v>
          </cell>
        </row>
        <row r="2173">
          <cell r="B2173" t="str">
            <v>Smoke Detector &amp; Heat Detector</v>
          </cell>
          <cell r="D2173" t="str">
            <v>Al Jazeera KG</v>
          </cell>
          <cell r="H2173" t="str">
            <v>AD</v>
          </cell>
        </row>
        <row r="2174">
          <cell r="B2174" t="str">
            <v>Smoke Detector &amp; Heat Detector</v>
          </cell>
          <cell r="D2174" t="str">
            <v>Al Jazeera KG</v>
          </cell>
          <cell r="H2174" t="str">
            <v>AD</v>
          </cell>
        </row>
        <row r="2175">
          <cell r="B2175" t="str">
            <v>Smoke Detector &amp; Heat Detector</v>
          </cell>
          <cell r="D2175" t="str">
            <v>Al Jazeera KG</v>
          </cell>
          <cell r="H2175" t="str">
            <v>AD</v>
          </cell>
        </row>
        <row r="2176">
          <cell r="B2176" t="str">
            <v>Smoke Detector &amp; Heat Detector</v>
          </cell>
          <cell r="D2176" t="str">
            <v>Al Jazeera KG</v>
          </cell>
          <cell r="H2176" t="str">
            <v>AD</v>
          </cell>
        </row>
        <row r="2177">
          <cell r="B2177" t="str">
            <v>Smoke Detector &amp; Heat Detector</v>
          </cell>
          <cell r="D2177" t="str">
            <v>Al Jazeera KG</v>
          </cell>
          <cell r="H2177" t="str">
            <v>AD</v>
          </cell>
        </row>
        <row r="2178">
          <cell r="B2178" t="str">
            <v>Smoke Detector &amp; Heat Detector</v>
          </cell>
          <cell r="D2178" t="str">
            <v>Al Jazeera KG</v>
          </cell>
          <cell r="H2178" t="str">
            <v>AD</v>
          </cell>
        </row>
        <row r="2179">
          <cell r="B2179" t="str">
            <v>Smoke Detector &amp; Heat Detector</v>
          </cell>
          <cell r="D2179" t="str">
            <v>Al Jazeera KG</v>
          </cell>
          <cell r="H2179" t="str">
            <v>AD</v>
          </cell>
        </row>
        <row r="2180">
          <cell r="B2180" t="str">
            <v>Smoke Detector &amp; Heat Detector</v>
          </cell>
          <cell r="D2180" t="str">
            <v>Al Jazeera KG</v>
          </cell>
          <cell r="H2180" t="str">
            <v>AD</v>
          </cell>
        </row>
        <row r="2181">
          <cell r="B2181" t="str">
            <v>Smoke Detector &amp; Heat Detector</v>
          </cell>
          <cell r="D2181" t="str">
            <v>Al Jazeera KG</v>
          </cell>
          <cell r="H2181" t="str">
            <v>AD</v>
          </cell>
        </row>
        <row r="2182">
          <cell r="B2182" t="str">
            <v>Smoke Detector &amp; Heat Detector</v>
          </cell>
          <cell r="D2182" t="str">
            <v>Al Jazeera KG</v>
          </cell>
          <cell r="H2182" t="str">
            <v>AD</v>
          </cell>
        </row>
        <row r="2183">
          <cell r="B2183" t="str">
            <v>Water Tank</v>
          </cell>
          <cell r="D2183" t="str">
            <v>Al Jazeera KG</v>
          </cell>
          <cell r="H2183" t="str">
            <v>AD</v>
          </cell>
        </row>
        <row r="2184">
          <cell r="B2184" t="str">
            <v>Water Tank</v>
          </cell>
          <cell r="D2184" t="str">
            <v>Al Jazeera KG</v>
          </cell>
          <cell r="H2184" t="str">
            <v>AD</v>
          </cell>
        </row>
        <row r="2185">
          <cell r="B2185" t="str">
            <v>Water Tank</v>
          </cell>
          <cell r="D2185" t="str">
            <v>Al Jazeera KG</v>
          </cell>
          <cell r="H2185" t="str">
            <v>AD</v>
          </cell>
        </row>
        <row r="2186">
          <cell r="B2186" t="str">
            <v>Water Tank</v>
          </cell>
          <cell r="D2186" t="str">
            <v>Al Jazeera KG</v>
          </cell>
          <cell r="H2186" t="str">
            <v>AD</v>
          </cell>
        </row>
        <row r="2187">
          <cell r="B2187" t="str">
            <v>Fire Alarm Break Glass Call Point</v>
          </cell>
          <cell r="D2187" t="str">
            <v>Al Jeel KG</v>
          </cell>
          <cell r="H2187" t="str">
            <v>AD</v>
          </cell>
        </row>
        <row r="2188">
          <cell r="B2188" t="str">
            <v>Fire Alarm Break Glass Call Point</v>
          </cell>
          <cell r="D2188" t="str">
            <v>Al Jeel KG</v>
          </cell>
          <cell r="H2188" t="str">
            <v>AD</v>
          </cell>
        </row>
        <row r="2189">
          <cell r="B2189" t="str">
            <v>Fire Alarm Break Glass Call Point</v>
          </cell>
          <cell r="D2189" t="str">
            <v>Al Jeel KG</v>
          </cell>
          <cell r="H2189" t="str">
            <v>AD</v>
          </cell>
        </row>
        <row r="2190">
          <cell r="B2190" t="str">
            <v>Fire Alarm Panel</v>
          </cell>
          <cell r="D2190" t="str">
            <v>Al Jeel KG</v>
          </cell>
          <cell r="H2190" t="str">
            <v>AD</v>
          </cell>
        </row>
        <row r="2191">
          <cell r="B2191" t="str">
            <v>Fire Alarm Panel</v>
          </cell>
          <cell r="D2191" t="str">
            <v>Al Jeel KG</v>
          </cell>
          <cell r="H2191" t="str">
            <v>AD</v>
          </cell>
        </row>
        <row r="2192">
          <cell r="B2192" t="str">
            <v>Fire Alarm Sounder, Bell, Light</v>
          </cell>
          <cell r="D2192" t="str">
            <v>Al Jeel KG</v>
          </cell>
          <cell r="H2192" t="str">
            <v>AD</v>
          </cell>
        </row>
        <row r="2193">
          <cell r="B2193" t="str">
            <v>Fire Alarm Sounder, Bell, Light</v>
          </cell>
          <cell r="D2193" t="str">
            <v>Al Jeel KG</v>
          </cell>
          <cell r="H2193" t="str">
            <v>AD</v>
          </cell>
        </row>
        <row r="2194">
          <cell r="B2194" t="str">
            <v>Fire Alarm Sounder, Bell, Light</v>
          </cell>
          <cell r="D2194" t="str">
            <v>Al Jeel KG</v>
          </cell>
          <cell r="H2194" t="str">
            <v>AD</v>
          </cell>
        </row>
        <row r="2195">
          <cell r="B2195" t="str">
            <v>Fire Alarm Sounder, Bell, Light</v>
          </cell>
          <cell r="D2195" t="str">
            <v>Al Jeel KG</v>
          </cell>
          <cell r="H2195" t="str">
            <v>AD</v>
          </cell>
        </row>
        <row r="2196">
          <cell r="B2196" t="str">
            <v>Fire Alarm Sounder, Bell, Light</v>
          </cell>
          <cell r="D2196" t="str">
            <v>Al Jeel KG</v>
          </cell>
          <cell r="H2196" t="str">
            <v>AD</v>
          </cell>
        </row>
        <row r="2197">
          <cell r="B2197" t="str">
            <v>Fire Alarm Sounder, Bell, Light</v>
          </cell>
          <cell r="D2197" t="str">
            <v>Al Jeel KG</v>
          </cell>
          <cell r="H2197" t="str">
            <v>AD</v>
          </cell>
        </row>
        <row r="2198">
          <cell r="B2198" t="str">
            <v>Fire Alarm Sounder, Bell, Light</v>
          </cell>
          <cell r="D2198" t="str">
            <v>Al Jeel KG</v>
          </cell>
          <cell r="H2198" t="str">
            <v>AD</v>
          </cell>
        </row>
        <row r="2199">
          <cell r="B2199" t="str">
            <v>Fire Alarm Sounder, Bell, Light</v>
          </cell>
          <cell r="D2199" t="str">
            <v>Al Jeel KG</v>
          </cell>
          <cell r="H2199" t="str">
            <v>AD</v>
          </cell>
        </row>
        <row r="2200">
          <cell r="B2200" t="str">
            <v>Fire Alarm Sounder, Bell, Light</v>
          </cell>
          <cell r="D2200" t="str">
            <v>Al Jeel KG</v>
          </cell>
          <cell r="H2200" t="str">
            <v>AD</v>
          </cell>
        </row>
        <row r="2201">
          <cell r="B2201" t="str">
            <v>Fire Alarm Sounder, Bell, Light</v>
          </cell>
          <cell r="D2201" t="str">
            <v>Al Jeel KG</v>
          </cell>
          <cell r="H2201" t="str">
            <v>AD</v>
          </cell>
        </row>
        <row r="2202">
          <cell r="B2202" t="str">
            <v>Fire Alarm Sounder, Bell, Light</v>
          </cell>
          <cell r="D2202" t="str">
            <v>Al Jeel KG</v>
          </cell>
          <cell r="H2202" t="str">
            <v>AD</v>
          </cell>
        </row>
        <row r="2203">
          <cell r="B2203" t="str">
            <v>Fire Alarm Sounder, Bell, Light</v>
          </cell>
          <cell r="D2203" t="str">
            <v>Al Jeel KG</v>
          </cell>
          <cell r="H2203" t="str">
            <v>AD</v>
          </cell>
        </row>
        <row r="2204">
          <cell r="B2204" t="str">
            <v>Fire Alarm Sounder, Bell, Light</v>
          </cell>
          <cell r="D2204" t="str">
            <v>Al Jeel KG</v>
          </cell>
          <cell r="H2204" t="str">
            <v>AD</v>
          </cell>
        </row>
        <row r="2205">
          <cell r="B2205" t="str">
            <v>Fire Alarm Sounder, Bell, Light</v>
          </cell>
          <cell r="D2205" t="str">
            <v>Al Jeel KG</v>
          </cell>
          <cell r="H2205" t="str">
            <v>AD</v>
          </cell>
        </row>
        <row r="2206">
          <cell r="B2206" t="str">
            <v>Fire Alarm Sounder, Bell, Light</v>
          </cell>
          <cell r="D2206" t="str">
            <v>Al Jeel KG</v>
          </cell>
          <cell r="H2206" t="str">
            <v>AD</v>
          </cell>
        </row>
        <row r="2207">
          <cell r="B2207" t="str">
            <v>Fire Extinguisher</v>
          </cell>
          <cell r="D2207" t="str">
            <v>Al Jeel KG</v>
          </cell>
          <cell r="H2207" t="str">
            <v>AD</v>
          </cell>
        </row>
        <row r="2208">
          <cell r="B2208" t="str">
            <v>Fire Extinguisher</v>
          </cell>
          <cell r="D2208" t="str">
            <v>Al Jeel KG</v>
          </cell>
          <cell r="H2208" t="str">
            <v>AD</v>
          </cell>
        </row>
        <row r="2209">
          <cell r="B2209" t="str">
            <v>Fire Extinguisher</v>
          </cell>
          <cell r="D2209" t="str">
            <v>Al Jeel KG</v>
          </cell>
          <cell r="H2209" t="str">
            <v>AD</v>
          </cell>
        </row>
        <row r="2210">
          <cell r="B2210" t="str">
            <v>Fire Extinguisher</v>
          </cell>
          <cell r="D2210" t="str">
            <v>Al Jeel KG</v>
          </cell>
          <cell r="H2210" t="str">
            <v>AD</v>
          </cell>
        </row>
        <row r="2211">
          <cell r="B2211" t="str">
            <v>Fire Extinguisher</v>
          </cell>
          <cell r="D2211" t="str">
            <v>Al Jeel KG</v>
          </cell>
          <cell r="H2211" t="str">
            <v>AD</v>
          </cell>
        </row>
        <row r="2212">
          <cell r="B2212" t="str">
            <v>Fire Extinguisher</v>
          </cell>
          <cell r="D2212" t="str">
            <v>Al Jeel KG</v>
          </cell>
          <cell r="H2212" t="str">
            <v>AD</v>
          </cell>
        </row>
        <row r="2213">
          <cell r="B2213" t="str">
            <v>Fire Extinguisher</v>
          </cell>
          <cell r="D2213" t="str">
            <v>Al Jeel KG</v>
          </cell>
          <cell r="H2213" t="str">
            <v>AD</v>
          </cell>
        </row>
        <row r="2214">
          <cell r="B2214" t="str">
            <v>Fire Extinguisher</v>
          </cell>
          <cell r="D2214" t="str">
            <v>Al Jeel KG</v>
          </cell>
          <cell r="H2214" t="str">
            <v>AD</v>
          </cell>
        </row>
        <row r="2215">
          <cell r="B2215" t="str">
            <v>Fire Extinguisher</v>
          </cell>
          <cell r="D2215" t="str">
            <v>Al Jeel KG</v>
          </cell>
          <cell r="H2215" t="str">
            <v>AD</v>
          </cell>
        </row>
        <row r="2216">
          <cell r="B2216" t="str">
            <v>Fire Extinguisher</v>
          </cell>
          <cell r="D2216" t="str">
            <v>Al Jeel KG</v>
          </cell>
          <cell r="H2216" t="str">
            <v>AD</v>
          </cell>
        </row>
        <row r="2217">
          <cell r="B2217" t="str">
            <v>Fire Hose Reel</v>
          </cell>
          <cell r="D2217" t="str">
            <v>Al Jeel KG</v>
          </cell>
          <cell r="H2217" t="str">
            <v>AD</v>
          </cell>
        </row>
        <row r="2218">
          <cell r="B2218" t="str">
            <v>FIRE PUMP - Diesel</v>
          </cell>
          <cell r="D2218" t="str">
            <v>Al Jeel KG</v>
          </cell>
          <cell r="H2218" t="str">
            <v>AD</v>
          </cell>
        </row>
        <row r="2219">
          <cell r="B2219" t="str">
            <v>FIRE PUMP - Electric</v>
          </cell>
          <cell r="D2219" t="str">
            <v>Al Jeel KG</v>
          </cell>
          <cell r="H2219" t="str">
            <v>AD</v>
          </cell>
        </row>
        <row r="2220">
          <cell r="B2220" t="str">
            <v>Fire Smoke / Heat Detector, Sounder</v>
          </cell>
          <cell r="D2220" t="str">
            <v>Al Jeel KG</v>
          </cell>
          <cell r="H2220" t="str">
            <v>AD</v>
          </cell>
        </row>
        <row r="2221">
          <cell r="B2221" t="str">
            <v>Fire Smoke / Heat Detector, Sounder</v>
          </cell>
          <cell r="D2221" t="str">
            <v>Al Jeel KG</v>
          </cell>
          <cell r="H2221" t="str">
            <v>AD</v>
          </cell>
        </row>
        <row r="2222">
          <cell r="B2222" t="str">
            <v>Fire Smoke / Heat Detector, Sounder</v>
          </cell>
          <cell r="D2222" t="str">
            <v>Al Jeel KG</v>
          </cell>
          <cell r="H2222" t="str">
            <v>AD</v>
          </cell>
        </row>
        <row r="2223">
          <cell r="B2223" t="str">
            <v>Fire Smoke / Heat Detector, Sounder</v>
          </cell>
          <cell r="D2223" t="str">
            <v>Al Jeel KG</v>
          </cell>
          <cell r="H2223" t="str">
            <v>AD</v>
          </cell>
        </row>
        <row r="2224">
          <cell r="B2224" t="str">
            <v>Fire Smoke / Heat Detector, Sounder</v>
          </cell>
          <cell r="D2224" t="str">
            <v>Al Jeel KG</v>
          </cell>
          <cell r="H2224" t="str">
            <v>AD</v>
          </cell>
        </row>
        <row r="2225">
          <cell r="B2225" t="str">
            <v>Fire Smoke / Heat Detector, Sounder</v>
          </cell>
          <cell r="D2225" t="str">
            <v>Al Jeel KG</v>
          </cell>
          <cell r="H2225" t="str">
            <v>AD</v>
          </cell>
        </row>
        <row r="2226">
          <cell r="B2226" t="str">
            <v>Fire Smoke / Heat Detector, Sounder</v>
          </cell>
          <cell r="D2226" t="str">
            <v>Al Jeel KG</v>
          </cell>
          <cell r="H2226" t="str">
            <v>AD</v>
          </cell>
        </row>
        <row r="2227">
          <cell r="B2227" t="str">
            <v>Fire Smoke / Heat Detector, Sounder</v>
          </cell>
          <cell r="D2227" t="str">
            <v>Al Jeel KG</v>
          </cell>
          <cell r="H2227" t="str">
            <v>AD</v>
          </cell>
        </row>
        <row r="2228">
          <cell r="B2228" t="str">
            <v>Fire Smoke / Heat Detector, Sounder</v>
          </cell>
          <cell r="D2228" t="str">
            <v>Al Jeel KG</v>
          </cell>
          <cell r="H2228" t="str">
            <v>AD</v>
          </cell>
        </row>
        <row r="2229">
          <cell r="B2229" t="str">
            <v>Fire Smoke / Heat Detector, Sounder</v>
          </cell>
          <cell r="D2229" t="str">
            <v>Al Jeel KG</v>
          </cell>
          <cell r="H2229" t="str">
            <v>AD</v>
          </cell>
        </row>
        <row r="2230">
          <cell r="B2230" t="str">
            <v>Fire Smoke / Heat Detector, Sounder</v>
          </cell>
          <cell r="D2230" t="str">
            <v>Al Jeel KG</v>
          </cell>
          <cell r="H2230" t="str">
            <v>AD</v>
          </cell>
        </row>
        <row r="2231">
          <cell r="B2231" t="str">
            <v>Fire Smoke / Heat Detector, Sounder</v>
          </cell>
          <cell r="D2231" t="str">
            <v>Al Jeel KG</v>
          </cell>
          <cell r="H2231" t="str">
            <v>AD</v>
          </cell>
        </row>
        <row r="2232">
          <cell r="B2232" t="str">
            <v>Fire Smoke / Heat Detector, Sounder</v>
          </cell>
          <cell r="D2232" t="str">
            <v>Al Jeel KG</v>
          </cell>
          <cell r="H2232" t="str">
            <v>AD</v>
          </cell>
        </row>
        <row r="2233">
          <cell r="B2233" t="str">
            <v>Fire Smoke / Heat Detector, Sounder</v>
          </cell>
          <cell r="D2233" t="str">
            <v>Al Jeel KG</v>
          </cell>
          <cell r="H2233" t="str">
            <v>AD</v>
          </cell>
        </row>
        <row r="2234">
          <cell r="B2234" t="str">
            <v>Fire Smoke / Heat Detector, Sounder</v>
          </cell>
          <cell r="D2234" t="str">
            <v>Al Jeel KG</v>
          </cell>
          <cell r="H2234" t="str">
            <v>AD</v>
          </cell>
        </row>
        <row r="2235">
          <cell r="B2235" t="str">
            <v>Fire Smoke / Heat Detector, Sounder</v>
          </cell>
          <cell r="D2235" t="str">
            <v>Al Jeel KG</v>
          </cell>
          <cell r="H2235" t="str">
            <v>AD</v>
          </cell>
        </row>
        <row r="2236">
          <cell r="B2236" t="str">
            <v>Fire Smoke / Heat Detector, Sounder</v>
          </cell>
          <cell r="D2236" t="str">
            <v>Al Jeel KG</v>
          </cell>
          <cell r="H2236" t="str">
            <v>AD</v>
          </cell>
        </row>
        <row r="2237">
          <cell r="B2237" t="str">
            <v>Fire Smoke / Heat Detector, Sounder</v>
          </cell>
          <cell r="D2237" t="str">
            <v>Al Jeel KG</v>
          </cell>
          <cell r="H2237" t="str">
            <v>AD</v>
          </cell>
        </row>
        <row r="2238">
          <cell r="B2238" t="str">
            <v>Fire Smoke / Heat Detector, Sounder</v>
          </cell>
          <cell r="D2238" t="str">
            <v>Al Jeel KG</v>
          </cell>
          <cell r="H2238" t="str">
            <v>AD</v>
          </cell>
        </row>
        <row r="2239">
          <cell r="B2239" t="str">
            <v>Fire Smoke / Heat Detector, Sounder</v>
          </cell>
          <cell r="D2239" t="str">
            <v>Al Jeel KG</v>
          </cell>
          <cell r="H2239" t="str">
            <v>AD</v>
          </cell>
        </row>
        <row r="2240">
          <cell r="B2240" t="str">
            <v>Fire Smoke / Heat Detector, Sounder</v>
          </cell>
          <cell r="D2240" t="str">
            <v>Al Jeel KG</v>
          </cell>
          <cell r="H2240" t="str">
            <v>AD</v>
          </cell>
        </row>
        <row r="2241">
          <cell r="B2241" t="str">
            <v>Fire Smoke / Heat Detector, Sounder</v>
          </cell>
          <cell r="D2241" t="str">
            <v>Al Jeel KG</v>
          </cell>
          <cell r="H2241" t="str">
            <v>AD</v>
          </cell>
        </row>
        <row r="2242">
          <cell r="B2242" t="str">
            <v>Fire Smoke / Heat Detector, Sounder</v>
          </cell>
          <cell r="D2242" t="str">
            <v>Al Jeel KG</v>
          </cell>
          <cell r="H2242" t="str">
            <v>AD</v>
          </cell>
        </row>
        <row r="2243">
          <cell r="B2243" t="str">
            <v>Fire Smoke / Heat Detector, Sounder</v>
          </cell>
          <cell r="D2243" t="str">
            <v>Al Jeel KG</v>
          </cell>
          <cell r="H2243" t="str">
            <v>AD</v>
          </cell>
        </row>
        <row r="2244">
          <cell r="B2244" t="str">
            <v>Fire Smoke / Heat Detector, Sounder</v>
          </cell>
          <cell r="D2244" t="str">
            <v>Al Jeel KG</v>
          </cell>
          <cell r="H2244" t="str">
            <v>AD</v>
          </cell>
        </row>
        <row r="2245">
          <cell r="B2245" t="str">
            <v>Fire Smoke / Heat Detector, Sounder</v>
          </cell>
          <cell r="D2245" t="str">
            <v>Al Jeel KG</v>
          </cell>
          <cell r="H2245" t="str">
            <v>AD</v>
          </cell>
        </row>
        <row r="2246">
          <cell r="B2246" t="str">
            <v>Fire Smoke / Heat Detector, Sounder</v>
          </cell>
          <cell r="D2246" t="str">
            <v>Al Jeel KG</v>
          </cell>
          <cell r="H2246" t="str">
            <v>AD</v>
          </cell>
        </row>
        <row r="2247">
          <cell r="B2247" t="str">
            <v>Fire Smoke / Heat Detector, Sounder</v>
          </cell>
          <cell r="D2247" t="str">
            <v>Al Jeel KG</v>
          </cell>
          <cell r="H2247" t="str">
            <v>AD</v>
          </cell>
        </row>
        <row r="2248">
          <cell r="B2248" t="str">
            <v>Fire Smoke / Heat Detector, Sounder</v>
          </cell>
          <cell r="D2248" t="str">
            <v>Al Jeel KG</v>
          </cell>
          <cell r="H2248" t="str">
            <v>AD</v>
          </cell>
        </row>
        <row r="2249">
          <cell r="B2249" t="str">
            <v>Fire Smoke / Heat Detector, Sounder</v>
          </cell>
          <cell r="D2249" t="str">
            <v>Al Jeel KG</v>
          </cell>
          <cell r="H2249" t="str">
            <v>AD</v>
          </cell>
        </row>
        <row r="2250">
          <cell r="B2250" t="str">
            <v>Fire Extinguisher</v>
          </cell>
          <cell r="D2250" t="str">
            <v>Al katim for boys/Obadah Bin Al Samet combined secongdary school for boys (al khatem)</v>
          </cell>
          <cell r="H2250" t="str">
            <v>AD</v>
          </cell>
        </row>
        <row r="2251">
          <cell r="B2251" t="str">
            <v>Fire Extinguisher</v>
          </cell>
          <cell r="D2251" t="str">
            <v>Al katim for boys/Obadah Bin Al Samet combined secongdary school for boys (al khatem)</v>
          </cell>
          <cell r="H2251" t="str">
            <v>AD</v>
          </cell>
        </row>
        <row r="2252">
          <cell r="B2252" t="str">
            <v>Fire Extinguisher</v>
          </cell>
          <cell r="D2252" t="str">
            <v>Al katim for boys/Obadah Bin Al Samet combined secongdary school for boys (al khatem)</v>
          </cell>
          <cell r="H2252" t="str">
            <v>AD</v>
          </cell>
        </row>
        <row r="2253">
          <cell r="B2253" t="str">
            <v>Fire Extinguisher</v>
          </cell>
          <cell r="D2253" t="str">
            <v>Al katim for boys/Obadah Bin Al Samet combined secongdary school for boys (al khatem)</v>
          </cell>
          <cell r="H2253" t="str">
            <v>AD</v>
          </cell>
        </row>
        <row r="2254">
          <cell r="B2254" t="str">
            <v>Fire Extinguisher</v>
          </cell>
          <cell r="D2254" t="str">
            <v>Al katim for boys/Obadah Bin Al Samet combined secongdary school for boys (al khatem)</v>
          </cell>
          <cell r="H2254" t="str">
            <v>AD</v>
          </cell>
        </row>
        <row r="2255">
          <cell r="B2255" t="str">
            <v>Fire Extinguisher</v>
          </cell>
          <cell r="D2255" t="str">
            <v>Al katim for boys/Obadah Bin Al Samet combined secongdary school for boys (al khatem)</v>
          </cell>
          <cell r="H2255" t="str">
            <v>AD</v>
          </cell>
        </row>
        <row r="2256">
          <cell r="B2256" t="str">
            <v>Fire Extinguisher</v>
          </cell>
          <cell r="D2256" t="str">
            <v>Al katim for boys/Obadah Bin Al Samet combined secongdary school for boys (al khatem)</v>
          </cell>
          <cell r="H2256" t="str">
            <v>AD</v>
          </cell>
        </row>
        <row r="2257">
          <cell r="B2257" t="str">
            <v>Fire Extinguisher</v>
          </cell>
          <cell r="D2257" t="str">
            <v>Al katim for boys/Obadah Bin Al Samet combined secongdary school for boys (al khatem)</v>
          </cell>
          <cell r="H2257" t="str">
            <v>AD</v>
          </cell>
        </row>
        <row r="2258">
          <cell r="B2258" t="str">
            <v>Fire Extinguisher</v>
          </cell>
          <cell r="D2258" t="str">
            <v>Al katim for boys/Obadah Bin Al Samet combined secongdary school for boys (al khatem)</v>
          </cell>
          <cell r="H2258" t="str">
            <v>AD</v>
          </cell>
        </row>
        <row r="2259">
          <cell r="B2259" t="str">
            <v>Fire Extinguisher</v>
          </cell>
          <cell r="D2259" t="str">
            <v>Al katim for boys/Obadah Bin Al Samet combined secongdary school for boys (al khatem)</v>
          </cell>
          <cell r="H2259" t="str">
            <v>AD</v>
          </cell>
        </row>
        <row r="2260">
          <cell r="B2260" t="str">
            <v>Fire Extinguisher</v>
          </cell>
          <cell r="D2260" t="str">
            <v>Al katim for boys/Obadah Bin Al Samet combined secongdary school for boys (al khatem)</v>
          </cell>
          <cell r="H2260" t="str">
            <v>AD</v>
          </cell>
        </row>
        <row r="2261">
          <cell r="B2261" t="str">
            <v>Fire Extinguisher</v>
          </cell>
          <cell r="D2261" t="str">
            <v>Al katim for boys/Obadah Bin Al Samet combined secongdary school for boys (al khatem)</v>
          </cell>
          <cell r="H2261" t="str">
            <v>AD</v>
          </cell>
        </row>
        <row r="2262">
          <cell r="B2262" t="str">
            <v>Water Tank</v>
          </cell>
          <cell r="D2262" t="str">
            <v>Al katim for boys/Obadah Bin Al Samet combined secongdary school for boys (al khatem)</v>
          </cell>
          <cell r="H2262" t="str">
            <v>AD</v>
          </cell>
        </row>
        <row r="2263">
          <cell r="B2263" t="str">
            <v>Water Tank</v>
          </cell>
          <cell r="D2263" t="str">
            <v>Al katim for boys/Obadah Bin Al Samet combined secongdary school for boys (al khatem)</v>
          </cell>
          <cell r="H2263" t="str">
            <v>AD</v>
          </cell>
        </row>
        <row r="2264">
          <cell r="B2264" t="str">
            <v>Water Tank</v>
          </cell>
          <cell r="D2264" t="str">
            <v>Al katim for boys/Obadah Bin Al Samet combined secongdary school for boys (al khatem)</v>
          </cell>
          <cell r="H2264" t="str">
            <v>AD</v>
          </cell>
        </row>
        <row r="2265">
          <cell r="B2265" t="str">
            <v>Water Tank</v>
          </cell>
          <cell r="D2265" t="str">
            <v>Al katim for boys/Obadah Bin Al Samet combined secongdary school for boys (al khatem)</v>
          </cell>
          <cell r="H2265" t="str">
            <v>AD</v>
          </cell>
        </row>
        <row r="2266">
          <cell r="B2266" t="str">
            <v>Water Tank</v>
          </cell>
          <cell r="D2266" t="str">
            <v>Al katim for boys/Obadah Bin Al Samet combined secongdary school for boys (al khatem)</v>
          </cell>
          <cell r="H2266" t="str">
            <v>AD</v>
          </cell>
        </row>
        <row r="2267">
          <cell r="B2267" t="str">
            <v>Water Tank</v>
          </cell>
          <cell r="D2267" t="str">
            <v>Al katim for boys/Obadah Bin Al Samet combined secongdary school for boys (al khatem)</v>
          </cell>
          <cell r="H2267" t="str">
            <v>AD</v>
          </cell>
        </row>
        <row r="2268">
          <cell r="B2268" t="str">
            <v>Water Tank</v>
          </cell>
          <cell r="D2268" t="str">
            <v>Al katim for boys/Obadah Bin Al Samet combined secongdary school for boys (al khatem)</v>
          </cell>
          <cell r="H2268" t="str">
            <v>AD</v>
          </cell>
        </row>
        <row r="2269">
          <cell r="B2269" t="str">
            <v>Water Tank</v>
          </cell>
          <cell r="D2269" t="str">
            <v>Al katim for boys/Obadah Bin Al Samet combined secongdary school for boys (al khatem)</v>
          </cell>
          <cell r="H2269" t="str">
            <v>AD</v>
          </cell>
        </row>
        <row r="2270">
          <cell r="B2270" t="str">
            <v>ELEVATOR</v>
          </cell>
          <cell r="D2270" t="str">
            <v>Al Khama'el Primary Model School</v>
          </cell>
          <cell r="H2270" t="str">
            <v>WR</v>
          </cell>
        </row>
        <row r="2271">
          <cell r="B2271" t="str">
            <v>FIRE BREAKGLASS</v>
          </cell>
          <cell r="D2271" t="str">
            <v>Al Khama'el Primary Model School</v>
          </cell>
          <cell r="H2271" t="str">
            <v>WR</v>
          </cell>
        </row>
        <row r="2272">
          <cell r="B2272" t="str">
            <v>FIRE BREAKGLASS</v>
          </cell>
          <cell r="D2272" t="str">
            <v>Al Khama'el Primary Model School</v>
          </cell>
          <cell r="H2272" t="str">
            <v>WR</v>
          </cell>
        </row>
        <row r="2273">
          <cell r="B2273" t="str">
            <v>FIRE BREAKGLASS</v>
          </cell>
          <cell r="D2273" t="str">
            <v>Al Khama'el Primary Model School</v>
          </cell>
          <cell r="H2273" t="str">
            <v>WR</v>
          </cell>
        </row>
        <row r="2274">
          <cell r="B2274" t="str">
            <v>FIRE BREAKGLASS</v>
          </cell>
          <cell r="D2274" t="str">
            <v>Al Khama'el Primary Model School</v>
          </cell>
          <cell r="H2274" t="str">
            <v>WR</v>
          </cell>
        </row>
        <row r="2275">
          <cell r="B2275" t="str">
            <v>FIRE BREAKGLASS</v>
          </cell>
          <cell r="D2275" t="str">
            <v>Al Khama'el Primary Model School</v>
          </cell>
          <cell r="H2275" t="str">
            <v>WR</v>
          </cell>
        </row>
        <row r="2276">
          <cell r="B2276" t="str">
            <v>FIRE BREAKGLASS</v>
          </cell>
          <cell r="D2276" t="str">
            <v>Al Khama'el Primary Model School</v>
          </cell>
          <cell r="H2276" t="str">
            <v>WR</v>
          </cell>
        </row>
        <row r="2277">
          <cell r="B2277" t="str">
            <v>FIRE BREAKGLASS</v>
          </cell>
          <cell r="D2277" t="str">
            <v>Al Khama'el Primary Model School</v>
          </cell>
          <cell r="H2277" t="str">
            <v>WR</v>
          </cell>
        </row>
        <row r="2278">
          <cell r="B2278" t="str">
            <v>FIRE BREAKGLASS</v>
          </cell>
          <cell r="D2278" t="str">
            <v>Al Khama'el Primary Model School</v>
          </cell>
          <cell r="H2278" t="str">
            <v>WR</v>
          </cell>
        </row>
        <row r="2279">
          <cell r="B2279" t="str">
            <v>FIRE BREAKGLASS</v>
          </cell>
          <cell r="D2279" t="str">
            <v>Al Khama'el Primary Model School</v>
          </cell>
          <cell r="H2279" t="str">
            <v>WR</v>
          </cell>
        </row>
        <row r="2280">
          <cell r="B2280" t="str">
            <v>FIRE BREAKGLASS</v>
          </cell>
          <cell r="D2280" t="str">
            <v>Al Khama'el Primary Model School</v>
          </cell>
          <cell r="H2280" t="str">
            <v>WR</v>
          </cell>
        </row>
        <row r="2281">
          <cell r="B2281" t="str">
            <v>FIRE BREAKGLASS</v>
          </cell>
          <cell r="D2281" t="str">
            <v>Al Khama'el Primary Model School</v>
          </cell>
          <cell r="H2281" t="str">
            <v>WR</v>
          </cell>
        </row>
        <row r="2282">
          <cell r="B2282" t="str">
            <v>FIRE BREAKGLASS</v>
          </cell>
          <cell r="D2282" t="str">
            <v>Al Khama'el Primary Model School</v>
          </cell>
          <cell r="H2282" t="str">
            <v>WR</v>
          </cell>
        </row>
        <row r="2283">
          <cell r="B2283" t="str">
            <v>FIRE BREAKGLASS</v>
          </cell>
          <cell r="D2283" t="str">
            <v>Al Khama'el Primary Model School</v>
          </cell>
          <cell r="H2283" t="str">
            <v>WR</v>
          </cell>
        </row>
        <row r="2284">
          <cell r="B2284" t="str">
            <v>Fire Extinguisher - Dry</v>
          </cell>
          <cell r="D2284" t="str">
            <v>Al Khama'el Primary Model School</v>
          </cell>
          <cell r="H2284" t="str">
            <v>WR</v>
          </cell>
        </row>
        <row r="2285">
          <cell r="B2285" t="str">
            <v>Fire Extinguisher - Dry</v>
          </cell>
          <cell r="D2285" t="str">
            <v>Al Khama'el Primary Model School</v>
          </cell>
          <cell r="H2285" t="str">
            <v>WR</v>
          </cell>
        </row>
        <row r="2286">
          <cell r="B2286" t="str">
            <v>Fire Extinguisher - Dry</v>
          </cell>
          <cell r="D2286" t="str">
            <v>Al Khama'el Primary Model School</v>
          </cell>
          <cell r="H2286" t="str">
            <v>WR</v>
          </cell>
        </row>
        <row r="2287">
          <cell r="B2287" t="str">
            <v>Fire Extinguisher - Dry</v>
          </cell>
          <cell r="D2287" t="str">
            <v>Al Khama'el Primary Model School</v>
          </cell>
          <cell r="H2287" t="str">
            <v>WR</v>
          </cell>
        </row>
        <row r="2288">
          <cell r="B2288" t="str">
            <v>Fire Extinguisher - Dry</v>
          </cell>
          <cell r="D2288" t="str">
            <v>Al Khama'el Primary Model School</v>
          </cell>
          <cell r="H2288" t="str">
            <v>WR</v>
          </cell>
        </row>
        <row r="2289">
          <cell r="B2289" t="str">
            <v>Fire Extinguisher - Dry</v>
          </cell>
          <cell r="D2289" t="str">
            <v>Al Khama'el Primary Model School</v>
          </cell>
          <cell r="H2289" t="str">
            <v>WR</v>
          </cell>
        </row>
        <row r="2290">
          <cell r="B2290" t="str">
            <v>Fire Extinguisher - Dry</v>
          </cell>
          <cell r="D2290" t="str">
            <v>Al Khama'el Primary Model School</v>
          </cell>
          <cell r="H2290" t="str">
            <v>WR</v>
          </cell>
        </row>
        <row r="2291">
          <cell r="B2291" t="str">
            <v>Fire Extinguisher - Dry</v>
          </cell>
          <cell r="D2291" t="str">
            <v>Al Khama'el Primary Model School</v>
          </cell>
          <cell r="H2291" t="str">
            <v>WR</v>
          </cell>
        </row>
        <row r="2292">
          <cell r="B2292" t="str">
            <v>Fire Extinguisher - Dry</v>
          </cell>
          <cell r="D2292" t="str">
            <v>Al Khama'el Primary Model School</v>
          </cell>
          <cell r="H2292" t="str">
            <v>WR</v>
          </cell>
        </row>
        <row r="2293">
          <cell r="B2293" t="str">
            <v>Fire Extinguisher - Dry</v>
          </cell>
          <cell r="D2293" t="str">
            <v>Al Khama'el Primary Model School</v>
          </cell>
          <cell r="H2293" t="str">
            <v>WR</v>
          </cell>
        </row>
        <row r="2294">
          <cell r="B2294" t="str">
            <v>Fire Extinguisher - Dry</v>
          </cell>
          <cell r="D2294" t="str">
            <v>Al Khama'el Primary Model School</v>
          </cell>
          <cell r="H2294" t="str">
            <v>WR</v>
          </cell>
        </row>
        <row r="2295">
          <cell r="B2295" t="str">
            <v>Fire Extinguisher - Dry</v>
          </cell>
          <cell r="D2295" t="str">
            <v>Al Khama'el Primary Model School</v>
          </cell>
          <cell r="H2295" t="str">
            <v>WR</v>
          </cell>
        </row>
        <row r="2296">
          <cell r="B2296" t="str">
            <v>Fire Extinguisher - Dry</v>
          </cell>
          <cell r="D2296" t="str">
            <v>Al Khama'el Primary Model School</v>
          </cell>
          <cell r="H2296" t="str">
            <v>WR</v>
          </cell>
        </row>
        <row r="2297">
          <cell r="B2297" t="str">
            <v>Fire Extinguisher - Dry</v>
          </cell>
          <cell r="D2297" t="str">
            <v>Al Khama'el Primary Model School</v>
          </cell>
          <cell r="H2297" t="str">
            <v>WR</v>
          </cell>
        </row>
        <row r="2298">
          <cell r="B2298" t="str">
            <v>Fire Extinguisher - Dry</v>
          </cell>
          <cell r="D2298" t="str">
            <v>Al Khama'el Primary Model School</v>
          </cell>
          <cell r="H2298" t="str">
            <v>WR</v>
          </cell>
        </row>
        <row r="2299">
          <cell r="B2299" t="str">
            <v>Fire Extinguisher - Dry</v>
          </cell>
          <cell r="D2299" t="str">
            <v>Al Khama'el Primary Model School</v>
          </cell>
          <cell r="H2299" t="str">
            <v>WR</v>
          </cell>
        </row>
        <row r="2300">
          <cell r="B2300" t="str">
            <v>Fire Extinguisher - Dry</v>
          </cell>
          <cell r="D2300" t="str">
            <v>Al Khama'el Primary Model School</v>
          </cell>
          <cell r="H2300" t="str">
            <v>WR</v>
          </cell>
        </row>
        <row r="2301">
          <cell r="B2301" t="str">
            <v>Fire Extinguisher - Dry</v>
          </cell>
          <cell r="D2301" t="str">
            <v>Al Khama'el Primary Model School</v>
          </cell>
          <cell r="H2301" t="str">
            <v>WR</v>
          </cell>
        </row>
        <row r="2302">
          <cell r="B2302" t="str">
            <v>Fire Extinguisher - Dry</v>
          </cell>
          <cell r="D2302" t="str">
            <v>Al Khama'el Primary Model School</v>
          </cell>
          <cell r="H2302" t="str">
            <v>WR</v>
          </cell>
        </row>
        <row r="2303">
          <cell r="B2303" t="str">
            <v>Fire Extinguisher - Dry</v>
          </cell>
          <cell r="D2303" t="str">
            <v>Al Khama'el Primary Model School</v>
          </cell>
          <cell r="H2303" t="str">
            <v>WR</v>
          </cell>
        </row>
        <row r="2304">
          <cell r="B2304" t="str">
            <v>Fire Extinguisher - Dry</v>
          </cell>
          <cell r="D2304" t="str">
            <v>Al Khama'el Primary Model School</v>
          </cell>
          <cell r="H2304" t="str">
            <v>WR</v>
          </cell>
        </row>
        <row r="2305">
          <cell r="B2305" t="str">
            <v>Fire Extinguisher - Dry</v>
          </cell>
          <cell r="D2305" t="str">
            <v>Al Khama'el Primary Model School</v>
          </cell>
          <cell r="H2305" t="str">
            <v>WR</v>
          </cell>
        </row>
        <row r="2306">
          <cell r="B2306" t="str">
            <v>Fire Extinguisher - Dry</v>
          </cell>
          <cell r="D2306" t="str">
            <v>Al Khama'el Primary Model School</v>
          </cell>
          <cell r="H2306" t="str">
            <v>WR</v>
          </cell>
        </row>
        <row r="2307">
          <cell r="B2307" t="str">
            <v>Fire Extinguisher - Dry</v>
          </cell>
          <cell r="D2307" t="str">
            <v>Al Khama'el Primary Model School</v>
          </cell>
          <cell r="H2307" t="str">
            <v>WR</v>
          </cell>
        </row>
        <row r="2308">
          <cell r="B2308" t="str">
            <v>Fire Extinguisher - Dry</v>
          </cell>
          <cell r="D2308" t="str">
            <v>Al Khama'el Primary Model School</v>
          </cell>
          <cell r="H2308" t="str">
            <v>WR</v>
          </cell>
        </row>
        <row r="2309">
          <cell r="B2309" t="str">
            <v>Fire Extinguisher - Dry</v>
          </cell>
          <cell r="D2309" t="str">
            <v>Al Khama'el Primary Model School</v>
          </cell>
          <cell r="H2309" t="str">
            <v>WR</v>
          </cell>
        </row>
        <row r="2310">
          <cell r="B2310" t="str">
            <v>Fire Extinguisher - Dry</v>
          </cell>
          <cell r="D2310" t="str">
            <v>Al Khama'el Primary Model School</v>
          </cell>
          <cell r="H2310" t="str">
            <v>WR</v>
          </cell>
        </row>
        <row r="2311">
          <cell r="B2311" t="str">
            <v>Fire Extinguisher - Dry</v>
          </cell>
          <cell r="D2311" t="str">
            <v>Al Khama'el Primary Model School</v>
          </cell>
          <cell r="H2311" t="str">
            <v>WR</v>
          </cell>
        </row>
        <row r="2312">
          <cell r="B2312" t="str">
            <v>Fire Extinguisher - Dry</v>
          </cell>
          <cell r="D2312" t="str">
            <v>Al Khama'el Primary Model School</v>
          </cell>
          <cell r="H2312" t="str">
            <v>WR</v>
          </cell>
        </row>
        <row r="2313">
          <cell r="B2313" t="str">
            <v>Fire Extinguisher - Dry</v>
          </cell>
          <cell r="D2313" t="str">
            <v>Al Khama'el Primary Model School</v>
          </cell>
          <cell r="H2313" t="str">
            <v>WR</v>
          </cell>
        </row>
        <row r="2314">
          <cell r="B2314" t="str">
            <v>Fire Extinguisher - Dry</v>
          </cell>
          <cell r="D2314" t="str">
            <v>Al Khama'el Primary Model School</v>
          </cell>
          <cell r="H2314" t="str">
            <v>WR</v>
          </cell>
        </row>
        <row r="2315">
          <cell r="B2315" t="str">
            <v>Fire Extinguisher - Dry</v>
          </cell>
          <cell r="D2315" t="str">
            <v>Al Khama'el Primary Model School</v>
          </cell>
          <cell r="H2315" t="str">
            <v>WR</v>
          </cell>
        </row>
        <row r="2316">
          <cell r="B2316" t="str">
            <v>Fire Extinguisher - Dry</v>
          </cell>
          <cell r="D2316" t="str">
            <v>Al Khama'el Primary Model School</v>
          </cell>
          <cell r="H2316" t="str">
            <v>WR</v>
          </cell>
        </row>
        <row r="2317">
          <cell r="B2317" t="str">
            <v>Fire Extinguisher - Dry</v>
          </cell>
          <cell r="D2317" t="str">
            <v>Al Khama'el Primary Model School</v>
          </cell>
          <cell r="H2317" t="str">
            <v>WR</v>
          </cell>
        </row>
        <row r="2318">
          <cell r="B2318" t="str">
            <v>Fire Extinguisher - Dry</v>
          </cell>
          <cell r="D2318" t="str">
            <v>Al Khama'el Primary Model School</v>
          </cell>
          <cell r="H2318" t="str">
            <v>WR</v>
          </cell>
        </row>
        <row r="2319">
          <cell r="B2319" t="str">
            <v>Fire Extinguisher - Dry</v>
          </cell>
          <cell r="D2319" t="str">
            <v>Al Khama'el Primary Model School</v>
          </cell>
          <cell r="H2319" t="str">
            <v>WR</v>
          </cell>
        </row>
        <row r="2320">
          <cell r="B2320" t="str">
            <v>Fire Extinguisher - Dry</v>
          </cell>
          <cell r="D2320" t="str">
            <v>Al Khama'el Primary Model School</v>
          </cell>
          <cell r="H2320" t="str">
            <v>WR</v>
          </cell>
        </row>
        <row r="2321">
          <cell r="B2321" t="str">
            <v>Fire Extinguisher - Dry</v>
          </cell>
          <cell r="D2321" t="str">
            <v>Al Khama'el Primary Model School</v>
          </cell>
          <cell r="H2321" t="str">
            <v>WR</v>
          </cell>
        </row>
        <row r="2322">
          <cell r="B2322" t="str">
            <v>Fire Extinguisher - Dry</v>
          </cell>
          <cell r="D2322" t="str">
            <v>Al Khama'el Primary Model School</v>
          </cell>
          <cell r="H2322" t="str">
            <v>WR</v>
          </cell>
        </row>
        <row r="2323">
          <cell r="B2323" t="str">
            <v>FIRE HOSE REEL</v>
          </cell>
          <cell r="D2323" t="str">
            <v>Al Khama'el Primary Model School</v>
          </cell>
          <cell r="H2323" t="str">
            <v>WR</v>
          </cell>
        </row>
        <row r="2324">
          <cell r="B2324" t="str">
            <v>FIRE HOSE REEL</v>
          </cell>
          <cell r="D2324" t="str">
            <v>Al Khama'el Primary Model School</v>
          </cell>
          <cell r="H2324" t="str">
            <v>WR</v>
          </cell>
        </row>
        <row r="2325">
          <cell r="B2325" t="str">
            <v>FIRE HOSE REEL</v>
          </cell>
          <cell r="D2325" t="str">
            <v>Al Khama'el Primary Model School</v>
          </cell>
          <cell r="H2325" t="str">
            <v>WR</v>
          </cell>
        </row>
        <row r="2326">
          <cell r="B2326" t="str">
            <v>FIRE HOSE REEL</v>
          </cell>
          <cell r="D2326" t="str">
            <v>Al Khama'el Primary Model School</v>
          </cell>
          <cell r="H2326" t="str">
            <v>WR</v>
          </cell>
        </row>
        <row r="2327">
          <cell r="B2327" t="str">
            <v>FIRE HOSE REEL</v>
          </cell>
          <cell r="D2327" t="str">
            <v>Al Khama'el Primary Model School</v>
          </cell>
          <cell r="H2327" t="str">
            <v>WR</v>
          </cell>
        </row>
        <row r="2328">
          <cell r="B2328" t="str">
            <v>FIRE HOSE REEL</v>
          </cell>
          <cell r="D2328" t="str">
            <v>Al Khama'el Primary Model School</v>
          </cell>
          <cell r="H2328" t="str">
            <v>WR</v>
          </cell>
        </row>
        <row r="2329">
          <cell r="B2329" t="str">
            <v>FIRE HOSE REEL</v>
          </cell>
          <cell r="D2329" t="str">
            <v>Al Khama'el Primary Model School</v>
          </cell>
          <cell r="H2329" t="str">
            <v>WR</v>
          </cell>
        </row>
        <row r="2330">
          <cell r="B2330" t="str">
            <v>FIRE HOSE REEL</v>
          </cell>
          <cell r="D2330" t="str">
            <v>Al Khama'el Primary Model School</v>
          </cell>
          <cell r="H2330" t="str">
            <v>WR</v>
          </cell>
        </row>
        <row r="2331">
          <cell r="B2331" t="str">
            <v>FIRE HOSE REEL</v>
          </cell>
          <cell r="D2331" t="str">
            <v>Al Khama'el Primary Model School</v>
          </cell>
          <cell r="H2331" t="str">
            <v>WR</v>
          </cell>
        </row>
        <row r="2332">
          <cell r="B2332" t="str">
            <v>FIRE HOSE REEL</v>
          </cell>
          <cell r="D2332" t="str">
            <v>Al Khama'el Primary Model School</v>
          </cell>
          <cell r="H2332" t="str">
            <v>WR</v>
          </cell>
        </row>
        <row r="2333">
          <cell r="B2333" t="str">
            <v>FIRE HOSE REEL</v>
          </cell>
          <cell r="D2333" t="str">
            <v>Al Khama'el Primary Model School</v>
          </cell>
          <cell r="H2333" t="str">
            <v>WR</v>
          </cell>
        </row>
        <row r="2334">
          <cell r="B2334" t="str">
            <v>FIRE HOSE REEL</v>
          </cell>
          <cell r="D2334" t="str">
            <v>Al Khama'el Primary Model School</v>
          </cell>
          <cell r="H2334" t="str">
            <v>WR</v>
          </cell>
        </row>
        <row r="2335">
          <cell r="B2335" t="str">
            <v>FIRE HOSE REEL</v>
          </cell>
          <cell r="D2335" t="str">
            <v>Al Khama'el Primary Model School</v>
          </cell>
          <cell r="H2335" t="str">
            <v>WR</v>
          </cell>
        </row>
        <row r="2336">
          <cell r="B2336" t="str">
            <v>FIRE HOSE REEL</v>
          </cell>
          <cell r="D2336" t="str">
            <v>Al Khama'el Primary Model School</v>
          </cell>
          <cell r="H2336" t="str">
            <v>WR</v>
          </cell>
        </row>
        <row r="2337">
          <cell r="B2337" t="str">
            <v>FIRE HOSE REEL</v>
          </cell>
          <cell r="D2337" t="str">
            <v>Al Khama'el Primary Model School</v>
          </cell>
          <cell r="H2337" t="str">
            <v>WR</v>
          </cell>
        </row>
        <row r="2338">
          <cell r="B2338" t="str">
            <v>FIRE HOSE REEL</v>
          </cell>
          <cell r="D2338" t="str">
            <v>Al Khama'el Primary Model School</v>
          </cell>
          <cell r="H2338" t="str">
            <v>WR</v>
          </cell>
        </row>
        <row r="2339">
          <cell r="B2339" t="str">
            <v>FIRE HOSE REEL</v>
          </cell>
          <cell r="D2339" t="str">
            <v>Al Khama'el Primary Model School</v>
          </cell>
          <cell r="H2339" t="str">
            <v>WR</v>
          </cell>
        </row>
        <row r="2340">
          <cell r="B2340" t="str">
            <v>FIRE HOSE REEL</v>
          </cell>
          <cell r="D2340" t="str">
            <v>Al Khama'el Primary Model School</v>
          </cell>
          <cell r="H2340" t="str">
            <v>WR</v>
          </cell>
        </row>
        <row r="2341">
          <cell r="B2341" t="str">
            <v>FIRE HOSE REEL</v>
          </cell>
          <cell r="D2341" t="str">
            <v>Al Khama'el Primary Model School</v>
          </cell>
          <cell r="H2341" t="str">
            <v>WR</v>
          </cell>
        </row>
        <row r="2342">
          <cell r="B2342" t="str">
            <v>FIRE PUMP - Electric</v>
          </cell>
          <cell r="D2342" t="str">
            <v>Al Khama'el Primary Model School</v>
          </cell>
          <cell r="H2342" t="str">
            <v>WR</v>
          </cell>
        </row>
        <row r="2343">
          <cell r="B2343" t="str">
            <v>FIRE PUMP - Diesel</v>
          </cell>
          <cell r="D2343" t="str">
            <v>Al Khama'el Primary Model School</v>
          </cell>
          <cell r="H2343" t="str">
            <v>WR</v>
          </cell>
        </row>
        <row r="2344">
          <cell r="B2344" t="str">
            <v>Fire Water Tank</v>
          </cell>
          <cell r="D2344" t="str">
            <v>Al Khama'el Primary Model School</v>
          </cell>
          <cell r="H2344" t="str">
            <v>WR</v>
          </cell>
        </row>
        <row r="2345">
          <cell r="B2345" t="str">
            <v>LPG GAS SYSTEM</v>
          </cell>
          <cell r="D2345" t="str">
            <v>Al Khama'el Primary Model School</v>
          </cell>
          <cell r="H2345" t="str">
            <v>WR</v>
          </cell>
        </row>
        <row r="2346">
          <cell r="B2346" t="str">
            <v>Water Tank</v>
          </cell>
          <cell r="D2346" t="str">
            <v>Al Khama'el Primary Model School</v>
          </cell>
          <cell r="H2346" t="str">
            <v>WR</v>
          </cell>
        </row>
        <row r="2347">
          <cell r="B2347" t="str">
            <v>Water Tank</v>
          </cell>
          <cell r="D2347" t="str">
            <v>Al Khama'el Primary Model School</v>
          </cell>
          <cell r="H2347" t="str">
            <v>WR</v>
          </cell>
        </row>
        <row r="2348">
          <cell r="B2348" t="str">
            <v>Water Tank</v>
          </cell>
          <cell r="D2348" t="str">
            <v>Al Khama'el Primary Model School</v>
          </cell>
          <cell r="H2348" t="str">
            <v>WR</v>
          </cell>
        </row>
        <row r="2349">
          <cell r="B2349" t="str">
            <v>Water Tank</v>
          </cell>
          <cell r="D2349" t="str">
            <v>Al Khama'el Primary Model School</v>
          </cell>
          <cell r="H2349" t="str">
            <v>WR</v>
          </cell>
        </row>
        <row r="2350">
          <cell r="B2350" t="str">
            <v>Water Tank</v>
          </cell>
          <cell r="D2350" t="str">
            <v>Al Khama'el Primary Model School</v>
          </cell>
          <cell r="H2350" t="str">
            <v>WR</v>
          </cell>
        </row>
        <row r="2351">
          <cell r="B2351" t="str">
            <v>Fire Extinguisher - C02</v>
          </cell>
          <cell r="D2351" t="str">
            <v xml:space="preserve">Al Laalia Model School for Basic Eduction               </v>
          </cell>
          <cell r="H2351" t="str">
            <v>AA</v>
          </cell>
        </row>
        <row r="2352">
          <cell r="B2352" t="str">
            <v>Fire Extinguisher - C02</v>
          </cell>
          <cell r="D2352" t="str">
            <v xml:space="preserve">Al Laalia Model School for Basic Eduction               </v>
          </cell>
          <cell r="H2352" t="str">
            <v>AA</v>
          </cell>
        </row>
        <row r="2353">
          <cell r="B2353" t="str">
            <v>Fire Extinguisher - C02</v>
          </cell>
          <cell r="D2353" t="str">
            <v xml:space="preserve">Al Laalia Model School for Basic Eduction               </v>
          </cell>
          <cell r="H2353" t="str">
            <v>AA</v>
          </cell>
        </row>
        <row r="2354">
          <cell r="B2354" t="str">
            <v>Fire Extinguisher - C02</v>
          </cell>
          <cell r="D2354" t="str">
            <v xml:space="preserve">Al Laalia Model School for Basic Eduction               </v>
          </cell>
          <cell r="H2354" t="str">
            <v>AA</v>
          </cell>
        </row>
        <row r="2355">
          <cell r="B2355" t="str">
            <v>Fire Extinguisher - C02</v>
          </cell>
          <cell r="D2355" t="str">
            <v xml:space="preserve">Al Laalia Model School for Basic Eduction               </v>
          </cell>
          <cell r="H2355" t="str">
            <v>AA</v>
          </cell>
        </row>
        <row r="2356">
          <cell r="B2356" t="str">
            <v>Fire Extinguisher - C02</v>
          </cell>
          <cell r="D2356" t="str">
            <v xml:space="preserve">Al Laalia Model School for Basic Eduction               </v>
          </cell>
          <cell r="H2356" t="str">
            <v>AA</v>
          </cell>
        </row>
        <row r="2357">
          <cell r="B2357" t="str">
            <v>Fire Extinguisher - C02</v>
          </cell>
          <cell r="D2357" t="str">
            <v xml:space="preserve">Al Laalia Model School for Basic Eduction               </v>
          </cell>
          <cell r="H2357" t="str">
            <v>AA</v>
          </cell>
        </row>
        <row r="2358">
          <cell r="B2358" t="str">
            <v>Fire Extinguisher - C02</v>
          </cell>
          <cell r="D2358" t="str">
            <v xml:space="preserve">Al Laalia Model School for Basic Eduction               </v>
          </cell>
          <cell r="H2358" t="str">
            <v>AA</v>
          </cell>
        </row>
        <row r="2359">
          <cell r="B2359" t="str">
            <v>Fire Extinguisher - C02</v>
          </cell>
          <cell r="D2359" t="str">
            <v xml:space="preserve">Al Laalia Model School for Basic Eduction               </v>
          </cell>
          <cell r="H2359" t="str">
            <v>AA</v>
          </cell>
        </row>
        <row r="2360">
          <cell r="B2360" t="str">
            <v>Fire Extinguisher - C02</v>
          </cell>
          <cell r="D2360" t="str">
            <v xml:space="preserve">Al Laalia Model School for Basic Eduction               </v>
          </cell>
          <cell r="H2360" t="str">
            <v>AA</v>
          </cell>
        </row>
        <row r="2361">
          <cell r="B2361" t="str">
            <v>Fire Extinguisher - C02</v>
          </cell>
          <cell r="D2361" t="str">
            <v xml:space="preserve">Al Laalia Model School for Basic Eduction               </v>
          </cell>
          <cell r="H2361" t="str">
            <v>AA</v>
          </cell>
        </row>
        <row r="2362">
          <cell r="B2362" t="str">
            <v>Fire Extinguisher - C02</v>
          </cell>
          <cell r="D2362" t="str">
            <v xml:space="preserve">Al Laalia Model School for Basic Eduction               </v>
          </cell>
          <cell r="H2362" t="str">
            <v>AA</v>
          </cell>
        </row>
        <row r="2363">
          <cell r="B2363" t="str">
            <v>Fire Extinguisher - C02</v>
          </cell>
          <cell r="D2363" t="str">
            <v xml:space="preserve">Al Laalia Model School for Basic Eduction               </v>
          </cell>
          <cell r="H2363" t="str">
            <v>AA</v>
          </cell>
        </row>
        <row r="2364">
          <cell r="B2364" t="str">
            <v>Fire Extinguisher - C02</v>
          </cell>
          <cell r="D2364" t="str">
            <v xml:space="preserve">Al Laalia Model School for Basic Eduction               </v>
          </cell>
          <cell r="H2364" t="str">
            <v>AA</v>
          </cell>
        </row>
        <row r="2365">
          <cell r="B2365" t="str">
            <v>Fire Extinguisher - C02</v>
          </cell>
          <cell r="D2365" t="str">
            <v xml:space="preserve">Al Laalia Model School for Basic Eduction               </v>
          </cell>
          <cell r="H2365" t="str">
            <v>AA</v>
          </cell>
        </row>
        <row r="2366">
          <cell r="B2366" t="str">
            <v>Fire Extinguisher - C02</v>
          </cell>
          <cell r="D2366" t="str">
            <v xml:space="preserve">Al Laalia Model School for Basic Eduction               </v>
          </cell>
          <cell r="H2366" t="str">
            <v>AA</v>
          </cell>
        </row>
        <row r="2367">
          <cell r="B2367" t="str">
            <v>Fire Extinguisher - C02</v>
          </cell>
          <cell r="D2367" t="str">
            <v xml:space="preserve">Al Laalia Model School for Basic Eduction               </v>
          </cell>
          <cell r="H2367" t="str">
            <v>AA</v>
          </cell>
        </row>
        <row r="2368">
          <cell r="B2368" t="str">
            <v>Fire Extinguisher - C02</v>
          </cell>
          <cell r="D2368" t="str">
            <v xml:space="preserve">Al Laalia Model School for Basic Eduction               </v>
          </cell>
          <cell r="H2368" t="str">
            <v>AA</v>
          </cell>
        </row>
        <row r="2369">
          <cell r="B2369" t="str">
            <v>Fire Extinguisher - C02</v>
          </cell>
          <cell r="D2369" t="str">
            <v xml:space="preserve">Al Laalia Model School for Basic Eduction               </v>
          </cell>
          <cell r="H2369" t="str">
            <v>AA</v>
          </cell>
        </row>
        <row r="2370">
          <cell r="B2370" t="str">
            <v>Fire Extinguisher - C02</v>
          </cell>
          <cell r="D2370" t="str">
            <v xml:space="preserve">Al Laalia Model School for Basic Eduction               </v>
          </cell>
          <cell r="H2370" t="str">
            <v>AA</v>
          </cell>
        </row>
        <row r="2371">
          <cell r="B2371" t="str">
            <v>Fire Extinguisher - C02</v>
          </cell>
          <cell r="D2371" t="str">
            <v xml:space="preserve">Al Laalia Model School for Basic Eduction               </v>
          </cell>
          <cell r="H2371" t="str">
            <v>AA</v>
          </cell>
        </row>
        <row r="2372">
          <cell r="B2372" t="str">
            <v>Fire Extinguisher - C02</v>
          </cell>
          <cell r="D2372" t="str">
            <v xml:space="preserve">Al Laalia Model School for Basic Eduction               </v>
          </cell>
          <cell r="H2372" t="str">
            <v>AA</v>
          </cell>
        </row>
        <row r="2373">
          <cell r="B2373" t="str">
            <v>Fire Extinguisher - C02</v>
          </cell>
          <cell r="D2373" t="str">
            <v xml:space="preserve">Al Laalia Model School for Basic Eduction               </v>
          </cell>
          <cell r="H2373" t="str">
            <v>AA</v>
          </cell>
        </row>
        <row r="2374">
          <cell r="B2374" t="str">
            <v>CCTV Camera</v>
          </cell>
          <cell r="D2374" t="str">
            <v xml:space="preserve">Al Laalia Model School for Basic Eduction               </v>
          </cell>
          <cell r="H2374" t="str">
            <v>AA</v>
          </cell>
        </row>
        <row r="2375">
          <cell r="B2375" t="str">
            <v>Finger Print Reader Machine</v>
          </cell>
          <cell r="D2375" t="str">
            <v xml:space="preserve">Al Laalia Model School for Basic Eduction               </v>
          </cell>
          <cell r="H2375" t="str">
            <v>AA</v>
          </cell>
        </row>
        <row r="2376">
          <cell r="B2376" t="str">
            <v>Fire Blanket</v>
          </cell>
          <cell r="D2376" t="str">
            <v xml:space="preserve">Al Laalia Model School for Basic Eduction               </v>
          </cell>
          <cell r="H2376" t="str">
            <v>AA</v>
          </cell>
        </row>
        <row r="2377">
          <cell r="B2377" t="str">
            <v>Fire Extinguisher - Dry</v>
          </cell>
          <cell r="D2377" t="str">
            <v xml:space="preserve">Al Laalia Model School for Basic Eduction               </v>
          </cell>
          <cell r="H2377" t="str">
            <v>AA</v>
          </cell>
        </row>
        <row r="2378">
          <cell r="B2378" t="str">
            <v>Fire Extinguisher - Dry</v>
          </cell>
          <cell r="D2378" t="str">
            <v xml:space="preserve">Al Laalia Model School for Basic Eduction               </v>
          </cell>
          <cell r="H2378" t="str">
            <v>AA</v>
          </cell>
        </row>
        <row r="2379">
          <cell r="B2379" t="str">
            <v>Fire Extinguisher - Dry</v>
          </cell>
          <cell r="D2379" t="str">
            <v xml:space="preserve">Al Laalia Model School for Basic Eduction               </v>
          </cell>
          <cell r="H2379" t="str">
            <v>AA</v>
          </cell>
        </row>
        <row r="2380">
          <cell r="B2380" t="str">
            <v>Fire Extinguisher - Dry</v>
          </cell>
          <cell r="D2380" t="str">
            <v xml:space="preserve">Al Laalia Model School for Basic Eduction               </v>
          </cell>
          <cell r="H2380" t="str">
            <v>AA</v>
          </cell>
        </row>
        <row r="2381">
          <cell r="B2381" t="str">
            <v>Fire Extinguisher - Dry</v>
          </cell>
          <cell r="D2381" t="str">
            <v xml:space="preserve">Al Laalia Model School for Basic Eduction               </v>
          </cell>
          <cell r="H2381" t="str">
            <v>AA</v>
          </cell>
        </row>
        <row r="2382">
          <cell r="B2382" t="str">
            <v>Fire Extinguisher - Dry</v>
          </cell>
          <cell r="D2382" t="str">
            <v xml:space="preserve">Al Laalia Model School for Basic Eduction               </v>
          </cell>
          <cell r="H2382" t="str">
            <v>AA</v>
          </cell>
        </row>
        <row r="2383">
          <cell r="B2383" t="str">
            <v>Fire Extinguisher - Dry</v>
          </cell>
          <cell r="D2383" t="str">
            <v xml:space="preserve">Al Laalia Model School for Basic Eduction               </v>
          </cell>
          <cell r="H2383" t="str">
            <v>AA</v>
          </cell>
        </row>
        <row r="2384">
          <cell r="B2384" t="str">
            <v>Fire Extinguisher - Dry</v>
          </cell>
          <cell r="D2384" t="str">
            <v xml:space="preserve">Al Laalia Model School for Basic Eduction               </v>
          </cell>
          <cell r="H2384" t="str">
            <v>AA</v>
          </cell>
        </row>
        <row r="2385">
          <cell r="B2385" t="str">
            <v>Fire Extinguisher - Dry</v>
          </cell>
          <cell r="D2385" t="str">
            <v xml:space="preserve">Al Laalia Model School for Basic Eduction               </v>
          </cell>
          <cell r="H2385" t="str">
            <v>AA</v>
          </cell>
        </row>
        <row r="2386">
          <cell r="B2386" t="str">
            <v>Fire Extinguisher - Dry</v>
          </cell>
          <cell r="D2386" t="str">
            <v xml:space="preserve">Al Laalia Model School for Basic Eduction               </v>
          </cell>
          <cell r="H2386" t="str">
            <v>AA</v>
          </cell>
        </row>
        <row r="2387">
          <cell r="B2387" t="str">
            <v>Fire Extinguisher - Dry</v>
          </cell>
          <cell r="D2387" t="str">
            <v xml:space="preserve">Al Laalia Model School for Basic Eduction               </v>
          </cell>
          <cell r="H2387" t="str">
            <v>AA</v>
          </cell>
        </row>
        <row r="2388">
          <cell r="B2388" t="str">
            <v>Fire Extinguisher - Dry</v>
          </cell>
          <cell r="D2388" t="str">
            <v xml:space="preserve">Al Laalia Model School for Basic Eduction               </v>
          </cell>
          <cell r="H2388" t="str">
            <v>AA</v>
          </cell>
        </row>
        <row r="2389">
          <cell r="B2389" t="str">
            <v>Fire Extinguisher Cabinet</v>
          </cell>
          <cell r="D2389" t="str">
            <v xml:space="preserve">Al Laalia Model School for Basic Eduction               </v>
          </cell>
          <cell r="H2389" t="str">
            <v>AA</v>
          </cell>
        </row>
        <row r="2390">
          <cell r="B2390" t="str">
            <v>Fire Extinguisher Cabinet</v>
          </cell>
          <cell r="D2390" t="str">
            <v xml:space="preserve">Al Laalia Model School for Basic Eduction               </v>
          </cell>
          <cell r="H2390" t="str">
            <v>AA</v>
          </cell>
        </row>
        <row r="2391">
          <cell r="B2391" t="str">
            <v>Fire Extinguisher Cabinet</v>
          </cell>
          <cell r="D2391" t="str">
            <v xml:space="preserve">Al Laalia Model School for Basic Eduction               </v>
          </cell>
          <cell r="H2391" t="str">
            <v>AA</v>
          </cell>
        </row>
        <row r="2392">
          <cell r="B2392" t="str">
            <v>Fire Extinguisher Cabinet</v>
          </cell>
          <cell r="D2392" t="str">
            <v xml:space="preserve">Al Laalia Model School for Basic Eduction               </v>
          </cell>
          <cell r="H2392" t="str">
            <v>AA</v>
          </cell>
        </row>
        <row r="2393">
          <cell r="B2393" t="str">
            <v>Fire hose reel</v>
          </cell>
          <cell r="D2393" t="str">
            <v xml:space="preserve">Al Laalia Model School for Basic Eduction               </v>
          </cell>
          <cell r="H2393" t="str">
            <v>AA</v>
          </cell>
        </row>
        <row r="2394">
          <cell r="B2394" t="str">
            <v>Fire Hose Reel</v>
          </cell>
          <cell r="D2394" t="str">
            <v xml:space="preserve">Al Laalia Model School for Basic Eduction               </v>
          </cell>
          <cell r="H2394" t="str">
            <v>AA</v>
          </cell>
        </row>
        <row r="2395">
          <cell r="B2395" t="str">
            <v>Fire Hose Reel</v>
          </cell>
          <cell r="D2395" t="str">
            <v xml:space="preserve">Al Laalia Model School for Basic Eduction               </v>
          </cell>
          <cell r="H2395" t="str">
            <v>AA</v>
          </cell>
        </row>
        <row r="2396">
          <cell r="B2396" t="str">
            <v>Fire Hose Reel</v>
          </cell>
          <cell r="D2396" t="str">
            <v xml:space="preserve">Al Laalia Model School for Basic Eduction               </v>
          </cell>
          <cell r="H2396" t="str">
            <v>AA</v>
          </cell>
        </row>
        <row r="2397">
          <cell r="B2397" t="str">
            <v>Fire hose reel</v>
          </cell>
          <cell r="D2397" t="str">
            <v xml:space="preserve">Al Laalia Model School for Basic Eduction               </v>
          </cell>
          <cell r="H2397" t="str">
            <v>AA</v>
          </cell>
        </row>
        <row r="2398">
          <cell r="B2398" t="str">
            <v>Fire hose reel</v>
          </cell>
          <cell r="D2398" t="str">
            <v xml:space="preserve">Al Laalia Model School for Basic Eduction               </v>
          </cell>
          <cell r="H2398" t="str">
            <v>AA</v>
          </cell>
        </row>
        <row r="2399">
          <cell r="B2399" t="str">
            <v>Fire hose reel</v>
          </cell>
          <cell r="D2399" t="str">
            <v xml:space="preserve">Al Laalia Model School for Basic Eduction               </v>
          </cell>
          <cell r="H2399" t="str">
            <v>AA</v>
          </cell>
        </row>
        <row r="2400">
          <cell r="B2400" t="str">
            <v>Fire Hose Reel Cabinet</v>
          </cell>
          <cell r="D2400" t="str">
            <v xml:space="preserve">Al Laalia Model School for Basic Eduction               </v>
          </cell>
          <cell r="H2400" t="str">
            <v>AA</v>
          </cell>
        </row>
        <row r="2401">
          <cell r="B2401" t="str">
            <v>Fire Hose Reel Cabinet</v>
          </cell>
          <cell r="D2401" t="str">
            <v xml:space="preserve">Al Laalia Model School for Basic Eduction               </v>
          </cell>
          <cell r="H2401" t="str">
            <v>AA</v>
          </cell>
        </row>
        <row r="2402">
          <cell r="B2402" t="str">
            <v>Fire Hose Reel Cabinet</v>
          </cell>
          <cell r="D2402" t="str">
            <v xml:space="preserve">Al Laalia Model School for Basic Eduction               </v>
          </cell>
          <cell r="H2402" t="str">
            <v>AA</v>
          </cell>
        </row>
        <row r="2403">
          <cell r="B2403" t="str">
            <v>Fire Hose Reel Cabinet</v>
          </cell>
          <cell r="D2403" t="str">
            <v xml:space="preserve">Al Laalia Model School for Basic Eduction               </v>
          </cell>
          <cell r="H2403" t="str">
            <v>AA</v>
          </cell>
        </row>
        <row r="2404">
          <cell r="B2404" t="str">
            <v>Fire Hose Reel Cabinet</v>
          </cell>
          <cell r="D2404" t="str">
            <v xml:space="preserve">Al Laalia Model School for Basic Eduction               </v>
          </cell>
          <cell r="H2404" t="str">
            <v>AA</v>
          </cell>
        </row>
        <row r="2405">
          <cell r="B2405" t="str">
            <v>Fire Hose Reel Cabinet</v>
          </cell>
          <cell r="D2405" t="str">
            <v xml:space="preserve">Al Laalia Model School for Basic Eduction               </v>
          </cell>
          <cell r="H2405" t="str">
            <v>AA</v>
          </cell>
        </row>
        <row r="2406">
          <cell r="B2406" t="str">
            <v>Gas Detection System</v>
          </cell>
          <cell r="D2406" t="str">
            <v xml:space="preserve">Al Laalia Model School for Basic Eduction               </v>
          </cell>
          <cell r="H2406" t="str">
            <v>AA</v>
          </cell>
        </row>
        <row r="2407">
          <cell r="B2407" t="str">
            <v>Gas Detection System</v>
          </cell>
          <cell r="D2407" t="str">
            <v xml:space="preserve">Al Laalia Model School for Basic Eduction               </v>
          </cell>
          <cell r="H2407" t="str">
            <v>AA</v>
          </cell>
        </row>
        <row r="2408">
          <cell r="B2408" t="str">
            <v>Smoke Detector &amp; Heat Detector</v>
          </cell>
          <cell r="D2408" t="str">
            <v xml:space="preserve">Al Laalia Model School for Basic Eduction               </v>
          </cell>
          <cell r="H2408" t="str">
            <v>AA</v>
          </cell>
        </row>
        <row r="2409">
          <cell r="B2409" t="str">
            <v>Smoke Detector &amp; Heat Detector</v>
          </cell>
          <cell r="D2409" t="str">
            <v xml:space="preserve">Al Laalia Model School for Basic Eduction               </v>
          </cell>
          <cell r="H2409" t="str">
            <v>AA</v>
          </cell>
        </row>
        <row r="2410">
          <cell r="B2410" t="str">
            <v>Smoke Detector &amp; Heat Detector</v>
          </cell>
          <cell r="D2410" t="str">
            <v xml:space="preserve">Al Laalia Model School for Basic Eduction               </v>
          </cell>
          <cell r="H2410" t="str">
            <v>AA</v>
          </cell>
        </row>
        <row r="2411">
          <cell r="B2411" t="str">
            <v>Smoke Detector &amp; Heat Detector</v>
          </cell>
          <cell r="D2411" t="str">
            <v xml:space="preserve">Al Laalia Model School for Basic Eduction               </v>
          </cell>
          <cell r="H2411" t="str">
            <v>AA</v>
          </cell>
        </row>
        <row r="2412">
          <cell r="B2412" t="str">
            <v>Smoke Detector &amp; Heat Detector</v>
          </cell>
          <cell r="D2412" t="str">
            <v xml:space="preserve">Al Laalia Model School for Basic Eduction               </v>
          </cell>
          <cell r="H2412" t="str">
            <v>AA</v>
          </cell>
        </row>
        <row r="2413">
          <cell r="B2413" t="str">
            <v>Smoke Detector &amp; Heat Detector</v>
          </cell>
          <cell r="D2413" t="str">
            <v xml:space="preserve">Al Laalia Model School for Basic Eduction               </v>
          </cell>
          <cell r="H2413" t="str">
            <v>AA</v>
          </cell>
        </row>
        <row r="2414">
          <cell r="B2414" t="str">
            <v>Smoke Detector &amp; Heat Detector</v>
          </cell>
          <cell r="D2414" t="str">
            <v xml:space="preserve">Al Laalia Model School for Basic Eduction               </v>
          </cell>
          <cell r="H2414" t="str">
            <v>AA</v>
          </cell>
        </row>
        <row r="2415">
          <cell r="B2415" t="str">
            <v>Smoke Detector &amp; Heat Detector</v>
          </cell>
          <cell r="D2415" t="str">
            <v xml:space="preserve">Al Laalia Model School for Basic Eduction               </v>
          </cell>
          <cell r="H2415" t="str">
            <v>AA</v>
          </cell>
        </row>
        <row r="2416">
          <cell r="B2416" t="str">
            <v>Smoke Detector &amp; Heat Detector</v>
          </cell>
          <cell r="D2416" t="str">
            <v xml:space="preserve">Al Laalia Model School for Basic Eduction               </v>
          </cell>
          <cell r="H2416" t="str">
            <v>AA</v>
          </cell>
        </row>
        <row r="2417">
          <cell r="B2417" t="str">
            <v>Smoke Detector &amp; Heat Detector</v>
          </cell>
          <cell r="D2417" t="str">
            <v xml:space="preserve">Al Laalia Model School for Basic Eduction               </v>
          </cell>
          <cell r="H2417" t="str">
            <v>AA</v>
          </cell>
        </row>
        <row r="2418">
          <cell r="B2418" t="str">
            <v>Smoke Detector &amp; Heat Detector</v>
          </cell>
          <cell r="D2418" t="str">
            <v xml:space="preserve">Al Laalia Model School for Basic Eduction               </v>
          </cell>
          <cell r="H2418" t="str">
            <v>AA</v>
          </cell>
        </row>
        <row r="2419">
          <cell r="B2419" t="str">
            <v>Smoke Detector &amp; Heat Detector</v>
          </cell>
          <cell r="D2419" t="str">
            <v xml:space="preserve">Al Laalia Model School for Basic Eduction               </v>
          </cell>
          <cell r="H2419" t="str">
            <v>AA</v>
          </cell>
        </row>
        <row r="2420">
          <cell r="B2420" t="str">
            <v>Smoke Detector &amp; Heat Detector</v>
          </cell>
          <cell r="D2420" t="str">
            <v xml:space="preserve">Al Laalia Model School for Basic Eduction               </v>
          </cell>
          <cell r="H2420" t="str">
            <v>AA</v>
          </cell>
        </row>
        <row r="2421">
          <cell r="B2421" t="str">
            <v>Smoke Detector &amp; Heat Detector</v>
          </cell>
          <cell r="D2421" t="str">
            <v xml:space="preserve">Al Laalia Model School for Basic Eduction               </v>
          </cell>
          <cell r="H2421" t="str">
            <v>AA</v>
          </cell>
        </row>
        <row r="2422">
          <cell r="B2422" t="str">
            <v>Smoke Detector &amp; Heat Detector</v>
          </cell>
          <cell r="D2422" t="str">
            <v xml:space="preserve">Al Laalia Model School for Basic Eduction               </v>
          </cell>
          <cell r="H2422" t="str">
            <v>AA</v>
          </cell>
        </row>
        <row r="2423">
          <cell r="B2423" t="str">
            <v>Smoke Detector &amp; Heat Detector</v>
          </cell>
          <cell r="D2423" t="str">
            <v xml:space="preserve">Al Laalia Model School for Basic Eduction               </v>
          </cell>
          <cell r="H2423" t="str">
            <v>AA</v>
          </cell>
        </row>
        <row r="2424">
          <cell r="B2424" t="str">
            <v>Smoke Detector &amp; Heat Detector</v>
          </cell>
          <cell r="D2424" t="str">
            <v xml:space="preserve">Al Laalia Model School for Basic Eduction               </v>
          </cell>
          <cell r="H2424" t="str">
            <v>AA</v>
          </cell>
        </row>
        <row r="2425">
          <cell r="B2425" t="str">
            <v>Smoke Detector &amp; Heat Detector</v>
          </cell>
          <cell r="D2425" t="str">
            <v xml:space="preserve">Al Laalia Model School for Basic Eduction               </v>
          </cell>
          <cell r="H2425" t="str">
            <v>AA</v>
          </cell>
        </row>
        <row r="2426">
          <cell r="B2426" t="str">
            <v>Smoke Detector &amp; Heat Detector</v>
          </cell>
          <cell r="D2426" t="str">
            <v xml:space="preserve">Al Laalia Model School for Basic Eduction               </v>
          </cell>
          <cell r="H2426" t="str">
            <v>AA</v>
          </cell>
        </row>
        <row r="2427">
          <cell r="B2427" t="str">
            <v>Smoke Detector &amp; Heat Detector</v>
          </cell>
          <cell r="D2427" t="str">
            <v xml:space="preserve">Al Laalia Model School for Basic Eduction               </v>
          </cell>
          <cell r="H2427" t="str">
            <v>AA</v>
          </cell>
        </row>
        <row r="2428">
          <cell r="B2428" t="str">
            <v>Smoke Detector &amp; Heat Detector</v>
          </cell>
          <cell r="D2428" t="str">
            <v xml:space="preserve">Al Laalia Model School for Basic Eduction               </v>
          </cell>
          <cell r="H2428" t="str">
            <v>AA</v>
          </cell>
        </row>
        <row r="2429">
          <cell r="B2429" t="str">
            <v>Smoke Detector &amp; Heat Detector</v>
          </cell>
          <cell r="D2429" t="str">
            <v xml:space="preserve">Al Laalia Model School for Basic Eduction               </v>
          </cell>
          <cell r="H2429" t="str">
            <v>AA</v>
          </cell>
        </row>
        <row r="2430">
          <cell r="B2430" t="str">
            <v>Smoke Detector &amp; Heat Detector</v>
          </cell>
          <cell r="D2430" t="str">
            <v xml:space="preserve">Al Laalia Model School for Basic Eduction               </v>
          </cell>
          <cell r="H2430" t="str">
            <v>AA</v>
          </cell>
        </row>
        <row r="2431">
          <cell r="B2431" t="str">
            <v>Smoke Detector &amp; Heat Detector</v>
          </cell>
          <cell r="D2431" t="str">
            <v xml:space="preserve">Al Laalia Model School for Basic Eduction               </v>
          </cell>
          <cell r="H2431" t="str">
            <v>AA</v>
          </cell>
        </row>
        <row r="2432">
          <cell r="B2432" t="str">
            <v>Smoke Detector &amp; Heat Detector</v>
          </cell>
          <cell r="D2432" t="str">
            <v xml:space="preserve">Al Laalia Model School for Basic Eduction               </v>
          </cell>
          <cell r="H2432" t="str">
            <v>AA</v>
          </cell>
        </row>
        <row r="2433">
          <cell r="B2433" t="str">
            <v>Smoke Detector &amp; Heat Detector</v>
          </cell>
          <cell r="D2433" t="str">
            <v xml:space="preserve">Al Laalia Model School for Basic Eduction               </v>
          </cell>
          <cell r="H2433" t="str">
            <v>AA</v>
          </cell>
        </row>
        <row r="2434">
          <cell r="B2434" t="str">
            <v>Smoke Detector &amp; Heat Detector</v>
          </cell>
          <cell r="D2434" t="str">
            <v xml:space="preserve">Al Laalia Model School for Basic Eduction               </v>
          </cell>
          <cell r="H2434" t="str">
            <v>AA</v>
          </cell>
        </row>
        <row r="2435">
          <cell r="B2435" t="str">
            <v>Smoke Detector &amp; Heat Detector</v>
          </cell>
          <cell r="D2435" t="str">
            <v xml:space="preserve">Al Laalia Model School for Basic Eduction               </v>
          </cell>
          <cell r="H2435" t="str">
            <v>AA</v>
          </cell>
        </row>
        <row r="2436">
          <cell r="B2436" t="str">
            <v>Smoke Detector &amp; Heat Detector</v>
          </cell>
          <cell r="D2436" t="str">
            <v xml:space="preserve">Al Laalia Model School for Basic Eduction               </v>
          </cell>
          <cell r="H2436" t="str">
            <v>AA</v>
          </cell>
        </row>
        <row r="2437">
          <cell r="B2437" t="str">
            <v>Smoke Detector &amp; Heat Detector</v>
          </cell>
          <cell r="D2437" t="str">
            <v xml:space="preserve">Al Laalia Model School for Basic Eduction               </v>
          </cell>
          <cell r="H2437" t="str">
            <v>AA</v>
          </cell>
        </row>
        <row r="2438">
          <cell r="B2438" t="str">
            <v>Smoke Detector &amp; Heat Detector</v>
          </cell>
          <cell r="D2438" t="str">
            <v xml:space="preserve">Al Laalia Model School for Basic Eduction               </v>
          </cell>
          <cell r="H2438" t="str">
            <v>AA</v>
          </cell>
        </row>
        <row r="2439">
          <cell r="B2439" t="str">
            <v>Smoke Detector &amp; Heat Detector</v>
          </cell>
          <cell r="D2439" t="str">
            <v xml:space="preserve">Al Laalia Model School for Basic Eduction               </v>
          </cell>
          <cell r="H2439" t="str">
            <v>AA</v>
          </cell>
        </row>
        <row r="2440">
          <cell r="B2440" t="str">
            <v>Smoke Detector &amp; Heat Detector</v>
          </cell>
          <cell r="D2440" t="str">
            <v xml:space="preserve">Al Laalia Model School for Basic Eduction               </v>
          </cell>
          <cell r="H2440" t="str">
            <v>AA</v>
          </cell>
        </row>
        <row r="2441">
          <cell r="B2441" t="str">
            <v>Smoke Detector &amp; Heat Detector</v>
          </cell>
          <cell r="D2441" t="str">
            <v xml:space="preserve">Al Laalia Model School for Basic Eduction               </v>
          </cell>
          <cell r="H2441" t="str">
            <v>AA</v>
          </cell>
        </row>
        <row r="2442">
          <cell r="B2442" t="str">
            <v>Smoke Detector &amp; Heat Detector</v>
          </cell>
          <cell r="D2442" t="str">
            <v xml:space="preserve">Al Laalia Model School for Basic Eduction               </v>
          </cell>
          <cell r="H2442" t="str">
            <v>AA</v>
          </cell>
        </row>
        <row r="2443">
          <cell r="B2443" t="str">
            <v>Smoke Detector &amp; Heat Detector</v>
          </cell>
          <cell r="D2443" t="str">
            <v xml:space="preserve">Al Laalia Model School for Basic Eduction               </v>
          </cell>
          <cell r="H2443" t="str">
            <v>AA</v>
          </cell>
        </row>
        <row r="2444">
          <cell r="B2444" t="str">
            <v>Smoke Detector &amp; Heat Detector</v>
          </cell>
          <cell r="D2444" t="str">
            <v xml:space="preserve">Al Laalia Model School for Basic Eduction               </v>
          </cell>
          <cell r="H2444" t="str">
            <v>AA</v>
          </cell>
        </row>
        <row r="2445">
          <cell r="B2445" t="str">
            <v>Smoke Detector &amp; Heat Detector</v>
          </cell>
          <cell r="D2445" t="str">
            <v xml:space="preserve">Al Laalia Model School for Basic Eduction               </v>
          </cell>
          <cell r="H2445" t="str">
            <v>AA</v>
          </cell>
        </row>
        <row r="2446">
          <cell r="B2446" t="str">
            <v>Smoke Detector &amp; Heat Detector</v>
          </cell>
          <cell r="D2446" t="str">
            <v xml:space="preserve">Al Laalia Model School for Basic Eduction               </v>
          </cell>
          <cell r="H2446" t="str">
            <v>AA</v>
          </cell>
        </row>
        <row r="2447">
          <cell r="B2447" t="str">
            <v>Smoke Detector &amp; Heat Detector</v>
          </cell>
          <cell r="D2447" t="str">
            <v xml:space="preserve">Al Laalia Model School for Basic Eduction               </v>
          </cell>
          <cell r="H2447" t="str">
            <v>AA</v>
          </cell>
        </row>
        <row r="2448">
          <cell r="B2448" t="str">
            <v>Smoke Detector &amp; Heat Detector</v>
          </cell>
          <cell r="D2448" t="str">
            <v xml:space="preserve">Al Laalia Model School for Basic Eduction               </v>
          </cell>
          <cell r="H2448" t="str">
            <v>AA</v>
          </cell>
        </row>
        <row r="2449">
          <cell r="B2449" t="str">
            <v>Smoke Detector &amp; Heat Detector</v>
          </cell>
          <cell r="D2449" t="str">
            <v xml:space="preserve">Al Laalia Model School for Basic Eduction               </v>
          </cell>
          <cell r="H2449" t="str">
            <v>AA</v>
          </cell>
        </row>
        <row r="2450">
          <cell r="B2450" t="str">
            <v>Smoke Detector &amp; Heat Detector</v>
          </cell>
          <cell r="D2450" t="str">
            <v xml:space="preserve">Al Laalia Model School for Basic Eduction               </v>
          </cell>
          <cell r="H2450" t="str">
            <v>AA</v>
          </cell>
        </row>
        <row r="2451">
          <cell r="B2451" t="str">
            <v>Smoke Detector &amp; Heat Detector</v>
          </cell>
          <cell r="D2451" t="str">
            <v xml:space="preserve">Al Laalia Model School for Basic Eduction               </v>
          </cell>
          <cell r="H2451" t="str">
            <v>AA</v>
          </cell>
        </row>
        <row r="2452">
          <cell r="B2452" t="str">
            <v>Smoke Detector &amp; Heat Detector</v>
          </cell>
          <cell r="D2452" t="str">
            <v xml:space="preserve">Al Laalia Model School for Basic Eduction               </v>
          </cell>
          <cell r="H2452" t="str">
            <v>AA</v>
          </cell>
        </row>
        <row r="2453">
          <cell r="B2453" t="str">
            <v>Smoke Detector &amp; Heat Detector</v>
          </cell>
          <cell r="D2453" t="str">
            <v xml:space="preserve">Al Laalia Model School for Basic Eduction               </v>
          </cell>
          <cell r="H2453" t="str">
            <v>AA</v>
          </cell>
        </row>
        <row r="2454">
          <cell r="B2454" t="str">
            <v>Smoke Detector &amp; Heat Detector</v>
          </cell>
          <cell r="D2454" t="str">
            <v xml:space="preserve">Al Laalia Model School for Basic Eduction               </v>
          </cell>
          <cell r="H2454" t="str">
            <v>AA</v>
          </cell>
        </row>
        <row r="2455">
          <cell r="B2455" t="str">
            <v>Smoke Detector &amp; Heat Detector</v>
          </cell>
          <cell r="D2455" t="str">
            <v xml:space="preserve">Al Laalia Model School for Basic Eduction               </v>
          </cell>
          <cell r="H2455" t="str">
            <v>AA</v>
          </cell>
        </row>
        <row r="2456">
          <cell r="B2456" t="str">
            <v>Smoke Detector &amp; Heat Detector</v>
          </cell>
          <cell r="D2456" t="str">
            <v xml:space="preserve">Al Laalia Model School for Basic Eduction               </v>
          </cell>
          <cell r="H2456" t="str">
            <v>AA</v>
          </cell>
        </row>
        <row r="2457">
          <cell r="B2457" t="str">
            <v>Smoke Detector &amp; Heat Detector</v>
          </cell>
          <cell r="D2457" t="str">
            <v xml:space="preserve">Al Laalia Model School for Basic Eduction               </v>
          </cell>
          <cell r="H2457" t="str">
            <v>AA</v>
          </cell>
        </row>
        <row r="2458">
          <cell r="B2458" t="str">
            <v>Smoke Detector &amp; Heat Detector</v>
          </cell>
          <cell r="D2458" t="str">
            <v xml:space="preserve">Al Laalia Model School for Basic Eduction               </v>
          </cell>
          <cell r="H2458" t="str">
            <v>AA</v>
          </cell>
        </row>
        <row r="2459">
          <cell r="B2459" t="str">
            <v>Smoke Detector &amp; Heat Detector</v>
          </cell>
          <cell r="D2459" t="str">
            <v xml:space="preserve">Al Laalia Model School for Basic Eduction               </v>
          </cell>
          <cell r="H2459" t="str">
            <v>AA</v>
          </cell>
        </row>
        <row r="2460">
          <cell r="B2460" t="str">
            <v>Smoke Detector &amp; Heat Detector</v>
          </cell>
          <cell r="D2460" t="str">
            <v xml:space="preserve">Al Laalia Model School for Basic Eduction               </v>
          </cell>
          <cell r="H2460" t="str">
            <v>AA</v>
          </cell>
        </row>
        <row r="2461">
          <cell r="B2461" t="str">
            <v>Smoke Detector &amp; Heat Detector</v>
          </cell>
          <cell r="D2461" t="str">
            <v xml:space="preserve">Al Laalia Model School for Basic Eduction               </v>
          </cell>
          <cell r="H2461" t="str">
            <v>AA</v>
          </cell>
        </row>
        <row r="2462">
          <cell r="B2462" t="str">
            <v>Smoke Detector &amp; Heat Detector</v>
          </cell>
          <cell r="D2462" t="str">
            <v xml:space="preserve">Al Laalia Model School for Basic Eduction               </v>
          </cell>
          <cell r="H2462" t="str">
            <v>AA</v>
          </cell>
        </row>
        <row r="2463">
          <cell r="B2463" t="str">
            <v>Smoke Detector &amp; Heat Detector</v>
          </cell>
          <cell r="D2463" t="str">
            <v xml:space="preserve">Al Laalia Model School for Basic Eduction               </v>
          </cell>
          <cell r="H2463" t="str">
            <v>AA</v>
          </cell>
        </row>
        <row r="2464">
          <cell r="B2464" t="str">
            <v>Smoke Detector &amp; Heat Detector</v>
          </cell>
          <cell r="D2464" t="str">
            <v xml:space="preserve">Al Laalia Model School for Basic Eduction               </v>
          </cell>
          <cell r="H2464" t="str">
            <v>AA</v>
          </cell>
        </row>
        <row r="2465">
          <cell r="B2465" t="str">
            <v>Smoke Detector &amp; Heat Detector</v>
          </cell>
          <cell r="D2465" t="str">
            <v xml:space="preserve">Al Laalia Model School for Basic Eduction               </v>
          </cell>
          <cell r="H2465" t="str">
            <v>AA</v>
          </cell>
        </row>
        <row r="2466">
          <cell r="B2466" t="str">
            <v>Smoke Detector &amp; Heat Detector</v>
          </cell>
          <cell r="D2466" t="str">
            <v xml:space="preserve">Al Laalia Model School for Basic Eduction               </v>
          </cell>
          <cell r="H2466" t="str">
            <v>AA</v>
          </cell>
        </row>
        <row r="2467">
          <cell r="B2467" t="str">
            <v>Water Tank</v>
          </cell>
          <cell r="D2467" t="str">
            <v xml:space="preserve">Al Laalia Model School for Basic Eduction               </v>
          </cell>
          <cell r="H2467" t="str">
            <v>AA</v>
          </cell>
        </row>
        <row r="2468">
          <cell r="B2468" t="str">
            <v>Water Tank</v>
          </cell>
          <cell r="D2468" t="str">
            <v xml:space="preserve">Al Laalia Model School for Basic Eduction               </v>
          </cell>
          <cell r="H2468" t="str">
            <v>AA</v>
          </cell>
        </row>
        <row r="2469">
          <cell r="B2469" t="str">
            <v>Water Tank</v>
          </cell>
          <cell r="D2469" t="str">
            <v xml:space="preserve">Al Laalia Model School for Basic Eduction               </v>
          </cell>
          <cell r="H2469" t="str">
            <v>AA</v>
          </cell>
        </row>
        <row r="2470">
          <cell r="B2470" t="str">
            <v>Finger Print Reader Machine</v>
          </cell>
          <cell r="D2470" t="str">
            <v xml:space="preserve">Al Maahad Al  Islami                      </v>
          </cell>
          <cell r="H2470" t="str">
            <v>AA</v>
          </cell>
        </row>
        <row r="2471">
          <cell r="B2471" t="str">
            <v>Fire Alarm Bell</v>
          </cell>
          <cell r="D2471" t="str">
            <v xml:space="preserve">Al Maahad Al  Islami                      </v>
          </cell>
          <cell r="H2471" t="str">
            <v>AA</v>
          </cell>
        </row>
        <row r="2472">
          <cell r="B2472" t="str">
            <v>Fire Alarm Bell</v>
          </cell>
          <cell r="D2472" t="str">
            <v xml:space="preserve">Al Maahad Al  Islami                      </v>
          </cell>
          <cell r="H2472" t="str">
            <v>AA</v>
          </cell>
        </row>
        <row r="2473">
          <cell r="B2473" t="str">
            <v>Fire Alarm Bell</v>
          </cell>
          <cell r="D2473" t="str">
            <v xml:space="preserve">Al Maahad Al  Islami                      </v>
          </cell>
          <cell r="H2473" t="str">
            <v>AA</v>
          </cell>
        </row>
        <row r="2474">
          <cell r="B2474" t="str">
            <v>Fire Alarm Bell</v>
          </cell>
          <cell r="D2474" t="str">
            <v xml:space="preserve">Al Maahad Al  Islami                      </v>
          </cell>
          <cell r="H2474" t="str">
            <v>AA</v>
          </cell>
        </row>
        <row r="2475">
          <cell r="B2475" t="str">
            <v>Fire Alarm Bell</v>
          </cell>
          <cell r="D2475" t="str">
            <v xml:space="preserve">Al Maahad Al  Islami                      </v>
          </cell>
          <cell r="H2475" t="str">
            <v>AA</v>
          </cell>
        </row>
        <row r="2476">
          <cell r="B2476" t="str">
            <v>Fire Blanket</v>
          </cell>
          <cell r="D2476" t="str">
            <v xml:space="preserve">Al Maahad Al  Islami                      </v>
          </cell>
          <cell r="H2476" t="str">
            <v>AA</v>
          </cell>
        </row>
        <row r="2477">
          <cell r="B2477" t="str">
            <v>Fire Break Glass</v>
          </cell>
          <cell r="D2477" t="str">
            <v xml:space="preserve">Al Maahad Al  Islami                      </v>
          </cell>
          <cell r="H2477" t="str">
            <v>AA</v>
          </cell>
        </row>
        <row r="2478">
          <cell r="B2478" t="str">
            <v>Fire Break Glass</v>
          </cell>
          <cell r="D2478" t="str">
            <v xml:space="preserve">Al Maahad Al  Islami                      </v>
          </cell>
          <cell r="H2478" t="str">
            <v>AA</v>
          </cell>
        </row>
        <row r="2479">
          <cell r="B2479" t="str">
            <v>Fire Break Glass</v>
          </cell>
          <cell r="D2479" t="str">
            <v xml:space="preserve">Al Maahad Al  Islami                      </v>
          </cell>
          <cell r="H2479" t="str">
            <v>AA</v>
          </cell>
        </row>
        <row r="2480">
          <cell r="B2480" t="str">
            <v>Fire Extinguisher - C02</v>
          </cell>
          <cell r="D2480" t="str">
            <v xml:space="preserve">Al Maahad Al  Islami                      </v>
          </cell>
          <cell r="H2480" t="str">
            <v>AA</v>
          </cell>
        </row>
        <row r="2481">
          <cell r="B2481" t="str">
            <v>Fire Extinguisher - C02</v>
          </cell>
          <cell r="D2481" t="str">
            <v xml:space="preserve">Al Maahad Al  Islami                      </v>
          </cell>
          <cell r="H2481" t="str">
            <v>AA</v>
          </cell>
        </row>
        <row r="2482">
          <cell r="B2482" t="str">
            <v>Fire Extinguisher - C02</v>
          </cell>
          <cell r="D2482" t="str">
            <v xml:space="preserve">Al Maahad Al  Islami                      </v>
          </cell>
          <cell r="H2482" t="str">
            <v>AA</v>
          </cell>
        </row>
        <row r="2483">
          <cell r="B2483" t="str">
            <v>Fire Extinguisher - C02</v>
          </cell>
          <cell r="D2483" t="str">
            <v xml:space="preserve">Al Maahad Al  Islami                      </v>
          </cell>
          <cell r="H2483" t="str">
            <v>AA</v>
          </cell>
        </row>
        <row r="2484">
          <cell r="B2484" t="str">
            <v>Fire Extinguisher - C02</v>
          </cell>
          <cell r="D2484" t="str">
            <v xml:space="preserve">Al Maahad Al  Islami                      </v>
          </cell>
          <cell r="H2484" t="str">
            <v>AA</v>
          </cell>
        </row>
        <row r="2485">
          <cell r="B2485" t="str">
            <v>Fire Extinguisher - C02</v>
          </cell>
          <cell r="D2485" t="str">
            <v xml:space="preserve">Al Maahad Al  Islami                      </v>
          </cell>
          <cell r="H2485" t="str">
            <v>AA</v>
          </cell>
        </row>
        <row r="2486">
          <cell r="B2486" t="str">
            <v>Fire Extinguisher - C02</v>
          </cell>
          <cell r="D2486" t="str">
            <v xml:space="preserve">Al Maahad Al  Islami                      </v>
          </cell>
          <cell r="H2486" t="str">
            <v>AA</v>
          </cell>
        </row>
        <row r="2487">
          <cell r="B2487" t="str">
            <v>Fire Extinguisher - C02</v>
          </cell>
          <cell r="D2487" t="str">
            <v xml:space="preserve">Al Maahad Al  Islami                      </v>
          </cell>
          <cell r="H2487" t="str">
            <v>AA</v>
          </cell>
        </row>
        <row r="2488">
          <cell r="B2488" t="str">
            <v>Fire Extinguisher - C02</v>
          </cell>
          <cell r="D2488" t="str">
            <v xml:space="preserve">Al Maahad Al  Islami                      </v>
          </cell>
          <cell r="H2488" t="str">
            <v>AA</v>
          </cell>
        </row>
        <row r="2489">
          <cell r="B2489" t="str">
            <v>Fire Extinguisher - Dry</v>
          </cell>
          <cell r="D2489" t="str">
            <v xml:space="preserve">Al Maahad Al  Islami                      </v>
          </cell>
          <cell r="H2489" t="str">
            <v>AA</v>
          </cell>
        </row>
        <row r="2490">
          <cell r="B2490" t="str">
            <v>Fire Extinguisher - Dry</v>
          </cell>
          <cell r="D2490" t="str">
            <v xml:space="preserve">Al Maahad Al  Islami                      </v>
          </cell>
          <cell r="H2490" t="str">
            <v>AA</v>
          </cell>
        </row>
        <row r="2491">
          <cell r="B2491" t="str">
            <v>Fire Extinguisher - Dry</v>
          </cell>
          <cell r="D2491" t="str">
            <v xml:space="preserve">Al Maahad Al  Islami                      </v>
          </cell>
          <cell r="H2491" t="str">
            <v>AA</v>
          </cell>
        </row>
        <row r="2492">
          <cell r="B2492" t="str">
            <v>Fire Extinguisher - Dry</v>
          </cell>
          <cell r="D2492" t="str">
            <v xml:space="preserve">Al Maahad Al  Islami                      </v>
          </cell>
          <cell r="H2492" t="str">
            <v>AA</v>
          </cell>
        </row>
        <row r="2493">
          <cell r="B2493" t="str">
            <v>Fire Extinguisher - Dry</v>
          </cell>
          <cell r="D2493" t="str">
            <v xml:space="preserve">Al Maahad Al  Islami                      </v>
          </cell>
          <cell r="H2493" t="str">
            <v>AA</v>
          </cell>
        </row>
        <row r="2494">
          <cell r="B2494" t="str">
            <v>Fire Extinguisher - Dry</v>
          </cell>
          <cell r="D2494" t="str">
            <v xml:space="preserve">Al Maahad Al  Islami                      </v>
          </cell>
          <cell r="H2494" t="str">
            <v>AA</v>
          </cell>
        </row>
        <row r="2495">
          <cell r="B2495" t="str">
            <v>Water Tank</v>
          </cell>
          <cell r="D2495" t="str">
            <v xml:space="preserve">Al Maahad Al  Islami                      </v>
          </cell>
          <cell r="H2495" t="str">
            <v>AA</v>
          </cell>
        </row>
        <row r="2496">
          <cell r="B2496" t="str">
            <v>Water Tank</v>
          </cell>
          <cell r="D2496" t="str">
            <v xml:space="preserve">Al Maahad Al  Islami                      </v>
          </cell>
          <cell r="H2496" t="str">
            <v>AA</v>
          </cell>
        </row>
        <row r="2497">
          <cell r="B2497" t="str">
            <v>Fire Alarm Break Glass Call Point</v>
          </cell>
          <cell r="D2497" t="str">
            <v>Al Mafraq Secondary School</v>
          </cell>
          <cell r="H2497" t="str">
            <v>AD</v>
          </cell>
        </row>
        <row r="2498">
          <cell r="B2498" t="str">
            <v>Fire Alarm Break Glass Call Point</v>
          </cell>
          <cell r="D2498" t="str">
            <v>Al Mafraq Secondary School</v>
          </cell>
          <cell r="H2498" t="str">
            <v>AD</v>
          </cell>
        </row>
        <row r="2499">
          <cell r="B2499" t="str">
            <v>Fire Alarm Break Glass Call Point</v>
          </cell>
          <cell r="D2499" t="str">
            <v>Al Mafraq Secondary School</v>
          </cell>
          <cell r="H2499" t="str">
            <v>AD</v>
          </cell>
        </row>
        <row r="2500">
          <cell r="B2500" t="str">
            <v>Fire Alarm Break Glass Call Point</v>
          </cell>
          <cell r="D2500" t="str">
            <v>Al Mafraq Secondary School</v>
          </cell>
          <cell r="H2500" t="str">
            <v>AD</v>
          </cell>
        </row>
        <row r="2501">
          <cell r="B2501" t="str">
            <v>Fire Alarm Break Glass Call Point</v>
          </cell>
          <cell r="D2501" t="str">
            <v>Al Mafraq Secondary School</v>
          </cell>
          <cell r="H2501" t="str">
            <v>AD</v>
          </cell>
        </row>
        <row r="2502">
          <cell r="B2502" t="str">
            <v>Fire Alarm Break Glass Call Point</v>
          </cell>
          <cell r="D2502" t="str">
            <v>Al Mafraq Secondary School</v>
          </cell>
          <cell r="H2502" t="str">
            <v>AD</v>
          </cell>
        </row>
        <row r="2503">
          <cell r="B2503" t="str">
            <v>Fire Alarm Break Glass Call Point</v>
          </cell>
          <cell r="D2503" t="str">
            <v>Al Mafraq Secondary School</v>
          </cell>
          <cell r="H2503" t="str">
            <v>AD</v>
          </cell>
        </row>
        <row r="2504">
          <cell r="B2504" t="str">
            <v>Fire Alarm Panel</v>
          </cell>
          <cell r="D2504" t="str">
            <v>Al Mafraq Secondary School</v>
          </cell>
          <cell r="H2504" t="str">
            <v>AD</v>
          </cell>
        </row>
        <row r="2505">
          <cell r="B2505" t="str">
            <v>Fire Alarm Sounder, Bell, Light</v>
          </cell>
          <cell r="D2505" t="str">
            <v>Al Mafraq Secondary School</v>
          </cell>
          <cell r="H2505" t="str">
            <v>AD</v>
          </cell>
        </row>
        <row r="2506">
          <cell r="B2506" t="str">
            <v>Fire Alarm Sounder, Bell, Light</v>
          </cell>
          <cell r="D2506" t="str">
            <v>Al Mafraq Secondary School</v>
          </cell>
          <cell r="H2506" t="str">
            <v>AD</v>
          </cell>
        </row>
        <row r="2507">
          <cell r="B2507" t="str">
            <v>Fire Alarm Sounder, Bell, Light</v>
          </cell>
          <cell r="D2507" t="str">
            <v>Al Mafraq Secondary School</v>
          </cell>
          <cell r="H2507" t="str">
            <v>AD</v>
          </cell>
        </row>
        <row r="2508">
          <cell r="B2508" t="str">
            <v>Fire Alarm Sounder, Bell, Light</v>
          </cell>
          <cell r="D2508" t="str">
            <v>Al Mafraq Secondary School</v>
          </cell>
          <cell r="H2508" t="str">
            <v>AD</v>
          </cell>
        </row>
        <row r="2509">
          <cell r="B2509" t="str">
            <v>Fire Alarm Sounder, Bell, Light</v>
          </cell>
          <cell r="D2509" t="str">
            <v>Al Mafraq Secondary School</v>
          </cell>
          <cell r="H2509" t="str">
            <v>AD</v>
          </cell>
        </row>
        <row r="2510">
          <cell r="B2510" t="str">
            <v>Fire Alarm Sounder, Bell, Light</v>
          </cell>
          <cell r="D2510" t="str">
            <v>Al Mafraq Secondary School</v>
          </cell>
          <cell r="H2510" t="str">
            <v>AD</v>
          </cell>
        </row>
        <row r="2511">
          <cell r="B2511" t="str">
            <v>Fire Alarm Sounder, Bell, Light</v>
          </cell>
          <cell r="D2511" t="str">
            <v>Al Mafraq Secondary School</v>
          </cell>
          <cell r="H2511" t="str">
            <v>AD</v>
          </cell>
        </row>
        <row r="2512">
          <cell r="B2512" t="str">
            <v>Fire Extinguisher</v>
          </cell>
          <cell r="D2512" t="str">
            <v>Al Mafraq Secondary School</v>
          </cell>
          <cell r="H2512" t="str">
            <v>AD</v>
          </cell>
        </row>
        <row r="2513">
          <cell r="B2513" t="str">
            <v>Fire Extinguisher</v>
          </cell>
          <cell r="D2513" t="str">
            <v>Al Mafraq Secondary School</v>
          </cell>
          <cell r="H2513" t="str">
            <v>AD</v>
          </cell>
        </row>
        <row r="2514">
          <cell r="B2514" t="str">
            <v>Fire Extinguisher</v>
          </cell>
          <cell r="D2514" t="str">
            <v>Al Mafraq Secondary School</v>
          </cell>
          <cell r="H2514" t="str">
            <v>AD</v>
          </cell>
        </row>
        <row r="2515">
          <cell r="B2515" t="str">
            <v>Fire Extinguisher</v>
          </cell>
          <cell r="D2515" t="str">
            <v>Al Mafraq Secondary School</v>
          </cell>
          <cell r="H2515" t="str">
            <v>AD</v>
          </cell>
        </row>
        <row r="2516">
          <cell r="B2516" t="str">
            <v>Fire Extinguisher</v>
          </cell>
          <cell r="D2516" t="str">
            <v>Al Mafraq Secondary School</v>
          </cell>
          <cell r="H2516" t="str">
            <v>AD</v>
          </cell>
        </row>
        <row r="2517">
          <cell r="B2517" t="str">
            <v>Fire Extinguisher</v>
          </cell>
          <cell r="D2517" t="str">
            <v>Al Mafraq Secondary School</v>
          </cell>
          <cell r="H2517" t="str">
            <v>AD</v>
          </cell>
        </row>
        <row r="2518">
          <cell r="B2518" t="str">
            <v>Fire Extinguisher</v>
          </cell>
          <cell r="D2518" t="str">
            <v>Al Mafraq Secondary School</v>
          </cell>
          <cell r="H2518" t="str">
            <v>AD</v>
          </cell>
        </row>
        <row r="2519">
          <cell r="B2519" t="str">
            <v>Fire Extinguisher</v>
          </cell>
          <cell r="D2519" t="str">
            <v>Al Mafraq Secondary School</v>
          </cell>
          <cell r="H2519" t="str">
            <v>AD</v>
          </cell>
        </row>
        <row r="2520">
          <cell r="B2520" t="str">
            <v>Fire Extinguisher</v>
          </cell>
          <cell r="D2520" t="str">
            <v>Al Mafraq Secondary School</v>
          </cell>
          <cell r="H2520" t="str">
            <v>AD</v>
          </cell>
        </row>
        <row r="2521">
          <cell r="B2521" t="str">
            <v>Fire Extinguisher</v>
          </cell>
          <cell r="D2521" t="str">
            <v>Al Mafraq Secondary School</v>
          </cell>
          <cell r="H2521" t="str">
            <v>AD</v>
          </cell>
        </row>
        <row r="2522">
          <cell r="B2522" t="str">
            <v>Fire Extinguisher</v>
          </cell>
          <cell r="D2522" t="str">
            <v>Al Mafraq Secondary School</v>
          </cell>
          <cell r="H2522" t="str">
            <v>AD</v>
          </cell>
        </row>
        <row r="2523">
          <cell r="B2523" t="str">
            <v>Fire Extinguisher</v>
          </cell>
          <cell r="D2523" t="str">
            <v>Al Mafraq Secondary School</v>
          </cell>
          <cell r="H2523" t="str">
            <v>AD</v>
          </cell>
        </row>
        <row r="2524">
          <cell r="B2524" t="str">
            <v>Fire Extinguisher</v>
          </cell>
          <cell r="D2524" t="str">
            <v>Al Mafraq Secondary School</v>
          </cell>
          <cell r="H2524" t="str">
            <v>AD</v>
          </cell>
        </row>
        <row r="2525">
          <cell r="B2525" t="str">
            <v>Fire Extinguisher</v>
          </cell>
          <cell r="D2525" t="str">
            <v>Al Mafraq Secondary School</v>
          </cell>
          <cell r="H2525" t="str">
            <v>AD</v>
          </cell>
        </row>
        <row r="2526">
          <cell r="B2526" t="str">
            <v>Fire Extinguisher</v>
          </cell>
          <cell r="D2526" t="str">
            <v>Al Mafraq Secondary School</v>
          </cell>
          <cell r="H2526" t="str">
            <v>AD</v>
          </cell>
        </row>
        <row r="2527">
          <cell r="B2527" t="str">
            <v>Fire Extinguisher</v>
          </cell>
          <cell r="D2527" t="str">
            <v>Al Mafraq Secondary School</v>
          </cell>
          <cell r="H2527" t="str">
            <v>AD</v>
          </cell>
        </row>
        <row r="2528">
          <cell r="B2528" t="str">
            <v>Fire Extinguisher</v>
          </cell>
          <cell r="D2528" t="str">
            <v>Al Mafraq Secondary School</v>
          </cell>
          <cell r="H2528" t="str">
            <v>AD</v>
          </cell>
        </row>
        <row r="2529">
          <cell r="B2529" t="str">
            <v>Fire Extinguisher</v>
          </cell>
          <cell r="D2529" t="str">
            <v>Al Mafraq Secondary School</v>
          </cell>
          <cell r="H2529" t="str">
            <v>AD</v>
          </cell>
        </row>
        <row r="2530">
          <cell r="B2530" t="str">
            <v>Fire Extinguisher</v>
          </cell>
          <cell r="D2530" t="str">
            <v>Al Mafraq Secondary School</v>
          </cell>
          <cell r="H2530" t="str">
            <v>AD</v>
          </cell>
        </row>
        <row r="2531">
          <cell r="B2531" t="str">
            <v>Fire Extinguisher</v>
          </cell>
          <cell r="D2531" t="str">
            <v>Al Mafraq Secondary School</v>
          </cell>
          <cell r="H2531" t="str">
            <v>AD</v>
          </cell>
        </row>
        <row r="2532">
          <cell r="B2532" t="str">
            <v>Fire Extinguisher</v>
          </cell>
          <cell r="D2532" t="str">
            <v>Al Mafraq Secondary School</v>
          </cell>
          <cell r="H2532" t="str">
            <v>AD</v>
          </cell>
        </row>
        <row r="2533">
          <cell r="B2533" t="str">
            <v>Fire Extinguisher</v>
          </cell>
          <cell r="D2533" t="str">
            <v>Al Mafraq Secondary School</v>
          </cell>
          <cell r="H2533" t="str">
            <v>AD</v>
          </cell>
        </row>
        <row r="2534">
          <cell r="B2534" t="str">
            <v>Fire Extinguisher</v>
          </cell>
          <cell r="D2534" t="str">
            <v>Al Mafraq Secondary School</v>
          </cell>
          <cell r="H2534" t="str">
            <v>AD</v>
          </cell>
        </row>
        <row r="2535">
          <cell r="B2535" t="str">
            <v>Fire Extinguisher</v>
          </cell>
          <cell r="D2535" t="str">
            <v>Al Mafraq Secondary School</v>
          </cell>
          <cell r="H2535" t="str">
            <v>AD</v>
          </cell>
        </row>
        <row r="2536">
          <cell r="B2536" t="str">
            <v>Fire Extinguisher</v>
          </cell>
          <cell r="D2536" t="str">
            <v>Al Mafraq Secondary School</v>
          </cell>
          <cell r="H2536" t="str">
            <v>AD</v>
          </cell>
        </row>
        <row r="2537">
          <cell r="B2537" t="str">
            <v>Fire Extinguisher</v>
          </cell>
          <cell r="D2537" t="str">
            <v>Al Mafraq Secondary School</v>
          </cell>
          <cell r="H2537" t="str">
            <v>AD</v>
          </cell>
        </row>
        <row r="2538">
          <cell r="B2538" t="str">
            <v>Fire Extinguisher</v>
          </cell>
          <cell r="D2538" t="str">
            <v>Al Mafraq Secondary School</v>
          </cell>
          <cell r="H2538" t="str">
            <v>AD</v>
          </cell>
        </row>
        <row r="2539">
          <cell r="B2539" t="str">
            <v>Fire Extinguisher</v>
          </cell>
          <cell r="D2539" t="str">
            <v>Al Mafraq Secondary School</v>
          </cell>
          <cell r="H2539" t="str">
            <v>AD</v>
          </cell>
        </row>
        <row r="2540">
          <cell r="B2540" t="str">
            <v>Fire Hose Reel</v>
          </cell>
          <cell r="D2540" t="str">
            <v>Al Mafraq Secondary School</v>
          </cell>
          <cell r="H2540" t="str">
            <v>AD</v>
          </cell>
        </row>
        <row r="2541">
          <cell r="B2541" t="str">
            <v>Fire Hose Reel</v>
          </cell>
          <cell r="D2541" t="str">
            <v>Al Mafraq Secondary School</v>
          </cell>
          <cell r="H2541" t="str">
            <v>AD</v>
          </cell>
        </row>
        <row r="2542">
          <cell r="B2542" t="str">
            <v>Fire Hose Reel</v>
          </cell>
          <cell r="D2542" t="str">
            <v>Al Mafraq Secondary School</v>
          </cell>
          <cell r="H2542" t="str">
            <v>AD</v>
          </cell>
        </row>
        <row r="2543">
          <cell r="B2543" t="str">
            <v>Fire Hose Reel</v>
          </cell>
          <cell r="D2543" t="str">
            <v>Al Mafraq Secondary School</v>
          </cell>
          <cell r="H2543" t="str">
            <v>AD</v>
          </cell>
        </row>
        <row r="2544">
          <cell r="B2544" t="str">
            <v>Fire Hose Reel</v>
          </cell>
          <cell r="D2544" t="str">
            <v>Al Mafraq Secondary School</v>
          </cell>
          <cell r="H2544" t="str">
            <v>AD</v>
          </cell>
        </row>
        <row r="2545">
          <cell r="B2545" t="str">
            <v>Fire Hose Reel</v>
          </cell>
          <cell r="D2545" t="str">
            <v>Al Mafraq Secondary School</v>
          </cell>
          <cell r="H2545" t="str">
            <v>AD</v>
          </cell>
        </row>
        <row r="2546">
          <cell r="B2546" t="str">
            <v>Fire Hose Reel</v>
          </cell>
          <cell r="D2546" t="str">
            <v>Al Mafraq Secondary School</v>
          </cell>
          <cell r="H2546" t="str">
            <v>AD</v>
          </cell>
        </row>
        <row r="2547">
          <cell r="B2547" t="str">
            <v>Fire Hose Reel</v>
          </cell>
          <cell r="D2547" t="str">
            <v>Al Mafraq Secondary School</v>
          </cell>
          <cell r="H2547" t="str">
            <v>AD</v>
          </cell>
        </row>
        <row r="2548">
          <cell r="B2548" t="str">
            <v>Fire Hose Reel</v>
          </cell>
          <cell r="D2548" t="str">
            <v>Al Mafraq Secondary School</v>
          </cell>
          <cell r="H2548" t="str">
            <v>AD</v>
          </cell>
        </row>
        <row r="2549">
          <cell r="B2549" t="str">
            <v>FIRE PUMP - Diesel</v>
          </cell>
          <cell r="D2549" t="str">
            <v>Al Mafraq Secondary School</v>
          </cell>
          <cell r="H2549" t="str">
            <v>AD</v>
          </cell>
        </row>
        <row r="2550">
          <cell r="B2550" t="str">
            <v>FIRE PUMP - Electric</v>
          </cell>
          <cell r="D2550" t="str">
            <v>Al Mafraq Secondary School</v>
          </cell>
          <cell r="H2550" t="str">
            <v>AD</v>
          </cell>
        </row>
        <row r="2551">
          <cell r="B2551" t="str">
            <v>Fire Smoke / Heat Detector, Sounder</v>
          </cell>
          <cell r="D2551" t="str">
            <v>Al Mafraq Secondary School</v>
          </cell>
          <cell r="H2551" t="str">
            <v>AD</v>
          </cell>
        </row>
        <row r="2552">
          <cell r="B2552" t="str">
            <v>Fire Smoke / Heat Detector, Sounder</v>
          </cell>
          <cell r="D2552" t="str">
            <v>Al Mafraq Secondary School</v>
          </cell>
          <cell r="H2552" t="str">
            <v>AD</v>
          </cell>
        </row>
        <row r="2553">
          <cell r="B2553" t="str">
            <v>Fire Smoke / Heat Detector, Sounder</v>
          </cell>
          <cell r="D2553" t="str">
            <v>Al Mafraq Secondary School</v>
          </cell>
          <cell r="H2553" t="str">
            <v>AD</v>
          </cell>
        </row>
        <row r="2554">
          <cell r="B2554" t="str">
            <v>Fire Smoke / Heat Detector, Sounder</v>
          </cell>
          <cell r="D2554" t="str">
            <v>Al Mafraq Secondary School</v>
          </cell>
          <cell r="H2554" t="str">
            <v>AD</v>
          </cell>
        </row>
        <row r="2555">
          <cell r="B2555" t="str">
            <v>Fire Smoke / Heat Detector, Sounder</v>
          </cell>
          <cell r="D2555" t="str">
            <v>Al Mafraq Secondary School</v>
          </cell>
          <cell r="H2555" t="str">
            <v>AD</v>
          </cell>
        </row>
        <row r="2556">
          <cell r="B2556" t="str">
            <v>Fire Smoke / Heat Detector, Sounder</v>
          </cell>
          <cell r="D2556" t="str">
            <v>Al Mafraq Secondary School</v>
          </cell>
          <cell r="H2556" t="str">
            <v>AD</v>
          </cell>
        </row>
        <row r="2557">
          <cell r="B2557" t="str">
            <v>Fire Smoke / Heat Detector, Sounder</v>
          </cell>
          <cell r="D2557" t="str">
            <v>Al Mafraq Secondary School</v>
          </cell>
          <cell r="H2557" t="str">
            <v>AD</v>
          </cell>
        </row>
        <row r="2558">
          <cell r="B2558" t="str">
            <v>Fire Smoke / Heat Detector, Sounder</v>
          </cell>
          <cell r="D2558" t="str">
            <v>Al Mafraq Secondary School</v>
          </cell>
          <cell r="H2558" t="str">
            <v>AD</v>
          </cell>
        </row>
        <row r="2559">
          <cell r="B2559" t="str">
            <v>Fire Smoke / Heat Detector, Sounder</v>
          </cell>
          <cell r="D2559" t="str">
            <v>Al Mafraq Secondary School</v>
          </cell>
          <cell r="H2559" t="str">
            <v>AD</v>
          </cell>
        </row>
        <row r="2560">
          <cell r="B2560" t="str">
            <v>Fire Smoke / Heat Detector, Sounder</v>
          </cell>
          <cell r="D2560" t="str">
            <v>Al Mafraq Secondary School</v>
          </cell>
          <cell r="H2560" t="str">
            <v>AD</v>
          </cell>
        </row>
        <row r="2561">
          <cell r="B2561" t="str">
            <v>Fire Smoke / Heat Detector, Sounder</v>
          </cell>
          <cell r="D2561" t="str">
            <v>Al Mafraq Secondary School</v>
          </cell>
          <cell r="H2561" t="str">
            <v>AD</v>
          </cell>
        </row>
        <row r="2562">
          <cell r="B2562" t="str">
            <v>Fire Smoke / Heat Detector, Sounder</v>
          </cell>
          <cell r="D2562" t="str">
            <v>Al Mafraq Secondary School</v>
          </cell>
          <cell r="H2562" t="str">
            <v>AD</v>
          </cell>
        </row>
        <row r="2563">
          <cell r="B2563" t="str">
            <v>Fire Smoke / Heat Detector, Sounder</v>
          </cell>
          <cell r="D2563" t="str">
            <v>Al Mafraq Secondary School</v>
          </cell>
          <cell r="H2563" t="str">
            <v>AD</v>
          </cell>
        </row>
        <row r="2564">
          <cell r="B2564" t="str">
            <v>Fire Smoke / Heat Detector, Sounder</v>
          </cell>
          <cell r="D2564" t="str">
            <v>Al Mafraq Secondary School</v>
          </cell>
          <cell r="H2564" t="str">
            <v>AD</v>
          </cell>
        </row>
        <row r="2565">
          <cell r="B2565" t="str">
            <v>Fire Smoke / Heat Detector, Sounder</v>
          </cell>
          <cell r="D2565" t="str">
            <v>Al Mafraq Secondary School</v>
          </cell>
          <cell r="H2565" t="str">
            <v>AD</v>
          </cell>
        </row>
        <row r="2566">
          <cell r="B2566" t="str">
            <v>Fire Alarm Break Glass Call Point</v>
          </cell>
          <cell r="D2566" t="str">
            <v>Al Maha Primary School</v>
          </cell>
          <cell r="H2566" t="str">
            <v>AD</v>
          </cell>
        </row>
        <row r="2567">
          <cell r="B2567" t="str">
            <v>Fire Alarm Break Glass Call Point</v>
          </cell>
          <cell r="D2567" t="str">
            <v>Al Maha Primary School</v>
          </cell>
          <cell r="H2567" t="str">
            <v>AD</v>
          </cell>
        </row>
        <row r="2568">
          <cell r="B2568" t="str">
            <v>Fire Alarm Break Glass Call Point</v>
          </cell>
          <cell r="D2568" t="str">
            <v>Al Maha Primary School</v>
          </cell>
          <cell r="H2568" t="str">
            <v>AD</v>
          </cell>
        </row>
        <row r="2569">
          <cell r="B2569" t="str">
            <v>Fire Alarm Break Glass Call Point</v>
          </cell>
          <cell r="D2569" t="str">
            <v>Al Maha Primary School</v>
          </cell>
          <cell r="H2569" t="str">
            <v>AD</v>
          </cell>
        </row>
        <row r="2570">
          <cell r="B2570" t="str">
            <v>Fire Alarm Break Glass Call Point</v>
          </cell>
          <cell r="D2570" t="str">
            <v>Al Maha Primary School</v>
          </cell>
          <cell r="H2570" t="str">
            <v>AD</v>
          </cell>
        </row>
        <row r="2571">
          <cell r="B2571" t="str">
            <v>Fire Alarm Break Glass Call Point</v>
          </cell>
          <cell r="D2571" t="str">
            <v>Al Maha Primary School</v>
          </cell>
          <cell r="H2571" t="str">
            <v>AD</v>
          </cell>
        </row>
        <row r="2572">
          <cell r="B2572" t="str">
            <v>Fire Alarm Break Glass Call Point</v>
          </cell>
          <cell r="D2572" t="str">
            <v>Al Maha Primary School</v>
          </cell>
          <cell r="H2572" t="str">
            <v>AD</v>
          </cell>
        </row>
        <row r="2573">
          <cell r="B2573" t="str">
            <v>Fire Alarm Break Glass Call Point</v>
          </cell>
          <cell r="D2573" t="str">
            <v>Al Maha Primary School</v>
          </cell>
          <cell r="H2573" t="str">
            <v>AD</v>
          </cell>
        </row>
        <row r="2574">
          <cell r="B2574" t="str">
            <v>Fire Alarm Break Glass Call Point</v>
          </cell>
          <cell r="D2574" t="str">
            <v>Al Maha Primary School</v>
          </cell>
          <cell r="H2574" t="str">
            <v>AD</v>
          </cell>
        </row>
        <row r="2575">
          <cell r="B2575" t="str">
            <v>Fire Alarm Break Glass Call Point</v>
          </cell>
          <cell r="D2575" t="str">
            <v>Al Maha Primary School</v>
          </cell>
          <cell r="H2575" t="str">
            <v>AD</v>
          </cell>
        </row>
        <row r="2576">
          <cell r="B2576" t="str">
            <v>Fire Alarm Break Glass Call Point</v>
          </cell>
          <cell r="D2576" t="str">
            <v>Al Maha Primary School</v>
          </cell>
          <cell r="H2576" t="str">
            <v>AD</v>
          </cell>
        </row>
        <row r="2577">
          <cell r="B2577" t="str">
            <v>Fire Alarm Break Glass Call Point</v>
          </cell>
          <cell r="D2577" t="str">
            <v>Al Maha Primary School</v>
          </cell>
          <cell r="H2577" t="str">
            <v>AD</v>
          </cell>
        </row>
        <row r="2578">
          <cell r="B2578" t="str">
            <v>Fire Alarm Break Glass Call Point</v>
          </cell>
          <cell r="D2578" t="str">
            <v>Al Maha Primary School</v>
          </cell>
          <cell r="H2578" t="str">
            <v>AD</v>
          </cell>
        </row>
        <row r="2579">
          <cell r="B2579" t="str">
            <v>Fire Alarm Break Glass Call Point</v>
          </cell>
          <cell r="D2579" t="str">
            <v>Al Maha Primary School</v>
          </cell>
          <cell r="H2579" t="str">
            <v>AD</v>
          </cell>
        </row>
        <row r="2580">
          <cell r="B2580" t="str">
            <v>Fire Alarm Break Glass Call Point</v>
          </cell>
          <cell r="D2580" t="str">
            <v>Al Maha Primary School</v>
          </cell>
          <cell r="H2580" t="str">
            <v>AD</v>
          </cell>
        </row>
        <row r="2581">
          <cell r="B2581" t="str">
            <v>Fire Alarm Break Glass Call Point</v>
          </cell>
          <cell r="D2581" t="str">
            <v>Al Maha Primary School</v>
          </cell>
          <cell r="H2581" t="str">
            <v>AD</v>
          </cell>
        </row>
        <row r="2582">
          <cell r="B2582" t="str">
            <v>Fire Alarm Control Panel Board</v>
          </cell>
          <cell r="D2582" t="str">
            <v>Al Maha Primary School</v>
          </cell>
          <cell r="H2582" t="str">
            <v>AD</v>
          </cell>
        </row>
        <row r="2583">
          <cell r="B2583" t="str">
            <v>Fire Alarm Control Panel Board</v>
          </cell>
          <cell r="D2583" t="str">
            <v>Al Maha Primary School</v>
          </cell>
          <cell r="H2583" t="str">
            <v>AD</v>
          </cell>
        </row>
        <row r="2584">
          <cell r="B2584" t="str">
            <v>Fire Alarm Sounder, Bell, Light</v>
          </cell>
          <cell r="D2584" t="str">
            <v>Al Maha Primary School</v>
          </cell>
          <cell r="H2584" t="str">
            <v>AD</v>
          </cell>
        </row>
        <row r="2585">
          <cell r="B2585" t="str">
            <v>Fire Alarm Sounder, Bell, Light</v>
          </cell>
          <cell r="D2585" t="str">
            <v>Al Maha Primary School</v>
          </cell>
          <cell r="H2585" t="str">
            <v>AD</v>
          </cell>
        </row>
        <row r="2586">
          <cell r="B2586" t="str">
            <v>Fire Alarm Sounder, Bell, Light</v>
          </cell>
          <cell r="D2586" t="str">
            <v>Al Maha Primary School</v>
          </cell>
          <cell r="H2586" t="str">
            <v>AD</v>
          </cell>
        </row>
        <row r="2587">
          <cell r="B2587" t="str">
            <v>Fire Alarm Sounder, Bell, Light</v>
          </cell>
          <cell r="D2587" t="str">
            <v>Al Maha Primary School</v>
          </cell>
          <cell r="H2587" t="str">
            <v>AD</v>
          </cell>
        </row>
        <row r="2588">
          <cell r="B2588" t="str">
            <v>Fire Alarm Sounder, Bell, Light</v>
          </cell>
          <cell r="D2588" t="str">
            <v>Al Maha Primary School</v>
          </cell>
          <cell r="H2588" t="str">
            <v>AD</v>
          </cell>
        </row>
        <row r="2589">
          <cell r="B2589" t="str">
            <v>Fire Alarm Sounder, Bell, Light</v>
          </cell>
          <cell r="D2589" t="str">
            <v>Al Maha Primary School</v>
          </cell>
          <cell r="H2589" t="str">
            <v>AD</v>
          </cell>
        </row>
        <row r="2590">
          <cell r="B2590" t="str">
            <v>Fire Alarm Sounder, Bell, Light</v>
          </cell>
          <cell r="D2590" t="str">
            <v>Al Maha Primary School</v>
          </cell>
          <cell r="H2590" t="str">
            <v>AD</v>
          </cell>
        </row>
        <row r="2591">
          <cell r="B2591" t="str">
            <v>Fire Alarm Sounder, Bell, Light</v>
          </cell>
          <cell r="D2591" t="str">
            <v>Al Maha Primary School</v>
          </cell>
          <cell r="H2591" t="str">
            <v>AD</v>
          </cell>
        </row>
        <row r="2592">
          <cell r="B2592" t="str">
            <v>Fire Alarm Sounder, Bell, Light</v>
          </cell>
          <cell r="D2592" t="str">
            <v>Al Maha Primary School</v>
          </cell>
          <cell r="H2592" t="str">
            <v>AD</v>
          </cell>
        </row>
        <row r="2593">
          <cell r="B2593" t="str">
            <v>Fire Alarm Sounder, Bell, Light</v>
          </cell>
          <cell r="D2593" t="str">
            <v>Al Maha Primary School</v>
          </cell>
          <cell r="H2593" t="str">
            <v>AD</v>
          </cell>
        </row>
        <row r="2594">
          <cell r="B2594" t="str">
            <v>Fire Alarm Sounder, Bell, Light</v>
          </cell>
          <cell r="D2594" t="str">
            <v>Al Maha Primary School</v>
          </cell>
          <cell r="H2594" t="str">
            <v>AD</v>
          </cell>
        </row>
        <row r="2595">
          <cell r="B2595" t="str">
            <v>Fire Alarm Sounder, Bell, Light</v>
          </cell>
          <cell r="D2595" t="str">
            <v>Al Maha Primary School</v>
          </cell>
          <cell r="H2595" t="str">
            <v>AD</v>
          </cell>
        </row>
        <row r="2596">
          <cell r="B2596" t="str">
            <v>Fire Alarm Sounder, Bell, Light</v>
          </cell>
          <cell r="D2596" t="str">
            <v>Al Maha Primary School</v>
          </cell>
          <cell r="H2596" t="str">
            <v>AD</v>
          </cell>
        </row>
        <row r="2597">
          <cell r="B2597" t="str">
            <v>Fire Alarm Sounder, Bell, Light</v>
          </cell>
          <cell r="D2597" t="str">
            <v>Al Maha Primary School</v>
          </cell>
          <cell r="H2597" t="str">
            <v>AD</v>
          </cell>
        </row>
        <row r="2598">
          <cell r="B2598" t="str">
            <v>Fire Alarm Sounder, Bell, Light</v>
          </cell>
          <cell r="D2598" t="str">
            <v>Al Maha Primary School</v>
          </cell>
          <cell r="H2598" t="str">
            <v>AD</v>
          </cell>
        </row>
        <row r="2599">
          <cell r="B2599" t="str">
            <v>Fire Alarm Sounder, Bell, Light</v>
          </cell>
          <cell r="D2599" t="str">
            <v>Al Maha Primary School</v>
          </cell>
          <cell r="H2599" t="str">
            <v>AD</v>
          </cell>
        </row>
        <row r="2600">
          <cell r="B2600" t="str">
            <v>Fire Alarm Sounder, Bell, Light</v>
          </cell>
          <cell r="D2600" t="str">
            <v>Al Maha Primary School</v>
          </cell>
          <cell r="H2600" t="str">
            <v>AD</v>
          </cell>
        </row>
        <row r="2601">
          <cell r="B2601" t="str">
            <v>Fire Alarm Sounder, Bell, Light</v>
          </cell>
          <cell r="D2601" t="str">
            <v>Al Maha Primary School</v>
          </cell>
          <cell r="H2601" t="str">
            <v>AD</v>
          </cell>
        </row>
        <row r="2602">
          <cell r="B2602" t="str">
            <v>Fire Alarm Sounder, Bell, Light</v>
          </cell>
          <cell r="D2602" t="str">
            <v>Al Maha Primary School</v>
          </cell>
          <cell r="H2602" t="str">
            <v>AD</v>
          </cell>
        </row>
        <row r="2603">
          <cell r="B2603" t="str">
            <v>Fire Alarm Sounder, Bell, Light</v>
          </cell>
          <cell r="D2603" t="str">
            <v>Al Maha Primary School</v>
          </cell>
          <cell r="H2603" t="str">
            <v>AD</v>
          </cell>
        </row>
        <row r="2604">
          <cell r="B2604" t="str">
            <v>Fire Alarm Sounder, Bell, Light</v>
          </cell>
          <cell r="D2604" t="str">
            <v>Al Maha Primary School</v>
          </cell>
          <cell r="H2604" t="str">
            <v>AD</v>
          </cell>
        </row>
        <row r="2605">
          <cell r="B2605" t="str">
            <v>Fire Alarm Sounder, Bell, Light</v>
          </cell>
          <cell r="D2605" t="str">
            <v>Al Maha Primary School</v>
          </cell>
          <cell r="H2605" t="str">
            <v>AD</v>
          </cell>
        </row>
        <row r="2606">
          <cell r="B2606" t="str">
            <v>Fire Alarm Sounder, Bell, Light</v>
          </cell>
          <cell r="D2606" t="str">
            <v>Al Maha Primary School</v>
          </cell>
          <cell r="H2606" t="str">
            <v>AD</v>
          </cell>
        </row>
        <row r="2607">
          <cell r="B2607" t="str">
            <v>Fire Alarm Sounder, Bell, Light</v>
          </cell>
          <cell r="D2607" t="str">
            <v>Al Maha Primary School</v>
          </cell>
          <cell r="H2607" t="str">
            <v>AD</v>
          </cell>
        </row>
        <row r="2608">
          <cell r="B2608" t="str">
            <v>Fire Alarm Sounder, Bell, Light</v>
          </cell>
          <cell r="D2608" t="str">
            <v>Al Maha Primary School</v>
          </cell>
          <cell r="H2608" t="str">
            <v>AD</v>
          </cell>
        </row>
        <row r="2609">
          <cell r="B2609" t="str">
            <v>Fire Alarm Sounder, Bell, Light</v>
          </cell>
          <cell r="D2609" t="str">
            <v>Al Maha Primary School</v>
          </cell>
          <cell r="H2609" t="str">
            <v>AD</v>
          </cell>
        </row>
        <row r="2610">
          <cell r="B2610" t="str">
            <v>Fire Alarm Sounder, Bell, Light</v>
          </cell>
          <cell r="D2610" t="str">
            <v>Al Maha Primary School</v>
          </cell>
          <cell r="H2610" t="str">
            <v>AD</v>
          </cell>
        </row>
        <row r="2611">
          <cell r="B2611" t="str">
            <v>Fire Alarm Sounder, Bell, Light</v>
          </cell>
          <cell r="D2611" t="str">
            <v>Al Maha Primary School</v>
          </cell>
          <cell r="H2611" t="str">
            <v>AD</v>
          </cell>
        </row>
        <row r="2612">
          <cell r="B2612" t="str">
            <v>Fire Alarm Sounder, Bell, Light</v>
          </cell>
          <cell r="D2612" t="str">
            <v>Al Maha Primary School</v>
          </cell>
          <cell r="H2612" t="str">
            <v>AD</v>
          </cell>
        </row>
        <row r="2613">
          <cell r="B2613" t="str">
            <v>Fire Alarm Sounder, Bell, Light</v>
          </cell>
          <cell r="D2613" t="str">
            <v>Al Maha Primary School</v>
          </cell>
          <cell r="H2613" t="str">
            <v>AD</v>
          </cell>
        </row>
        <row r="2614">
          <cell r="B2614" t="str">
            <v>Fire Alarm Sounder, Bell, Light</v>
          </cell>
          <cell r="D2614" t="str">
            <v>Al Maha Primary School</v>
          </cell>
          <cell r="H2614" t="str">
            <v>AD</v>
          </cell>
        </row>
        <row r="2615">
          <cell r="B2615" t="str">
            <v>Fire Alarm Sounder, Bell, Light</v>
          </cell>
          <cell r="D2615" t="str">
            <v>Al Maha Primary School</v>
          </cell>
          <cell r="H2615" t="str">
            <v>AD</v>
          </cell>
        </row>
        <row r="2616">
          <cell r="B2616" t="str">
            <v>Fire Alarm Sounder, Bell, Light</v>
          </cell>
          <cell r="D2616" t="str">
            <v>Al Maha Primary School</v>
          </cell>
          <cell r="H2616" t="str">
            <v>AD</v>
          </cell>
        </row>
        <row r="2617">
          <cell r="B2617" t="str">
            <v>Fire Extinguisher</v>
          </cell>
          <cell r="D2617" t="str">
            <v>Al Maha Primary School</v>
          </cell>
          <cell r="H2617" t="str">
            <v>AD</v>
          </cell>
        </row>
        <row r="2618">
          <cell r="B2618" t="str">
            <v>Fire Extinguisher</v>
          </cell>
          <cell r="D2618" t="str">
            <v>Al Maha Primary School</v>
          </cell>
          <cell r="H2618" t="str">
            <v>AD</v>
          </cell>
        </row>
        <row r="2619">
          <cell r="B2619" t="str">
            <v>Fire Extinguisher</v>
          </cell>
          <cell r="D2619" t="str">
            <v>Al Maha Primary School</v>
          </cell>
          <cell r="H2619" t="str">
            <v>AD</v>
          </cell>
        </row>
        <row r="2620">
          <cell r="B2620" t="str">
            <v>Fire Extinguisher</v>
          </cell>
          <cell r="D2620" t="str">
            <v>Al Maha Primary School</v>
          </cell>
          <cell r="H2620" t="str">
            <v>AD</v>
          </cell>
        </row>
        <row r="2621">
          <cell r="B2621" t="str">
            <v>Fire Extinguisher</v>
          </cell>
          <cell r="D2621" t="str">
            <v>Al Maha Primary School</v>
          </cell>
          <cell r="H2621" t="str">
            <v>AD</v>
          </cell>
        </row>
        <row r="2622">
          <cell r="B2622" t="str">
            <v>Fire Extinguisher</v>
          </cell>
          <cell r="D2622" t="str">
            <v>Al Maha Primary School</v>
          </cell>
          <cell r="H2622" t="str">
            <v>AD</v>
          </cell>
        </row>
        <row r="2623">
          <cell r="B2623" t="str">
            <v>Fire Extinguisher</v>
          </cell>
          <cell r="D2623" t="str">
            <v>Al Maha Primary School</v>
          </cell>
          <cell r="H2623" t="str">
            <v>AD</v>
          </cell>
        </row>
        <row r="2624">
          <cell r="B2624" t="str">
            <v>Fire Extinguisher</v>
          </cell>
          <cell r="D2624" t="str">
            <v>Al Maha Primary School</v>
          </cell>
          <cell r="H2624" t="str">
            <v>AD</v>
          </cell>
        </row>
        <row r="2625">
          <cell r="B2625" t="str">
            <v>Fire Extinguisher</v>
          </cell>
          <cell r="D2625" t="str">
            <v>Al Maha Primary School</v>
          </cell>
          <cell r="H2625" t="str">
            <v>AD</v>
          </cell>
        </row>
        <row r="2626">
          <cell r="B2626" t="str">
            <v>Fire Extinguisher</v>
          </cell>
          <cell r="D2626" t="str">
            <v>Al Maha Primary School</v>
          </cell>
          <cell r="H2626" t="str">
            <v>AD</v>
          </cell>
        </row>
        <row r="2627">
          <cell r="B2627" t="str">
            <v>Fire Extinguisher</v>
          </cell>
          <cell r="D2627" t="str">
            <v>Al Maha Primary School</v>
          </cell>
          <cell r="H2627" t="str">
            <v>AD</v>
          </cell>
        </row>
        <row r="2628">
          <cell r="B2628" t="str">
            <v>Fire Extinguisher</v>
          </cell>
          <cell r="D2628" t="str">
            <v>Al Maha Primary School</v>
          </cell>
          <cell r="H2628" t="str">
            <v>AD</v>
          </cell>
        </row>
        <row r="2629">
          <cell r="B2629" t="str">
            <v>Fire Extinguisher</v>
          </cell>
          <cell r="D2629" t="str">
            <v>Al Maha Primary School</v>
          </cell>
          <cell r="H2629" t="str">
            <v>AD</v>
          </cell>
        </row>
        <row r="2630">
          <cell r="B2630" t="str">
            <v>Fire Extinguisher</v>
          </cell>
          <cell r="D2630" t="str">
            <v>Al Maha Primary School</v>
          </cell>
          <cell r="H2630" t="str">
            <v>AD</v>
          </cell>
        </row>
        <row r="2631">
          <cell r="B2631" t="str">
            <v>Fire Extinguisher</v>
          </cell>
          <cell r="D2631" t="str">
            <v>Al Maha Primary School</v>
          </cell>
          <cell r="H2631" t="str">
            <v>AD</v>
          </cell>
        </row>
        <row r="2632">
          <cell r="B2632" t="str">
            <v>Fire Extinguisher</v>
          </cell>
          <cell r="D2632" t="str">
            <v>Al Maha Primary School</v>
          </cell>
          <cell r="H2632" t="str">
            <v>AD</v>
          </cell>
        </row>
        <row r="2633">
          <cell r="B2633" t="str">
            <v>Fire Extinguisher</v>
          </cell>
          <cell r="D2633" t="str">
            <v>Al Maha Primary School</v>
          </cell>
          <cell r="H2633" t="str">
            <v>AD</v>
          </cell>
        </row>
        <row r="2634">
          <cell r="B2634" t="str">
            <v>Fire Extinguisher</v>
          </cell>
          <cell r="D2634" t="str">
            <v>Al Maha Primary School</v>
          </cell>
          <cell r="H2634" t="str">
            <v>AD</v>
          </cell>
        </row>
        <row r="2635">
          <cell r="B2635" t="str">
            <v>Fire Extinguisher</v>
          </cell>
          <cell r="D2635" t="str">
            <v>Al Maha Primary School</v>
          </cell>
          <cell r="H2635" t="str">
            <v>AD</v>
          </cell>
        </row>
        <row r="2636">
          <cell r="B2636" t="str">
            <v>Fire Extinguisher</v>
          </cell>
          <cell r="D2636" t="str">
            <v>Al Maha Primary School</v>
          </cell>
          <cell r="H2636" t="str">
            <v>AD</v>
          </cell>
        </row>
        <row r="2637">
          <cell r="B2637" t="str">
            <v>Fire Extinguisher</v>
          </cell>
          <cell r="D2637" t="str">
            <v>Al Maha Primary School</v>
          </cell>
          <cell r="H2637" t="str">
            <v>AD</v>
          </cell>
        </row>
        <row r="2638">
          <cell r="B2638" t="str">
            <v>Fire Extinguisher</v>
          </cell>
          <cell r="D2638" t="str">
            <v>Al Maha Primary School</v>
          </cell>
          <cell r="H2638" t="str">
            <v>AD</v>
          </cell>
        </row>
        <row r="2639">
          <cell r="B2639" t="str">
            <v>Fire Extinguisher</v>
          </cell>
          <cell r="D2639" t="str">
            <v>Al Maha Primary School</v>
          </cell>
          <cell r="H2639" t="str">
            <v>AD</v>
          </cell>
        </row>
        <row r="2640">
          <cell r="B2640" t="str">
            <v>Fire Extinguisher</v>
          </cell>
          <cell r="D2640" t="str">
            <v>Al Maha Primary School</v>
          </cell>
          <cell r="H2640" t="str">
            <v>AD</v>
          </cell>
        </row>
        <row r="2641">
          <cell r="B2641" t="str">
            <v>Fire Extinguisher</v>
          </cell>
          <cell r="D2641" t="str">
            <v>Al Maha Primary School</v>
          </cell>
          <cell r="H2641" t="str">
            <v>AD</v>
          </cell>
        </row>
        <row r="2642">
          <cell r="B2642" t="str">
            <v>Fire Extinguisher</v>
          </cell>
          <cell r="D2642" t="str">
            <v>Al Maha Primary School</v>
          </cell>
          <cell r="H2642" t="str">
            <v>AD</v>
          </cell>
        </row>
        <row r="2643">
          <cell r="B2643" t="str">
            <v>Fire Extinguisher</v>
          </cell>
          <cell r="D2643" t="str">
            <v>Al Maha Primary School</v>
          </cell>
          <cell r="H2643" t="str">
            <v>AD</v>
          </cell>
        </row>
        <row r="2644">
          <cell r="B2644" t="str">
            <v>Fire Extinguisher</v>
          </cell>
          <cell r="D2644" t="str">
            <v>Al Maha Primary School</v>
          </cell>
          <cell r="H2644" t="str">
            <v>AD</v>
          </cell>
        </row>
        <row r="2645">
          <cell r="B2645" t="str">
            <v>Fire Extinguisher</v>
          </cell>
          <cell r="D2645" t="str">
            <v>Al Maha Primary School</v>
          </cell>
          <cell r="H2645" t="str">
            <v>AD</v>
          </cell>
        </row>
        <row r="2646">
          <cell r="B2646" t="str">
            <v>Fire Extinguisher</v>
          </cell>
          <cell r="D2646" t="str">
            <v>Al Maha Primary School</v>
          </cell>
          <cell r="H2646" t="str">
            <v>AD</v>
          </cell>
        </row>
        <row r="2647">
          <cell r="B2647" t="str">
            <v>Fire Extinguisher</v>
          </cell>
          <cell r="D2647" t="str">
            <v>Al Maha Primary School</v>
          </cell>
          <cell r="H2647" t="str">
            <v>AD</v>
          </cell>
        </row>
        <row r="2648">
          <cell r="B2648" t="str">
            <v>Fire Extinguisher</v>
          </cell>
          <cell r="D2648" t="str">
            <v>Al Maha Primary School</v>
          </cell>
          <cell r="H2648" t="str">
            <v>AD</v>
          </cell>
        </row>
        <row r="2649">
          <cell r="B2649" t="str">
            <v>Fire Extinguisher</v>
          </cell>
          <cell r="D2649" t="str">
            <v>Al Maha Primary School</v>
          </cell>
          <cell r="H2649" t="str">
            <v>AD</v>
          </cell>
        </row>
        <row r="2650">
          <cell r="B2650" t="str">
            <v>Fire Extinguisher</v>
          </cell>
          <cell r="D2650" t="str">
            <v>Al Maha Primary School</v>
          </cell>
          <cell r="H2650" t="str">
            <v>AD</v>
          </cell>
        </row>
        <row r="2651">
          <cell r="B2651" t="str">
            <v>Fire Extinguisher</v>
          </cell>
          <cell r="D2651" t="str">
            <v>Al Maha Primary School</v>
          </cell>
          <cell r="H2651" t="str">
            <v>AD</v>
          </cell>
        </row>
        <row r="2652">
          <cell r="B2652" t="str">
            <v>Fire Extinguisher</v>
          </cell>
          <cell r="D2652" t="str">
            <v>Al Maha Primary School</v>
          </cell>
          <cell r="H2652" t="str">
            <v>AD</v>
          </cell>
        </row>
        <row r="2653">
          <cell r="B2653" t="str">
            <v>Fire Extinguisher</v>
          </cell>
          <cell r="D2653" t="str">
            <v>Al Maha Primary School</v>
          </cell>
          <cell r="H2653" t="str">
            <v>AD</v>
          </cell>
        </row>
        <row r="2654">
          <cell r="B2654" t="str">
            <v>Fire Extinguisher</v>
          </cell>
          <cell r="D2654" t="str">
            <v>Al Maha Primary School</v>
          </cell>
          <cell r="H2654" t="str">
            <v>AD</v>
          </cell>
        </row>
        <row r="2655">
          <cell r="B2655" t="str">
            <v>Fire Extinguisher</v>
          </cell>
          <cell r="D2655" t="str">
            <v>Al Maha Primary School</v>
          </cell>
          <cell r="H2655" t="str">
            <v>AD</v>
          </cell>
        </row>
        <row r="2656">
          <cell r="B2656" t="str">
            <v>Fire Extinguisher</v>
          </cell>
          <cell r="D2656" t="str">
            <v>Al Maha Primary School</v>
          </cell>
          <cell r="H2656" t="str">
            <v>AD</v>
          </cell>
        </row>
        <row r="2657">
          <cell r="B2657" t="str">
            <v>Fire Extinguisher</v>
          </cell>
          <cell r="D2657" t="str">
            <v>Al Maha Primary School</v>
          </cell>
          <cell r="H2657" t="str">
            <v>AD</v>
          </cell>
        </row>
        <row r="2658">
          <cell r="B2658" t="str">
            <v>Fire Extinguisher</v>
          </cell>
          <cell r="D2658" t="str">
            <v>Al Maha Primary School</v>
          </cell>
          <cell r="H2658" t="str">
            <v>AD</v>
          </cell>
        </row>
        <row r="2659">
          <cell r="B2659" t="str">
            <v>Fire Extinguisher</v>
          </cell>
          <cell r="D2659" t="str">
            <v>Al Maha Primary School</v>
          </cell>
          <cell r="H2659" t="str">
            <v>AD</v>
          </cell>
        </row>
        <row r="2660">
          <cell r="B2660" t="str">
            <v>Fire Extinguisher</v>
          </cell>
          <cell r="D2660" t="str">
            <v>Al Maha Primary School</v>
          </cell>
          <cell r="H2660" t="str">
            <v>AD</v>
          </cell>
        </row>
        <row r="2661">
          <cell r="B2661" t="str">
            <v>Fire Extinguisher</v>
          </cell>
          <cell r="D2661" t="str">
            <v>Al Maha Primary School</v>
          </cell>
          <cell r="H2661" t="str">
            <v>AD</v>
          </cell>
        </row>
        <row r="2662">
          <cell r="B2662" t="str">
            <v>Fire Extinguisher</v>
          </cell>
          <cell r="D2662" t="str">
            <v>Al Maha Primary School</v>
          </cell>
          <cell r="H2662" t="str">
            <v>AD</v>
          </cell>
        </row>
        <row r="2663">
          <cell r="B2663" t="str">
            <v>Fire Extinguisher</v>
          </cell>
          <cell r="D2663" t="str">
            <v>Al Maha Primary School</v>
          </cell>
          <cell r="H2663" t="str">
            <v>AD</v>
          </cell>
        </row>
        <row r="2664">
          <cell r="B2664" t="str">
            <v>Fire Extinguisher</v>
          </cell>
          <cell r="D2664" t="str">
            <v>Al Maha Primary School</v>
          </cell>
          <cell r="H2664" t="str">
            <v>AD</v>
          </cell>
        </row>
        <row r="2665">
          <cell r="B2665" t="str">
            <v>Fire Extinguisher</v>
          </cell>
          <cell r="D2665" t="str">
            <v>Al Maha Primary School</v>
          </cell>
          <cell r="H2665" t="str">
            <v>AD</v>
          </cell>
        </row>
        <row r="2666">
          <cell r="B2666" t="str">
            <v>Fire Extinguisher</v>
          </cell>
          <cell r="D2666" t="str">
            <v>Al Maha Primary School</v>
          </cell>
          <cell r="H2666" t="str">
            <v>AD</v>
          </cell>
        </row>
        <row r="2667">
          <cell r="B2667" t="str">
            <v>Fire Hose</v>
          </cell>
          <cell r="D2667" t="str">
            <v>Al Maha Primary School</v>
          </cell>
          <cell r="H2667" t="str">
            <v>AD</v>
          </cell>
        </row>
        <row r="2668">
          <cell r="B2668" t="str">
            <v>Fire Hose</v>
          </cell>
          <cell r="D2668" t="str">
            <v>Al Maha Primary School</v>
          </cell>
          <cell r="H2668" t="str">
            <v>AD</v>
          </cell>
        </row>
        <row r="2669">
          <cell r="B2669" t="str">
            <v>Fire Hose</v>
          </cell>
          <cell r="D2669" t="str">
            <v>Al Maha Primary School</v>
          </cell>
          <cell r="H2669" t="str">
            <v>AD</v>
          </cell>
        </row>
        <row r="2670">
          <cell r="B2670" t="str">
            <v>Fire Hose</v>
          </cell>
          <cell r="D2670" t="str">
            <v>Al Maha Primary School</v>
          </cell>
          <cell r="H2670" t="str">
            <v>AD</v>
          </cell>
        </row>
        <row r="2671">
          <cell r="B2671" t="str">
            <v>Fire Hose</v>
          </cell>
          <cell r="D2671" t="str">
            <v>Al Maha Primary School</v>
          </cell>
          <cell r="H2671" t="str">
            <v>AD</v>
          </cell>
        </row>
        <row r="2672">
          <cell r="B2672" t="str">
            <v>Fire Hose</v>
          </cell>
          <cell r="D2672" t="str">
            <v>Al Maha Primary School</v>
          </cell>
          <cell r="H2672" t="str">
            <v>AD</v>
          </cell>
        </row>
        <row r="2673">
          <cell r="B2673" t="str">
            <v>Fire Hose</v>
          </cell>
          <cell r="D2673" t="str">
            <v>Al Maha Primary School</v>
          </cell>
          <cell r="H2673" t="str">
            <v>AD</v>
          </cell>
        </row>
        <row r="2674">
          <cell r="B2674" t="str">
            <v>Fire Hose</v>
          </cell>
          <cell r="D2674" t="str">
            <v>Al Maha Primary School</v>
          </cell>
          <cell r="H2674" t="str">
            <v>AD</v>
          </cell>
        </row>
        <row r="2675">
          <cell r="B2675" t="str">
            <v>Fire Hose</v>
          </cell>
          <cell r="D2675" t="str">
            <v>Al Maha Primary School</v>
          </cell>
          <cell r="H2675" t="str">
            <v>AD</v>
          </cell>
        </row>
        <row r="2676">
          <cell r="B2676" t="str">
            <v>Fire Hose</v>
          </cell>
          <cell r="D2676" t="str">
            <v>Al Maha Primary School</v>
          </cell>
          <cell r="H2676" t="str">
            <v>AD</v>
          </cell>
        </row>
        <row r="2677">
          <cell r="B2677" t="str">
            <v>Fire Hose</v>
          </cell>
          <cell r="D2677" t="str">
            <v>Al Maha Primary School</v>
          </cell>
          <cell r="H2677" t="str">
            <v>AD</v>
          </cell>
        </row>
        <row r="2678">
          <cell r="B2678" t="str">
            <v>Fire Hose</v>
          </cell>
          <cell r="D2678" t="str">
            <v>Al Maha Primary School</v>
          </cell>
          <cell r="H2678" t="str">
            <v>AD</v>
          </cell>
        </row>
        <row r="2679">
          <cell r="B2679" t="str">
            <v>FIRE PUMP - Diesel</v>
          </cell>
          <cell r="D2679" t="str">
            <v>Al Maha Primary School</v>
          </cell>
          <cell r="H2679" t="str">
            <v>AD</v>
          </cell>
        </row>
        <row r="2680">
          <cell r="B2680" t="str">
            <v>FIRE PUMP - Electric</v>
          </cell>
          <cell r="D2680" t="str">
            <v>Al Maha Primary School</v>
          </cell>
          <cell r="H2680" t="str">
            <v>AD</v>
          </cell>
        </row>
        <row r="2681">
          <cell r="B2681" t="str">
            <v>Fire Smoke / Heat Detector, Sounder</v>
          </cell>
          <cell r="D2681" t="str">
            <v>Al Maha Primary School</v>
          </cell>
          <cell r="H2681" t="str">
            <v>AD</v>
          </cell>
        </row>
        <row r="2682">
          <cell r="B2682" t="str">
            <v>Fire Smoke / Heat Detector, Sounder</v>
          </cell>
          <cell r="D2682" t="str">
            <v>Al Maha Primary School</v>
          </cell>
          <cell r="H2682" t="str">
            <v>AD</v>
          </cell>
        </row>
        <row r="2683">
          <cell r="B2683" t="str">
            <v>Fire Smoke / Heat Detector, Sounder</v>
          </cell>
          <cell r="D2683" t="str">
            <v>Al Maha Primary School</v>
          </cell>
          <cell r="H2683" t="str">
            <v>AD</v>
          </cell>
        </row>
        <row r="2684">
          <cell r="B2684" t="str">
            <v>Fire Smoke / Heat Detector, Sounder</v>
          </cell>
          <cell r="D2684" t="str">
            <v>Al Maha Primary School</v>
          </cell>
          <cell r="H2684" t="str">
            <v>AD</v>
          </cell>
        </row>
        <row r="2685">
          <cell r="B2685" t="str">
            <v>Fire Smoke / Heat Detector, Sounder</v>
          </cell>
          <cell r="D2685" t="str">
            <v>Al Maha Primary School</v>
          </cell>
          <cell r="H2685" t="str">
            <v>AD</v>
          </cell>
        </row>
        <row r="2686">
          <cell r="B2686" t="str">
            <v>Fire Smoke / Heat Detector, Sounder</v>
          </cell>
          <cell r="D2686" t="str">
            <v>Al Maha Primary School</v>
          </cell>
          <cell r="H2686" t="str">
            <v>AD</v>
          </cell>
        </row>
        <row r="2687">
          <cell r="B2687" t="str">
            <v>Fire Smoke / Heat Detector, Sounder</v>
          </cell>
          <cell r="D2687" t="str">
            <v>Al Maha Primary School</v>
          </cell>
          <cell r="H2687" t="str">
            <v>AD</v>
          </cell>
        </row>
        <row r="2688">
          <cell r="B2688" t="str">
            <v>Fire Smoke / Heat Detector, Sounder</v>
          </cell>
          <cell r="D2688" t="str">
            <v>Al Maha Primary School</v>
          </cell>
          <cell r="H2688" t="str">
            <v>AD</v>
          </cell>
        </row>
        <row r="2689">
          <cell r="B2689" t="str">
            <v>Fire Smoke / Heat Detector, Sounder</v>
          </cell>
          <cell r="D2689" t="str">
            <v>Al Maha Primary School</v>
          </cell>
          <cell r="H2689" t="str">
            <v>AD</v>
          </cell>
        </row>
        <row r="2690">
          <cell r="B2690" t="str">
            <v>Fire Smoke / Heat Detector, Sounder</v>
          </cell>
          <cell r="D2690" t="str">
            <v>Al Maha Primary School</v>
          </cell>
          <cell r="H2690" t="str">
            <v>AD</v>
          </cell>
        </row>
        <row r="2691">
          <cell r="B2691" t="str">
            <v>Fire Smoke / Heat Detector, Sounder</v>
          </cell>
          <cell r="D2691" t="str">
            <v>Al Maha Primary School</v>
          </cell>
          <cell r="H2691" t="str">
            <v>AD</v>
          </cell>
        </row>
        <row r="2692">
          <cell r="B2692" t="str">
            <v>Fire Smoke / Heat Detector, Sounder</v>
          </cell>
          <cell r="D2692" t="str">
            <v>Al Maha Primary School</v>
          </cell>
          <cell r="H2692" t="str">
            <v>AD</v>
          </cell>
        </row>
        <row r="2693">
          <cell r="B2693" t="str">
            <v>Fire Smoke / Heat Detector, Sounder</v>
          </cell>
          <cell r="D2693" t="str">
            <v>Al Maha Primary School</v>
          </cell>
          <cell r="H2693" t="str">
            <v>AD</v>
          </cell>
        </row>
        <row r="2694">
          <cell r="B2694" t="str">
            <v>Fire Smoke / Heat Detector, Sounder</v>
          </cell>
          <cell r="D2694" t="str">
            <v>Al Maha Primary School</v>
          </cell>
          <cell r="H2694" t="str">
            <v>AD</v>
          </cell>
        </row>
        <row r="2695">
          <cell r="B2695" t="str">
            <v>Fire Smoke / Heat Detector, Sounder</v>
          </cell>
          <cell r="D2695" t="str">
            <v>Al Maha Primary School</v>
          </cell>
          <cell r="H2695" t="str">
            <v>AD</v>
          </cell>
        </row>
        <row r="2696">
          <cell r="B2696" t="str">
            <v>Fire Smoke / Heat Detector, Sounder</v>
          </cell>
          <cell r="D2696" t="str">
            <v>Al Maha Primary School</v>
          </cell>
          <cell r="H2696" t="str">
            <v>AD</v>
          </cell>
        </row>
        <row r="2697">
          <cell r="B2697" t="str">
            <v>Fire Smoke / Heat Detector, Sounder</v>
          </cell>
          <cell r="D2697" t="str">
            <v>Al Maha Primary School</v>
          </cell>
          <cell r="H2697" t="str">
            <v>AD</v>
          </cell>
        </row>
        <row r="2698">
          <cell r="B2698" t="str">
            <v>Fire Smoke / Heat Detector, Sounder</v>
          </cell>
          <cell r="D2698" t="str">
            <v>Al Maha Primary School</v>
          </cell>
          <cell r="H2698" t="str">
            <v>AD</v>
          </cell>
        </row>
        <row r="2699">
          <cell r="B2699" t="str">
            <v>Fire Smoke / Heat Detector, Sounder</v>
          </cell>
          <cell r="D2699" t="str">
            <v>Al Maha Primary School</v>
          </cell>
          <cell r="H2699" t="str">
            <v>AD</v>
          </cell>
        </row>
        <row r="2700">
          <cell r="B2700" t="str">
            <v>Fire Smoke / Heat Detector, Sounder</v>
          </cell>
          <cell r="D2700" t="str">
            <v>Al Maha Primary School</v>
          </cell>
          <cell r="H2700" t="str">
            <v>AD</v>
          </cell>
        </row>
        <row r="2701">
          <cell r="B2701" t="str">
            <v>Fire Smoke / Heat Detector, Sounder</v>
          </cell>
          <cell r="D2701" t="str">
            <v>Al Maha Primary School</v>
          </cell>
          <cell r="H2701" t="str">
            <v>AD</v>
          </cell>
        </row>
        <row r="2702">
          <cell r="B2702" t="str">
            <v>Fire Smoke / Heat Detector, Sounder</v>
          </cell>
          <cell r="D2702" t="str">
            <v>Al Maha Primary School</v>
          </cell>
          <cell r="H2702" t="str">
            <v>AD</v>
          </cell>
        </row>
        <row r="2703">
          <cell r="B2703" t="str">
            <v>Fire Smoke / Heat Detector, Sounder</v>
          </cell>
          <cell r="D2703" t="str">
            <v>Al Maha Primary School</v>
          </cell>
          <cell r="H2703" t="str">
            <v>AD</v>
          </cell>
        </row>
        <row r="2704">
          <cell r="B2704" t="str">
            <v>Fire Smoke / Heat Detector, Sounder</v>
          </cell>
          <cell r="D2704" t="str">
            <v>Al Maha Primary School</v>
          </cell>
          <cell r="H2704" t="str">
            <v>AD</v>
          </cell>
        </row>
        <row r="2705">
          <cell r="B2705" t="str">
            <v>Fire Smoke / Heat Detector, Sounder</v>
          </cell>
          <cell r="D2705" t="str">
            <v>Al Maha Primary School</v>
          </cell>
          <cell r="H2705" t="str">
            <v>AD</v>
          </cell>
        </row>
        <row r="2706">
          <cell r="B2706" t="str">
            <v>Fire Smoke / Heat Detector, Sounder</v>
          </cell>
          <cell r="D2706" t="str">
            <v>Al Maha Primary School</v>
          </cell>
          <cell r="H2706" t="str">
            <v>AD</v>
          </cell>
        </row>
        <row r="2707">
          <cell r="B2707" t="str">
            <v>Fire Smoke / Heat Detector, Sounder</v>
          </cell>
          <cell r="D2707" t="str">
            <v>Al Maha Primary School</v>
          </cell>
          <cell r="H2707" t="str">
            <v>AD</v>
          </cell>
        </row>
        <row r="2708">
          <cell r="B2708" t="str">
            <v>Fire Smoke / Heat Detector, Sounder</v>
          </cell>
          <cell r="D2708" t="str">
            <v>Al Maha Primary School</v>
          </cell>
          <cell r="H2708" t="str">
            <v>AD</v>
          </cell>
        </row>
        <row r="2709">
          <cell r="B2709" t="str">
            <v>Fire Smoke / Heat Detector, Sounder</v>
          </cell>
          <cell r="D2709" t="str">
            <v>Al Maha Primary School</v>
          </cell>
          <cell r="H2709" t="str">
            <v>AD</v>
          </cell>
        </row>
        <row r="2710">
          <cell r="B2710" t="str">
            <v>Fire Smoke / Heat Detector, Sounder</v>
          </cell>
          <cell r="D2710" t="str">
            <v>Al Maha Primary School</v>
          </cell>
          <cell r="H2710" t="str">
            <v>AD</v>
          </cell>
        </row>
        <row r="2711">
          <cell r="B2711" t="str">
            <v>Fire Smoke / Heat Detector, Sounder</v>
          </cell>
          <cell r="D2711" t="str">
            <v>Al Maha Primary School</v>
          </cell>
          <cell r="H2711" t="str">
            <v>AD</v>
          </cell>
        </row>
        <row r="2712">
          <cell r="B2712" t="str">
            <v>Fire Smoke / Heat Detector, Sounder</v>
          </cell>
          <cell r="D2712" t="str">
            <v>Al Maha Primary School</v>
          </cell>
          <cell r="H2712" t="str">
            <v>AD</v>
          </cell>
        </row>
        <row r="2713">
          <cell r="B2713" t="str">
            <v>Fire Smoke / Heat Detector, Sounder</v>
          </cell>
          <cell r="D2713" t="str">
            <v>Al Maha Primary School</v>
          </cell>
          <cell r="H2713" t="str">
            <v>AD</v>
          </cell>
        </row>
        <row r="2714">
          <cell r="B2714" t="str">
            <v>Fire Smoke / Heat Detector, Sounder</v>
          </cell>
          <cell r="D2714" t="str">
            <v>Al Maha Primary School</v>
          </cell>
          <cell r="H2714" t="str">
            <v>AD</v>
          </cell>
        </row>
        <row r="2715">
          <cell r="B2715" t="str">
            <v>Fire Smoke / Heat Detector, Sounder</v>
          </cell>
          <cell r="D2715" t="str">
            <v>Al Maha Primary School</v>
          </cell>
          <cell r="H2715" t="str">
            <v>AD</v>
          </cell>
        </row>
        <row r="2716">
          <cell r="B2716" t="str">
            <v>Fire Smoke / Heat Detector, Sounder</v>
          </cell>
          <cell r="D2716" t="str">
            <v>Al Maha Primary School</v>
          </cell>
          <cell r="H2716" t="str">
            <v>AD</v>
          </cell>
        </row>
        <row r="2717">
          <cell r="B2717" t="str">
            <v>Fire Smoke / Heat Detector, Sounder</v>
          </cell>
          <cell r="D2717" t="str">
            <v>Al Maha Primary School</v>
          </cell>
          <cell r="H2717" t="str">
            <v>AD</v>
          </cell>
        </row>
        <row r="2718">
          <cell r="B2718" t="str">
            <v>Fire Smoke / Heat Detector, Sounder</v>
          </cell>
          <cell r="D2718" t="str">
            <v>Al Maha Primary School</v>
          </cell>
          <cell r="H2718" t="str">
            <v>AD</v>
          </cell>
        </row>
        <row r="2719">
          <cell r="B2719" t="str">
            <v>Fire Smoke / Heat Detector, Sounder</v>
          </cell>
          <cell r="D2719" t="str">
            <v>Al Maha Primary School</v>
          </cell>
          <cell r="H2719" t="str">
            <v>AD</v>
          </cell>
        </row>
        <row r="2720">
          <cell r="B2720" t="str">
            <v>Fire Smoke / Heat Detector, Sounder</v>
          </cell>
          <cell r="D2720" t="str">
            <v>Al Maha Primary School</v>
          </cell>
          <cell r="H2720" t="str">
            <v>AD</v>
          </cell>
        </row>
        <row r="2721">
          <cell r="B2721" t="str">
            <v>Fire Smoke / Heat Detector, Sounder</v>
          </cell>
          <cell r="D2721" t="str">
            <v>Al Maha Primary School</v>
          </cell>
          <cell r="H2721" t="str">
            <v>AD</v>
          </cell>
        </row>
        <row r="2722">
          <cell r="B2722" t="str">
            <v>Fire Smoke / Heat Detector, Sounder</v>
          </cell>
          <cell r="D2722" t="str">
            <v>Al Maha Primary School</v>
          </cell>
          <cell r="H2722" t="str">
            <v>AD</v>
          </cell>
        </row>
        <row r="2723">
          <cell r="B2723" t="str">
            <v>Fire Smoke / Heat Detector, Sounder</v>
          </cell>
          <cell r="D2723" t="str">
            <v>Al Maha Primary School</v>
          </cell>
          <cell r="H2723" t="str">
            <v>AD</v>
          </cell>
        </row>
        <row r="2724">
          <cell r="B2724" t="str">
            <v>Fire Smoke / Heat Detector, Sounder</v>
          </cell>
          <cell r="D2724" t="str">
            <v>Al Maha Primary School</v>
          </cell>
          <cell r="H2724" t="str">
            <v>AD</v>
          </cell>
        </row>
        <row r="2725">
          <cell r="B2725" t="str">
            <v>Fire Smoke / Heat Detector, Sounder</v>
          </cell>
          <cell r="D2725" t="str">
            <v>Al Maha Primary School</v>
          </cell>
          <cell r="H2725" t="str">
            <v>AD</v>
          </cell>
        </row>
        <row r="2726">
          <cell r="B2726" t="str">
            <v>Fire Smoke / Heat Detector, Sounder</v>
          </cell>
          <cell r="D2726" t="str">
            <v>Al Maha Primary School</v>
          </cell>
          <cell r="H2726" t="str">
            <v>AD</v>
          </cell>
        </row>
        <row r="2727">
          <cell r="B2727" t="str">
            <v>Fire Smoke / Heat Detector, Sounder</v>
          </cell>
          <cell r="D2727" t="str">
            <v>Al Maha Primary School</v>
          </cell>
          <cell r="H2727" t="str">
            <v>AD</v>
          </cell>
        </row>
        <row r="2728">
          <cell r="B2728" t="str">
            <v>Fire Smoke / Heat Detector, Sounder</v>
          </cell>
          <cell r="D2728" t="str">
            <v>Al Maha Primary School</v>
          </cell>
          <cell r="H2728" t="str">
            <v>AD</v>
          </cell>
        </row>
        <row r="2729">
          <cell r="B2729" t="str">
            <v>Fire Smoke / Heat Detector, Sounder</v>
          </cell>
          <cell r="D2729" t="str">
            <v>Al Maha Primary School</v>
          </cell>
          <cell r="H2729" t="str">
            <v>AD</v>
          </cell>
        </row>
        <row r="2730">
          <cell r="B2730" t="str">
            <v>Fire Smoke / Heat Detector, Sounder</v>
          </cell>
          <cell r="D2730" t="str">
            <v>Al Maha Primary School</v>
          </cell>
          <cell r="H2730" t="str">
            <v>AD</v>
          </cell>
        </row>
        <row r="2731">
          <cell r="B2731" t="str">
            <v>Fire Smoke / Heat Detector, Sounder</v>
          </cell>
          <cell r="D2731" t="str">
            <v>Al Maha Primary School</v>
          </cell>
          <cell r="H2731" t="str">
            <v>AD</v>
          </cell>
        </row>
        <row r="2732">
          <cell r="B2732" t="str">
            <v>Fire Smoke / Heat Detector, Sounder</v>
          </cell>
          <cell r="D2732" t="str">
            <v>Al Maha Primary School</v>
          </cell>
          <cell r="H2732" t="str">
            <v>AD</v>
          </cell>
        </row>
        <row r="2733">
          <cell r="B2733" t="str">
            <v>Fire Smoke / Heat Detector, Sounder</v>
          </cell>
          <cell r="D2733" t="str">
            <v>Al Maha Primary School</v>
          </cell>
          <cell r="H2733" t="str">
            <v>AD</v>
          </cell>
        </row>
        <row r="2734">
          <cell r="B2734" t="str">
            <v>Fire Smoke / Heat Detector, Sounder</v>
          </cell>
          <cell r="D2734" t="str">
            <v>Al Maha Primary School</v>
          </cell>
          <cell r="H2734" t="str">
            <v>AD</v>
          </cell>
        </row>
        <row r="2735">
          <cell r="B2735" t="str">
            <v>Fire Smoke / Heat Detector, Sounder</v>
          </cell>
          <cell r="D2735" t="str">
            <v>Al Maha Primary School</v>
          </cell>
          <cell r="H2735" t="str">
            <v>AD</v>
          </cell>
        </row>
        <row r="2736">
          <cell r="B2736" t="str">
            <v>Fire Smoke / Heat Detector, Sounder</v>
          </cell>
          <cell r="D2736" t="str">
            <v>Al Maha Primary School</v>
          </cell>
          <cell r="H2736" t="str">
            <v>AD</v>
          </cell>
        </row>
        <row r="2737">
          <cell r="B2737" t="str">
            <v>Fire Smoke / Heat Detector, Sounder</v>
          </cell>
          <cell r="D2737" t="str">
            <v>Al Maha Primary School</v>
          </cell>
          <cell r="H2737" t="str">
            <v>AD</v>
          </cell>
        </row>
        <row r="2738">
          <cell r="B2738" t="str">
            <v>Fire Smoke / Heat Detector, Sounder</v>
          </cell>
          <cell r="D2738" t="str">
            <v>Al Maha Primary School</v>
          </cell>
          <cell r="H2738" t="str">
            <v>AD</v>
          </cell>
        </row>
        <row r="2739">
          <cell r="B2739" t="str">
            <v>Fire Smoke / Heat Detector, Sounder</v>
          </cell>
          <cell r="D2739" t="str">
            <v>Al Maha Primary School</v>
          </cell>
          <cell r="H2739" t="str">
            <v>AD</v>
          </cell>
        </row>
        <row r="2740">
          <cell r="B2740" t="str">
            <v>Fire Smoke / Heat Detector, Sounder</v>
          </cell>
          <cell r="D2740" t="str">
            <v>Al Maha Primary School</v>
          </cell>
          <cell r="H2740" t="str">
            <v>AD</v>
          </cell>
        </row>
        <row r="2741">
          <cell r="B2741" t="str">
            <v>Fire Smoke / Heat Detector, Sounder</v>
          </cell>
          <cell r="D2741" t="str">
            <v>Al Maha Primary School</v>
          </cell>
          <cell r="H2741" t="str">
            <v>AD</v>
          </cell>
        </row>
        <row r="2742">
          <cell r="B2742" t="str">
            <v>Fire Smoke / Heat Detector, Sounder</v>
          </cell>
          <cell r="D2742" t="str">
            <v>Al Maha Primary School</v>
          </cell>
          <cell r="H2742" t="str">
            <v>AD</v>
          </cell>
        </row>
        <row r="2743">
          <cell r="B2743" t="str">
            <v>Fire Smoke / Heat Detector, Sounder</v>
          </cell>
          <cell r="D2743" t="str">
            <v>Al Maha Primary School</v>
          </cell>
          <cell r="H2743" t="str">
            <v>AD</v>
          </cell>
        </row>
        <row r="2744">
          <cell r="B2744" t="str">
            <v>Fire Smoke / Heat Detector, Sounder</v>
          </cell>
          <cell r="D2744" t="str">
            <v>Al Maha Primary School</v>
          </cell>
          <cell r="H2744" t="str">
            <v>AD</v>
          </cell>
        </row>
        <row r="2745">
          <cell r="B2745" t="str">
            <v>Fire Smoke / Heat Detector, Sounder</v>
          </cell>
          <cell r="D2745" t="str">
            <v>Al Maha Primary School</v>
          </cell>
          <cell r="H2745" t="str">
            <v>AD</v>
          </cell>
        </row>
        <row r="2746">
          <cell r="B2746" t="str">
            <v>Fire Smoke / Heat Detector, Sounder</v>
          </cell>
          <cell r="D2746" t="str">
            <v>Al Maha Primary School</v>
          </cell>
          <cell r="H2746" t="str">
            <v>AD</v>
          </cell>
        </row>
        <row r="2747">
          <cell r="B2747" t="str">
            <v>Fire Smoke / Heat Detector, Sounder</v>
          </cell>
          <cell r="D2747" t="str">
            <v>Al Maha Primary School</v>
          </cell>
          <cell r="H2747" t="str">
            <v>AD</v>
          </cell>
        </row>
        <row r="2748">
          <cell r="B2748" t="str">
            <v>Fire Smoke / Heat Detector, Sounder</v>
          </cell>
          <cell r="D2748" t="str">
            <v>Al Maha Primary School</v>
          </cell>
          <cell r="H2748" t="str">
            <v>AD</v>
          </cell>
        </row>
        <row r="2749">
          <cell r="B2749" t="str">
            <v>Fire Smoke / Heat Detector, Sounder</v>
          </cell>
          <cell r="D2749" t="str">
            <v>Al Maha Primary School</v>
          </cell>
          <cell r="H2749" t="str">
            <v>AD</v>
          </cell>
        </row>
        <row r="2750">
          <cell r="B2750" t="str">
            <v>Fire Smoke / Heat Detector, Sounder</v>
          </cell>
          <cell r="D2750" t="str">
            <v>Al Maha Primary School</v>
          </cell>
          <cell r="H2750" t="str">
            <v>AD</v>
          </cell>
        </row>
        <row r="2751">
          <cell r="B2751" t="str">
            <v>Fire Smoke / Heat Detector, Sounder</v>
          </cell>
          <cell r="D2751" t="str">
            <v>Al Maha Primary School</v>
          </cell>
          <cell r="H2751" t="str">
            <v>AD</v>
          </cell>
        </row>
        <row r="2752">
          <cell r="B2752" t="str">
            <v>Fire Smoke / Heat Detector, Sounder</v>
          </cell>
          <cell r="D2752" t="str">
            <v>Al Maha Primary School</v>
          </cell>
          <cell r="H2752" t="str">
            <v>AD</v>
          </cell>
        </row>
        <row r="2753">
          <cell r="B2753" t="str">
            <v>Fire Smoke / Heat Detector, Sounder</v>
          </cell>
          <cell r="D2753" t="str">
            <v>Al Maha Primary School</v>
          </cell>
          <cell r="H2753" t="str">
            <v>AD</v>
          </cell>
        </row>
        <row r="2754">
          <cell r="B2754" t="str">
            <v>Fire Smoke / Heat Detector, Sounder</v>
          </cell>
          <cell r="D2754" t="str">
            <v>Al Maha Primary School</v>
          </cell>
          <cell r="H2754" t="str">
            <v>AD</v>
          </cell>
        </row>
        <row r="2755">
          <cell r="B2755" t="str">
            <v>Fire Smoke / Heat Detector, Sounder</v>
          </cell>
          <cell r="D2755" t="str">
            <v>Al Maha Primary School</v>
          </cell>
          <cell r="H2755" t="str">
            <v>AD</v>
          </cell>
        </row>
        <row r="2756">
          <cell r="B2756" t="str">
            <v>Fire Smoke / Heat Detector, Sounder</v>
          </cell>
          <cell r="D2756" t="str">
            <v>Al Maha Primary School</v>
          </cell>
          <cell r="H2756" t="str">
            <v>AD</v>
          </cell>
        </row>
        <row r="2757">
          <cell r="B2757" t="str">
            <v>Fire Smoke / Heat Detector, Sounder</v>
          </cell>
          <cell r="D2757" t="str">
            <v>Al Maha Primary School</v>
          </cell>
          <cell r="H2757" t="str">
            <v>AD</v>
          </cell>
        </row>
        <row r="2758">
          <cell r="B2758" t="str">
            <v>Fire Smoke / Heat Detector, Sounder</v>
          </cell>
          <cell r="D2758" t="str">
            <v>Al Maha Primary School</v>
          </cell>
          <cell r="H2758" t="str">
            <v>AD</v>
          </cell>
        </row>
        <row r="2759">
          <cell r="B2759" t="str">
            <v>Fire Smoke / Heat Detector, Sounder</v>
          </cell>
          <cell r="D2759" t="str">
            <v>Al Maha Primary School</v>
          </cell>
          <cell r="H2759" t="str">
            <v>AD</v>
          </cell>
        </row>
        <row r="2760">
          <cell r="B2760" t="str">
            <v>Fire Smoke / Heat Detector, Sounder</v>
          </cell>
          <cell r="D2760" t="str">
            <v>Al Maha Primary School</v>
          </cell>
          <cell r="H2760" t="str">
            <v>AD</v>
          </cell>
        </row>
        <row r="2761">
          <cell r="B2761" t="str">
            <v>Fire Smoke / Heat Detector, Sounder</v>
          </cell>
          <cell r="D2761" t="str">
            <v>Al Maha Primary School</v>
          </cell>
          <cell r="H2761" t="str">
            <v>AD</v>
          </cell>
        </row>
        <row r="2762">
          <cell r="B2762" t="str">
            <v>Fire Smoke / Heat Detector, Sounder</v>
          </cell>
          <cell r="D2762" t="str">
            <v>Al Maha Primary School</v>
          </cell>
          <cell r="H2762" t="str">
            <v>AD</v>
          </cell>
        </row>
        <row r="2763">
          <cell r="B2763" t="str">
            <v>Fire Smoke / Heat Detector, Sounder</v>
          </cell>
          <cell r="D2763" t="str">
            <v>Al Maha Primary School</v>
          </cell>
          <cell r="H2763" t="str">
            <v>AD</v>
          </cell>
        </row>
        <row r="2764">
          <cell r="B2764" t="str">
            <v>Fire Smoke / Heat Detector, Sounder</v>
          </cell>
          <cell r="D2764" t="str">
            <v>Al Maha Primary School</v>
          </cell>
          <cell r="H2764" t="str">
            <v>AD</v>
          </cell>
        </row>
        <row r="2765">
          <cell r="B2765" t="str">
            <v>Fire Smoke / Heat Detector, Sounder</v>
          </cell>
          <cell r="D2765" t="str">
            <v>Al Maha Primary School</v>
          </cell>
          <cell r="H2765" t="str">
            <v>AD</v>
          </cell>
        </row>
        <row r="2766">
          <cell r="B2766" t="str">
            <v>Fire Smoke / Heat Detector, Sounder</v>
          </cell>
          <cell r="D2766" t="str">
            <v>Al Maha Primary School</v>
          </cell>
          <cell r="H2766" t="str">
            <v>AD</v>
          </cell>
        </row>
        <row r="2767">
          <cell r="B2767" t="str">
            <v>Fire Smoke / Heat Detector, Sounder</v>
          </cell>
          <cell r="D2767" t="str">
            <v>Al Maha Primary School</v>
          </cell>
          <cell r="H2767" t="str">
            <v>AD</v>
          </cell>
        </row>
        <row r="2768">
          <cell r="B2768" t="str">
            <v>Fire Smoke / Heat Detector, Sounder</v>
          </cell>
          <cell r="D2768" t="str">
            <v>Al Maha Primary School</v>
          </cell>
          <cell r="H2768" t="str">
            <v>AD</v>
          </cell>
        </row>
        <row r="2769">
          <cell r="B2769" t="str">
            <v>Fire Smoke / Heat Detector, Sounder</v>
          </cell>
          <cell r="D2769" t="str">
            <v>Al Maha Primary School</v>
          </cell>
          <cell r="H2769" t="str">
            <v>AD</v>
          </cell>
        </row>
        <row r="2770">
          <cell r="B2770" t="str">
            <v>Fire Smoke / Heat Detector, Sounder</v>
          </cell>
          <cell r="D2770" t="str">
            <v>Al Maha Primary School</v>
          </cell>
          <cell r="H2770" t="str">
            <v>AD</v>
          </cell>
        </row>
        <row r="2771">
          <cell r="B2771" t="str">
            <v>Fire Smoke / Heat Detector, Sounder</v>
          </cell>
          <cell r="D2771" t="str">
            <v>Al Maha Primary School</v>
          </cell>
          <cell r="H2771" t="str">
            <v>AD</v>
          </cell>
        </row>
        <row r="2772">
          <cell r="B2772" t="str">
            <v>Fire Smoke / Heat Detector, Sounder</v>
          </cell>
          <cell r="D2772" t="str">
            <v>Al Maha Primary School</v>
          </cell>
          <cell r="H2772" t="str">
            <v>AD</v>
          </cell>
        </row>
        <row r="2773">
          <cell r="B2773" t="str">
            <v>Fire Smoke / Heat Detector, Sounder</v>
          </cell>
          <cell r="D2773" t="str">
            <v>Al Maha Primary School</v>
          </cell>
          <cell r="H2773" t="str">
            <v>AD</v>
          </cell>
        </row>
        <row r="2774">
          <cell r="B2774" t="str">
            <v>Fire Smoke / Heat Detector, Sounder</v>
          </cell>
          <cell r="D2774" t="str">
            <v>Al Maha Primary School</v>
          </cell>
          <cell r="H2774" t="str">
            <v>AD</v>
          </cell>
        </row>
        <row r="2775">
          <cell r="B2775" t="str">
            <v>Fire Smoke / Heat Detector, Sounder</v>
          </cell>
          <cell r="D2775" t="str">
            <v>Al Maha Primary School</v>
          </cell>
          <cell r="H2775" t="str">
            <v>AD</v>
          </cell>
        </row>
        <row r="2776">
          <cell r="B2776" t="str">
            <v>Fire Smoke / Heat Detector, Sounder</v>
          </cell>
          <cell r="D2776" t="str">
            <v>Al Maha Primary School</v>
          </cell>
          <cell r="H2776" t="str">
            <v>AD</v>
          </cell>
        </row>
        <row r="2777">
          <cell r="B2777" t="str">
            <v>Fire Smoke / Heat Detector, Sounder</v>
          </cell>
          <cell r="D2777" t="str">
            <v>Al Maha Primary School</v>
          </cell>
          <cell r="H2777" t="str">
            <v>AD</v>
          </cell>
        </row>
        <row r="2778">
          <cell r="B2778" t="str">
            <v>Fire Smoke / Heat Detector, Sounder</v>
          </cell>
          <cell r="D2778" t="str">
            <v>Al Maha Primary School</v>
          </cell>
          <cell r="H2778" t="str">
            <v>AD</v>
          </cell>
        </row>
        <row r="2779">
          <cell r="B2779" t="str">
            <v>Fire Smoke / Heat Detector, Sounder</v>
          </cell>
          <cell r="D2779" t="str">
            <v>Al Maha Primary School</v>
          </cell>
          <cell r="H2779" t="str">
            <v>AD</v>
          </cell>
        </row>
        <row r="2780">
          <cell r="B2780" t="str">
            <v>Fire Smoke / Heat Detector, Sounder</v>
          </cell>
          <cell r="D2780" t="str">
            <v>Al Maha Primary School</v>
          </cell>
          <cell r="H2780" t="str">
            <v>AD</v>
          </cell>
        </row>
        <row r="2781">
          <cell r="B2781" t="str">
            <v>Fire Smoke / Heat Detector, Sounder</v>
          </cell>
          <cell r="D2781" t="str">
            <v>Al Maha Primary School</v>
          </cell>
          <cell r="H2781" t="str">
            <v>AD</v>
          </cell>
        </row>
        <row r="2782">
          <cell r="B2782" t="str">
            <v>Fire Smoke / Heat Detector, Sounder</v>
          </cell>
          <cell r="D2782" t="str">
            <v>Al Maha Primary School</v>
          </cell>
          <cell r="H2782" t="str">
            <v>AD</v>
          </cell>
        </row>
        <row r="2783">
          <cell r="B2783" t="str">
            <v>Fire Smoke / Heat Detector, Sounder</v>
          </cell>
          <cell r="D2783" t="str">
            <v>Al Maha Primary School</v>
          </cell>
          <cell r="H2783" t="str">
            <v>AD</v>
          </cell>
        </row>
        <row r="2784">
          <cell r="B2784" t="str">
            <v>Fire Smoke / Heat Detector, Sounder</v>
          </cell>
          <cell r="D2784" t="str">
            <v>Al Maha Primary School</v>
          </cell>
          <cell r="H2784" t="str">
            <v>AD</v>
          </cell>
        </row>
        <row r="2785">
          <cell r="B2785" t="str">
            <v>Fire Smoke / Heat Detector, Sounder</v>
          </cell>
          <cell r="D2785" t="str">
            <v>Al Maha Primary School</v>
          </cell>
          <cell r="H2785" t="str">
            <v>AD</v>
          </cell>
        </row>
        <row r="2786">
          <cell r="B2786" t="str">
            <v>Fire Smoke / Heat Detector, Sounder</v>
          </cell>
          <cell r="D2786" t="str">
            <v>Al Maha Primary School</v>
          </cell>
          <cell r="H2786" t="str">
            <v>AD</v>
          </cell>
        </row>
        <row r="2787">
          <cell r="B2787" t="str">
            <v>Fire Smoke / Heat Detector, Sounder</v>
          </cell>
          <cell r="D2787" t="str">
            <v>Al Maha Primary School</v>
          </cell>
          <cell r="H2787" t="str">
            <v>AD</v>
          </cell>
        </row>
        <row r="2788">
          <cell r="B2788" t="str">
            <v>Fire Smoke / Heat Detector, Sounder</v>
          </cell>
          <cell r="D2788" t="str">
            <v>Al Maha Primary School</v>
          </cell>
          <cell r="H2788" t="str">
            <v>AD</v>
          </cell>
        </row>
        <row r="2789">
          <cell r="B2789" t="str">
            <v>Fire Smoke / Heat Detector, Sounder</v>
          </cell>
          <cell r="D2789" t="str">
            <v>Al Maha Primary School</v>
          </cell>
          <cell r="H2789" t="str">
            <v>AD</v>
          </cell>
        </row>
        <row r="2790">
          <cell r="B2790" t="str">
            <v>Fire Smoke / Heat Detector, Sounder</v>
          </cell>
          <cell r="D2790" t="str">
            <v>Al Maha Primary School</v>
          </cell>
          <cell r="H2790" t="str">
            <v>AD</v>
          </cell>
        </row>
        <row r="2791">
          <cell r="B2791" t="str">
            <v>Fire Smoke / Heat Detector, Sounder</v>
          </cell>
          <cell r="D2791" t="str">
            <v>Al Maha Primary School</v>
          </cell>
          <cell r="H2791" t="str">
            <v>AD</v>
          </cell>
        </row>
        <row r="2792">
          <cell r="B2792" t="str">
            <v>Fire Smoke / Heat Detector, Sounder</v>
          </cell>
          <cell r="D2792" t="str">
            <v>Al Maha Primary School</v>
          </cell>
          <cell r="H2792" t="str">
            <v>AD</v>
          </cell>
        </row>
        <row r="2793">
          <cell r="B2793" t="str">
            <v>Fire Smoke / Heat Detector, Sounder</v>
          </cell>
          <cell r="D2793" t="str">
            <v>Al Maha Primary School</v>
          </cell>
          <cell r="H2793" t="str">
            <v>AD</v>
          </cell>
        </row>
        <row r="2794">
          <cell r="B2794" t="str">
            <v>Fire Smoke / Heat Detector, Sounder</v>
          </cell>
          <cell r="D2794" t="str">
            <v>Al Maha Primary School</v>
          </cell>
          <cell r="H2794" t="str">
            <v>AD</v>
          </cell>
        </row>
        <row r="2795">
          <cell r="B2795" t="str">
            <v>Fire Smoke / Heat Detector, Sounder</v>
          </cell>
          <cell r="D2795" t="str">
            <v>Al Maha Primary School</v>
          </cell>
          <cell r="H2795" t="str">
            <v>AD</v>
          </cell>
        </row>
        <row r="2796">
          <cell r="B2796" t="str">
            <v>Fire Smoke / Heat Detector, Sounder</v>
          </cell>
          <cell r="D2796" t="str">
            <v>Al Maha Primary School</v>
          </cell>
          <cell r="H2796" t="str">
            <v>AD</v>
          </cell>
        </row>
        <row r="2797">
          <cell r="B2797" t="str">
            <v>Fire Smoke / Heat Detector, Sounder</v>
          </cell>
          <cell r="D2797" t="str">
            <v>Al Maha Primary School</v>
          </cell>
          <cell r="H2797" t="str">
            <v>AD</v>
          </cell>
        </row>
        <row r="2798">
          <cell r="B2798" t="str">
            <v>Fire Smoke / Heat Detector, Sounder</v>
          </cell>
          <cell r="D2798" t="str">
            <v>Al Maha Primary School</v>
          </cell>
          <cell r="H2798" t="str">
            <v>AD</v>
          </cell>
        </row>
        <row r="2799">
          <cell r="B2799" t="str">
            <v>Fire Smoke / Heat Detector, Sounder</v>
          </cell>
          <cell r="D2799" t="str">
            <v>Al Maha Primary School</v>
          </cell>
          <cell r="H2799" t="str">
            <v>AD</v>
          </cell>
        </row>
        <row r="2800">
          <cell r="B2800" t="str">
            <v>Irrigation System</v>
          </cell>
          <cell r="D2800" t="str">
            <v>Al Maha Primary School</v>
          </cell>
          <cell r="H2800" t="str">
            <v>AD</v>
          </cell>
        </row>
        <row r="2801">
          <cell r="B2801" t="str">
            <v>LPG Gas System</v>
          </cell>
          <cell r="D2801" t="str">
            <v>Al Maha Primary School</v>
          </cell>
          <cell r="H2801" t="str">
            <v>AD</v>
          </cell>
        </row>
        <row r="2802">
          <cell r="B2802" t="str">
            <v>LPG Gas System</v>
          </cell>
          <cell r="D2802" t="str">
            <v>Al Maha Primary School</v>
          </cell>
          <cell r="H2802" t="str">
            <v>AD</v>
          </cell>
        </row>
        <row r="2803">
          <cell r="B2803" t="str">
            <v>UPS</v>
          </cell>
          <cell r="D2803" t="str">
            <v>Al Maha Primary School</v>
          </cell>
          <cell r="H2803" t="str">
            <v>AD</v>
          </cell>
        </row>
        <row r="2804">
          <cell r="B2804" t="str">
            <v>FIRE ALARM (HOW SYSTEM)</v>
          </cell>
          <cell r="D2804" t="str">
            <v>Al Mahabbah KG</v>
          </cell>
          <cell r="H2804" t="str">
            <v>WR</v>
          </cell>
        </row>
        <row r="2805">
          <cell r="B2805" t="str">
            <v>FIRE ALARM (HOW SYSTEM)</v>
          </cell>
          <cell r="D2805" t="str">
            <v>Al Mahabbah KG</v>
          </cell>
          <cell r="H2805" t="str">
            <v>WR</v>
          </cell>
        </row>
        <row r="2806">
          <cell r="B2806" t="str">
            <v>FIRE ALARM (HOW SYSTEM)</v>
          </cell>
          <cell r="D2806" t="str">
            <v>Al Mahabbah KG</v>
          </cell>
          <cell r="H2806" t="str">
            <v>WR</v>
          </cell>
        </row>
        <row r="2807">
          <cell r="B2807" t="str">
            <v>FIRE ALARM (HOW SYSTEM)</v>
          </cell>
          <cell r="D2807" t="str">
            <v>Al Mahabbah KG</v>
          </cell>
          <cell r="H2807" t="str">
            <v>WR</v>
          </cell>
        </row>
        <row r="2808">
          <cell r="B2808" t="str">
            <v>FIRE ALARM (HOW SYSTEM)</v>
          </cell>
          <cell r="D2808" t="str">
            <v>Al Mahabbah KG</v>
          </cell>
          <cell r="H2808" t="str">
            <v>WR</v>
          </cell>
        </row>
        <row r="2809">
          <cell r="B2809" t="str">
            <v>FIRE ALARM (HOW SYSTEM)</v>
          </cell>
          <cell r="D2809" t="str">
            <v>Al Mahabbah KG</v>
          </cell>
          <cell r="H2809" t="str">
            <v>WR</v>
          </cell>
        </row>
        <row r="2810">
          <cell r="B2810" t="str">
            <v>FIRE ALARM (HOW SYSTEM)</v>
          </cell>
          <cell r="D2810" t="str">
            <v>Al Mahabbah KG</v>
          </cell>
          <cell r="H2810" t="str">
            <v>WR</v>
          </cell>
        </row>
        <row r="2811">
          <cell r="B2811" t="str">
            <v>FIRE ALARM (HOW SYSTEM)</v>
          </cell>
          <cell r="D2811" t="str">
            <v>Al Mahabbah KG</v>
          </cell>
          <cell r="H2811" t="str">
            <v>WR</v>
          </cell>
        </row>
        <row r="2812">
          <cell r="B2812" t="str">
            <v>FIRE PUMP - Diesel</v>
          </cell>
          <cell r="D2812" t="str">
            <v>Al Mahabbah KG</v>
          </cell>
          <cell r="H2812" t="str">
            <v>WR</v>
          </cell>
        </row>
        <row r="2813">
          <cell r="B2813" t="str">
            <v>FIRE PUMP - Electric</v>
          </cell>
          <cell r="D2813" t="str">
            <v>Al Mahabbah KG</v>
          </cell>
          <cell r="H2813" t="str">
            <v>WR</v>
          </cell>
        </row>
        <row r="2814">
          <cell r="B2814" t="str">
            <v>Water Tank</v>
          </cell>
          <cell r="D2814" t="str">
            <v>Al Mahabbah KG</v>
          </cell>
          <cell r="H2814" t="str">
            <v>WR</v>
          </cell>
        </row>
        <row r="2815">
          <cell r="B2815" t="str">
            <v>Water Tank</v>
          </cell>
          <cell r="D2815" t="str">
            <v>Al Mahabbah KG</v>
          </cell>
          <cell r="H2815" t="str">
            <v>WR</v>
          </cell>
        </row>
        <row r="2816">
          <cell r="B2816" t="str">
            <v>Finger Print Reader Machine</v>
          </cell>
          <cell r="D2816" t="str">
            <v xml:space="preserve">AL Marah Nursery  </v>
          </cell>
          <cell r="H2816" t="str">
            <v>AA</v>
          </cell>
        </row>
        <row r="2817">
          <cell r="B2817" t="str">
            <v>Fire Extinguisher</v>
          </cell>
          <cell r="D2817" t="str">
            <v xml:space="preserve">AL Marah Nursery  </v>
          </cell>
          <cell r="H2817" t="str">
            <v>AA</v>
          </cell>
        </row>
        <row r="2818">
          <cell r="B2818" t="str">
            <v>Fire Extinguisher</v>
          </cell>
          <cell r="D2818" t="str">
            <v xml:space="preserve">AL Marah Nursery  </v>
          </cell>
          <cell r="H2818" t="str">
            <v>AA</v>
          </cell>
        </row>
        <row r="2819">
          <cell r="B2819" t="str">
            <v>Fire Extinguisher</v>
          </cell>
          <cell r="D2819" t="str">
            <v xml:space="preserve">AL Marah Nursery  </v>
          </cell>
          <cell r="H2819" t="str">
            <v>AA</v>
          </cell>
        </row>
        <row r="2820">
          <cell r="B2820" t="str">
            <v>Fire Extinguisher</v>
          </cell>
          <cell r="D2820" t="str">
            <v xml:space="preserve">AL Marah Nursery  </v>
          </cell>
          <cell r="H2820" t="str">
            <v>AA</v>
          </cell>
        </row>
        <row r="2821">
          <cell r="B2821" t="str">
            <v>Fire Extinguisher</v>
          </cell>
          <cell r="D2821" t="str">
            <v xml:space="preserve">AL Marah Nursery  </v>
          </cell>
          <cell r="H2821" t="str">
            <v>AA</v>
          </cell>
        </row>
        <row r="2822">
          <cell r="B2822" t="str">
            <v>Fire Extinguisher</v>
          </cell>
          <cell r="D2822" t="str">
            <v xml:space="preserve">AL Marah Nursery  </v>
          </cell>
          <cell r="H2822" t="str">
            <v>AA</v>
          </cell>
        </row>
        <row r="2823">
          <cell r="B2823" t="str">
            <v>Fire Extinguisher</v>
          </cell>
          <cell r="D2823" t="str">
            <v xml:space="preserve">AL Marah Nursery  </v>
          </cell>
          <cell r="H2823" t="str">
            <v>AA</v>
          </cell>
        </row>
        <row r="2824">
          <cell r="B2824" t="str">
            <v>Fire Extinguisher</v>
          </cell>
          <cell r="D2824" t="str">
            <v xml:space="preserve">AL Marah Nursery  </v>
          </cell>
          <cell r="H2824" t="str">
            <v>AA</v>
          </cell>
        </row>
        <row r="2825">
          <cell r="B2825" t="str">
            <v>Fire Extinguisher</v>
          </cell>
          <cell r="D2825" t="str">
            <v xml:space="preserve">AL Marah Nursery  </v>
          </cell>
          <cell r="H2825" t="str">
            <v>AA</v>
          </cell>
        </row>
        <row r="2826">
          <cell r="B2826" t="str">
            <v>FIRE ALARM SYSTEM</v>
          </cell>
          <cell r="D2826" t="str">
            <v>Al Moatasem Center</v>
          </cell>
          <cell r="H2826" t="str">
            <v>AD</v>
          </cell>
        </row>
        <row r="2827">
          <cell r="B2827" t="str">
            <v>FIRE CYLINDER - C02</v>
          </cell>
          <cell r="D2827" t="str">
            <v>Al Moatasem Center</v>
          </cell>
          <cell r="H2827" t="str">
            <v>AD</v>
          </cell>
        </row>
        <row r="2828">
          <cell r="B2828" t="str">
            <v>FIRE CYLINDER - C02</v>
          </cell>
          <cell r="D2828" t="str">
            <v>Al Moatasem Center</v>
          </cell>
          <cell r="H2828" t="str">
            <v>AD</v>
          </cell>
        </row>
        <row r="2829">
          <cell r="B2829" t="str">
            <v>FIRE CYLINDER - C02</v>
          </cell>
          <cell r="D2829" t="str">
            <v>Al Moatasem Center</v>
          </cell>
          <cell r="H2829" t="str">
            <v>AD</v>
          </cell>
        </row>
        <row r="2830">
          <cell r="B2830" t="str">
            <v>FIRE CYLINDER - C02</v>
          </cell>
          <cell r="D2830" t="str">
            <v>Al Moatasem Center</v>
          </cell>
          <cell r="H2830" t="str">
            <v>AD</v>
          </cell>
        </row>
        <row r="2831">
          <cell r="B2831" t="str">
            <v>FIRE CYLINDER - C02</v>
          </cell>
          <cell r="D2831" t="str">
            <v>Al Moatasem Center</v>
          </cell>
          <cell r="H2831" t="str">
            <v>AD</v>
          </cell>
        </row>
        <row r="2832">
          <cell r="B2832" t="str">
            <v>FIRE CYLINDER - C02</v>
          </cell>
          <cell r="D2832" t="str">
            <v>Al Moatasem Center</v>
          </cell>
          <cell r="H2832" t="str">
            <v>AD</v>
          </cell>
        </row>
        <row r="2833">
          <cell r="B2833" t="str">
            <v>FIRE CYLINDER - C02</v>
          </cell>
          <cell r="D2833" t="str">
            <v>Al Moatasem Center</v>
          </cell>
          <cell r="H2833" t="str">
            <v>AD</v>
          </cell>
        </row>
        <row r="2834">
          <cell r="B2834" t="str">
            <v>FIRE CYLINDER - C02</v>
          </cell>
          <cell r="D2834" t="str">
            <v>Al Moatasem Center</v>
          </cell>
          <cell r="H2834" t="str">
            <v>AD</v>
          </cell>
        </row>
        <row r="2835">
          <cell r="B2835" t="str">
            <v>FIRE CYLINDER - C02</v>
          </cell>
          <cell r="D2835" t="str">
            <v>Al Moatasem Center</v>
          </cell>
          <cell r="H2835" t="str">
            <v>AD</v>
          </cell>
        </row>
        <row r="2836">
          <cell r="B2836" t="str">
            <v>FIRE CYLINDER - C02</v>
          </cell>
          <cell r="D2836" t="str">
            <v>Al Moatasem Center</v>
          </cell>
          <cell r="H2836" t="str">
            <v>AD</v>
          </cell>
        </row>
        <row r="2837">
          <cell r="B2837" t="str">
            <v>FIRE CYLINDER - C02</v>
          </cell>
          <cell r="D2837" t="str">
            <v>Al Moatasem Center</v>
          </cell>
          <cell r="H2837" t="str">
            <v>AD</v>
          </cell>
        </row>
        <row r="2838">
          <cell r="B2838" t="str">
            <v>FIRE CYLINDER - POWDER</v>
          </cell>
          <cell r="D2838" t="str">
            <v>Al Moatasem Center</v>
          </cell>
          <cell r="H2838" t="str">
            <v>AD</v>
          </cell>
        </row>
        <row r="2839">
          <cell r="B2839" t="str">
            <v>FIRE CYLINDER - POWDER</v>
          </cell>
          <cell r="D2839" t="str">
            <v>Al Moatasem Center</v>
          </cell>
          <cell r="H2839" t="str">
            <v>AD</v>
          </cell>
        </row>
        <row r="2840">
          <cell r="B2840" t="str">
            <v>FIRE CYLINDER - POWDER</v>
          </cell>
          <cell r="D2840" t="str">
            <v>Al Moatasem Center</v>
          </cell>
          <cell r="H2840" t="str">
            <v>AD</v>
          </cell>
        </row>
        <row r="2841">
          <cell r="B2841" t="str">
            <v>FIRE CYLINDER - POWDER</v>
          </cell>
          <cell r="D2841" t="str">
            <v>Al Moatasem Center</v>
          </cell>
          <cell r="H2841" t="str">
            <v>AD</v>
          </cell>
        </row>
        <row r="2842">
          <cell r="B2842" t="str">
            <v>FIRE CYLINDER - POWDER</v>
          </cell>
          <cell r="D2842" t="str">
            <v>Al Moatasem Center</v>
          </cell>
          <cell r="H2842" t="str">
            <v>AD</v>
          </cell>
        </row>
        <row r="2843">
          <cell r="B2843" t="str">
            <v>FIRE CYLINDER - POWDER</v>
          </cell>
          <cell r="D2843" t="str">
            <v>Al Moatasem Center</v>
          </cell>
          <cell r="H2843" t="str">
            <v>AD</v>
          </cell>
        </row>
        <row r="2844">
          <cell r="B2844" t="str">
            <v>FIRE HOSE REEL</v>
          </cell>
          <cell r="D2844" t="str">
            <v>Al Moatasem Center</v>
          </cell>
          <cell r="H2844" t="str">
            <v>AD</v>
          </cell>
        </row>
        <row r="2845">
          <cell r="B2845" t="str">
            <v>FIRE HOSE REEL</v>
          </cell>
          <cell r="D2845" t="str">
            <v>Al Moatasem Center</v>
          </cell>
          <cell r="H2845" t="str">
            <v>AD</v>
          </cell>
        </row>
        <row r="2846">
          <cell r="B2846" t="str">
            <v>FIRE HOSE REEL</v>
          </cell>
          <cell r="D2846" t="str">
            <v>Al Moatasem Center</v>
          </cell>
          <cell r="H2846" t="str">
            <v>AD</v>
          </cell>
        </row>
        <row r="2847">
          <cell r="B2847" t="str">
            <v>FIRE HOSE REEL</v>
          </cell>
          <cell r="D2847" t="str">
            <v>Al Moatasem Center</v>
          </cell>
          <cell r="H2847" t="str">
            <v>AD</v>
          </cell>
        </row>
        <row r="2848">
          <cell r="B2848" t="str">
            <v>FIRE HOSE REEL</v>
          </cell>
          <cell r="D2848" t="str">
            <v>Al Moatasem Center</v>
          </cell>
          <cell r="H2848" t="str">
            <v>AD</v>
          </cell>
        </row>
        <row r="2849">
          <cell r="B2849" t="str">
            <v>FIRE HOSE REEL</v>
          </cell>
          <cell r="D2849" t="str">
            <v>Al Moatasem Center</v>
          </cell>
          <cell r="H2849" t="str">
            <v>AD</v>
          </cell>
        </row>
        <row r="2850">
          <cell r="B2850" t="str">
            <v>FIRE HOSE REEL</v>
          </cell>
          <cell r="D2850" t="str">
            <v>Al Moatasem Center</v>
          </cell>
          <cell r="H2850" t="str">
            <v>AD</v>
          </cell>
        </row>
        <row r="2851">
          <cell r="B2851" t="str">
            <v>FIRE ALARM</v>
          </cell>
          <cell r="D2851" t="str">
            <v>Al Moghira Bin Shoaba School</v>
          </cell>
          <cell r="H2851" t="str">
            <v>WR</v>
          </cell>
        </row>
        <row r="2852">
          <cell r="B2852" t="str">
            <v>FIRE ALARM</v>
          </cell>
          <cell r="D2852" t="str">
            <v>Al Moghira Bin Shoaba School</v>
          </cell>
          <cell r="H2852" t="str">
            <v>WR</v>
          </cell>
        </row>
        <row r="2853">
          <cell r="B2853" t="str">
            <v>FIRE HOSE REEL</v>
          </cell>
          <cell r="D2853" t="str">
            <v>Al Moghira Bin Shoaba School</v>
          </cell>
          <cell r="H2853" t="str">
            <v>WR</v>
          </cell>
        </row>
        <row r="2854">
          <cell r="B2854" t="str">
            <v>FIRE HOSE REEL</v>
          </cell>
          <cell r="D2854" t="str">
            <v>Al Moghira Bin Shoaba School</v>
          </cell>
          <cell r="H2854" t="str">
            <v>WR</v>
          </cell>
        </row>
        <row r="2855">
          <cell r="B2855" t="str">
            <v>FIRE HOSE REEL</v>
          </cell>
          <cell r="D2855" t="str">
            <v>Al Moghira Bin Shoaba School</v>
          </cell>
          <cell r="H2855" t="str">
            <v>WR</v>
          </cell>
        </row>
        <row r="2856">
          <cell r="B2856" t="str">
            <v>FIRE HOSE REEL</v>
          </cell>
          <cell r="D2856" t="str">
            <v>Al Moghira Bin Shoaba School</v>
          </cell>
          <cell r="H2856" t="str">
            <v>WR</v>
          </cell>
        </row>
        <row r="2857">
          <cell r="B2857" t="str">
            <v>FIRE HOSE REEL</v>
          </cell>
          <cell r="D2857" t="str">
            <v>Al Moghira Bin Shoaba School</v>
          </cell>
          <cell r="H2857" t="str">
            <v>WR</v>
          </cell>
        </row>
        <row r="2858">
          <cell r="B2858" t="str">
            <v>FIRE HOSE REEL</v>
          </cell>
          <cell r="D2858" t="str">
            <v>Al Moghira Bin Shoaba School</v>
          </cell>
          <cell r="H2858" t="str">
            <v>WR</v>
          </cell>
        </row>
        <row r="2859">
          <cell r="B2859" t="str">
            <v>FIRE HOSE REEL</v>
          </cell>
          <cell r="D2859" t="str">
            <v>Al Moghira Bin Shoaba School</v>
          </cell>
          <cell r="H2859" t="str">
            <v>WR</v>
          </cell>
        </row>
        <row r="2860">
          <cell r="B2860" t="str">
            <v>FIRE HOSE REEL</v>
          </cell>
          <cell r="D2860" t="str">
            <v>Al Moghira Bin Shoaba School</v>
          </cell>
          <cell r="H2860" t="str">
            <v>WR</v>
          </cell>
        </row>
        <row r="2861">
          <cell r="B2861" t="str">
            <v>FIRE HOSE REEL</v>
          </cell>
          <cell r="D2861" t="str">
            <v>Al Moghira Bin Shoaba School</v>
          </cell>
          <cell r="H2861" t="str">
            <v>WR</v>
          </cell>
        </row>
        <row r="2862">
          <cell r="B2862" t="str">
            <v>FIRE HOSE REEL</v>
          </cell>
          <cell r="D2862" t="str">
            <v>Al Moghira Bin Shoaba School</v>
          </cell>
          <cell r="H2862" t="str">
            <v>WR</v>
          </cell>
        </row>
        <row r="2863">
          <cell r="B2863" t="str">
            <v>FIRE HOSE REEL</v>
          </cell>
          <cell r="D2863" t="str">
            <v>Al Moghira Bin Shoaba School</v>
          </cell>
          <cell r="H2863" t="str">
            <v>WR</v>
          </cell>
        </row>
        <row r="2864">
          <cell r="B2864" t="str">
            <v>FIRE HOSE REEL</v>
          </cell>
          <cell r="D2864" t="str">
            <v>Al Moghira Bin Shoaba School</v>
          </cell>
          <cell r="H2864" t="str">
            <v>WR</v>
          </cell>
        </row>
        <row r="2865">
          <cell r="B2865" t="str">
            <v>FIRE HOSE REEL</v>
          </cell>
          <cell r="D2865" t="str">
            <v>Al Moghira Bin Shoaba School</v>
          </cell>
          <cell r="H2865" t="str">
            <v>WR</v>
          </cell>
        </row>
        <row r="2866">
          <cell r="B2866" t="str">
            <v>FIRE HOSE REEL</v>
          </cell>
          <cell r="D2866" t="str">
            <v>Al Moghira Bin Shoaba School</v>
          </cell>
          <cell r="H2866" t="str">
            <v>WR</v>
          </cell>
        </row>
        <row r="2867">
          <cell r="B2867" t="str">
            <v>Fire Pump</v>
          </cell>
          <cell r="D2867" t="str">
            <v>Al Moghira Bin Shoaba School</v>
          </cell>
          <cell r="H2867" t="str">
            <v>WR</v>
          </cell>
        </row>
        <row r="2868">
          <cell r="B2868" t="str">
            <v>FIRE PUMP - Diesel</v>
          </cell>
          <cell r="D2868" t="str">
            <v>Al Moghira Bin Shoaba School</v>
          </cell>
          <cell r="H2868" t="str">
            <v>WR</v>
          </cell>
        </row>
        <row r="2869">
          <cell r="B2869" t="str">
            <v>Water Tank</v>
          </cell>
          <cell r="D2869" t="str">
            <v>Al Moghira Bin Shoaba School</v>
          </cell>
          <cell r="H2869" t="str">
            <v>WR</v>
          </cell>
        </row>
        <row r="2870">
          <cell r="B2870" t="str">
            <v>Water Tank</v>
          </cell>
          <cell r="D2870" t="str">
            <v>Al Moghira Bin Shoaba School</v>
          </cell>
          <cell r="H2870" t="str">
            <v>WR</v>
          </cell>
        </row>
        <row r="2871">
          <cell r="B2871" t="str">
            <v>Water Tank</v>
          </cell>
          <cell r="D2871" t="str">
            <v>Al Moghira Bin Shoaba School</v>
          </cell>
          <cell r="H2871" t="str">
            <v>WR</v>
          </cell>
        </row>
        <row r="2872">
          <cell r="B2872" t="str">
            <v>Water Tank</v>
          </cell>
          <cell r="D2872" t="str">
            <v>Al Moghira Bin Shoaba School</v>
          </cell>
          <cell r="H2872" t="str">
            <v>WR</v>
          </cell>
        </row>
        <row r="2873">
          <cell r="B2873" t="str">
            <v>Water Tank</v>
          </cell>
          <cell r="D2873" t="str">
            <v>Al Moghira Bin Shoaba School</v>
          </cell>
          <cell r="H2873" t="str">
            <v>WR</v>
          </cell>
        </row>
        <row r="2874">
          <cell r="B2874" t="str">
            <v>Elevator</v>
          </cell>
          <cell r="D2874" t="str">
            <v>Al Mostaqbal Primary Model School</v>
          </cell>
          <cell r="H2874" t="str">
            <v>AD</v>
          </cell>
        </row>
        <row r="2875">
          <cell r="B2875" t="str">
            <v>Finger Print Reader Machine</v>
          </cell>
          <cell r="D2875" t="str">
            <v>Al Mostaqbal Primary Model School</v>
          </cell>
          <cell r="H2875" t="str">
            <v>AD</v>
          </cell>
        </row>
        <row r="2876">
          <cell r="B2876" t="str">
            <v>Fire Alarm</v>
          </cell>
          <cell r="D2876" t="str">
            <v>Al Mostaqbal Primary Model School</v>
          </cell>
          <cell r="H2876" t="str">
            <v>AD</v>
          </cell>
        </row>
        <row r="2877">
          <cell r="B2877" t="str">
            <v>Fire Alarm Control Panel Board</v>
          </cell>
          <cell r="D2877" t="str">
            <v>Al Mostaqbal Primary Model School</v>
          </cell>
          <cell r="H2877" t="str">
            <v>AD</v>
          </cell>
        </row>
        <row r="2878">
          <cell r="B2878" t="str">
            <v>Fire Alarm Control Panel Board</v>
          </cell>
          <cell r="D2878" t="str">
            <v>Al Mostaqbal Primary Model School</v>
          </cell>
          <cell r="H2878" t="str">
            <v>AD</v>
          </cell>
        </row>
        <row r="2879">
          <cell r="B2879" t="str">
            <v>Fire Alarm Control Panel Board</v>
          </cell>
          <cell r="D2879" t="str">
            <v>Al Mostaqbal Primary Model School</v>
          </cell>
          <cell r="H2879" t="str">
            <v>AD</v>
          </cell>
        </row>
        <row r="2880">
          <cell r="B2880" t="str">
            <v>Fire Alarm Control Panel Board</v>
          </cell>
          <cell r="D2880" t="str">
            <v>Al Mostaqbal Primary Model School</v>
          </cell>
          <cell r="H2880" t="str">
            <v>AD</v>
          </cell>
        </row>
        <row r="2881">
          <cell r="B2881" t="str">
            <v>Fire Alarm System</v>
          </cell>
          <cell r="D2881" t="str">
            <v>Al Mostaqbal Primary Model School</v>
          </cell>
          <cell r="H2881" t="str">
            <v>AD</v>
          </cell>
        </row>
        <row r="2882">
          <cell r="B2882" t="str">
            <v>Fire Break Glass</v>
          </cell>
          <cell r="D2882" t="str">
            <v>Al Mostaqbal Primary Model School</v>
          </cell>
          <cell r="H2882" t="str">
            <v>AD</v>
          </cell>
        </row>
        <row r="2883">
          <cell r="B2883" t="str">
            <v>Fire Break Glass</v>
          </cell>
          <cell r="D2883" t="str">
            <v>Al Mostaqbal Primary Model School</v>
          </cell>
          <cell r="H2883" t="str">
            <v>AD</v>
          </cell>
        </row>
        <row r="2884">
          <cell r="B2884" t="str">
            <v>Fire Break Glass</v>
          </cell>
          <cell r="D2884" t="str">
            <v>Al Mostaqbal Primary Model School</v>
          </cell>
          <cell r="H2884" t="str">
            <v>AD</v>
          </cell>
        </row>
        <row r="2885">
          <cell r="B2885" t="str">
            <v>Fire Break Glass</v>
          </cell>
          <cell r="D2885" t="str">
            <v>Al Mostaqbal Primary Model School</v>
          </cell>
          <cell r="H2885" t="str">
            <v>AD</v>
          </cell>
        </row>
        <row r="2886">
          <cell r="B2886" t="str">
            <v>Fire Break Glass</v>
          </cell>
          <cell r="D2886" t="str">
            <v>Al Mostaqbal Primary Model School</v>
          </cell>
          <cell r="H2886" t="str">
            <v>AD</v>
          </cell>
        </row>
        <row r="2887">
          <cell r="B2887" t="str">
            <v>Fire Break Glass</v>
          </cell>
          <cell r="D2887" t="str">
            <v>Al Mostaqbal Primary Model School</v>
          </cell>
          <cell r="H2887" t="str">
            <v>AD</v>
          </cell>
        </row>
        <row r="2888">
          <cell r="B2888" t="str">
            <v>Fire Break Glass</v>
          </cell>
          <cell r="D2888" t="str">
            <v>Al Mostaqbal Primary Model School</v>
          </cell>
          <cell r="H2888" t="str">
            <v>AD</v>
          </cell>
        </row>
        <row r="2889">
          <cell r="B2889" t="str">
            <v>Fire Break Glass</v>
          </cell>
          <cell r="D2889" t="str">
            <v>Al Mostaqbal Primary Model School</v>
          </cell>
          <cell r="H2889" t="str">
            <v>AD</v>
          </cell>
        </row>
        <row r="2890">
          <cell r="B2890" t="str">
            <v>Fire Break Glass</v>
          </cell>
          <cell r="D2890" t="str">
            <v>Al Mostaqbal Primary Model School</v>
          </cell>
          <cell r="H2890" t="str">
            <v>AD</v>
          </cell>
        </row>
        <row r="2891">
          <cell r="B2891" t="str">
            <v>Fire Break Glass</v>
          </cell>
          <cell r="D2891" t="str">
            <v>Al Mostaqbal Primary Model School</v>
          </cell>
          <cell r="H2891" t="str">
            <v>AD</v>
          </cell>
        </row>
        <row r="2892">
          <cell r="B2892" t="str">
            <v>Fire Break Glass</v>
          </cell>
          <cell r="D2892" t="str">
            <v>Al Mostaqbal Primary Model School</v>
          </cell>
          <cell r="H2892" t="str">
            <v>AD</v>
          </cell>
        </row>
        <row r="2893">
          <cell r="B2893" t="str">
            <v>Fire Extinguisher</v>
          </cell>
          <cell r="D2893" t="str">
            <v>Al Mostaqbal Primary Model School</v>
          </cell>
          <cell r="H2893" t="str">
            <v>AD</v>
          </cell>
        </row>
        <row r="2894">
          <cell r="B2894" t="str">
            <v>Fire Extinguisher</v>
          </cell>
          <cell r="D2894" t="str">
            <v>Al Mostaqbal Primary Model School</v>
          </cell>
          <cell r="H2894" t="str">
            <v>AD</v>
          </cell>
        </row>
        <row r="2895">
          <cell r="B2895" t="str">
            <v>Fire Extinguisher</v>
          </cell>
          <cell r="D2895" t="str">
            <v>Al Mostaqbal Primary Model School</v>
          </cell>
          <cell r="H2895" t="str">
            <v>AD</v>
          </cell>
        </row>
        <row r="2896">
          <cell r="B2896" t="str">
            <v>Fire Extinguisher</v>
          </cell>
          <cell r="D2896" t="str">
            <v>Al Mostaqbal Primary Model School</v>
          </cell>
          <cell r="H2896" t="str">
            <v>AD</v>
          </cell>
        </row>
        <row r="2897">
          <cell r="B2897" t="str">
            <v>Fire Extinguisher</v>
          </cell>
          <cell r="D2897" t="str">
            <v>Al Mostaqbal Primary Model School</v>
          </cell>
          <cell r="H2897" t="str">
            <v>AD</v>
          </cell>
        </row>
        <row r="2898">
          <cell r="B2898" t="str">
            <v>Fire Extinguisher - C02</v>
          </cell>
          <cell r="D2898" t="str">
            <v>Al Mostaqbal Primary Model School</v>
          </cell>
          <cell r="H2898" t="str">
            <v>AD</v>
          </cell>
        </row>
        <row r="2899">
          <cell r="B2899" t="str">
            <v>Fire Extinguisher - C02</v>
          </cell>
          <cell r="D2899" t="str">
            <v>Al Mostaqbal Primary Model School</v>
          </cell>
          <cell r="H2899" t="str">
            <v>AD</v>
          </cell>
        </row>
        <row r="2900">
          <cell r="B2900" t="str">
            <v>Fire Extinguisher - C02</v>
          </cell>
          <cell r="D2900" t="str">
            <v>Al Mostaqbal Primary Model School</v>
          </cell>
          <cell r="H2900" t="str">
            <v>AD</v>
          </cell>
        </row>
        <row r="2901">
          <cell r="B2901" t="str">
            <v>Fire Extinguisher - C02</v>
          </cell>
          <cell r="D2901" t="str">
            <v>Al Mostaqbal Primary Model School</v>
          </cell>
          <cell r="H2901" t="str">
            <v>AD</v>
          </cell>
        </row>
        <row r="2902">
          <cell r="B2902" t="str">
            <v>Fire Extinguisher - C02</v>
          </cell>
          <cell r="D2902" t="str">
            <v>Al Mostaqbal Primary Model School</v>
          </cell>
          <cell r="H2902" t="str">
            <v>AD</v>
          </cell>
        </row>
        <row r="2903">
          <cell r="B2903" t="str">
            <v>Fire Extinguisher - C02</v>
          </cell>
          <cell r="D2903" t="str">
            <v>Al Mostaqbal Primary Model School</v>
          </cell>
          <cell r="H2903" t="str">
            <v>AD</v>
          </cell>
        </row>
        <row r="2904">
          <cell r="B2904" t="str">
            <v>Fire Extinguisher - C02</v>
          </cell>
          <cell r="D2904" t="str">
            <v>Al Mostaqbal Primary Model School</v>
          </cell>
          <cell r="H2904" t="str">
            <v>AD</v>
          </cell>
        </row>
        <row r="2905">
          <cell r="B2905" t="str">
            <v>Fire Extinguisher - C02</v>
          </cell>
          <cell r="D2905" t="str">
            <v>Al Mostaqbal Primary Model School</v>
          </cell>
          <cell r="H2905" t="str">
            <v>AD</v>
          </cell>
        </row>
        <row r="2906">
          <cell r="B2906" t="str">
            <v>Fire Extinguisher - C02</v>
          </cell>
          <cell r="D2906" t="str">
            <v>Al Mostaqbal Primary Model School</v>
          </cell>
          <cell r="H2906" t="str">
            <v>AD</v>
          </cell>
        </row>
        <row r="2907">
          <cell r="B2907" t="str">
            <v>Fire Extinguisher - C02</v>
          </cell>
          <cell r="D2907" t="str">
            <v>Al Mostaqbal Primary Model School</v>
          </cell>
          <cell r="H2907" t="str">
            <v>AD</v>
          </cell>
        </row>
        <row r="2908">
          <cell r="B2908" t="str">
            <v>Fire Extinguisher - C02</v>
          </cell>
          <cell r="D2908" t="str">
            <v>Al Mostaqbal Primary Model School</v>
          </cell>
          <cell r="H2908" t="str">
            <v>AD</v>
          </cell>
        </row>
        <row r="2909">
          <cell r="B2909" t="str">
            <v>Fire Extinguisher - C02</v>
          </cell>
          <cell r="D2909" t="str">
            <v>Al Mostaqbal Primary Model School</v>
          </cell>
          <cell r="H2909" t="str">
            <v>AD</v>
          </cell>
        </row>
        <row r="2910">
          <cell r="B2910" t="str">
            <v>Fire Extinguisher - C02</v>
          </cell>
          <cell r="D2910" t="str">
            <v>Al Mostaqbal Primary Model School</v>
          </cell>
          <cell r="H2910" t="str">
            <v>AD</v>
          </cell>
        </row>
        <row r="2911">
          <cell r="B2911" t="str">
            <v>Fire Extinguisher - C02</v>
          </cell>
          <cell r="D2911" t="str">
            <v>Al Mostaqbal Primary Model School</v>
          </cell>
          <cell r="H2911" t="str">
            <v>AD</v>
          </cell>
        </row>
        <row r="2912">
          <cell r="B2912" t="str">
            <v>Fire Extinguisher - C02</v>
          </cell>
          <cell r="D2912" t="str">
            <v>Al Mostaqbal Primary Model School</v>
          </cell>
          <cell r="H2912" t="str">
            <v>AD</v>
          </cell>
        </row>
        <row r="2913">
          <cell r="B2913" t="str">
            <v>Fire Extinguisher - C02</v>
          </cell>
          <cell r="D2913" t="str">
            <v>Al Mostaqbal Primary Model School</v>
          </cell>
          <cell r="H2913" t="str">
            <v>AD</v>
          </cell>
        </row>
        <row r="2914">
          <cell r="B2914" t="str">
            <v>Fire Extinguisher - C02</v>
          </cell>
          <cell r="D2914" t="str">
            <v>Al Mostaqbal Primary Model School</v>
          </cell>
          <cell r="H2914" t="str">
            <v>AD</v>
          </cell>
        </row>
        <row r="2915">
          <cell r="B2915" t="str">
            <v>Fire Extinguisher - C02</v>
          </cell>
          <cell r="D2915" t="str">
            <v>Al Mostaqbal Primary Model School</v>
          </cell>
          <cell r="H2915" t="str">
            <v>AD</v>
          </cell>
        </row>
        <row r="2916">
          <cell r="B2916" t="str">
            <v>Fire Extinguisher - C02</v>
          </cell>
          <cell r="D2916" t="str">
            <v>Al Mostaqbal Primary Model School</v>
          </cell>
          <cell r="H2916" t="str">
            <v>AD</v>
          </cell>
        </row>
        <row r="2917">
          <cell r="B2917" t="str">
            <v>Fire Extinguisher - C02</v>
          </cell>
          <cell r="D2917" t="str">
            <v>Al Mostaqbal Primary Model School</v>
          </cell>
          <cell r="H2917" t="str">
            <v>AD</v>
          </cell>
        </row>
        <row r="2918">
          <cell r="B2918" t="str">
            <v>Fire Extinguisher - C02</v>
          </cell>
          <cell r="D2918" t="str">
            <v>Al Mostaqbal Primary Model School</v>
          </cell>
          <cell r="H2918" t="str">
            <v>AD</v>
          </cell>
        </row>
        <row r="2919">
          <cell r="B2919" t="str">
            <v>Fire Extinguisher - C02</v>
          </cell>
          <cell r="D2919" t="str">
            <v>Al Mostaqbal Primary Model School</v>
          </cell>
          <cell r="H2919" t="str">
            <v>AD</v>
          </cell>
        </row>
        <row r="2920">
          <cell r="B2920" t="str">
            <v>Fire Extinguisher - C02</v>
          </cell>
          <cell r="D2920" t="str">
            <v>Al Mostaqbal Primary Model School</v>
          </cell>
          <cell r="H2920" t="str">
            <v>AD</v>
          </cell>
        </row>
        <row r="2921">
          <cell r="B2921" t="str">
            <v>Fire Extinguisher - Dry</v>
          </cell>
          <cell r="D2921" t="str">
            <v>Al Mostaqbal Primary Model School</v>
          </cell>
          <cell r="H2921" t="str">
            <v>AD</v>
          </cell>
        </row>
        <row r="2922">
          <cell r="B2922" t="str">
            <v>Fire Extinguisher - Dry</v>
          </cell>
          <cell r="D2922" t="str">
            <v>Al Mostaqbal Primary Model School</v>
          </cell>
          <cell r="H2922" t="str">
            <v>AD</v>
          </cell>
        </row>
        <row r="2923">
          <cell r="B2923" t="str">
            <v>Fire Extinguisher - Dry</v>
          </cell>
          <cell r="D2923" t="str">
            <v>Al Mostaqbal Primary Model School</v>
          </cell>
          <cell r="H2923" t="str">
            <v>AD</v>
          </cell>
        </row>
        <row r="2924">
          <cell r="B2924" t="str">
            <v>Fire Extinguisher - Dry</v>
          </cell>
          <cell r="D2924" t="str">
            <v>Al Mostaqbal Primary Model School</v>
          </cell>
          <cell r="H2924" t="str">
            <v>AD</v>
          </cell>
        </row>
        <row r="2925">
          <cell r="B2925" t="str">
            <v>Fire Extinguisher - Dry</v>
          </cell>
          <cell r="D2925" t="str">
            <v>Al Mostaqbal Primary Model School</v>
          </cell>
          <cell r="H2925" t="str">
            <v>AD</v>
          </cell>
        </row>
        <row r="2926">
          <cell r="B2926" t="str">
            <v>Fire Extinguisher - Dry</v>
          </cell>
          <cell r="D2926" t="str">
            <v>Al Mostaqbal Primary Model School</v>
          </cell>
          <cell r="H2926" t="str">
            <v>AD</v>
          </cell>
        </row>
        <row r="2927">
          <cell r="B2927" t="str">
            <v>Fire Extinguisher - Dry</v>
          </cell>
          <cell r="D2927" t="str">
            <v>Al Mostaqbal Primary Model School</v>
          </cell>
          <cell r="H2927" t="str">
            <v>AD</v>
          </cell>
        </row>
        <row r="2928">
          <cell r="B2928" t="str">
            <v>Fire Extinguisher - Dry</v>
          </cell>
          <cell r="D2928" t="str">
            <v>Al Mostaqbal Primary Model School</v>
          </cell>
          <cell r="H2928" t="str">
            <v>AD</v>
          </cell>
        </row>
        <row r="2929">
          <cell r="B2929" t="str">
            <v>Fire Extinguisher - Dry</v>
          </cell>
          <cell r="D2929" t="str">
            <v>Al Mostaqbal Primary Model School</v>
          </cell>
          <cell r="H2929" t="str">
            <v>AD</v>
          </cell>
        </row>
        <row r="2930">
          <cell r="B2930" t="str">
            <v>Fire Extinguisher Cabinet</v>
          </cell>
          <cell r="D2930" t="str">
            <v>Al Mostaqbal Primary Model School</v>
          </cell>
          <cell r="H2930" t="str">
            <v>AD</v>
          </cell>
        </row>
        <row r="2931">
          <cell r="B2931" t="str">
            <v>Fire Extinguisher Cabinet</v>
          </cell>
          <cell r="D2931" t="str">
            <v>Al Mostaqbal Primary Model School</v>
          </cell>
          <cell r="H2931" t="str">
            <v>AD</v>
          </cell>
        </row>
        <row r="2932">
          <cell r="B2932" t="str">
            <v>Fire Extinguisher Cabinet</v>
          </cell>
          <cell r="D2932" t="str">
            <v>Al Mostaqbal Primary Model School</v>
          </cell>
          <cell r="H2932" t="str">
            <v>AD</v>
          </cell>
        </row>
        <row r="2933">
          <cell r="B2933" t="str">
            <v>Fire Extinguisher Cabinet</v>
          </cell>
          <cell r="D2933" t="str">
            <v>Al Mostaqbal Primary Model School</v>
          </cell>
          <cell r="H2933" t="str">
            <v>AD</v>
          </cell>
        </row>
        <row r="2934">
          <cell r="B2934" t="str">
            <v>Fire Extinguisher Cabinet</v>
          </cell>
          <cell r="D2934" t="str">
            <v>Al Mostaqbal Primary Model School</v>
          </cell>
          <cell r="H2934" t="str">
            <v>AD</v>
          </cell>
        </row>
        <row r="2935">
          <cell r="B2935" t="str">
            <v>Fire Extinguisher Cabinet</v>
          </cell>
          <cell r="D2935" t="str">
            <v>Al Mostaqbal Primary Model School</v>
          </cell>
          <cell r="H2935" t="str">
            <v>AD</v>
          </cell>
        </row>
        <row r="2936">
          <cell r="B2936" t="str">
            <v>Fire Extinguisher Cabinet</v>
          </cell>
          <cell r="D2936" t="str">
            <v>Al Mostaqbal Primary Model School</v>
          </cell>
          <cell r="H2936" t="str">
            <v>AD</v>
          </cell>
        </row>
        <row r="2937">
          <cell r="B2937" t="str">
            <v>Fire Extinguisher Cabinet</v>
          </cell>
          <cell r="D2937" t="str">
            <v>Al Mostaqbal Primary Model School</v>
          </cell>
          <cell r="H2937" t="str">
            <v>AD</v>
          </cell>
        </row>
        <row r="2938">
          <cell r="B2938" t="str">
            <v>Fire Extinguisher Cabinet</v>
          </cell>
          <cell r="D2938" t="str">
            <v>Al Mostaqbal Primary Model School</v>
          </cell>
          <cell r="H2938" t="str">
            <v>AD</v>
          </cell>
        </row>
        <row r="2939">
          <cell r="B2939" t="str">
            <v>Fire Extinguisher Cabinet</v>
          </cell>
          <cell r="D2939" t="str">
            <v>Al Mostaqbal Primary Model School</v>
          </cell>
          <cell r="H2939" t="str">
            <v>AD</v>
          </cell>
        </row>
        <row r="2940">
          <cell r="B2940" t="str">
            <v>Fire Extinguisher Cabinet</v>
          </cell>
          <cell r="D2940" t="str">
            <v>Al Mostaqbal Primary Model School</v>
          </cell>
          <cell r="H2940" t="str">
            <v>AD</v>
          </cell>
        </row>
        <row r="2941">
          <cell r="B2941" t="str">
            <v>Fire Extinguisher Cabinet</v>
          </cell>
          <cell r="D2941" t="str">
            <v>Al Mostaqbal Primary Model School</v>
          </cell>
          <cell r="H2941" t="str">
            <v>AD</v>
          </cell>
        </row>
        <row r="2942">
          <cell r="B2942" t="str">
            <v>Fire Extinguisher Cabinet</v>
          </cell>
          <cell r="D2942" t="str">
            <v>Al Mostaqbal Primary Model School</v>
          </cell>
          <cell r="H2942" t="str">
            <v>AD</v>
          </cell>
        </row>
        <row r="2943">
          <cell r="B2943" t="str">
            <v>Fire Extinguisher Cabinet</v>
          </cell>
          <cell r="D2943" t="str">
            <v>Al Mostaqbal Primary Model School</v>
          </cell>
          <cell r="H2943" t="str">
            <v>AD</v>
          </cell>
        </row>
        <row r="2944">
          <cell r="B2944" t="str">
            <v>Fire Extinguisher Cabinet</v>
          </cell>
          <cell r="D2944" t="str">
            <v>Al Mostaqbal Primary Model School</v>
          </cell>
          <cell r="H2944" t="str">
            <v>AD</v>
          </cell>
        </row>
        <row r="2945">
          <cell r="B2945" t="str">
            <v>Fire Extinguisher Cabinet</v>
          </cell>
          <cell r="D2945" t="str">
            <v>Al Mostaqbal Primary Model School</v>
          </cell>
          <cell r="H2945" t="str">
            <v>AD</v>
          </cell>
        </row>
        <row r="2946">
          <cell r="B2946" t="str">
            <v>Fire Extinguisher Cabinet</v>
          </cell>
          <cell r="D2946" t="str">
            <v>Al Mostaqbal Primary Model School</v>
          </cell>
          <cell r="H2946" t="str">
            <v>AD</v>
          </cell>
        </row>
        <row r="2947">
          <cell r="B2947" t="str">
            <v>Fire Extinguisher Cabinet</v>
          </cell>
          <cell r="D2947" t="str">
            <v>Al Mostaqbal Primary Model School</v>
          </cell>
          <cell r="H2947" t="str">
            <v>AD</v>
          </cell>
        </row>
        <row r="2948">
          <cell r="B2948" t="str">
            <v>Fire Extinguisher Cabinet</v>
          </cell>
          <cell r="D2948" t="str">
            <v>Al Mostaqbal Primary Model School</v>
          </cell>
          <cell r="H2948" t="str">
            <v>AD</v>
          </cell>
        </row>
        <row r="2949">
          <cell r="B2949" t="str">
            <v>Fire Extinguisher Cabinet</v>
          </cell>
          <cell r="D2949" t="str">
            <v>Al Mostaqbal Primary Model School</v>
          </cell>
          <cell r="H2949" t="str">
            <v>AD</v>
          </cell>
        </row>
        <row r="2950">
          <cell r="B2950" t="str">
            <v>Fire Extinguisher Cabinet</v>
          </cell>
          <cell r="D2950" t="str">
            <v>Al Mostaqbal Primary Model School</v>
          </cell>
          <cell r="H2950" t="str">
            <v>AD</v>
          </cell>
        </row>
        <row r="2951">
          <cell r="B2951" t="str">
            <v>Fire Extinguisher Cabinet</v>
          </cell>
          <cell r="D2951" t="str">
            <v>Al Mostaqbal Primary Model School</v>
          </cell>
          <cell r="H2951" t="str">
            <v>AD</v>
          </cell>
        </row>
        <row r="2952">
          <cell r="B2952" t="str">
            <v>Fire Extinguisher Cabinet</v>
          </cell>
          <cell r="D2952" t="str">
            <v>Al Mostaqbal Primary Model School</v>
          </cell>
          <cell r="H2952" t="str">
            <v>AD</v>
          </cell>
        </row>
        <row r="2953">
          <cell r="B2953" t="str">
            <v>Fire Extinguisher Cabinet</v>
          </cell>
          <cell r="D2953" t="str">
            <v>Al Mostaqbal Primary Model School</v>
          </cell>
          <cell r="H2953" t="str">
            <v>AD</v>
          </cell>
        </row>
        <row r="2954">
          <cell r="B2954" t="str">
            <v>Fire Extinguisher Cabinet</v>
          </cell>
          <cell r="D2954" t="str">
            <v>Al Mostaqbal Primary Model School</v>
          </cell>
          <cell r="H2954" t="str">
            <v>AD</v>
          </cell>
        </row>
        <row r="2955">
          <cell r="B2955" t="str">
            <v>Fire Extinguisher</v>
          </cell>
          <cell r="D2955" t="str">
            <v>Al Mostaqbal Primary Model School</v>
          </cell>
          <cell r="H2955" t="str">
            <v>AD</v>
          </cell>
        </row>
        <row r="2956">
          <cell r="B2956" t="str">
            <v>Fire Extinguisher</v>
          </cell>
          <cell r="D2956" t="str">
            <v>Al Mostaqbal Primary Model School</v>
          </cell>
          <cell r="H2956" t="str">
            <v>AD</v>
          </cell>
        </row>
        <row r="2957">
          <cell r="B2957" t="str">
            <v>Fire Hose Reel</v>
          </cell>
          <cell r="D2957" t="str">
            <v>Al Mostaqbal Primary Model School</v>
          </cell>
          <cell r="H2957" t="str">
            <v>AD</v>
          </cell>
        </row>
        <row r="2958">
          <cell r="B2958" t="str">
            <v>Fire Hose Reel</v>
          </cell>
          <cell r="D2958" t="str">
            <v>Al Mostaqbal Primary Model School</v>
          </cell>
          <cell r="H2958" t="str">
            <v>AD</v>
          </cell>
        </row>
        <row r="2959">
          <cell r="B2959" t="str">
            <v>Fire Hose Reel</v>
          </cell>
          <cell r="D2959" t="str">
            <v>Al Mostaqbal Primary Model School</v>
          </cell>
          <cell r="H2959" t="str">
            <v>AD</v>
          </cell>
        </row>
        <row r="2960">
          <cell r="B2960" t="str">
            <v>Fire Hose Reel</v>
          </cell>
          <cell r="D2960" t="str">
            <v>Al Mostaqbal Primary Model School</v>
          </cell>
          <cell r="H2960" t="str">
            <v>AD</v>
          </cell>
        </row>
        <row r="2961">
          <cell r="B2961" t="str">
            <v>Fire Hose Reel</v>
          </cell>
          <cell r="D2961" t="str">
            <v>Al Mostaqbal Primary Model School</v>
          </cell>
          <cell r="H2961" t="str">
            <v>AD</v>
          </cell>
        </row>
        <row r="2962">
          <cell r="B2962" t="str">
            <v>Fire Hose Reel</v>
          </cell>
          <cell r="D2962" t="str">
            <v>Al Mostaqbal Primary Model School</v>
          </cell>
          <cell r="H2962" t="str">
            <v>AD</v>
          </cell>
        </row>
        <row r="2963">
          <cell r="B2963" t="str">
            <v>Fire Hose Reel</v>
          </cell>
          <cell r="D2963" t="str">
            <v>Al Mostaqbal Primary Model School</v>
          </cell>
          <cell r="H2963" t="str">
            <v>AD</v>
          </cell>
        </row>
        <row r="2964">
          <cell r="B2964" t="str">
            <v>Fire Hose Reel</v>
          </cell>
          <cell r="D2964" t="str">
            <v>Al Mostaqbal Primary Model School</v>
          </cell>
          <cell r="H2964" t="str">
            <v>AD</v>
          </cell>
        </row>
        <row r="2965">
          <cell r="B2965" t="str">
            <v>Fire Hose Reel</v>
          </cell>
          <cell r="D2965" t="str">
            <v>Al Mostaqbal Primary Model School</v>
          </cell>
          <cell r="H2965" t="str">
            <v>AD</v>
          </cell>
        </row>
        <row r="2966">
          <cell r="B2966" t="str">
            <v>Fire Hose Reel</v>
          </cell>
          <cell r="D2966" t="str">
            <v>Al Mostaqbal Primary Model School</v>
          </cell>
          <cell r="H2966" t="str">
            <v>AD</v>
          </cell>
        </row>
        <row r="2967">
          <cell r="B2967" t="str">
            <v>Fire Hose Reel</v>
          </cell>
          <cell r="D2967" t="str">
            <v>Al Mostaqbal Primary Model School</v>
          </cell>
          <cell r="H2967" t="str">
            <v>AD</v>
          </cell>
        </row>
        <row r="2968">
          <cell r="B2968" t="str">
            <v>Fire Hose Reel</v>
          </cell>
          <cell r="D2968" t="str">
            <v>Al Mostaqbal Primary Model School</v>
          </cell>
          <cell r="H2968" t="str">
            <v>AD</v>
          </cell>
        </row>
        <row r="2969">
          <cell r="B2969" t="str">
            <v>Fire Hose Reel Cabinet</v>
          </cell>
          <cell r="D2969" t="str">
            <v>Al Mostaqbal Primary Model School</v>
          </cell>
          <cell r="H2969" t="str">
            <v>AD</v>
          </cell>
        </row>
        <row r="2970">
          <cell r="B2970" t="str">
            <v>Fire Hose Reel Cabinet</v>
          </cell>
          <cell r="D2970" t="str">
            <v>Al Mostaqbal Primary Model School</v>
          </cell>
          <cell r="H2970" t="str">
            <v>AD</v>
          </cell>
        </row>
        <row r="2971">
          <cell r="B2971" t="str">
            <v>Fire Hose Reel Cabinet</v>
          </cell>
          <cell r="D2971" t="str">
            <v>Al Mostaqbal Primary Model School</v>
          </cell>
          <cell r="H2971" t="str">
            <v>AD</v>
          </cell>
        </row>
        <row r="2972">
          <cell r="B2972" t="str">
            <v>Fire Hose Reel Cabinet</v>
          </cell>
          <cell r="D2972" t="str">
            <v>Al Mostaqbal Primary Model School</v>
          </cell>
          <cell r="H2972" t="str">
            <v>AD</v>
          </cell>
        </row>
        <row r="2973">
          <cell r="B2973" t="str">
            <v>Fire Hose Reel Cabinet</v>
          </cell>
          <cell r="D2973" t="str">
            <v>Al Mostaqbal Primary Model School</v>
          </cell>
          <cell r="H2973" t="str">
            <v>AD</v>
          </cell>
        </row>
        <row r="2974">
          <cell r="B2974" t="str">
            <v>Fire Hose Reel Cabinet</v>
          </cell>
          <cell r="D2974" t="str">
            <v>Al Mostaqbal Primary Model School</v>
          </cell>
          <cell r="H2974" t="str">
            <v>AD</v>
          </cell>
        </row>
        <row r="2975">
          <cell r="B2975" t="str">
            <v>Fire Hose Reel Cabinet</v>
          </cell>
          <cell r="D2975" t="str">
            <v>Al Mostaqbal Primary Model School</v>
          </cell>
          <cell r="H2975" t="str">
            <v>AD</v>
          </cell>
        </row>
        <row r="2976">
          <cell r="B2976" t="str">
            <v>Fire Hose Reel Cabinet</v>
          </cell>
          <cell r="D2976" t="str">
            <v>Al Mostaqbal Primary Model School</v>
          </cell>
          <cell r="H2976" t="str">
            <v>AD</v>
          </cell>
        </row>
        <row r="2977">
          <cell r="B2977" t="str">
            <v>Fire Hose Reel Cabinet</v>
          </cell>
          <cell r="D2977" t="str">
            <v>Al Mostaqbal Primary Model School</v>
          </cell>
          <cell r="H2977" t="str">
            <v>AD</v>
          </cell>
        </row>
        <row r="2978">
          <cell r="B2978" t="str">
            <v>Fire Hose Reel Cabinet</v>
          </cell>
          <cell r="D2978" t="str">
            <v>Al Mostaqbal Primary Model School</v>
          </cell>
          <cell r="H2978" t="str">
            <v>AD</v>
          </cell>
        </row>
        <row r="2979">
          <cell r="B2979" t="str">
            <v>Fire Reel Cabinet</v>
          </cell>
          <cell r="D2979" t="str">
            <v>Al Mostaqbal Primary Model School</v>
          </cell>
          <cell r="H2979" t="str">
            <v>AD</v>
          </cell>
        </row>
        <row r="2980">
          <cell r="B2980" t="str">
            <v>Fire Reel Cabinet</v>
          </cell>
          <cell r="D2980" t="str">
            <v>Al Mostaqbal Primary Model School</v>
          </cell>
          <cell r="H2980" t="str">
            <v>AD</v>
          </cell>
        </row>
        <row r="2981">
          <cell r="B2981" t="str">
            <v>Fire Smoke / Heat Detector, Sounder</v>
          </cell>
          <cell r="D2981" t="str">
            <v>Al Mostaqbal Primary Model School</v>
          </cell>
          <cell r="H2981" t="str">
            <v>AD</v>
          </cell>
        </row>
        <row r="2982">
          <cell r="B2982" t="str">
            <v>Interphone Audio Visual</v>
          </cell>
          <cell r="D2982" t="str">
            <v>Al Mostaqbal Primary Model School</v>
          </cell>
          <cell r="H2982" t="str">
            <v>AD</v>
          </cell>
        </row>
        <row r="2983">
          <cell r="B2983" t="str">
            <v>Smoke Alarm</v>
          </cell>
          <cell r="D2983" t="str">
            <v>Al Mostaqbal Primary Model School</v>
          </cell>
          <cell r="H2983" t="str">
            <v>AD</v>
          </cell>
        </row>
        <row r="2984">
          <cell r="B2984" t="str">
            <v>Smoke Detector &amp; Heat Detector</v>
          </cell>
          <cell r="D2984" t="str">
            <v>Al Mostaqbal Primary Model School</v>
          </cell>
          <cell r="H2984" t="str">
            <v>AD</v>
          </cell>
        </row>
        <row r="2985">
          <cell r="B2985" t="str">
            <v>Smoke Detector &amp; Heat Detector</v>
          </cell>
          <cell r="D2985" t="str">
            <v>Al Mostaqbal Primary Model School</v>
          </cell>
          <cell r="H2985" t="str">
            <v>AD</v>
          </cell>
        </row>
        <row r="2986">
          <cell r="B2986" t="str">
            <v>Smoke Detector &amp; Heat Detector</v>
          </cell>
          <cell r="D2986" t="str">
            <v>Al Mostaqbal Primary Model School</v>
          </cell>
          <cell r="H2986" t="str">
            <v>AD</v>
          </cell>
        </row>
        <row r="2987">
          <cell r="B2987" t="str">
            <v>Smoke Detector &amp; Heat Detector</v>
          </cell>
          <cell r="D2987" t="str">
            <v>Al Mostaqbal Primary Model School</v>
          </cell>
          <cell r="H2987" t="str">
            <v>AD</v>
          </cell>
        </row>
        <row r="2988">
          <cell r="B2988" t="str">
            <v>Smoke Detector &amp; Heat Detector</v>
          </cell>
          <cell r="D2988" t="str">
            <v>Al Mostaqbal Primary Model School</v>
          </cell>
          <cell r="H2988" t="str">
            <v>AD</v>
          </cell>
        </row>
        <row r="2989">
          <cell r="B2989" t="str">
            <v>Smoke Detector &amp; Heat Detector</v>
          </cell>
          <cell r="D2989" t="str">
            <v>Al Mostaqbal Primary Model School</v>
          </cell>
          <cell r="H2989" t="str">
            <v>AD</v>
          </cell>
        </row>
        <row r="2990">
          <cell r="B2990" t="str">
            <v>Smoke Detector &amp; Heat Detector</v>
          </cell>
          <cell r="D2990" t="str">
            <v>Al Mostaqbal Primary Model School</v>
          </cell>
          <cell r="H2990" t="str">
            <v>AD</v>
          </cell>
        </row>
        <row r="2991">
          <cell r="B2991" t="str">
            <v>Smoke Detector &amp; Heat Detector</v>
          </cell>
          <cell r="D2991" t="str">
            <v>Al Mostaqbal Primary Model School</v>
          </cell>
          <cell r="H2991" t="str">
            <v>AD</v>
          </cell>
        </row>
        <row r="2992">
          <cell r="B2992" t="str">
            <v>Smoke Detector &amp; Heat Detector</v>
          </cell>
          <cell r="D2992" t="str">
            <v>Al Mostaqbal Primary Model School</v>
          </cell>
          <cell r="H2992" t="str">
            <v>AD</v>
          </cell>
        </row>
        <row r="2993">
          <cell r="B2993" t="str">
            <v>Smoke Detector &amp; Heat Detector</v>
          </cell>
          <cell r="D2993" t="str">
            <v>Al Mostaqbal Primary Model School</v>
          </cell>
          <cell r="H2993" t="str">
            <v>AD</v>
          </cell>
        </row>
        <row r="2994">
          <cell r="B2994" t="str">
            <v>Smoke Detector &amp; Heat Detector</v>
          </cell>
          <cell r="D2994" t="str">
            <v>Al Mostaqbal Primary Model School</v>
          </cell>
          <cell r="H2994" t="str">
            <v>AD</v>
          </cell>
        </row>
        <row r="2995">
          <cell r="B2995" t="str">
            <v>Smoke Detector &amp; Heat Detector</v>
          </cell>
          <cell r="D2995" t="str">
            <v>Al Mostaqbal Primary Model School</v>
          </cell>
          <cell r="H2995" t="str">
            <v>AD</v>
          </cell>
        </row>
        <row r="2996">
          <cell r="B2996" t="str">
            <v>Smoke Detector &amp; Heat Detector</v>
          </cell>
          <cell r="D2996" t="str">
            <v>Al Mostaqbal Primary Model School</v>
          </cell>
          <cell r="H2996" t="str">
            <v>AD</v>
          </cell>
        </row>
        <row r="2997">
          <cell r="B2997" t="str">
            <v>Smoke Detector &amp; Heat Detector</v>
          </cell>
          <cell r="D2997" t="str">
            <v>Al Mostaqbal Primary Model School</v>
          </cell>
          <cell r="H2997" t="str">
            <v>AD</v>
          </cell>
        </row>
        <row r="2998">
          <cell r="B2998" t="str">
            <v>Smoke Detector &amp; Heat Detector</v>
          </cell>
          <cell r="D2998" t="str">
            <v>Al Mostaqbal Primary Model School</v>
          </cell>
          <cell r="H2998" t="str">
            <v>AD</v>
          </cell>
        </row>
        <row r="2999">
          <cell r="B2999" t="str">
            <v>Smoke Detector &amp; Heat Detector</v>
          </cell>
          <cell r="D2999" t="str">
            <v>Al Mostaqbal Primary Model School</v>
          </cell>
          <cell r="H2999" t="str">
            <v>AD</v>
          </cell>
        </row>
        <row r="3000">
          <cell r="B3000" t="str">
            <v>Smoke Detector &amp; Heat Detector</v>
          </cell>
          <cell r="D3000" t="str">
            <v>Al Mostaqbal Primary Model School</v>
          </cell>
          <cell r="H3000" t="str">
            <v>AD</v>
          </cell>
        </row>
        <row r="3001">
          <cell r="B3001" t="str">
            <v>Smoke Detector &amp; Heat Detector</v>
          </cell>
          <cell r="D3001" t="str">
            <v>Al Mostaqbal Primary Model School</v>
          </cell>
          <cell r="H3001" t="str">
            <v>AD</v>
          </cell>
        </row>
        <row r="3002">
          <cell r="B3002" t="str">
            <v>Smoke Detector &amp; Heat Detector</v>
          </cell>
          <cell r="D3002" t="str">
            <v>Al Mostaqbal Primary Model School</v>
          </cell>
          <cell r="H3002" t="str">
            <v>AD</v>
          </cell>
        </row>
        <row r="3003">
          <cell r="B3003" t="str">
            <v>Smoke Detector &amp; Heat Detector</v>
          </cell>
          <cell r="D3003" t="str">
            <v>Al Mostaqbal Primary Model School</v>
          </cell>
          <cell r="H3003" t="str">
            <v>AD</v>
          </cell>
        </row>
        <row r="3004">
          <cell r="B3004" t="str">
            <v>Smoke Detector &amp; Heat Detector</v>
          </cell>
          <cell r="D3004" t="str">
            <v>Al Mostaqbal Primary Model School</v>
          </cell>
          <cell r="H3004" t="str">
            <v>AD</v>
          </cell>
        </row>
        <row r="3005">
          <cell r="B3005" t="str">
            <v>Smoke Detector &amp; Heat Detector</v>
          </cell>
          <cell r="D3005" t="str">
            <v>Al Mostaqbal Primary Model School</v>
          </cell>
          <cell r="H3005" t="str">
            <v>AD</v>
          </cell>
        </row>
        <row r="3006">
          <cell r="B3006" t="str">
            <v>Smoke Detector &amp; Heat Detector</v>
          </cell>
          <cell r="D3006" t="str">
            <v>Al Mostaqbal Primary Model School</v>
          </cell>
          <cell r="H3006" t="str">
            <v>AD</v>
          </cell>
        </row>
        <row r="3007">
          <cell r="B3007" t="str">
            <v>Smoke Detector &amp; Heat Detector</v>
          </cell>
          <cell r="D3007" t="str">
            <v>Al Mostaqbal Primary Model School</v>
          </cell>
          <cell r="H3007" t="str">
            <v>AD</v>
          </cell>
        </row>
        <row r="3008">
          <cell r="B3008" t="str">
            <v>Smoke Detector &amp; Heat Detector</v>
          </cell>
          <cell r="D3008" t="str">
            <v>Al Mostaqbal Primary Model School</v>
          </cell>
          <cell r="H3008" t="str">
            <v>AD</v>
          </cell>
        </row>
        <row r="3009">
          <cell r="B3009" t="str">
            <v>Smoke Detector &amp; Heat Detector</v>
          </cell>
          <cell r="D3009" t="str">
            <v>Al Mostaqbal Primary Model School</v>
          </cell>
          <cell r="H3009" t="str">
            <v>AD</v>
          </cell>
        </row>
        <row r="3010">
          <cell r="B3010" t="str">
            <v>Smoke Detector &amp; Heat Detector</v>
          </cell>
          <cell r="D3010" t="str">
            <v>Al Mostaqbal Primary Model School</v>
          </cell>
          <cell r="H3010" t="str">
            <v>AD</v>
          </cell>
        </row>
        <row r="3011">
          <cell r="B3011" t="str">
            <v>Smoke Detector &amp; Heat Detector</v>
          </cell>
          <cell r="D3011" t="str">
            <v>Al Mostaqbal Primary Model School</v>
          </cell>
          <cell r="H3011" t="str">
            <v>AD</v>
          </cell>
        </row>
        <row r="3012">
          <cell r="B3012" t="str">
            <v>Smoke Detector &amp; Heat Detector</v>
          </cell>
          <cell r="D3012" t="str">
            <v>Al Mostaqbal Primary Model School</v>
          </cell>
          <cell r="H3012" t="str">
            <v>AD</v>
          </cell>
        </row>
        <row r="3013">
          <cell r="B3013" t="str">
            <v>Smoke Detector &amp; Heat Detector</v>
          </cell>
          <cell r="D3013" t="str">
            <v>Al Mostaqbal Primary Model School</v>
          </cell>
          <cell r="H3013" t="str">
            <v>AD</v>
          </cell>
        </row>
        <row r="3014">
          <cell r="B3014" t="str">
            <v>Smoke Detector &amp; Heat Detector</v>
          </cell>
          <cell r="D3014" t="str">
            <v>Al Mostaqbal Primary Model School</v>
          </cell>
          <cell r="H3014" t="str">
            <v>AD</v>
          </cell>
        </row>
        <row r="3015">
          <cell r="B3015" t="str">
            <v>Smoke Detector &amp; Heat Detector</v>
          </cell>
          <cell r="D3015" t="str">
            <v>Al Mostaqbal Primary Model School</v>
          </cell>
          <cell r="H3015" t="str">
            <v>AD</v>
          </cell>
        </row>
        <row r="3016">
          <cell r="B3016" t="str">
            <v>Smoke Detector &amp; Heat Detector</v>
          </cell>
          <cell r="D3016" t="str">
            <v>Al Mostaqbal Primary Model School</v>
          </cell>
          <cell r="H3016" t="str">
            <v>AD</v>
          </cell>
        </row>
        <row r="3017">
          <cell r="B3017" t="str">
            <v>Smoke Detector &amp; Heat Detector</v>
          </cell>
          <cell r="D3017" t="str">
            <v>Al Mostaqbal Primary Model School</v>
          </cell>
          <cell r="H3017" t="str">
            <v>AD</v>
          </cell>
        </row>
        <row r="3018">
          <cell r="B3018" t="str">
            <v>Smoke Detector &amp; Heat Detector</v>
          </cell>
          <cell r="D3018" t="str">
            <v>Al Mostaqbal Primary Model School</v>
          </cell>
          <cell r="H3018" t="str">
            <v>AD</v>
          </cell>
        </row>
        <row r="3019">
          <cell r="B3019" t="str">
            <v>Smoke Detector &amp; Heat Detector</v>
          </cell>
          <cell r="D3019" t="str">
            <v>Al Mostaqbal Primary Model School</v>
          </cell>
          <cell r="H3019" t="str">
            <v>AD</v>
          </cell>
        </row>
        <row r="3020">
          <cell r="B3020" t="str">
            <v>Smoke Detector &amp; Heat Detector</v>
          </cell>
          <cell r="D3020" t="str">
            <v>Al Mostaqbal Primary Model School</v>
          </cell>
          <cell r="H3020" t="str">
            <v>AD</v>
          </cell>
        </row>
        <row r="3021">
          <cell r="B3021" t="str">
            <v>Smoke Detector &amp; Heat Detector</v>
          </cell>
          <cell r="D3021" t="str">
            <v>Al Mostaqbal Primary Model School</v>
          </cell>
          <cell r="H3021" t="str">
            <v>AD</v>
          </cell>
        </row>
        <row r="3022">
          <cell r="B3022" t="str">
            <v>Smoke Detector &amp; Heat Detector</v>
          </cell>
          <cell r="D3022" t="str">
            <v>Al Mostaqbal Primary Model School</v>
          </cell>
          <cell r="H3022" t="str">
            <v>AD</v>
          </cell>
        </row>
        <row r="3023">
          <cell r="B3023" t="str">
            <v>Smoke Detector &amp; Heat Detector</v>
          </cell>
          <cell r="D3023" t="str">
            <v>Al Mostaqbal Primary Model School</v>
          </cell>
          <cell r="H3023" t="str">
            <v>AD</v>
          </cell>
        </row>
        <row r="3024">
          <cell r="B3024" t="str">
            <v>Smoke Detector &amp; Heat Detector</v>
          </cell>
          <cell r="D3024" t="str">
            <v>Al Mostaqbal Primary Model School</v>
          </cell>
          <cell r="H3024" t="str">
            <v>AD</v>
          </cell>
        </row>
        <row r="3025">
          <cell r="B3025" t="str">
            <v>Smoke Detector &amp; Heat Detector</v>
          </cell>
          <cell r="D3025" t="str">
            <v>Al Mostaqbal Primary Model School</v>
          </cell>
          <cell r="H3025" t="str">
            <v>AD</v>
          </cell>
        </row>
        <row r="3026">
          <cell r="B3026" t="str">
            <v>Smoke Detector &amp; Heat Detector</v>
          </cell>
          <cell r="D3026" t="str">
            <v>Al Mostaqbal Primary Model School</v>
          </cell>
          <cell r="H3026" t="str">
            <v>AD</v>
          </cell>
        </row>
        <row r="3027">
          <cell r="B3027" t="str">
            <v>Smoke Detector &amp; Heat Detector</v>
          </cell>
          <cell r="D3027" t="str">
            <v>Al Mostaqbal Primary Model School</v>
          </cell>
          <cell r="H3027" t="str">
            <v>AD</v>
          </cell>
        </row>
        <row r="3028">
          <cell r="B3028" t="str">
            <v>Smoke Detector &amp; Heat Detector</v>
          </cell>
          <cell r="D3028" t="str">
            <v>Al Mostaqbal Primary Model School</v>
          </cell>
          <cell r="H3028" t="str">
            <v>AD</v>
          </cell>
        </row>
        <row r="3029">
          <cell r="B3029" t="str">
            <v>Smoke Detector &amp; Heat Detector</v>
          </cell>
          <cell r="D3029" t="str">
            <v>Al Mostaqbal Primary Model School</v>
          </cell>
          <cell r="H3029" t="str">
            <v>AD</v>
          </cell>
        </row>
        <row r="3030">
          <cell r="B3030" t="str">
            <v>Smoke Detector &amp; Heat Detector</v>
          </cell>
          <cell r="D3030" t="str">
            <v>Al Mostaqbal Primary Model School</v>
          </cell>
          <cell r="H3030" t="str">
            <v>AD</v>
          </cell>
        </row>
        <row r="3031">
          <cell r="B3031" t="str">
            <v>Smoke Detector &amp; Heat Detector</v>
          </cell>
          <cell r="D3031" t="str">
            <v>Al Mostaqbal Primary Model School</v>
          </cell>
          <cell r="H3031" t="str">
            <v>AD</v>
          </cell>
        </row>
        <row r="3032">
          <cell r="B3032" t="str">
            <v>Smoke Detector &amp; Heat Detector</v>
          </cell>
          <cell r="D3032" t="str">
            <v>Al Mostaqbal Primary Model School</v>
          </cell>
          <cell r="H3032" t="str">
            <v>AD</v>
          </cell>
        </row>
        <row r="3033">
          <cell r="B3033" t="str">
            <v>Smoke Detector &amp; Heat Detector</v>
          </cell>
          <cell r="D3033" t="str">
            <v>Al Mostaqbal Primary Model School</v>
          </cell>
          <cell r="H3033" t="str">
            <v>AD</v>
          </cell>
        </row>
        <row r="3034">
          <cell r="B3034" t="str">
            <v>Smoke Detector &amp; Heat Detector</v>
          </cell>
          <cell r="D3034" t="str">
            <v>Al Mostaqbal Primary Model School</v>
          </cell>
          <cell r="H3034" t="str">
            <v>AD</v>
          </cell>
        </row>
        <row r="3035">
          <cell r="B3035" t="str">
            <v>Smoke Detector &amp; Heat Detector</v>
          </cell>
          <cell r="D3035" t="str">
            <v>Al Mostaqbal Primary Model School</v>
          </cell>
          <cell r="H3035" t="str">
            <v>AD</v>
          </cell>
        </row>
        <row r="3036">
          <cell r="B3036" t="str">
            <v>Smoke Detector &amp; Heat Detector</v>
          </cell>
          <cell r="D3036" t="str">
            <v>Al Mostaqbal Primary Model School</v>
          </cell>
          <cell r="H3036" t="str">
            <v>AD</v>
          </cell>
        </row>
        <row r="3037">
          <cell r="B3037" t="str">
            <v>Smoke Detector &amp; Heat Detector</v>
          </cell>
          <cell r="D3037" t="str">
            <v>Al Mostaqbal Primary Model School</v>
          </cell>
          <cell r="H3037" t="str">
            <v>AD</v>
          </cell>
        </row>
        <row r="3038">
          <cell r="B3038" t="str">
            <v>Smoke Detector &amp; Heat Detector</v>
          </cell>
          <cell r="D3038" t="str">
            <v>Al Mostaqbal Primary Model School</v>
          </cell>
          <cell r="H3038" t="str">
            <v>AD</v>
          </cell>
        </row>
        <row r="3039">
          <cell r="B3039" t="str">
            <v>Smoke Detector &amp; Heat Detector</v>
          </cell>
          <cell r="D3039" t="str">
            <v>Al Mostaqbal Primary Model School</v>
          </cell>
          <cell r="H3039" t="str">
            <v>AD</v>
          </cell>
        </row>
        <row r="3040">
          <cell r="B3040" t="str">
            <v>Smoke Detector &amp; Heat Detector</v>
          </cell>
          <cell r="D3040" t="str">
            <v>Al Mostaqbal Primary Model School</v>
          </cell>
          <cell r="H3040" t="str">
            <v>AD</v>
          </cell>
        </row>
        <row r="3041">
          <cell r="B3041" t="str">
            <v>Smoke Detector &amp; Heat Detector</v>
          </cell>
          <cell r="D3041" t="str">
            <v>Al Mostaqbal Primary Model School</v>
          </cell>
          <cell r="H3041" t="str">
            <v>AD</v>
          </cell>
        </row>
        <row r="3042">
          <cell r="B3042" t="str">
            <v>Smoke Detector &amp; Heat Detector</v>
          </cell>
          <cell r="D3042" t="str">
            <v>Al Mostaqbal Primary Model School</v>
          </cell>
          <cell r="H3042" t="str">
            <v>AD</v>
          </cell>
        </row>
        <row r="3043">
          <cell r="B3043" t="str">
            <v>Smoke Detector &amp; Heat Detector</v>
          </cell>
          <cell r="D3043" t="str">
            <v>Al Mostaqbal Primary Model School</v>
          </cell>
          <cell r="H3043" t="str">
            <v>AD</v>
          </cell>
        </row>
        <row r="3044">
          <cell r="B3044" t="str">
            <v>Smoke Detector &amp; Heat Detector</v>
          </cell>
          <cell r="D3044" t="str">
            <v>Al Mostaqbal Primary Model School</v>
          </cell>
          <cell r="H3044" t="str">
            <v>AD</v>
          </cell>
        </row>
        <row r="3045">
          <cell r="B3045" t="str">
            <v>Smoke Detector &amp; Heat Detector</v>
          </cell>
          <cell r="D3045" t="str">
            <v>Al Mostaqbal Primary Model School</v>
          </cell>
          <cell r="H3045" t="str">
            <v>AD</v>
          </cell>
        </row>
        <row r="3046">
          <cell r="B3046" t="str">
            <v>Smoke Detector &amp; Heat Detector</v>
          </cell>
          <cell r="D3046" t="str">
            <v>Al Mostaqbal Primary Model School</v>
          </cell>
          <cell r="H3046" t="str">
            <v>AD</v>
          </cell>
        </row>
        <row r="3047">
          <cell r="B3047" t="str">
            <v>Smoke Detector &amp; Heat Detector</v>
          </cell>
          <cell r="D3047" t="str">
            <v>Al Mostaqbal Primary Model School</v>
          </cell>
          <cell r="H3047" t="str">
            <v>AD</v>
          </cell>
        </row>
        <row r="3048">
          <cell r="B3048" t="str">
            <v>Smoke Detector &amp; Heat Detector</v>
          </cell>
          <cell r="D3048" t="str">
            <v>Al Mostaqbal Primary Model School</v>
          </cell>
          <cell r="H3048" t="str">
            <v>AD</v>
          </cell>
        </row>
        <row r="3049">
          <cell r="B3049" t="str">
            <v>Smoke Detector &amp; Heat Detector</v>
          </cell>
          <cell r="D3049" t="str">
            <v>Al Mostaqbal Primary Model School</v>
          </cell>
          <cell r="H3049" t="str">
            <v>AD</v>
          </cell>
        </row>
        <row r="3050">
          <cell r="B3050" t="str">
            <v>Smoke Detector &amp; Heat Detector</v>
          </cell>
          <cell r="D3050" t="str">
            <v>Al Mostaqbal Primary Model School</v>
          </cell>
          <cell r="H3050" t="str">
            <v>AD</v>
          </cell>
        </row>
        <row r="3051">
          <cell r="B3051" t="str">
            <v>Smoke Detector &amp; Heat Detector</v>
          </cell>
          <cell r="D3051" t="str">
            <v>Al Mostaqbal Primary Model School</v>
          </cell>
          <cell r="H3051" t="str">
            <v>AD</v>
          </cell>
        </row>
        <row r="3052">
          <cell r="B3052" t="str">
            <v>Smoke Detector &amp; Heat Detector</v>
          </cell>
          <cell r="D3052" t="str">
            <v>Al Mostaqbal Primary Model School</v>
          </cell>
          <cell r="H3052" t="str">
            <v>AD</v>
          </cell>
        </row>
        <row r="3053">
          <cell r="B3053" t="str">
            <v>Water Tank</v>
          </cell>
          <cell r="D3053" t="str">
            <v>Al Mostaqbal Primary Model School</v>
          </cell>
          <cell r="H3053" t="str">
            <v>AD</v>
          </cell>
        </row>
        <row r="3054">
          <cell r="B3054" t="str">
            <v>FIRE ALARM</v>
          </cell>
          <cell r="D3054" t="str">
            <v>Al Mottahida Primary Secondary School</v>
          </cell>
          <cell r="H3054" t="str">
            <v>WR</v>
          </cell>
        </row>
        <row r="3055">
          <cell r="B3055" t="str">
            <v>FIRE ALARM</v>
          </cell>
          <cell r="D3055" t="str">
            <v>Al Mottahida Primary Secondary School</v>
          </cell>
          <cell r="H3055" t="str">
            <v>WR</v>
          </cell>
        </row>
        <row r="3056">
          <cell r="B3056" t="str">
            <v>FIRE ALARM</v>
          </cell>
          <cell r="D3056" t="str">
            <v>Al Mottahida Primary Secondary School</v>
          </cell>
          <cell r="H3056" t="str">
            <v>WR</v>
          </cell>
        </row>
        <row r="3057">
          <cell r="B3057" t="str">
            <v>FIRE EXTINGUISHER</v>
          </cell>
          <cell r="D3057" t="str">
            <v>Al Mottahida Primary Secondary School</v>
          </cell>
          <cell r="H3057" t="str">
            <v>WR</v>
          </cell>
        </row>
        <row r="3058">
          <cell r="B3058" t="str">
            <v>FIRE EXTINGUISHER</v>
          </cell>
          <cell r="D3058" t="str">
            <v>Al Mottahida Primary Secondary School</v>
          </cell>
          <cell r="H3058" t="str">
            <v>WR</v>
          </cell>
        </row>
        <row r="3059">
          <cell r="B3059" t="str">
            <v>FIRE EXTINGUISHER</v>
          </cell>
          <cell r="D3059" t="str">
            <v>Al Mottahida Primary Secondary School</v>
          </cell>
          <cell r="H3059" t="str">
            <v>WR</v>
          </cell>
        </row>
        <row r="3060">
          <cell r="B3060" t="str">
            <v>FIRE EXTINGUISHER</v>
          </cell>
          <cell r="D3060" t="str">
            <v>Al Mottahida Primary Secondary School</v>
          </cell>
          <cell r="H3060" t="str">
            <v>WR</v>
          </cell>
        </row>
        <row r="3061">
          <cell r="B3061" t="str">
            <v>FIRE EXTINGUISHER</v>
          </cell>
          <cell r="D3061" t="str">
            <v>Al Mottahida Primary Secondary School</v>
          </cell>
          <cell r="H3061" t="str">
            <v>WR</v>
          </cell>
        </row>
        <row r="3062">
          <cell r="B3062" t="str">
            <v>FIRE EXTINGUISHER</v>
          </cell>
          <cell r="D3062" t="str">
            <v>Al Mottahida Primary Secondary School</v>
          </cell>
          <cell r="H3062" t="str">
            <v>WR</v>
          </cell>
        </row>
        <row r="3063">
          <cell r="B3063" t="str">
            <v>FIRE EXTINGUISHER</v>
          </cell>
          <cell r="D3063" t="str">
            <v>Al Mottahida Primary Secondary School</v>
          </cell>
          <cell r="H3063" t="str">
            <v>WR</v>
          </cell>
        </row>
        <row r="3064">
          <cell r="B3064" t="str">
            <v>FIRE EXTINGUISHER</v>
          </cell>
          <cell r="D3064" t="str">
            <v>Al Mottahida Primary Secondary School</v>
          </cell>
          <cell r="H3064" t="str">
            <v>WR</v>
          </cell>
        </row>
        <row r="3065">
          <cell r="B3065" t="str">
            <v>FIRE EXTINGUISHER</v>
          </cell>
          <cell r="D3065" t="str">
            <v>Al Mottahida Primary Secondary School</v>
          </cell>
          <cell r="H3065" t="str">
            <v>WR</v>
          </cell>
        </row>
        <row r="3066">
          <cell r="B3066" t="str">
            <v>FIRE EXTINGUISHER</v>
          </cell>
          <cell r="D3066" t="str">
            <v>Al Mottahida Primary Secondary School</v>
          </cell>
          <cell r="H3066" t="str">
            <v>WR</v>
          </cell>
        </row>
        <row r="3067">
          <cell r="B3067" t="str">
            <v>FIRE EXTINGUISHER</v>
          </cell>
          <cell r="D3067" t="str">
            <v>Al Mottahida Primary Secondary School</v>
          </cell>
          <cell r="H3067" t="str">
            <v>WR</v>
          </cell>
        </row>
        <row r="3068">
          <cell r="B3068" t="str">
            <v>FIRE EXTINGUISHER</v>
          </cell>
          <cell r="D3068" t="str">
            <v>Al Mottahida Primary Secondary School</v>
          </cell>
          <cell r="H3068" t="str">
            <v>WR</v>
          </cell>
        </row>
        <row r="3069">
          <cell r="B3069" t="str">
            <v>FIRE EXTINGUISHER</v>
          </cell>
          <cell r="D3069" t="str">
            <v>Al Mottahida Primary Secondary School</v>
          </cell>
          <cell r="H3069" t="str">
            <v>WR</v>
          </cell>
        </row>
        <row r="3070">
          <cell r="B3070" t="str">
            <v>FIRE EXTINGUISHER</v>
          </cell>
          <cell r="D3070" t="str">
            <v>Al Mottahida Primary Secondary School</v>
          </cell>
          <cell r="H3070" t="str">
            <v>WR</v>
          </cell>
        </row>
        <row r="3071">
          <cell r="B3071" t="str">
            <v>FIRE EXTINGUISHER</v>
          </cell>
          <cell r="D3071" t="str">
            <v>Al Mottahida Primary Secondary School</v>
          </cell>
          <cell r="H3071" t="str">
            <v>WR</v>
          </cell>
        </row>
        <row r="3072">
          <cell r="B3072" t="str">
            <v>FIRE EXTINGUISHER</v>
          </cell>
          <cell r="D3072" t="str">
            <v>Al Mottahida Primary Secondary School</v>
          </cell>
          <cell r="H3072" t="str">
            <v>WR</v>
          </cell>
        </row>
        <row r="3073">
          <cell r="B3073" t="str">
            <v>FIRE EXTINGUISHER</v>
          </cell>
          <cell r="D3073" t="str">
            <v>Al Mottahida Primary Secondary School</v>
          </cell>
          <cell r="H3073" t="str">
            <v>WR</v>
          </cell>
        </row>
        <row r="3074">
          <cell r="B3074" t="str">
            <v>FIRE EXTINGUISHER</v>
          </cell>
          <cell r="D3074" t="str">
            <v>Al Mottahida Primary Secondary School</v>
          </cell>
          <cell r="H3074" t="str">
            <v>WR</v>
          </cell>
        </row>
        <row r="3075">
          <cell r="B3075" t="str">
            <v>FIRE EXTINGUISHER</v>
          </cell>
          <cell r="D3075" t="str">
            <v>Al Mottahida Primary Secondary School</v>
          </cell>
          <cell r="H3075" t="str">
            <v>WR</v>
          </cell>
        </row>
        <row r="3076">
          <cell r="B3076" t="str">
            <v>FIRE EXTINGUISHER</v>
          </cell>
          <cell r="D3076" t="str">
            <v>Al Mottahida Primary Secondary School</v>
          </cell>
          <cell r="H3076" t="str">
            <v>WR</v>
          </cell>
        </row>
        <row r="3077">
          <cell r="B3077" t="str">
            <v>FIRE EXTINGUISHER</v>
          </cell>
          <cell r="D3077" t="str">
            <v>Al Mottahida Primary Secondary School</v>
          </cell>
          <cell r="H3077" t="str">
            <v>WR</v>
          </cell>
        </row>
        <row r="3078">
          <cell r="B3078" t="str">
            <v>FIRE EXTINGUISHER</v>
          </cell>
          <cell r="D3078" t="str">
            <v>Al Mottahida Primary Secondary School</v>
          </cell>
          <cell r="H3078" t="str">
            <v>WR</v>
          </cell>
        </row>
        <row r="3079">
          <cell r="B3079" t="str">
            <v>FIRE EXTINGUISHER</v>
          </cell>
          <cell r="D3079" t="str">
            <v>Al Mottahida Primary Secondary School</v>
          </cell>
          <cell r="H3079" t="str">
            <v>WR</v>
          </cell>
        </row>
        <row r="3080">
          <cell r="B3080" t="str">
            <v>FIRE EXTINGUISHER</v>
          </cell>
          <cell r="D3080" t="str">
            <v>Al Mottahida Primary Secondary School</v>
          </cell>
          <cell r="H3080" t="str">
            <v>WR</v>
          </cell>
        </row>
        <row r="3081">
          <cell r="B3081" t="str">
            <v>FIRE EXTINGUISHER</v>
          </cell>
          <cell r="D3081" t="str">
            <v>Al Mottahida Primary Secondary School</v>
          </cell>
          <cell r="H3081" t="str">
            <v>WR</v>
          </cell>
        </row>
        <row r="3082">
          <cell r="B3082" t="str">
            <v>FIRE EXTINGUISHER</v>
          </cell>
          <cell r="D3082" t="str">
            <v>Al Mottahida Primary Secondary School</v>
          </cell>
          <cell r="H3082" t="str">
            <v>WR</v>
          </cell>
        </row>
        <row r="3083">
          <cell r="B3083" t="str">
            <v>FIRE EXTINGUISHER</v>
          </cell>
          <cell r="D3083" t="str">
            <v>Al Mottahida Primary Secondary School</v>
          </cell>
          <cell r="H3083" t="str">
            <v>WR</v>
          </cell>
        </row>
        <row r="3084">
          <cell r="B3084" t="str">
            <v>FIRE EXTINGUISHER</v>
          </cell>
          <cell r="D3084" t="str">
            <v>Al Mottahida Primary Secondary School</v>
          </cell>
          <cell r="H3084" t="str">
            <v>WR</v>
          </cell>
        </row>
        <row r="3085">
          <cell r="B3085" t="str">
            <v>FIRE EXTINGUISHER</v>
          </cell>
          <cell r="D3085" t="str">
            <v>Al Mottahida Primary Secondary School</v>
          </cell>
          <cell r="H3085" t="str">
            <v>WR</v>
          </cell>
        </row>
        <row r="3086">
          <cell r="B3086" t="str">
            <v>FIRE EXTINGUISHER</v>
          </cell>
          <cell r="D3086" t="str">
            <v>Al Mottahida Primary Secondary School</v>
          </cell>
          <cell r="H3086" t="str">
            <v>WR</v>
          </cell>
        </row>
        <row r="3087">
          <cell r="B3087" t="str">
            <v>FIRE EXTINGUISHER</v>
          </cell>
          <cell r="D3087" t="str">
            <v>Al Mottahida Primary Secondary School</v>
          </cell>
          <cell r="H3087" t="str">
            <v>WR</v>
          </cell>
        </row>
        <row r="3088">
          <cell r="B3088" t="str">
            <v>FIRE EXTINGUISHER</v>
          </cell>
          <cell r="D3088" t="str">
            <v>Al Mottahida Primary Secondary School</v>
          </cell>
          <cell r="H3088" t="str">
            <v>WR</v>
          </cell>
        </row>
        <row r="3089">
          <cell r="B3089" t="str">
            <v>FIRE EXTINGUISHER</v>
          </cell>
          <cell r="D3089" t="str">
            <v>Al Mottahida Primary Secondary School</v>
          </cell>
          <cell r="H3089" t="str">
            <v>WR</v>
          </cell>
        </row>
        <row r="3090">
          <cell r="B3090" t="str">
            <v>FIRE EXTINGUISHER</v>
          </cell>
          <cell r="D3090" t="str">
            <v>Al Mottahida Primary Secondary School</v>
          </cell>
          <cell r="H3090" t="str">
            <v>WR</v>
          </cell>
        </row>
        <row r="3091">
          <cell r="B3091" t="str">
            <v>FIRE EXTINGUISHER</v>
          </cell>
          <cell r="D3091" t="str">
            <v>Al Mottahida Primary Secondary School</v>
          </cell>
          <cell r="H3091" t="str">
            <v>WR</v>
          </cell>
        </row>
        <row r="3092">
          <cell r="B3092" t="str">
            <v>FIRE EXTINGUISHER</v>
          </cell>
          <cell r="D3092" t="str">
            <v>Al Mottahida Primary Secondary School</v>
          </cell>
          <cell r="H3092" t="str">
            <v>WR</v>
          </cell>
        </row>
        <row r="3093">
          <cell r="B3093" t="str">
            <v>FIRE EXTINGUISHER</v>
          </cell>
          <cell r="D3093" t="str">
            <v>Al Mottahida Primary Secondary School</v>
          </cell>
          <cell r="H3093" t="str">
            <v>WR</v>
          </cell>
        </row>
        <row r="3094">
          <cell r="B3094" t="str">
            <v>FIRE EXTINGUISHER</v>
          </cell>
          <cell r="D3094" t="str">
            <v>Al Mottahida Primary Secondary School</v>
          </cell>
          <cell r="H3094" t="str">
            <v>WR</v>
          </cell>
        </row>
        <row r="3095">
          <cell r="B3095" t="str">
            <v>FIRE EXTINGUISHER</v>
          </cell>
          <cell r="D3095" t="str">
            <v>Al Mottahida Primary Secondary School</v>
          </cell>
          <cell r="H3095" t="str">
            <v>WR</v>
          </cell>
        </row>
        <row r="3096">
          <cell r="B3096" t="str">
            <v>FIRE EXTINGUISHER</v>
          </cell>
          <cell r="D3096" t="str">
            <v>Al Mottahida Primary Secondary School</v>
          </cell>
          <cell r="H3096" t="str">
            <v>WR</v>
          </cell>
        </row>
        <row r="3097">
          <cell r="B3097" t="str">
            <v>FIRE EXTINGUISHER</v>
          </cell>
          <cell r="D3097" t="str">
            <v>Al Mottahida Primary Secondary School</v>
          </cell>
          <cell r="H3097" t="str">
            <v>WR</v>
          </cell>
        </row>
        <row r="3098">
          <cell r="B3098" t="str">
            <v>FIRE EXTINGUISHER</v>
          </cell>
          <cell r="D3098" t="str">
            <v>Al Mottahida Primary Secondary School</v>
          </cell>
          <cell r="H3098" t="str">
            <v>WR</v>
          </cell>
        </row>
        <row r="3099">
          <cell r="B3099" t="str">
            <v>FIRE EXTINGUISHER</v>
          </cell>
          <cell r="D3099" t="str">
            <v>Al Mottahida Primary Secondary School</v>
          </cell>
          <cell r="H3099" t="str">
            <v>WR</v>
          </cell>
        </row>
        <row r="3100">
          <cell r="B3100" t="str">
            <v>FIRE HOSE REEL</v>
          </cell>
          <cell r="D3100" t="str">
            <v>Al Mottahida Primary Secondary School</v>
          </cell>
          <cell r="H3100" t="str">
            <v>WR</v>
          </cell>
        </row>
        <row r="3101">
          <cell r="B3101" t="str">
            <v>FIRE HOSE REEL</v>
          </cell>
          <cell r="D3101" t="str">
            <v>Al Mottahida Primary Secondary School</v>
          </cell>
          <cell r="H3101" t="str">
            <v>WR</v>
          </cell>
        </row>
        <row r="3102">
          <cell r="B3102" t="str">
            <v>FIRE HOSE REEL</v>
          </cell>
          <cell r="D3102" t="str">
            <v>Al Mottahida Primary Secondary School</v>
          </cell>
          <cell r="H3102" t="str">
            <v>WR</v>
          </cell>
        </row>
        <row r="3103">
          <cell r="B3103" t="str">
            <v>FIRE HOSE REEL</v>
          </cell>
          <cell r="D3103" t="str">
            <v>Al Mottahida Primary Secondary School</v>
          </cell>
          <cell r="H3103" t="str">
            <v>WR</v>
          </cell>
        </row>
        <row r="3104">
          <cell r="B3104" t="str">
            <v>FIRE HOSE REEL</v>
          </cell>
          <cell r="D3104" t="str">
            <v>Al Mottahida Primary Secondary School</v>
          </cell>
          <cell r="H3104" t="str">
            <v>WR</v>
          </cell>
        </row>
        <row r="3105">
          <cell r="B3105" t="str">
            <v>FIRE HOSE REEL</v>
          </cell>
          <cell r="D3105" t="str">
            <v>Al Mottahida Primary Secondary School</v>
          </cell>
          <cell r="H3105" t="str">
            <v>WR</v>
          </cell>
        </row>
        <row r="3106">
          <cell r="B3106" t="str">
            <v>FIRE HOSE REEL</v>
          </cell>
          <cell r="D3106" t="str">
            <v>Al Mottahida Primary Secondary School</v>
          </cell>
          <cell r="H3106" t="str">
            <v>WR</v>
          </cell>
        </row>
        <row r="3107">
          <cell r="B3107" t="str">
            <v>FIRE HOSE REEL</v>
          </cell>
          <cell r="D3107" t="str">
            <v>Al Mottahida Primary Secondary School</v>
          </cell>
          <cell r="H3107" t="str">
            <v>WR</v>
          </cell>
        </row>
        <row r="3108">
          <cell r="B3108" t="str">
            <v>FIRE PUMP - Electric</v>
          </cell>
          <cell r="D3108" t="str">
            <v>Al Mottahida Primary Secondary School</v>
          </cell>
          <cell r="H3108" t="str">
            <v>WR</v>
          </cell>
        </row>
        <row r="3109">
          <cell r="B3109" t="str">
            <v>FIRE PUMP - Diesel</v>
          </cell>
          <cell r="D3109" t="str">
            <v>Al Mottahida Primary Secondary School</v>
          </cell>
          <cell r="H3109" t="str">
            <v>WR</v>
          </cell>
        </row>
        <row r="3110">
          <cell r="B3110" t="str">
            <v>Water Tank</v>
          </cell>
          <cell r="D3110" t="str">
            <v>Al Mottahida Primary Secondary School</v>
          </cell>
          <cell r="H3110" t="str">
            <v>WR</v>
          </cell>
        </row>
        <row r="3111">
          <cell r="B3111" t="str">
            <v>Water Tank</v>
          </cell>
          <cell r="D3111" t="str">
            <v>Al Mottahida Primary Secondary School</v>
          </cell>
          <cell r="H3111" t="str">
            <v>WR</v>
          </cell>
        </row>
        <row r="3112">
          <cell r="B3112" t="str">
            <v>Water Tank</v>
          </cell>
          <cell r="D3112" t="str">
            <v>Al Mottahida Primary Secondary School</v>
          </cell>
          <cell r="H3112" t="str">
            <v>WR</v>
          </cell>
        </row>
        <row r="3113">
          <cell r="B3113" t="str">
            <v>Water Tank</v>
          </cell>
          <cell r="D3113" t="str">
            <v>Al Mottahida Primary Secondary School</v>
          </cell>
          <cell r="H3113" t="str">
            <v>WR</v>
          </cell>
        </row>
        <row r="3114">
          <cell r="B3114" t="str">
            <v>Water Tank</v>
          </cell>
          <cell r="D3114" t="str">
            <v>Al Mottahida Primary Secondary School</v>
          </cell>
          <cell r="H3114" t="str">
            <v>WR</v>
          </cell>
        </row>
        <row r="3115">
          <cell r="B3115" t="str">
            <v>Water Tank</v>
          </cell>
          <cell r="D3115" t="str">
            <v>Al Mottahida Primary Secondary School</v>
          </cell>
          <cell r="H3115" t="str">
            <v>WR</v>
          </cell>
        </row>
        <row r="3116">
          <cell r="B3116" t="str">
            <v>Water Tank</v>
          </cell>
          <cell r="D3116" t="str">
            <v>Al Mottahida Primary Secondary School</v>
          </cell>
          <cell r="H3116" t="str">
            <v>WR</v>
          </cell>
        </row>
        <row r="3117">
          <cell r="B3117" t="str">
            <v>Fire Alarm Break Glass Call Point</v>
          </cell>
          <cell r="D3117" t="str">
            <v>Al Mozdalefa Primary School</v>
          </cell>
          <cell r="H3117" t="str">
            <v>AD</v>
          </cell>
        </row>
        <row r="3118">
          <cell r="B3118" t="str">
            <v>Fire Alarm Break Glass Call Point</v>
          </cell>
          <cell r="D3118" t="str">
            <v>Al Mozdalefa Primary School</v>
          </cell>
          <cell r="H3118" t="str">
            <v>AD</v>
          </cell>
        </row>
        <row r="3119">
          <cell r="B3119" t="str">
            <v>Fire Alarm Break Glass Call Point</v>
          </cell>
          <cell r="D3119" t="str">
            <v>Al Mozdalefa Primary School</v>
          </cell>
          <cell r="H3119" t="str">
            <v>AD</v>
          </cell>
        </row>
        <row r="3120">
          <cell r="B3120" t="str">
            <v>Fire Alarm Break Glass Call Point</v>
          </cell>
          <cell r="D3120" t="str">
            <v>Al Mozdalefa Primary School</v>
          </cell>
          <cell r="H3120" t="str">
            <v>AD</v>
          </cell>
        </row>
        <row r="3121">
          <cell r="B3121" t="str">
            <v>Fire Alarm Break Glass Call Point</v>
          </cell>
          <cell r="D3121" t="str">
            <v>Al Mozdalefa Primary School</v>
          </cell>
          <cell r="H3121" t="str">
            <v>AD</v>
          </cell>
        </row>
        <row r="3122">
          <cell r="B3122" t="str">
            <v>Fire Alarm Break Glass Call Point</v>
          </cell>
          <cell r="D3122" t="str">
            <v>Al Mozdalefa Primary School</v>
          </cell>
          <cell r="H3122" t="str">
            <v>AD</v>
          </cell>
        </row>
        <row r="3123">
          <cell r="B3123" t="str">
            <v>Fire Alarm Break Glass Call Point</v>
          </cell>
          <cell r="D3123" t="str">
            <v>Al Mozdalefa Primary School</v>
          </cell>
          <cell r="H3123" t="str">
            <v>AD</v>
          </cell>
        </row>
        <row r="3124">
          <cell r="B3124" t="str">
            <v>Fire Alarm Break Glass Call Point</v>
          </cell>
          <cell r="D3124" t="str">
            <v>Al Mozdalefa Primary School</v>
          </cell>
          <cell r="H3124" t="str">
            <v>AD</v>
          </cell>
        </row>
        <row r="3125">
          <cell r="B3125" t="str">
            <v>Fire Alarm Break Glass Call Point</v>
          </cell>
          <cell r="D3125" t="str">
            <v>Al Mozdalefa Primary School</v>
          </cell>
          <cell r="H3125" t="str">
            <v>AD</v>
          </cell>
        </row>
        <row r="3126">
          <cell r="B3126" t="str">
            <v>Fire Alarm Break Glass Call Point</v>
          </cell>
          <cell r="D3126" t="str">
            <v>Al Mozdalefa Primary School</v>
          </cell>
          <cell r="H3126" t="str">
            <v>AD</v>
          </cell>
        </row>
        <row r="3127">
          <cell r="B3127" t="str">
            <v>Fire Alarm Panel</v>
          </cell>
          <cell r="D3127" t="str">
            <v>Al Mozdalefa Primary School</v>
          </cell>
          <cell r="H3127" t="str">
            <v>AD</v>
          </cell>
        </row>
        <row r="3128">
          <cell r="B3128" t="str">
            <v>Fire Alarm Panel</v>
          </cell>
          <cell r="D3128" t="str">
            <v>Al Mozdalefa Primary School</v>
          </cell>
          <cell r="H3128" t="str">
            <v>AD</v>
          </cell>
        </row>
        <row r="3129">
          <cell r="B3129" t="str">
            <v>Fire Alarm Sounder, Bell, Light</v>
          </cell>
          <cell r="D3129" t="str">
            <v>Al Mozdalefa Primary School</v>
          </cell>
          <cell r="H3129" t="str">
            <v>AD</v>
          </cell>
        </row>
        <row r="3130">
          <cell r="B3130" t="str">
            <v>Fire Alarm Sounder, Bell, Light</v>
          </cell>
          <cell r="D3130" t="str">
            <v>Al Mozdalefa Primary School</v>
          </cell>
          <cell r="H3130" t="str">
            <v>AD</v>
          </cell>
        </row>
        <row r="3131">
          <cell r="B3131" t="str">
            <v>Fire Alarm Sounder, Bell, Light</v>
          </cell>
          <cell r="D3131" t="str">
            <v>Al Mozdalefa Primary School</v>
          </cell>
          <cell r="H3131" t="str">
            <v>AD</v>
          </cell>
        </row>
        <row r="3132">
          <cell r="B3132" t="str">
            <v>Fire Extinguisher</v>
          </cell>
          <cell r="D3132" t="str">
            <v>Al Mozdalefa Primary School</v>
          </cell>
          <cell r="H3132" t="str">
            <v>AD</v>
          </cell>
        </row>
        <row r="3133">
          <cell r="B3133" t="str">
            <v>Fire Extinguisher</v>
          </cell>
          <cell r="D3133" t="str">
            <v>Al Mozdalefa Primary School</v>
          </cell>
          <cell r="H3133" t="str">
            <v>AD</v>
          </cell>
        </row>
        <row r="3134">
          <cell r="B3134" t="str">
            <v>Fire Extinguisher</v>
          </cell>
          <cell r="D3134" t="str">
            <v>Al Mozdalefa Primary School</v>
          </cell>
          <cell r="H3134" t="str">
            <v>AD</v>
          </cell>
        </row>
        <row r="3135">
          <cell r="B3135" t="str">
            <v>Fire Extinguisher</v>
          </cell>
          <cell r="D3135" t="str">
            <v>Al Mozdalefa Primary School</v>
          </cell>
          <cell r="H3135" t="str">
            <v>AD</v>
          </cell>
        </row>
        <row r="3136">
          <cell r="B3136" t="str">
            <v>Fire Extinguisher</v>
          </cell>
          <cell r="D3136" t="str">
            <v>Al Mozdalefa Primary School</v>
          </cell>
          <cell r="H3136" t="str">
            <v>AD</v>
          </cell>
        </row>
        <row r="3137">
          <cell r="B3137" t="str">
            <v>Fire Extinguisher</v>
          </cell>
          <cell r="D3137" t="str">
            <v>Al Mozdalefa Primary School</v>
          </cell>
          <cell r="H3137" t="str">
            <v>AD</v>
          </cell>
        </row>
        <row r="3138">
          <cell r="B3138" t="str">
            <v>Fire Extinguisher</v>
          </cell>
          <cell r="D3138" t="str">
            <v>Al Mozdalefa Primary School</v>
          </cell>
          <cell r="H3138" t="str">
            <v>AD</v>
          </cell>
        </row>
        <row r="3139">
          <cell r="B3139" t="str">
            <v>Fire Extinguisher</v>
          </cell>
          <cell r="D3139" t="str">
            <v>Al Mozdalefa Primary School</v>
          </cell>
          <cell r="H3139" t="str">
            <v>AD</v>
          </cell>
        </row>
        <row r="3140">
          <cell r="B3140" t="str">
            <v>Fire Hose Reel</v>
          </cell>
          <cell r="D3140" t="str">
            <v>Al Mozdalefa Primary School</v>
          </cell>
          <cell r="H3140" t="str">
            <v>AD</v>
          </cell>
        </row>
        <row r="3141">
          <cell r="B3141" t="str">
            <v>Fire Hose Reel</v>
          </cell>
          <cell r="D3141" t="str">
            <v>Al Mozdalefa Primary School</v>
          </cell>
          <cell r="H3141" t="str">
            <v>AD</v>
          </cell>
        </row>
        <row r="3142">
          <cell r="B3142" t="str">
            <v>FIRE PUMP - Diesel</v>
          </cell>
          <cell r="D3142" t="str">
            <v>Al Mozdalefa Primary School</v>
          </cell>
          <cell r="H3142" t="str">
            <v>AD</v>
          </cell>
        </row>
        <row r="3143">
          <cell r="B3143" t="str">
            <v>FIRE PUMP - Electric</v>
          </cell>
          <cell r="D3143" t="str">
            <v>Al Mozdalefa Primary School</v>
          </cell>
          <cell r="H3143" t="str">
            <v>AD</v>
          </cell>
        </row>
        <row r="3144">
          <cell r="B3144" t="str">
            <v>Fire Smoke / Heat Detector, Sounder</v>
          </cell>
          <cell r="D3144" t="str">
            <v>Al Mozdalefa Primary School</v>
          </cell>
          <cell r="H3144" t="str">
            <v>AD</v>
          </cell>
        </row>
        <row r="3145">
          <cell r="B3145" t="str">
            <v>Fire Smoke / Heat Detector, Sounder</v>
          </cell>
          <cell r="D3145" t="str">
            <v>Al Mozdalefa Primary School</v>
          </cell>
          <cell r="H3145" t="str">
            <v>AD</v>
          </cell>
        </row>
        <row r="3146">
          <cell r="B3146" t="str">
            <v>Fire Smoke / Heat Detector, Sounder</v>
          </cell>
          <cell r="D3146" t="str">
            <v>Al Mozdalefa Primary School</v>
          </cell>
          <cell r="H3146" t="str">
            <v>AD</v>
          </cell>
        </row>
        <row r="3147">
          <cell r="B3147" t="str">
            <v>Fire Smoke / Heat Detector, Sounder</v>
          </cell>
          <cell r="D3147" t="str">
            <v>Al Mozdalefa Primary School</v>
          </cell>
          <cell r="H3147" t="str">
            <v>AD</v>
          </cell>
        </row>
        <row r="3148">
          <cell r="B3148" t="str">
            <v>Fire Smoke / Heat Detector, Sounder</v>
          </cell>
          <cell r="D3148" t="str">
            <v>Al Mozdalefa Primary School</v>
          </cell>
          <cell r="H3148" t="str">
            <v>AD</v>
          </cell>
        </row>
        <row r="3149">
          <cell r="B3149" t="str">
            <v>Fire Smoke / Heat Detector, Sounder</v>
          </cell>
          <cell r="D3149" t="str">
            <v>Al Mozdalefa Primary School</v>
          </cell>
          <cell r="H3149" t="str">
            <v>AD</v>
          </cell>
        </row>
        <row r="3150">
          <cell r="B3150" t="str">
            <v>Fire Smoke / Heat Detector, Sounder</v>
          </cell>
          <cell r="D3150" t="str">
            <v>Al Mozdalefa Primary School</v>
          </cell>
          <cell r="H3150" t="str">
            <v>AD</v>
          </cell>
        </row>
        <row r="3151">
          <cell r="B3151" t="str">
            <v>Fire Smoke / Heat Detector, Sounder</v>
          </cell>
          <cell r="D3151" t="str">
            <v>Al Mozdalefa Primary School</v>
          </cell>
          <cell r="H3151" t="str">
            <v>AD</v>
          </cell>
        </row>
        <row r="3152">
          <cell r="B3152" t="str">
            <v>Fire Smoke / Heat Detector, Sounder</v>
          </cell>
          <cell r="D3152" t="str">
            <v>Al Mozdalefa Primary School</v>
          </cell>
          <cell r="H3152" t="str">
            <v>AD</v>
          </cell>
        </row>
        <row r="3153">
          <cell r="B3153" t="str">
            <v>Fire Smoke / Heat Detector, Sounder</v>
          </cell>
          <cell r="D3153" t="str">
            <v>Al Mozdalefa Primary School</v>
          </cell>
          <cell r="H3153" t="str">
            <v>AD</v>
          </cell>
        </row>
        <row r="3154">
          <cell r="B3154" t="str">
            <v>Fire Smoke / Heat Detector, Sounder</v>
          </cell>
          <cell r="D3154" t="str">
            <v>Al Mozdalefa Primary School</v>
          </cell>
          <cell r="H3154" t="str">
            <v>AD</v>
          </cell>
        </row>
        <row r="3155">
          <cell r="B3155" t="str">
            <v>Fire Smoke / Heat Detector, Sounder</v>
          </cell>
          <cell r="D3155" t="str">
            <v>Al Mozdalefa Primary School</v>
          </cell>
          <cell r="H3155" t="str">
            <v>AD</v>
          </cell>
        </row>
        <row r="3156">
          <cell r="B3156" t="str">
            <v>Fire Smoke / Heat Detector, Sounder</v>
          </cell>
          <cell r="D3156" t="str">
            <v>Al Mozdalefa Primary School</v>
          </cell>
          <cell r="H3156" t="str">
            <v>AD</v>
          </cell>
        </row>
        <row r="3157">
          <cell r="B3157" t="str">
            <v>Fire Smoke / Heat Detector, Sounder</v>
          </cell>
          <cell r="D3157" t="str">
            <v>Al Mozdalefa Primary School</v>
          </cell>
          <cell r="H3157" t="str">
            <v>AD</v>
          </cell>
        </row>
        <row r="3158">
          <cell r="B3158" t="str">
            <v>Fire Smoke / Heat Detector, Sounder</v>
          </cell>
          <cell r="D3158" t="str">
            <v>Al Mozdalefa Primary School</v>
          </cell>
          <cell r="H3158" t="str">
            <v>AD</v>
          </cell>
        </row>
        <row r="3159">
          <cell r="B3159" t="str">
            <v>Fire Smoke / Heat Detector, Sounder</v>
          </cell>
          <cell r="D3159" t="str">
            <v>Al Mozdalefa Primary School</v>
          </cell>
          <cell r="H3159" t="str">
            <v>AD</v>
          </cell>
        </row>
        <row r="3160">
          <cell r="B3160" t="str">
            <v>Fire Smoke / Heat Detector, Sounder</v>
          </cell>
          <cell r="D3160" t="str">
            <v>Al Mozdalefa Primary School</v>
          </cell>
          <cell r="H3160" t="str">
            <v>AD</v>
          </cell>
        </row>
        <row r="3161">
          <cell r="B3161" t="str">
            <v>Fire Smoke / Heat Detector, Sounder</v>
          </cell>
          <cell r="D3161" t="str">
            <v>Al Mozdalefa Primary School</v>
          </cell>
          <cell r="H3161" t="str">
            <v>AD</v>
          </cell>
        </row>
        <row r="3162">
          <cell r="B3162" t="str">
            <v>Fire Smoke / Heat Detector, Sounder</v>
          </cell>
          <cell r="D3162" t="str">
            <v>Al Mozdalefa Primary School</v>
          </cell>
          <cell r="H3162" t="str">
            <v>AD</v>
          </cell>
        </row>
        <row r="3163">
          <cell r="B3163" t="str">
            <v>Fire Smoke / Heat Detector, Sounder</v>
          </cell>
          <cell r="D3163" t="str">
            <v>Al Mozdalefa Primary School</v>
          </cell>
          <cell r="H3163" t="str">
            <v>AD</v>
          </cell>
        </row>
        <row r="3164">
          <cell r="B3164" t="str">
            <v>Fire Smoke / Heat Detector, Sounder</v>
          </cell>
          <cell r="D3164" t="str">
            <v>Al Mozdalefa Primary School</v>
          </cell>
          <cell r="H3164" t="str">
            <v>AD</v>
          </cell>
        </row>
        <row r="3165">
          <cell r="B3165" t="str">
            <v>Fire Smoke / Heat Detector, Sounder</v>
          </cell>
          <cell r="D3165" t="str">
            <v>Al Mozdalefa Primary School</v>
          </cell>
          <cell r="H3165" t="str">
            <v>AD</v>
          </cell>
        </row>
        <row r="3166">
          <cell r="B3166" t="str">
            <v>Fire Smoke / Heat Detector, Sounder</v>
          </cell>
          <cell r="D3166" t="str">
            <v>Al Mozdalefa Primary School</v>
          </cell>
          <cell r="H3166" t="str">
            <v>AD</v>
          </cell>
        </row>
        <row r="3167">
          <cell r="B3167" t="str">
            <v>Fire Smoke / Heat Detector, Sounder</v>
          </cell>
          <cell r="D3167" t="str">
            <v>Al Mozdalefa Primary School</v>
          </cell>
          <cell r="H3167" t="str">
            <v>AD</v>
          </cell>
        </row>
        <row r="3168">
          <cell r="B3168" t="str">
            <v>Fire Smoke / Heat Detector, Sounder</v>
          </cell>
          <cell r="D3168" t="str">
            <v>Al Mozdalefa Primary School</v>
          </cell>
          <cell r="H3168" t="str">
            <v>AD</v>
          </cell>
        </row>
        <row r="3169">
          <cell r="B3169" t="str">
            <v>Fire Smoke / Heat Detector, Sounder</v>
          </cell>
          <cell r="D3169" t="str">
            <v>Al Mozdalefa Primary School</v>
          </cell>
          <cell r="H3169" t="str">
            <v>AD</v>
          </cell>
        </row>
        <row r="3170">
          <cell r="B3170" t="str">
            <v>Fire Smoke / Heat Detector, Sounder</v>
          </cell>
          <cell r="D3170" t="str">
            <v>Al Mozdalefa Primary School</v>
          </cell>
          <cell r="H3170" t="str">
            <v>AD</v>
          </cell>
        </row>
        <row r="3171">
          <cell r="B3171" t="str">
            <v>Fire Smoke / Heat Detector, Sounder</v>
          </cell>
          <cell r="D3171" t="str">
            <v>Al Mozdalefa Primary School</v>
          </cell>
          <cell r="H3171" t="str">
            <v>AD</v>
          </cell>
        </row>
        <row r="3172">
          <cell r="B3172" t="str">
            <v>Fire Smoke / Heat Detector, Sounder</v>
          </cell>
          <cell r="D3172" t="str">
            <v>Al Mozdalefa Primary School</v>
          </cell>
          <cell r="H3172" t="str">
            <v>AD</v>
          </cell>
        </row>
        <row r="3173">
          <cell r="B3173" t="str">
            <v>Fire Smoke / Heat Detector, Sounder</v>
          </cell>
          <cell r="D3173" t="str">
            <v>Al Mozdalefa Primary School</v>
          </cell>
          <cell r="H3173" t="str">
            <v>AD</v>
          </cell>
        </row>
        <row r="3174">
          <cell r="B3174" t="str">
            <v>Fire Smoke / Heat Detector, Sounder</v>
          </cell>
          <cell r="D3174" t="str">
            <v>Al Mozdalefa Primary School</v>
          </cell>
          <cell r="H3174" t="str">
            <v>AD</v>
          </cell>
        </row>
        <row r="3175">
          <cell r="B3175" t="str">
            <v>Fire Smoke / Heat Detector, Sounder</v>
          </cell>
          <cell r="D3175" t="str">
            <v>Al Mozdalefa Primary School</v>
          </cell>
          <cell r="H3175" t="str">
            <v>AD</v>
          </cell>
        </row>
        <row r="3176">
          <cell r="B3176" t="str">
            <v>Fire Smoke / Heat Detector, Sounder</v>
          </cell>
          <cell r="D3176" t="str">
            <v>Al Mozdalefa Primary School</v>
          </cell>
          <cell r="H3176" t="str">
            <v>AD</v>
          </cell>
        </row>
        <row r="3177">
          <cell r="B3177" t="str">
            <v>Fire Smoke / Heat Detector, Sounder</v>
          </cell>
          <cell r="D3177" t="str">
            <v>Al Mozdalefa Primary School</v>
          </cell>
          <cell r="H3177" t="str">
            <v>AD</v>
          </cell>
        </row>
        <row r="3178">
          <cell r="B3178" t="str">
            <v>Fire Smoke / Heat Detector, Sounder</v>
          </cell>
          <cell r="D3178" t="str">
            <v>Al Mozdalefa Primary School</v>
          </cell>
          <cell r="H3178" t="str">
            <v>AD</v>
          </cell>
        </row>
        <row r="3179">
          <cell r="B3179" t="str">
            <v>Fire Smoke / Heat Detector, Sounder</v>
          </cell>
          <cell r="D3179" t="str">
            <v>Al Mozdalefa Primary School</v>
          </cell>
          <cell r="H3179" t="str">
            <v>AD</v>
          </cell>
        </row>
        <row r="3180">
          <cell r="B3180" t="str">
            <v>Fire Smoke / Heat Detector, Sounder</v>
          </cell>
          <cell r="D3180" t="str">
            <v>Al Mozdalefa Primary School</v>
          </cell>
          <cell r="H3180" t="str">
            <v>AD</v>
          </cell>
        </row>
        <row r="3181">
          <cell r="B3181" t="str">
            <v>Fire Smoke / Heat Detector, Sounder</v>
          </cell>
          <cell r="D3181" t="str">
            <v>Al Mozdalefa Primary School</v>
          </cell>
          <cell r="H3181" t="str">
            <v>AD</v>
          </cell>
        </row>
        <row r="3182">
          <cell r="B3182" t="str">
            <v>Fire Smoke / Heat Detector, Sounder</v>
          </cell>
          <cell r="D3182" t="str">
            <v>Al Mozdalefa Primary School</v>
          </cell>
          <cell r="H3182" t="str">
            <v>AD</v>
          </cell>
        </row>
        <row r="3183">
          <cell r="B3183" t="str">
            <v>Fire Smoke / Heat Detector, Sounder</v>
          </cell>
          <cell r="D3183" t="str">
            <v>Al Mozdalefa Primary School</v>
          </cell>
          <cell r="H3183" t="str">
            <v>AD</v>
          </cell>
        </row>
        <row r="3184">
          <cell r="B3184" t="str">
            <v>Fire Smoke / Heat Detector, Sounder</v>
          </cell>
          <cell r="D3184" t="str">
            <v>Al Mozdalefa Primary School</v>
          </cell>
          <cell r="H3184" t="str">
            <v>AD</v>
          </cell>
        </row>
        <row r="3185">
          <cell r="B3185" t="str">
            <v>Fire Smoke / Heat Detector, Sounder</v>
          </cell>
          <cell r="D3185" t="str">
            <v>Al Mozdalefa Primary School</v>
          </cell>
          <cell r="H3185" t="str">
            <v>AD</v>
          </cell>
        </row>
        <row r="3186">
          <cell r="B3186" t="str">
            <v>Fire Smoke / Heat Detector, Sounder</v>
          </cell>
          <cell r="D3186" t="str">
            <v>Al Mozdalefa Primary School</v>
          </cell>
          <cell r="H3186" t="str">
            <v>AD</v>
          </cell>
        </row>
        <row r="3187">
          <cell r="B3187" t="str">
            <v>Fire Smoke / Heat Detector, Sounder</v>
          </cell>
          <cell r="D3187" t="str">
            <v>Al Mozdalefa Primary School</v>
          </cell>
          <cell r="H3187" t="str">
            <v>AD</v>
          </cell>
        </row>
        <row r="3188">
          <cell r="B3188" t="str">
            <v>Fire Smoke / Heat Detector, Sounder</v>
          </cell>
          <cell r="D3188" t="str">
            <v>Al Mozdalefa Primary School</v>
          </cell>
          <cell r="H3188" t="str">
            <v>AD</v>
          </cell>
        </row>
        <row r="3189">
          <cell r="B3189" t="str">
            <v>CCTV Camera</v>
          </cell>
          <cell r="D3189" t="str">
            <v>Al Mutanabbi Secondary School</v>
          </cell>
          <cell r="H3189" t="str">
            <v>AD</v>
          </cell>
        </row>
        <row r="3190">
          <cell r="B3190" t="str">
            <v>CCTV Camera</v>
          </cell>
          <cell r="D3190" t="str">
            <v>Al Mutanabbi Secondary School</v>
          </cell>
          <cell r="H3190" t="str">
            <v>AD</v>
          </cell>
        </row>
        <row r="3191">
          <cell r="B3191" t="str">
            <v>CCTV Camera</v>
          </cell>
          <cell r="D3191" t="str">
            <v>Al Mutanabbi Secondary School</v>
          </cell>
          <cell r="H3191" t="str">
            <v>AD</v>
          </cell>
        </row>
        <row r="3192">
          <cell r="B3192" t="str">
            <v>CCTV Camera</v>
          </cell>
          <cell r="D3192" t="str">
            <v>Al Mutanabbi Secondary School</v>
          </cell>
          <cell r="H3192" t="str">
            <v>AD</v>
          </cell>
        </row>
        <row r="3193">
          <cell r="B3193" t="str">
            <v>CCTV Camera</v>
          </cell>
          <cell r="D3193" t="str">
            <v>Al Mutanabbi Secondary School</v>
          </cell>
          <cell r="H3193" t="str">
            <v>AD</v>
          </cell>
        </row>
        <row r="3194">
          <cell r="B3194" t="str">
            <v>CCTV Camera</v>
          </cell>
          <cell r="D3194" t="str">
            <v>Al Mutanabbi Secondary School</v>
          </cell>
          <cell r="H3194" t="str">
            <v>AD</v>
          </cell>
        </row>
        <row r="3195">
          <cell r="B3195" t="str">
            <v>CCTV Camera</v>
          </cell>
          <cell r="D3195" t="str">
            <v>Al Mutanabbi Secondary School</v>
          </cell>
          <cell r="H3195" t="str">
            <v>AD</v>
          </cell>
        </row>
        <row r="3196">
          <cell r="B3196" t="str">
            <v>CCTV Camera</v>
          </cell>
          <cell r="D3196" t="str">
            <v>Al Mutanabbi Secondary School</v>
          </cell>
          <cell r="H3196" t="str">
            <v>AD</v>
          </cell>
        </row>
        <row r="3197">
          <cell r="B3197" t="str">
            <v>CCTV Camera</v>
          </cell>
          <cell r="D3197" t="str">
            <v>Al Mutanabbi Secondary School</v>
          </cell>
          <cell r="H3197" t="str">
            <v>AD</v>
          </cell>
        </row>
        <row r="3198">
          <cell r="B3198" t="str">
            <v>CCTV Camera</v>
          </cell>
          <cell r="D3198" t="str">
            <v>Al Mutanabbi Secondary School</v>
          </cell>
          <cell r="H3198" t="str">
            <v>AD</v>
          </cell>
        </row>
        <row r="3199">
          <cell r="B3199" t="str">
            <v>CCTV Camera</v>
          </cell>
          <cell r="D3199" t="str">
            <v>Al Mutanabbi Secondary School</v>
          </cell>
          <cell r="H3199" t="str">
            <v>AD</v>
          </cell>
        </row>
        <row r="3200">
          <cell r="B3200" t="str">
            <v>CCTV Camera</v>
          </cell>
          <cell r="D3200" t="str">
            <v>Al Mutanabbi Secondary School</v>
          </cell>
          <cell r="H3200" t="str">
            <v>AD</v>
          </cell>
        </row>
        <row r="3201">
          <cell r="B3201" t="str">
            <v>CCTV Camera</v>
          </cell>
          <cell r="D3201" t="str">
            <v>Al Mutanabbi Secondary School</v>
          </cell>
          <cell r="H3201" t="str">
            <v>AD</v>
          </cell>
        </row>
        <row r="3202">
          <cell r="B3202" t="str">
            <v>Drinking Fountain</v>
          </cell>
          <cell r="D3202" t="str">
            <v>Al Mutanabbi Secondary School</v>
          </cell>
          <cell r="H3202" t="str">
            <v>AD</v>
          </cell>
        </row>
        <row r="3203">
          <cell r="B3203" t="str">
            <v>Drinking Fountain</v>
          </cell>
          <cell r="D3203" t="str">
            <v>Al Mutanabbi Secondary School</v>
          </cell>
          <cell r="H3203" t="str">
            <v>AD</v>
          </cell>
        </row>
        <row r="3204">
          <cell r="B3204" t="str">
            <v>Drinking Fountain</v>
          </cell>
          <cell r="D3204" t="str">
            <v>Al Mutanabbi Secondary School</v>
          </cell>
          <cell r="H3204" t="str">
            <v>AD</v>
          </cell>
        </row>
        <row r="3205">
          <cell r="B3205" t="str">
            <v>Drinking Fountain</v>
          </cell>
          <cell r="D3205" t="str">
            <v>Al Mutanabbi Secondary School</v>
          </cell>
          <cell r="H3205" t="str">
            <v>AD</v>
          </cell>
        </row>
        <row r="3206">
          <cell r="B3206" t="str">
            <v>Drinking Fountain</v>
          </cell>
          <cell r="D3206" t="str">
            <v>Al Mutanabbi Secondary School</v>
          </cell>
          <cell r="H3206" t="str">
            <v>AD</v>
          </cell>
        </row>
        <row r="3207">
          <cell r="B3207" t="str">
            <v>Drinking Fountain</v>
          </cell>
          <cell r="D3207" t="str">
            <v>Al Mutanabbi Secondary School</v>
          </cell>
          <cell r="H3207" t="str">
            <v>AD</v>
          </cell>
        </row>
        <row r="3208">
          <cell r="B3208" t="str">
            <v>Drinking Fountain</v>
          </cell>
          <cell r="D3208" t="str">
            <v>Al Mutanabbi Secondary School</v>
          </cell>
          <cell r="H3208" t="str">
            <v>AD</v>
          </cell>
        </row>
        <row r="3209">
          <cell r="B3209" t="str">
            <v>Drinking Fountain</v>
          </cell>
          <cell r="D3209" t="str">
            <v>Al Mutanabbi Secondary School</v>
          </cell>
          <cell r="H3209" t="str">
            <v>AD</v>
          </cell>
        </row>
        <row r="3210">
          <cell r="B3210" t="str">
            <v>Drinking Fountain</v>
          </cell>
          <cell r="D3210" t="str">
            <v>Al Mutanabbi Secondary School</v>
          </cell>
          <cell r="H3210" t="str">
            <v>AD</v>
          </cell>
        </row>
        <row r="3211">
          <cell r="B3211" t="str">
            <v>Drinking Fountain</v>
          </cell>
          <cell r="D3211" t="str">
            <v>Al Mutanabbi Secondary School</v>
          </cell>
          <cell r="H3211" t="str">
            <v>AD</v>
          </cell>
        </row>
        <row r="3212">
          <cell r="B3212" t="str">
            <v>Drinking Fountain</v>
          </cell>
          <cell r="D3212" t="str">
            <v>Al Mutanabbi Secondary School</v>
          </cell>
          <cell r="H3212" t="str">
            <v>AD</v>
          </cell>
        </row>
        <row r="3213">
          <cell r="B3213" t="str">
            <v>Drinking Fountain</v>
          </cell>
          <cell r="D3213" t="str">
            <v>Al Mutanabbi Secondary School</v>
          </cell>
          <cell r="H3213" t="str">
            <v>AD</v>
          </cell>
        </row>
        <row r="3214">
          <cell r="B3214" t="str">
            <v>Drinking Fountain</v>
          </cell>
          <cell r="D3214" t="str">
            <v>Al Mutanabbi Secondary School</v>
          </cell>
          <cell r="H3214" t="str">
            <v>AD</v>
          </cell>
        </row>
        <row r="3215">
          <cell r="B3215" t="str">
            <v>Drinking Fountain</v>
          </cell>
          <cell r="D3215" t="str">
            <v>Al Mutanabbi Secondary School</v>
          </cell>
          <cell r="H3215" t="str">
            <v>AD</v>
          </cell>
        </row>
        <row r="3216">
          <cell r="B3216" t="str">
            <v>Finger Print Reader Machine</v>
          </cell>
          <cell r="D3216" t="str">
            <v>Al Mutanabbi Secondary School</v>
          </cell>
          <cell r="H3216" t="str">
            <v>AD</v>
          </cell>
        </row>
        <row r="3217">
          <cell r="B3217" t="str">
            <v>Fire Alarm Remote Indicator</v>
          </cell>
          <cell r="D3217" t="str">
            <v>Al Mutanabbi Secondary School</v>
          </cell>
          <cell r="H3217" t="str">
            <v>AD</v>
          </cell>
        </row>
        <row r="3218">
          <cell r="B3218" t="str">
            <v>Fire Alarm Control Panel Board</v>
          </cell>
          <cell r="D3218" t="str">
            <v>Al Mutanabbi Secondary School</v>
          </cell>
          <cell r="H3218" t="str">
            <v>AD</v>
          </cell>
        </row>
        <row r="3219">
          <cell r="B3219" t="str">
            <v>Fire Alarm Remote Indicator</v>
          </cell>
          <cell r="D3219" t="str">
            <v>Al Mutanabbi Secondary School</v>
          </cell>
          <cell r="H3219" t="str">
            <v>AD</v>
          </cell>
        </row>
        <row r="3220">
          <cell r="B3220" t="str">
            <v>Fire Alarm Remote Indicator</v>
          </cell>
          <cell r="D3220" t="str">
            <v>Al Mutanabbi Secondary School</v>
          </cell>
          <cell r="H3220" t="str">
            <v>AD</v>
          </cell>
        </row>
        <row r="3221">
          <cell r="B3221" t="str">
            <v>Fire Alarm Remote Indicator</v>
          </cell>
          <cell r="D3221" t="str">
            <v>Al Mutanabbi Secondary School</v>
          </cell>
          <cell r="H3221" t="str">
            <v>AD</v>
          </cell>
        </row>
        <row r="3222">
          <cell r="B3222" t="str">
            <v>Fire Alarm Remote Indicator</v>
          </cell>
          <cell r="D3222" t="str">
            <v>Al Mutanabbi Secondary School</v>
          </cell>
          <cell r="H3222" t="str">
            <v>AD</v>
          </cell>
        </row>
        <row r="3223">
          <cell r="B3223" t="str">
            <v>Fire Blanket</v>
          </cell>
          <cell r="D3223" t="str">
            <v>Al Mutanabbi Secondary School</v>
          </cell>
          <cell r="H3223" t="str">
            <v>AD</v>
          </cell>
        </row>
        <row r="3224">
          <cell r="B3224" t="str">
            <v>Fire Blanket</v>
          </cell>
          <cell r="D3224" t="str">
            <v>Al Mutanabbi Secondary School</v>
          </cell>
          <cell r="H3224" t="str">
            <v>AD</v>
          </cell>
        </row>
        <row r="3225">
          <cell r="B3225" t="str">
            <v>Fire Blanket</v>
          </cell>
          <cell r="D3225" t="str">
            <v>Al Mutanabbi Secondary School</v>
          </cell>
          <cell r="H3225" t="str">
            <v>AD</v>
          </cell>
        </row>
        <row r="3226">
          <cell r="B3226" t="str">
            <v>Fire Extinguisher - C02</v>
          </cell>
          <cell r="D3226" t="str">
            <v>Al Mutanabbi Secondary School</v>
          </cell>
          <cell r="H3226" t="str">
            <v>AD</v>
          </cell>
        </row>
        <row r="3227">
          <cell r="B3227" t="str">
            <v>Fire Extinguisher - C02</v>
          </cell>
          <cell r="D3227" t="str">
            <v>Al Mutanabbi Secondary School</v>
          </cell>
          <cell r="H3227" t="str">
            <v>AD</v>
          </cell>
        </row>
        <row r="3228">
          <cell r="B3228" t="str">
            <v>Fire Extinguisher - C02</v>
          </cell>
          <cell r="D3228" t="str">
            <v>Al Mutanabbi Secondary School</v>
          </cell>
          <cell r="H3228" t="str">
            <v>AD</v>
          </cell>
        </row>
        <row r="3229">
          <cell r="B3229" t="str">
            <v>Fire Extinguisher - C02</v>
          </cell>
          <cell r="D3229" t="str">
            <v>Al Mutanabbi Secondary School</v>
          </cell>
          <cell r="H3229" t="str">
            <v>AD</v>
          </cell>
        </row>
        <row r="3230">
          <cell r="B3230" t="str">
            <v>Fire Extinguisher - C02</v>
          </cell>
          <cell r="D3230" t="str">
            <v>Al Mutanabbi Secondary School</v>
          </cell>
          <cell r="H3230" t="str">
            <v>AD</v>
          </cell>
        </row>
        <row r="3231">
          <cell r="B3231" t="str">
            <v>Fire Extinguisher - C02</v>
          </cell>
          <cell r="D3231" t="str">
            <v>Al Mutanabbi Secondary School</v>
          </cell>
          <cell r="H3231" t="str">
            <v>AD</v>
          </cell>
        </row>
        <row r="3232">
          <cell r="B3232" t="str">
            <v>Fire Extinguisher - C02</v>
          </cell>
          <cell r="D3232" t="str">
            <v>Al Mutanabbi Secondary School</v>
          </cell>
          <cell r="H3232" t="str">
            <v>AD</v>
          </cell>
        </row>
        <row r="3233">
          <cell r="B3233" t="str">
            <v>Fire Extinguisher - C02</v>
          </cell>
          <cell r="D3233" t="str">
            <v>Al Mutanabbi Secondary School</v>
          </cell>
          <cell r="H3233" t="str">
            <v>AD</v>
          </cell>
        </row>
        <row r="3234">
          <cell r="B3234" t="str">
            <v>Fire Extinguisher - C02</v>
          </cell>
          <cell r="D3234" t="str">
            <v>Al Mutanabbi Secondary School</v>
          </cell>
          <cell r="H3234" t="str">
            <v>AD</v>
          </cell>
        </row>
        <row r="3235">
          <cell r="B3235" t="str">
            <v>Fire Extinguisher - C02</v>
          </cell>
          <cell r="D3235" t="str">
            <v>Al Mutanabbi Secondary School</v>
          </cell>
          <cell r="H3235" t="str">
            <v>AD</v>
          </cell>
        </row>
        <row r="3236">
          <cell r="B3236" t="str">
            <v>Fire Extinguisher - C02</v>
          </cell>
          <cell r="D3236" t="str">
            <v>Al Mutanabbi Secondary School</v>
          </cell>
          <cell r="H3236" t="str">
            <v>AD</v>
          </cell>
        </row>
        <row r="3237">
          <cell r="B3237" t="str">
            <v>Fire Extinguisher - C02</v>
          </cell>
          <cell r="D3237" t="str">
            <v>Al Mutanabbi Secondary School</v>
          </cell>
          <cell r="H3237" t="str">
            <v>AD</v>
          </cell>
        </row>
        <row r="3238">
          <cell r="B3238" t="str">
            <v>Fire Extinguisher - C02</v>
          </cell>
          <cell r="D3238" t="str">
            <v>Al Mutanabbi Secondary School</v>
          </cell>
          <cell r="H3238" t="str">
            <v>AD</v>
          </cell>
        </row>
        <row r="3239">
          <cell r="B3239" t="str">
            <v>Fire Extinguisher - C02</v>
          </cell>
          <cell r="D3239" t="str">
            <v>Al Mutanabbi Secondary School</v>
          </cell>
          <cell r="H3239" t="str">
            <v>AD</v>
          </cell>
        </row>
        <row r="3240">
          <cell r="B3240" t="str">
            <v>Fire Extinguisher - C02</v>
          </cell>
          <cell r="D3240" t="str">
            <v>Al Mutanabbi Secondary School</v>
          </cell>
          <cell r="H3240" t="str">
            <v>AD</v>
          </cell>
        </row>
        <row r="3241">
          <cell r="B3241" t="str">
            <v>Fire Extinguisher - C02</v>
          </cell>
          <cell r="D3241" t="str">
            <v>Al Mutanabbi Secondary School</v>
          </cell>
          <cell r="H3241" t="str">
            <v>AD</v>
          </cell>
        </row>
        <row r="3242">
          <cell r="B3242" t="str">
            <v>Fire Extinguisher - C02</v>
          </cell>
          <cell r="D3242" t="str">
            <v>Al Mutanabbi Secondary School</v>
          </cell>
          <cell r="H3242" t="str">
            <v>AD</v>
          </cell>
        </row>
        <row r="3243">
          <cell r="B3243" t="str">
            <v>Fire Extinguisher - C02</v>
          </cell>
          <cell r="D3243" t="str">
            <v>Al Mutanabbi Secondary School</v>
          </cell>
          <cell r="H3243" t="str">
            <v>AD</v>
          </cell>
        </row>
        <row r="3244">
          <cell r="B3244" t="str">
            <v>Fire Extinguisher - C02</v>
          </cell>
          <cell r="D3244" t="str">
            <v>Al Mutanabbi Secondary School</v>
          </cell>
          <cell r="H3244" t="str">
            <v>AD</v>
          </cell>
        </row>
        <row r="3245">
          <cell r="B3245" t="str">
            <v>Fire Extinguisher - C02</v>
          </cell>
          <cell r="D3245" t="str">
            <v>Al Mutanabbi Secondary School</v>
          </cell>
          <cell r="H3245" t="str">
            <v>AD</v>
          </cell>
        </row>
        <row r="3246">
          <cell r="B3246" t="str">
            <v>Fire Extinguisher - C02</v>
          </cell>
          <cell r="D3246" t="str">
            <v>Al Mutanabbi Secondary School</v>
          </cell>
          <cell r="H3246" t="str">
            <v>AD</v>
          </cell>
        </row>
        <row r="3247">
          <cell r="B3247" t="str">
            <v>Fire Extinguisher - C02</v>
          </cell>
          <cell r="D3247" t="str">
            <v>Al Mutanabbi Secondary School</v>
          </cell>
          <cell r="H3247" t="str">
            <v>AD</v>
          </cell>
        </row>
        <row r="3248">
          <cell r="B3248" t="str">
            <v>Fire Extinguisher - C02</v>
          </cell>
          <cell r="D3248" t="str">
            <v>Al Mutanabbi Secondary School</v>
          </cell>
          <cell r="H3248" t="str">
            <v>AD</v>
          </cell>
        </row>
        <row r="3249">
          <cell r="B3249" t="str">
            <v>Fire Extinguisher - C02</v>
          </cell>
          <cell r="D3249" t="str">
            <v>Al Mutanabbi Secondary School</v>
          </cell>
          <cell r="H3249" t="str">
            <v>AD</v>
          </cell>
        </row>
        <row r="3250">
          <cell r="B3250" t="str">
            <v>Fire Extinguisher - C02</v>
          </cell>
          <cell r="D3250" t="str">
            <v>Al Mutanabbi Secondary School</v>
          </cell>
          <cell r="H3250" t="str">
            <v>AD</v>
          </cell>
        </row>
        <row r="3251">
          <cell r="B3251" t="str">
            <v>Fire Extinguisher - C02</v>
          </cell>
          <cell r="D3251" t="str">
            <v>Al Mutanabbi Secondary School</v>
          </cell>
          <cell r="H3251" t="str">
            <v>AD</v>
          </cell>
        </row>
        <row r="3252">
          <cell r="B3252" t="str">
            <v>Fire Extinguisher - C02</v>
          </cell>
          <cell r="D3252" t="str">
            <v>Al Mutanabbi Secondary School</v>
          </cell>
          <cell r="H3252" t="str">
            <v>AD</v>
          </cell>
        </row>
        <row r="3253">
          <cell r="B3253" t="str">
            <v>Fire Extinguisher - C02</v>
          </cell>
          <cell r="D3253" t="str">
            <v>Al Mutanabbi Secondary School</v>
          </cell>
          <cell r="H3253" t="str">
            <v>AD</v>
          </cell>
        </row>
        <row r="3254">
          <cell r="B3254" t="str">
            <v>Fire Extinguisher - C02</v>
          </cell>
          <cell r="D3254" t="str">
            <v>Al Mutanabbi Secondary School</v>
          </cell>
          <cell r="H3254" t="str">
            <v>AD</v>
          </cell>
        </row>
        <row r="3255">
          <cell r="B3255" t="str">
            <v>Fire Extinguisher - C02</v>
          </cell>
          <cell r="D3255" t="str">
            <v>Al Mutanabbi Secondary School</v>
          </cell>
          <cell r="H3255" t="str">
            <v>AD</v>
          </cell>
        </row>
        <row r="3256">
          <cell r="B3256" t="str">
            <v>Fire Extinguisher - C02</v>
          </cell>
          <cell r="D3256" t="str">
            <v>Al Mutanabbi Secondary School</v>
          </cell>
          <cell r="H3256" t="str">
            <v>AD</v>
          </cell>
        </row>
        <row r="3257">
          <cell r="B3257" t="str">
            <v>Fire Extinguisher - C02</v>
          </cell>
          <cell r="D3257" t="str">
            <v>Al Mutanabbi Secondary School</v>
          </cell>
          <cell r="H3257" t="str">
            <v>AD</v>
          </cell>
        </row>
        <row r="3258">
          <cell r="B3258" t="str">
            <v>Fire Extinguisher - C02</v>
          </cell>
          <cell r="D3258" t="str">
            <v>Al Mutanabbi Secondary School</v>
          </cell>
          <cell r="H3258" t="str">
            <v>AD</v>
          </cell>
        </row>
        <row r="3259">
          <cell r="B3259" t="str">
            <v>Fire Extinguisher - C02</v>
          </cell>
          <cell r="D3259" t="str">
            <v>Al Mutanabbi Secondary School</v>
          </cell>
          <cell r="H3259" t="str">
            <v>AD</v>
          </cell>
        </row>
        <row r="3260">
          <cell r="B3260" t="str">
            <v>Fire Extinguisher - C02</v>
          </cell>
          <cell r="D3260" t="str">
            <v>Al Mutanabbi Secondary School</v>
          </cell>
          <cell r="H3260" t="str">
            <v>AD</v>
          </cell>
        </row>
        <row r="3261">
          <cell r="B3261" t="str">
            <v>Fire Extinguisher - Dry</v>
          </cell>
          <cell r="D3261" t="str">
            <v>Al Mutanabbi Secondary School</v>
          </cell>
          <cell r="H3261" t="str">
            <v>AD</v>
          </cell>
        </row>
        <row r="3262">
          <cell r="B3262" t="str">
            <v>Fire Extinguisher - Dry</v>
          </cell>
          <cell r="D3262" t="str">
            <v>Al Mutanabbi Secondary School</v>
          </cell>
          <cell r="H3262" t="str">
            <v>AD</v>
          </cell>
        </row>
        <row r="3263">
          <cell r="B3263" t="str">
            <v>Fire Extinguisher - Dry</v>
          </cell>
          <cell r="D3263" t="str">
            <v>Al Mutanabbi Secondary School</v>
          </cell>
          <cell r="H3263" t="str">
            <v>AD</v>
          </cell>
        </row>
        <row r="3264">
          <cell r="B3264" t="str">
            <v>Fire Extinguisher - Dry</v>
          </cell>
          <cell r="D3264" t="str">
            <v>Al Mutanabbi Secondary School</v>
          </cell>
          <cell r="H3264" t="str">
            <v>AD</v>
          </cell>
        </row>
        <row r="3265">
          <cell r="B3265" t="str">
            <v>Fire Extinguisher - Dry</v>
          </cell>
          <cell r="D3265" t="str">
            <v>Al Mutanabbi Secondary School</v>
          </cell>
          <cell r="H3265" t="str">
            <v>AD</v>
          </cell>
        </row>
        <row r="3266">
          <cell r="B3266" t="str">
            <v>Fire Extinguisher - Dry</v>
          </cell>
          <cell r="D3266" t="str">
            <v>Al Mutanabbi Secondary School</v>
          </cell>
          <cell r="H3266" t="str">
            <v>AD</v>
          </cell>
        </row>
        <row r="3267">
          <cell r="B3267" t="str">
            <v>Fire Extinguisher - Dry</v>
          </cell>
          <cell r="D3267" t="str">
            <v>Al Mutanabbi Secondary School</v>
          </cell>
          <cell r="H3267" t="str">
            <v>AD</v>
          </cell>
        </row>
        <row r="3268">
          <cell r="B3268" t="str">
            <v>Fire Extinguisher - Dry</v>
          </cell>
          <cell r="D3268" t="str">
            <v>Al Mutanabbi Secondary School</v>
          </cell>
          <cell r="H3268" t="str">
            <v>AD</v>
          </cell>
        </row>
        <row r="3269">
          <cell r="B3269" t="str">
            <v>Fire Extinguisher - Dry</v>
          </cell>
          <cell r="D3269" t="str">
            <v>Al Mutanabbi Secondary School</v>
          </cell>
          <cell r="H3269" t="str">
            <v>AD</v>
          </cell>
        </row>
        <row r="3270">
          <cell r="B3270" t="str">
            <v>Fire Extinguisher - Dry</v>
          </cell>
          <cell r="D3270" t="str">
            <v>Al Mutanabbi Secondary School</v>
          </cell>
          <cell r="H3270" t="str">
            <v>AD</v>
          </cell>
        </row>
        <row r="3271">
          <cell r="B3271" t="str">
            <v>Fire Extinguisher - Dry</v>
          </cell>
          <cell r="D3271" t="str">
            <v>Al Mutanabbi Secondary School</v>
          </cell>
          <cell r="H3271" t="str">
            <v>AD</v>
          </cell>
        </row>
        <row r="3272">
          <cell r="B3272" t="str">
            <v>Fire Extinguisher - Dry</v>
          </cell>
          <cell r="D3272" t="str">
            <v>Al Mutanabbi Secondary School</v>
          </cell>
          <cell r="H3272" t="str">
            <v>AD</v>
          </cell>
        </row>
        <row r="3273">
          <cell r="B3273" t="str">
            <v>Fire Extinguisher - Dry</v>
          </cell>
          <cell r="D3273" t="str">
            <v>Al Mutanabbi Secondary School</v>
          </cell>
          <cell r="H3273" t="str">
            <v>AD</v>
          </cell>
        </row>
        <row r="3274">
          <cell r="B3274" t="str">
            <v>Fire Extinguisher - Dry</v>
          </cell>
          <cell r="D3274" t="str">
            <v>Al Mutanabbi Secondary School</v>
          </cell>
          <cell r="H3274" t="str">
            <v>AD</v>
          </cell>
        </row>
        <row r="3275">
          <cell r="B3275" t="str">
            <v>Fire Extinguisher - Dry</v>
          </cell>
          <cell r="D3275" t="str">
            <v>Al Mutanabbi Secondary School</v>
          </cell>
          <cell r="H3275" t="str">
            <v>AD</v>
          </cell>
        </row>
        <row r="3276">
          <cell r="B3276" t="str">
            <v>Fire Extinguisher - Dry</v>
          </cell>
          <cell r="D3276" t="str">
            <v>Al Mutanabbi Secondary School</v>
          </cell>
          <cell r="H3276" t="str">
            <v>AD</v>
          </cell>
        </row>
        <row r="3277">
          <cell r="B3277" t="str">
            <v>Fire Extinguisher - Dry</v>
          </cell>
          <cell r="D3277" t="str">
            <v>Al Mutanabbi Secondary School</v>
          </cell>
          <cell r="H3277" t="str">
            <v>AD</v>
          </cell>
        </row>
        <row r="3278">
          <cell r="B3278" t="str">
            <v>Fire Extinguisher - Dry</v>
          </cell>
          <cell r="D3278" t="str">
            <v>Al Mutanabbi Secondary School</v>
          </cell>
          <cell r="H3278" t="str">
            <v>AD</v>
          </cell>
        </row>
        <row r="3279">
          <cell r="B3279" t="str">
            <v>Fire Extinguisher - Dry</v>
          </cell>
          <cell r="D3279" t="str">
            <v>Al Mutanabbi Secondary School</v>
          </cell>
          <cell r="H3279" t="str">
            <v>AD</v>
          </cell>
        </row>
        <row r="3280">
          <cell r="B3280" t="str">
            <v>Fire Extinguisher - Dry</v>
          </cell>
          <cell r="D3280" t="str">
            <v>Al Mutanabbi Secondary School</v>
          </cell>
          <cell r="H3280" t="str">
            <v>AD</v>
          </cell>
        </row>
        <row r="3281">
          <cell r="B3281" t="str">
            <v>Fire Extinguisher - Dry</v>
          </cell>
          <cell r="D3281" t="str">
            <v>Al Mutanabbi Secondary School</v>
          </cell>
          <cell r="H3281" t="str">
            <v>AD</v>
          </cell>
        </row>
        <row r="3282">
          <cell r="B3282" t="str">
            <v>Fire Extinguisher - Dry</v>
          </cell>
          <cell r="D3282" t="str">
            <v>Al Mutanabbi Secondary School</v>
          </cell>
          <cell r="H3282" t="str">
            <v>AD</v>
          </cell>
        </row>
        <row r="3283">
          <cell r="B3283" t="str">
            <v>Fire Extinguisher - Dry</v>
          </cell>
          <cell r="D3283" t="str">
            <v>Al Mutanabbi Secondary School</v>
          </cell>
          <cell r="H3283" t="str">
            <v>AD</v>
          </cell>
        </row>
        <row r="3284">
          <cell r="B3284" t="str">
            <v>Fire Extinguisher - Dry</v>
          </cell>
          <cell r="D3284" t="str">
            <v>Al Mutanabbi Secondary School</v>
          </cell>
          <cell r="H3284" t="str">
            <v>AD</v>
          </cell>
        </row>
        <row r="3285">
          <cell r="B3285" t="str">
            <v>Fire Extinguisher - Dry</v>
          </cell>
          <cell r="D3285" t="str">
            <v>Al Mutanabbi Secondary School</v>
          </cell>
          <cell r="H3285" t="str">
            <v>AD</v>
          </cell>
        </row>
        <row r="3286">
          <cell r="B3286" t="str">
            <v>Fire Hose Cabinet</v>
          </cell>
          <cell r="D3286" t="str">
            <v>Al Mutanabbi Secondary School</v>
          </cell>
          <cell r="H3286" t="str">
            <v>AD</v>
          </cell>
        </row>
        <row r="3287">
          <cell r="B3287" t="str">
            <v>Fire Hose Cabinet</v>
          </cell>
          <cell r="D3287" t="str">
            <v>Al Mutanabbi Secondary School</v>
          </cell>
          <cell r="H3287" t="str">
            <v>AD</v>
          </cell>
        </row>
        <row r="3288">
          <cell r="B3288" t="str">
            <v>Fire Hose Cabinet</v>
          </cell>
          <cell r="D3288" t="str">
            <v>Al Mutanabbi Secondary School</v>
          </cell>
          <cell r="H3288" t="str">
            <v>AD</v>
          </cell>
        </row>
        <row r="3289">
          <cell r="B3289" t="str">
            <v>Fire Hose Cabinet</v>
          </cell>
          <cell r="D3289" t="str">
            <v>Al Mutanabbi Secondary School</v>
          </cell>
          <cell r="H3289" t="str">
            <v>AD</v>
          </cell>
        </row>
        <row r="3290">
          <cell r="B3290" t="str">
            <v>Fire Hose Cabinet</v>
          </cell>
          <cell r="D3290" t="str">
            <v>Al Mutanabbi Secondary School</v>
          </cell>
          <cell r="H3290" t="str">
            <v>AD</v>
          </cell>
        </row>
        <row r="3291">
          <cell r="B3291" t="str">
            <v>Fire Hose Cabinet</v>
          </cell>
          <cell r="D3291" t="str">
            <v>Al Mutanabbi Secondary School</v>
          </cell>
          <cell r="H3291" t="str">
            <v>AD</v>
          </cell>
        </row>
        <row r="3292">
          <cell r="B3292" t="str">
            <v>Fire Hose Cabinet</v>
          </cell>
          <cell r="D3292" t="str">
            <v>Al Mutanabbi Secondary School</v>
          </cell>
          <cell r="H3292" t="str">
            <v>AD</v>
          </cell>
        </row>
        <row r="3293">
          <cell r="B3293" t="str">
            <v>Fire Hose Cabinet</v>
          </cell>
          <cell r="D3293" t="str">
            <v>Al Mutanabbi Secondary School</v>
          </cell>
          <cell r="H3293" t="str">
            <v>AD</v>
          </cell>
        </row>
        <row r="3294">
          <cell r="B3294" t="str">
            <v>Fire Hose Cabinet</v>
          </cell>
          <cell r="D3294" t="str">
            <v>Al Mutanabbi Secondary School</v>
          </cell>
          <cell r="H3294" t="str">
            <v>AD</v>
          </cell>
        </row>
        <row r="3295">
          <cell r="B3295" t="str">
            <v>Fire Hose Cabinet</v>
          </cell>
          <cell r="D3295" t="str">
            <v>Al Mutanabbi Secondary School</v>
          </cell>
          <cell r="H3295" t="str">
            <v>AD</v>
          </cell>
        </row>
        <row r="3296">
          <cell r="B3296" t="str">
            <v>Fire Hose Cabinet</v>
          </cell>
          <cell r="D3296" t="str">
            <v>Al Mutanabbi Secondary School</v>
          </cell>
          <cell r="H3296" t="str">
            <v>AD</v>
          </cell>
        </row>
        <row r="3297">
          <cell r="B3297" t="str">
            <v>Fire Hose Cabinet</v>
          </cell>
          <cell r="D3297" t="str">
            <v>Al Mutanabbi Secondary School</v>
          </cell>
          <cell r="H3297" t="str">
            <v>AD</v>
          </cell>
        </row>
        <row r="3298">
          <cell r="B3298" t="str">
            <v>Fire Hose Cabinet</v>
          </cell>
          <cell r="D3298" t="str">
            <v>Al Mutanabbi Secondary School</v>
          </cell>
          <cell r="H3298" t="str">
            <v>AD</v>
          </cell>
        </row>
        <row r="3299">
          <cell r="B3299" t="str">
            <v>Fire Hose Cabinet</v>
          </cell>
          <cell r="D3299" t="str">
            <v>Al Mutanabbi Secondary School</v>
          </cell>
          <cell r="H3299" t="str">
            <v>AD</v>
          </cell>
        </row>
        <row r="3300">
          <cell r="B3300" t="str">
            <v>Fire Hose Cabinet</v>
          </cell>
          <cell r="D3300" t="str">
            <v>Al Mutanabbi Secondary School</v>
          </cell>
          <cell r="H3300" t="str">
            <v>AD</v>
          </cell>
        </row>
        <row r="3301">
          <cell r="B3301" t="str">
            <v>Fire Hose Cabinet</v>
          </cell>
          <cell r="D3301" t="str">
            <v>Al Mutanabbi Secondary School</v>
          </cell>
          <cell r="H3301" t="str">
            <v>AD</v>
          </cell>
        </row>
        <row r="3302">
          <cell r="B3302" t="str">
            <v>Fire Hose Cabinet</v>
          </cell>
          <cell r="D3302" t="str">
            <v>Al Mutanabbi Secondary School</v>
          </cell>
          <cell r="H3302" t="str">
            <v>AD</v>
          </cell>
        </row>
        <row r="3303">
          <cell r="B3303" t="str">
            <v>Fire Hose Cabinet</v>
          </cell>
          <cell r="D3303" t="str">
            <v>Al Mutanabbi Secondary School</v>
          </cell>
          <cell r="H3303" t="str">
            <v>AD</v>
          </cell>
        </row>
        <row r="3304">
          <cell r="B3304" t="str">
            <v>Fire Hose Cabinet</v>
          </cell>
          <cell r="D3304" t="str">
            <v>Al Mutanabbi Secondary School</v>
          </cell>
          <cell r="H3304" t="str">
            <v>AD</v>
          </cell>
        </row>
        <row r="3305">
          <cell r="B3305" t="str">
            <v>Fire Hose Cabinet</v>
          </cell>
          <cell r="D3305" t="str">
            <v>Al Mutanabbi Secondary School</v>
          </cell>
          <cell r="H3305" t="str">
            <v>AD</v>
          </cell>
        </row>
        <row r="3306">
          <cell r="B3306" t="str">
            <v>Fire Hose Cabinet</v>
          </cell>
          <cell r="D3306" t="str">
            <v>Al Mutanabbi Secondary School</v>
          </cell>
          <cell r="H3306" t="str">
            <v>AD</v>
          </cell>
        </row>
        <row r="3307">
          <cell r="B3307" t="str">
            <v>Fire Hose Cabinet</v>
          </cell>
          <cell r="D3307" t="str">
            <v>Al Mutanabbi Secondary School</v>
          </cell>
          <cell r="H3307" t="str">
            <v>AD</v>
          </cell>
        </row>
        <row r="3308">
          <cell r="B3308" t="str">
            <v>Fire Hose Cabinet</v>
          </cell>
          <cell r="D3308" t="str">
            <v>Al Mutanabbi Secondary School</v>
          </cell>
          <cell r="H3308" t="str">
            <v>AD</v>
          </cell>
        </row>
        <row r="3309">
          <cell r="B3309" t="str">
            <v>Fire Hose Cabinet</v>
          </cell>
          <cell r="D3309" t="str">
            <v>Al Mutanabbi Secondary School</v>
          </cell>
          <cell r="H3309" t="str">
            <v>AD</v>
          </cell>
        </row>
        <row r="3310">
          <cell r="B3310" t="str">
            <v>Fire Hose Cabinet</v>
          </cell>
          <cell r="D3310" t="str">
            <v>Al Mutanabbi Secondary School</v>
          </cell>
          <cell r="H3310" t="str">
            <v>AD</v>
          </cell>
        </row>
        <row r="3311">
          <cell r="B3311" t="str">
            <v>Fire Hose Cabinet</v>
          </cell>
          <cell r="D3311" t="str">
            <v>Al Mutanabbi Secondary School</v>
          </cell>
          <cell r="H3311" t="str">
            <v>AD</v>
          </cell>
        </row>
        <row r="3312">
          <cell r="B3312" t="str">
            <v>Fire Hose Cabinet</v>
          </cell>
          <cell r="D3312" t="str">
            <v>Al Mutanabbi Secondary School</v>
          </cell>
          <cell r="H3312" t="str">
            <v>AD</v>
          </cell>
        </row>
        <row r="3313">
          <cell r="B3313" t="str">
            <v>Fire Hose Cabinet</v>
          </cell>
          <cell r="D3313" t="str">
            <v>Al Mutanabbi Secondary School</v>
          </cell>
          <cell r="H3313" t="str">
            <v>AD</v>
          </cell>
        </row>
        <row r="3314">
          <cell r="B3314" t="str">
            <v>Fire Hose Cabinet</v>
          </cell>
          <cell r="D3314" t="str">
            <v>Al Mutanabbi Secondary School</v>
          </cell>
          <cell r="H3314" t="str">
            <v>AD</v>
          </cell>
        </row>
        <row r="3315">
          <cell r="B3315" t="str">
            <v>Fire Hose Reel</v>
          </cell>
          <cell r="D3315" t="str">
            <v>Al Mutanabbi Secondary School</v>
          </cell>
          <cell r="H3315" t="str">
            <v>AD</v>
          </cell>
        </row>
        <row r="3316">
          <cell r="B3316" t="str">
            <v>Fire Hose Reel</v>
          </cell>
          <cell r="D3316" t="str">
            <v>Al Mutanabbi Secondary School</v>
          </cell>
          <cell r="H3316" t="str">
            <v>AD</v>
          </cell>
        </row>
        <row r="3317">
          <cell r="B3317" t="str">
            <v>Fire Hose Reel</v>
          </cell>
          <cell r="D3317" t="str">
            <v>Al Mutanabbi Secondary School</v>
          </cell>
          <cell r="H3317" t="str">
            <v>AD</v>
          </cell>
        </row>
        <row r="3318">
          <cell r="B3318" t="str">
            <v>Fire Hose Reel</v>
          </cell>
          <cell r="D3318" t="str">
            <v>Al Mutanabbi Secondary School</v>
          </cell>
          <cell r="H3318" t="str">
            <v>AD</v>
          </cell>
        </row>
        <row r="3319">
          <cell r="B3319" t="str">
            <v>Fire Hose Reel</v>
          </cell>
          <cell r="D3319" t="str">
            <v>Al Mutanabbi Secondary School</v>
          </cell>
          <cell r="H3319" t="str">
            <v>AD</v>
          </cell>
        </row>
        <row r="3320">
          <cell r="B3320" t="str">
            <v>Fire Hose Reel</v>
          </cell>
          <cell r="D3320" t="str">
            <v>Al Mutanabbi Secondary School</v>
          </cell>
          <cell r="H3320" t="str">
            <v>AD</v>
          </cell>
        </row>
        <row r="3321">
          <cell r="B3321" t="str">
            <v>Fire Hose Reel</v>
          </cell>
          <cell r="D3321" t="str">
            <v>Al Mutanabbi Secondary School</v>
          </cell>
          <cell r="H3321" t="str">
            <v>AD</v>
          </cell>
        </row>
        <row r="3322">
          <cell r="B3322" t="str">
            <v>Fire Hose Reel</v>
          </cell>
          <cell r="D3322" t="str">
            <v>Al Mutanabbi Secondary School</v>
          </cell>
          <cell r="H3322" t="str">
            <v>AD</v>
          </cell>
        </row>
        <row r="3323">
          <cell r="B3323" t="str">
            <v>Fire Hose Reel</v>
          </cell>
          <cell r="D3323" t="str">
            <v>Al Mutanabbi Secondary School</v>
          </cell>
          <cell r="H3323" t="str">
            <v>AD</v>
          </cell>
        </row>
        <row r="3324">
          <cell r="B3324" t="str">
            <v>Fire Hose Reel</v>
          </cell>
          <cell r="D3324" t="str">
            <v>Al Mutanabbi Secondary School</v>
          </cell>
          <cell r="H3324" t="str">
            <v>AD</v>
          </cell>
        </row>
        <row r="3325">
          <cell r="B3325" t="str">
            <v>Fire Hose Reel</v>
          </cell>
          <cell r="D3325" t="str">
            <v>Al Mutanabbi Secondary School</v>
          </cell>
          <cell r="H3325" t="str">
            <v>AD</v>
          </cell>
        </row>
        <row r="3326">
          <cell r="B3326" t="str">
            <v>Fire Hose Reel</v>
          </cell>
          <cell r="D3326" t="str">
            <v>Al Mutanabbi Secondary School</v>
          </cell>
          <cell r="H3326" t="str">
            <v>AD</v>
          </cell>
        </row>
        <row r="3327">
          <cell r="B3327" t="str">
            <v>Fire Hose Reel</v>
          </cell>
          <cell r="D3327" t="str">
            <v>Al Mutanabbi Secondary School</v>
          </cell>
          <cell r="H3327" t="str">
            <v>AD</v>
          </cell>
        </row>
        <row r="3328">
          <cell r="B3328" t="str">
            <v>Fire Hose Reel</v>
          </cell>
          <cell r="D3328" t="str">
            <v>Al Mutanabbi Secondary School</v>
          </cell>
          <cell r="H3328" t="str">
            <v>AD</v>
          </cell>
        </row>
        <row r="3329">
          <cell r="B3329" t="str">
            <v>Fire Hose Reel</v>
          </cell>
          <cell r="D3329" t="str">
            <v>Al Mutanabbi Secondary School</v>
          </cell>
          <cell r="H3329" t="str">
            <v>AD</v>
          </cell>
        </row>
        <row r="3330">
          <cell r="B3330" t="str">
            <v>Fire Hose Reel</v>
          </cell>
          <cell r="D3330" t="str">
            <v>Al Mutanabbi Secondary School</v>
          </cell>
          <cell r="H3330" t="str">
            <v>AD</v>
          </cell>
        </row>
        <row r="3331">
          <cell r="B3331" t="str">
            <v>Fire Hose Reel</v>
          </cell>
          <cell r="D3331" t="str">
            <v>Al Mutanabbi Secondary School</v>
          </cell>
          <cell r="H3331" t="str">
            <v>AD</v>
          </cell>
        </row>
        <row r="3332">
          <cell r="B3332" t="str">
            <v>Fire Hose Reel</v>
          </cell>
          <cell r="D3332" t="str">
            <v>Al Mutanabbi Secondary School</v>
          </cell>
          <cell r="H3332" t="str">
            <v>AD</v>
          </cell>
        </row>
        <row r="3333">
          <cell r="B3333" t="str">
            <v>Fire Hose Reel</v>
          </cell>
          <cell r="D3333" t="str">
            <v>Al Mutanabbi Secondary School</v>
          </cell>
          <cell r="H3333" t="str">
            <v>AD</v>
          </cell>
        </row>
        <row r="3334">
          <cell r="B3334" t="str">
            <v>Fire Hose Reel</v>
          </cell>
          <cell r="D3334" t="str">
            <v>Al Mutanabbi Secondary School</v>
          </cell>
          <cell r="H3334" t="str">
            <v>AD</v>
          </cell>
        </row>
        <row r="3335">
          <cell r="B3335" t="str">
            <v>Fire Hose Reel</v>
          </cell>
          <cell r="D3335" t="str">
            <v>Al Mutanabbi Secondary School</v>
          </cell>
          <cell r="H3335" t="str">
            <v>AD</v>
          </cell>
        </row>
        <row r="3336">
          <cell r="B3336" t="str">
            <v>Fire Hose Reel</v>
          </cell>
          <cell r="D3336" t="str">
            <v>Al Mutanabbi Secondary School</v>
          </cell>
          <cell r="H3336" t="str">
            <v>AD</v>
          </cell>
        </row>
        <row r="3337">
          <cell r="B3337" t="str">
            <v>Fire Hose Reel</v>
          </cell>
          <cell r="D3337" t="str">
            <v>Al Mutanabbi Secondary School</v>
          </cell>
          <cell r="H3337" t="str">
            <v>AD</v>
          </cell>
        </row>
        <row r="3338">
          <cell r="B3338" t="str">
            <v>Fire Hose Reel</v>
          </cell>
          <cell r="D3338" t="str">
            <v>Al Mutanabbi Secondary School</v>
          </cell>
          <cell r="H3338" t="str">
            <v>AD</v>
          </cell>
        </row>
        <row r="3339">
          <cell r="B3339" t="str">
            <v>Fire Hose Reel</v>
          </cell>
          <cell r="D3339" t="str">
            <v>Al Mutanabbi Secondary School</v>
          </cell>
          <cell r="H3339" t="str">
            <v>AD</v>
          </cell>
        </row>
        <row r="3340">
          <cell r="B3340" t="str">
            <v>Fire Hose Reel</v>
          </cell>
          <cell r="D3340" t="str">
            <v>Al Mutanabbi Secondary School</v>
          </cell>
          <cell r="H3340" t="str">
            <v>AD</v>
          </cell>
        </row>
        <row r="3341">
          <cell r="B3341" t="str">
            <v>Fire Hose Reel</v>
          </cell>
          <cell r="D3341" t="str">
            <v>Al Mutanabbi Secondary School</v>
          </cell>
          <cell r="H3341" t="str">
            <v>AD</v>
          </cell>
        </row>
        <row r="3342">
          <cell r="B3342" t="str">
            <v>Fire Hose Reel</v>
          </cell>
          <cell r="D3342" t="str">
            <v>Al Mutanabbi Secondary School</v>
          </cell>
          <cell r="H3342" t="str">
            <v>AD</v>
          </cell>
        </row>
        <row r="3343">
          <cell r="B3343" t="str">
            <v>Fire Hose Reel</v>
          </cell>
          <cell r="D3343" t="str">
            <v>Al Mutanabbi Secondary School</v>
          </cell>
          <cell r="H3343" t="str">
            <v>AD</v>
          </cell>
        </row>
        <row r="3344">
          <cell r="B3344" t="str">
            <v>Fire Hose Reel</v>
          </cell>
          <cell r="D3344" t="str">
            <v>Al Mutanabbi Secondary School</v>
          </cell>
          <cell r="H3344" t="str">
            <v>AD</v>
          </cell>
        </row>
        <row r="3345">
          <cell r="B3345" t="str">
            <v>Fire Hose Reel Cabinet</v>
          </cell>
          <cell r="D3345" t="str">
            <v>Al Mutanabbi Secondary School</v>
          </cell>
          <cell r="H3345" t="str">
            <v>AD</v>
          </cell>
        </row>
        <row r="3346">
          <cell r="B3346" t="str">
            <v>FireBeam Manual Reset</v>
          </cell>
          <cell r="D3346" t="str">
            <v>Al Mutanabbi Secondary School</v>
          </cell>
          <cell r="H3346" t="str">
            <v>AD</v>
          </cell>
        </row>
        <row r="3347">
          <cell r="B3347" t="str">
            <v>Fire Extinguisher - Dry</v>
          </cell>
          <cell r="D3347" t="str">
            <v>Al Mutanabbi Secondary School</v>
          </cell>
          <cell r="H3347" t="str">
            <v>AD</v>
          </cell>
        </row>
        <row r="3348">
          <cell r="B3348" t="str">
            <v>FM200 Discharger</v>
          </cell>
          <cell r="D3348" t="str">
            <v>Al Mutanabbi Secondary School</v>
          </cell>
          <cell r="H3348" t="str">
            <v>AD</v>
          </cell>
        </row>
        <row r="3349">
          <cell r="B3349" t="str">
            <v>Gas Detection System</v>
          </cell>
          <cell r="D3349" t="str">
            <v>Al Mutanabbi Secondary School</v>
          </cell>
          <cell r="H3349" t="str">
            <v>AD</v>
          </cell>
        </row>
        <row r="3350">
          <cell r="B3350" t="str">
            <v>Gas Detection System</v>
          </cell>
          <cell r="D3350" t="str">
            <v>Al Mutanabbi Secondary School</v>
          </cell>
          <cell r="H3350" t="str">
            <v>AD</v>
          </cell>
        </row>
        <row r="3351">
          <cell r="B3351" t="str">
            <v>Gas Detection System</v>
          </cell>
          <cell r="D3351" t="str">
            <v>Al Mutanabbi Secondary School</v>
          </cell>
          <cell r="H3351" t="str">
            <v>AD</v>
          </cell>
        </row>
        <row r="3352">
          <cell r="B3352" t="str">
            <v>Gas Detection System</v>
          </cell>
          <cell r="D3352" t="str">
            <v>Al Mutanabbi Secondary School</v>
          </cell>
          <cell r="H3352" t="str">
            <v>AD</v>
          </cell>
        </row>
        <row r="3353">
          <cell r="B3353" t="str">
            <v>Gas Detection System</v>
          </cell>
          <cell r="D3353" t="str">
            <v>Al Mutanabbi Secondary School</v>
          </cell>
          <cell r="H3353" t="str">
            <v>AD</v>
          </cell>
        </row>
        <row r="3354">
          <cell r="B3354" t="str">
            <v>Gas Detection System</v>
          </cell>
          <cell r="D3354" t="str">
            <v>Al Mutanabbi Secondary School</v>
          </cell>
          <cell r="H3354" t="str">
            <v>AD</v>
          </cell>
        </row>
        <row r="3355">
          <cell r="B3355" t="str">
            <v>Smoke Detector &amp; Heat Detector</v>
          </cell>
          <cell r="D3355" t="str">
            <v>Al Mutanabbi Secondary School</v>
          </cell>
          <cell r="H3355" t="str">
            <v>AD</v>
          </cell>
        </row>
        <row r="3356">
          <cell r="B3356" t="str">
            <v>Smoke Detector &amp; Heat Detector</v>
          </cell>
          <cell r="D3356" t="str">
            <v>Al Mutanabbi Secondary School</v>
          </cell>
          <cell r="H3356" t="str">
            <v>AD</v>
          </cell>
        </row>
        <row r="3357">
          <cell r="B3357" t="str">
            <v>Smoke Detector &amp; Heat Detector</v>
          </cell>
          <cell r="D3357" t="str">
            <v>Al Mutanabbi Secondary School</v>
          </cell>
          <cell r="H3357" t="str">
            <v>AD</v>
          </cell>
        </row>
        <row r="3358">
          <cell r="B3358" t="str">
            <v>Smoke Detector &amp; Heat Detector</v>
          </cell>
          <cell r="D3358" t="str">
            <v>Al Mutanabbi Secondary School</v>
          </cell>
          <cell r="H3358" t="str">
            <v>AD</v>
          </cell>
        </row>
        <row r="3359">
          <cell r="B3359" t="str">
            <v>Smoke Detector &amp; Heat Detector</v>
          </cell>
          <cell r="D3359" t="str">
            <v>Al Mutanabbi Secondary School</v>
          </cell>
          <cell r="H3359" t="str">
            <v>AD</v>
          </cell>
        </row>
        <row r="3360">
          <cell r="B3360" t="str">
            <v>Smoke Detector &amp; Heat Detector</v>
          </cell>
          <cell r="D3360" t="str">
            <v>Al Mutanabbi Secondary School</v>
          </cell>
          <cell r="H3360" t="str">
            <v>AD</v>
          </cell>
        </row>
        <row r="3361">
          <cell r="B3361" t="str">
            <v>Smoke Detector &amp; Heat Detector</v>
          </cell>
          <cell r="D3361" t="str">
            <v>Al Mutanabbi Secondary School</v>
          </cell>
          <cell r="H3361" t="str">
            <v>AD</v>
          </cell>
        </row>
        <row r="3362">
          <cell r="B3362" t="str">
            <v>Smoke Detector &amp; Heat Detector</v>
          </cell>
          <cell r="D3362" t="str">
            <v>Al Mutanabbi Secondary School</v>
          </cell>
          <cell r="H3362" t="str">
            <v>AD</v>
          </cell>
        </row>
        <row r="3363">
          <cell r="B3363" t="str">
            <v>Smoke Detector &amp; Heat Detector</v>
          </cell>
          <cell r="D3363" t="str">
            <v>Al Mutanabbi Secondary School</v>
          </cell>
          <cell r="H3363" t="str">
            <v>AD</v>
          </cell>
        </row>
        <row r="3364">
          <cell r="B3364" t="str">
            <v>Smoke Detector &amp; Heat Detector</v>
          </cell>
          <cell r="D3364" t="str">
            <v>Al Mutanabbi Secondary School</v>
          </cell>
          <cell r="H3364" t="str">
            <v>AD</v>
          </cell>
        </row>
        <row r="3365">
          <cell r="B3365" t="str">
            <v>Smoke Detector &amp; Heat Detector</v>
          </cell>
          <cell r="D3365" t="str">
            <v>Al Mutanabbi Secondary School</v>
          </cell>
          <cell r="H3365" t="str">
            <v>AD</v>
          </cell>
        </row>
        <row r="3366">
          <cell r="B3366" t="str">
            <v>Smoke Detector &amp; Heat Detector</v>
          </cell>
          <cell r="D3366" t="str">
            <v>Al Mutanabbi Secondary School</v>
          </cell>
          <cell r="H3366" t="str">
            <v>AD</v>
          </cell>
        </row>
        <row r="3367">
          <cell r="B3367" t="str">
            <v>Smoke Detector &amp; Heat Detector</v>
          </cell>
          <cell r="D3367" t="str">
            <v>Al Mutanabbi Secondary School</v>
          </cell>
          <cell r="H3367" t="str">
            <v>AD</v>
          </cell>
        </row>
        <row r="3368">
          <cell r="B3368" t="str">
            <v>Smoke Detector &amp; Heat Detector</v>
          </cell>
          <cell r="D3368" t="str">
            <v>Al Mutanabbi Secondary School</v>
          </cell>
          <cell r="H3368" t="str">
            <v>AD</v>
          </cell>
        </row>
        <row r="3369">
          <cell r="B3369" t="str">
            <v>Smoke Detector &amp; Heat Detector</v>
          </cell>
          <cell r="D3369" t="str">
            <v>Al Mutanabbi Secondary School</v>
          </cell>
          <cell r="H3369" t="str">
            <v>AD</v>
          </cell>
        </row>
        <row r="3370">
          <cell r="B3370" t="str">
            <v>Smoke Detector &amp; Heat Detector</v>
          </cell>
          <cell r="D3370" t="str">
            <v>Al Mutanabbi Secondary School</v>
          </cell>
          <cell r="H3370" t="str">
            <v>AD</v>
          </cell>
        </row>
        <row r="3371">
          <cell r="B3371" t="str">
            <v>Smoke Detector &amp; Heat Detector</v>
          </cell>
          <cell r="D3371" t="str">
            <v>Al Mutanabbi Secondary School</v>
          </cell>
          <cell r="H3371" t="str">
            <v>AD</v>
          </cell>
        </row>
        <row r="3372">
          <cell r="B3372" t="str">
            <v>Smoke Detector &amp; Heat Detector</v>
          </cell>
          <cell r="D3372" t="str">
            <v>Al Mutanabbi Secondary School</v>
          </cell>
          <cell r="H3372" t="str">
            <v>AD</v>
          </cell>
        </row>
        <row r="3373">
          <cell r="B3373" t="str">
            <v>Smoke Detector &amp; Heat Detector</v>
          </cell>
          <cell r="D3373" t="str">
            <v>Al Mutanabbi Secondary School</v>
          </cell>
          <cell r="H3373" t="str">
            <v>AD</v>
          </cell>
        </row>
        <row r="3374">
          <cell r="B3374" t="str">
            <v>Smoke Detector &amp; Heat Detector</v>
          </cell>
          <cell r="D3374" t="str">
            <v>Al Mutanabbi Secondary School</v>
          </cell>
          <cell r="H3374" t="str">
            <v>AD</v>
          </cell>
        </row>
        <row r="3375">
          <cell r="B3375" t="str">
            <v>Smoke Detector &amp; Heat Detector</v>
          </cell>
          <cell r="D3375" t="str">
            <v>Al Mutanabbi Secondary School</v>
          </cell>
          <cell r="H3375" t="str">
            <v>AD</v>
          </cell>
        </row>
        <row r="3376">
          <cell r="B3376" t="str">
            <v>Smoke Detector &amp; Heat Detector</v>
          </cell>
          <cell r="D3376" t="str">
            <v>Al Mutanabbi Secondary School</v>
          </cell>
          <cell r="H3376" t="str">
            <v>AD</v>
          </cell>
        </row>
        <row r="3377">
          <cell r="B3377" t="str">
            <v>Smoke Detector &amp; Heat Detector</v>
          </cell>
          <cell r="D3377" t="str">
            <v>Al Mutanabbi Secondary School</v>
          </cell>
          <cell r="H3377" t="str">
            <v>AD</v>
          </cell>
        </row>
        <row r="3378">
          <cell r="B3378" t="str">
            <v>Smoke Detector &amp; Heat Detector</v>
          </cell>
          <cell r="D3378" t="str">
            <v>Al Mutanabbi Secondary School</v>
          </cell>
          <cell r="H3378" t="str">
            <v>AD</v>
          </cell>
        </row>
        <row r="3379">
          <cell r="B3379" t="str">
            <v>Smoke Detector &amp; Heat Detector</v>
          </cell>
          <cell r="D3379" t="str">
            <v>Al Mutanabbi Secondary School</v>
          </cell>
          <cell r="H3379" t="str">
            <v>AD</v>
          </cell>
        </row>
        <row r="3380">
          <cell r="B3380" t="str">
            <v>Smoke Detector &amp; Heat Detector</v>
          </cell>
          <cell r="D3380" t="str">
            <v>Al Mutanabbi Secondary School</v>
          </cell>
          <cell r="H3380" t="str">
            <v>AD</v>
          </cell>
        </row>
        <row r="3381">
          <cell r="B3381" t="str">
            <v>Smoke Detector &amp; Heat Detector</v>
          </cell>
          <cell r="D3381" t="str">
            <v>Al Mutanabbi Secondary School</v>
          </cell>
          <cell r="H3381" t="str">
            <v>AD</v>
          </cell>
        </row>
        <row r="3382">
          <cell r="B3382" t="str">
            <v>Smoke Detector &amp; Heat Detector</v>
          </cell>
          <cell r="D3382" t="str">
            <v>Al Mutanabbi Secondary School</v>
          </cell>
          <cell r="H3382" t="str">
            <v>AD</v>
          </cell>
        </row>
        <row r="3383">
          <cell r="B3383" t="str">
            <v>Smoke Detector &amp; Heat Detector</v>
          </cell>
          <cell r="D3383" t="str">
            <v>Al Mutanabbi Secondary School</v>
          </cell>
          <cell r="H3383" t="str">
            <v>AD</v>
          </cell>
        </row>
        <row r="3384">
          <cell r="B3384" t="str">
            <v>Smoke Detector &amp; Heat Detector</v>
          </cell>
          <cell r="D3384" t="str">
            <v>Al Mutanabbi Secondary School</v>
          </cell>
          <cell r="H3384" t="str">
            <v>AD</v>
          </cell>
        </row>
        <row r="3385">
          <cell r="B3385" t="str">
            <v>Smoke Detector &amp; Heat Detector</v>
          </cell>
          <cell r="D3385" t="str">
            <v>Al Mutanabbi Secondary School</v>
          </cell>
          <cell r="H3385" t="str">
            <v>AD</v>
          </cell>
        </row>
        <row r="3386">
          <cell r="B3386" t="str">
            <v>Smoke Detector &amp; Heat Detector</v>
          </cell>
          <cell r="D3386" t="str">
            <v>Al Mutanabbi Secondary School</v>
          </cell>
          <cell r="H3386" t="str">
            <v>AD</v>
          </cell>
        </row>
        <row r="3387">
          <cell r="B3387" t="str">
            <v>Smoke Detector &amp; Heat Detector</v>
          </cell>
          <cell r="D3387" t="str">
            <v>Al Mutanabbi Secondary School</v>
          </cell>
          <cell r="H3387" t="str">
            <v>AD</v>
          </cell>
        </row>
        <row r="3388">
          <cell r="B3388" t="str">
            <v>Smoke Detector &amp; Heat Detector</v>
          </cell>
          <cell r="D3388" t="str">
            <v>Al Mutanabbi Secondary School</v>
          </cell>
          <cell r="H3388" t="str">
            <v>AD</v>
          </cell>
        </row>
        <row r="3389">
          <cell r="B3389" t="str">
            <v>Smoke Detector &amp; Heat Detector</v>
          </cell>
          <cell r="D3389" t="str">
            <v>Al Mutanabbi Secondary School</v>
          </cell>
          <cell r="H3389" t="str">
            <v>AD</v>
          </cell>
        </row>
        <row r="3390">
          <cell r="B3390" t="str">
            <v>Smoke Detector &amp; Heat Detector</v>
          </cell>
          <cell r="D3390" t="str">
            <v>Al Mutanabbi Secondary School</v>
          </cell>
          <cell r="H3390" t="str">
            <v>AD</v>
          </cell>
        </row>
        <row r="3391">
          <cell r="B3391" t="str">
            <v>Smoke Detector &amp; Heat Detector</v>
          </cell>
          <cell r="D3391" t="str">
            <v>Al Mutanabbi Secondary School</v>
          </cell>
          <cell r="H3391" t="str">
            <v>AD</v>
          </cell>
        </row>
        <row r="3392">
          <cell r="B3392" t="str">
            <v>Smoke Detector &amp; Heat Detector</v>
          </cell>
          <cell r="D3392" t="str">
            <v>Al Mutanabbi Secondary School</v>
          </cell>
          <cell r="H3392" t="str">
            <v>AD</v>
          </cell>
        </row>
        <row r="3393">
          <cell r="B3393" t="str">
            <v>Smoke Detector &amp; Heat Detector</v>
          </cell>
          <cell r="D3393" t="str">
            <v>Al Mutanabbi Secondary School</v>
          </cell>
          <cell r="H3393" t="str">
            <v>AD</v>
          </cell>
        </row>
        <row r="3394">
          <cell r="B3394" t="str">
            <v>Smoke Detector &amp; Heat Detector</v>
          </cell>
          <cell r="D3394" t="str">
            <v>Al Mutanabbi Secondary School</v>
          </cell>
          <cell r="H3394" t="str">
            <v>AD</v>
          </cell>
        </row>
        <row r="3395">
          <cell r="B3395" t="str">
            <v>Smoke Detector &amp; Heat Detector</v>
          </cell>
          <cell r="D3395" t="str">
            <v>Al Mutanabbi Secondary School</v>
          </cell>
          <cell r="H3395" t="str">
            <v>AD</v>
          </cell>
        </row>
        <row r="3396">
          <cell r="B3396" t="str">
            <v>Smoke Detector &amp; Heat Detector</v>
          </cell>
          <cell r="D3396" t="str">
            <v>Al Mutanabbi Secondary School</v>
          </cell>
          <cell r="H3396" t="str">
            <v>AD</v>
          </cell>
        </row>
        <row r="3397">
          <cell r="B3397" t="str">
            <v>Smoke Detector &amp; Heat Detector</v>
          </cell>
          <cell r="D3397" t="str">
            <v>Al Mutanabbi Secondary School</v>
          </cell>
          <cell r="H3397" t="str">
            <v>AD</v>
          </cell>
        </row>
        <row r="3398">
          <cell r="B3398" t="str">
            <v>Smoke Detector &amp; Heat Detector</v>
          </cell>
          <cell r="D3398" t="str">
            <v>Al Mutanabbi Secondary School</v>
          </cell>
          <cell r="H3398" t="str">
            <v>AD</v>
          </cell>
        </row>
        <row r="3399">
          <cell r="B3399" t="str">
            <v>Smoke Detector &amp; Heat Detector</v>
          </cell>
          <cell r="D3399" t="str">
            <v>Al Mutanabbi Secondary School</v>
          </cell>
          <cell r="H3399" t="str">
            <v>AD</v>
          </cell>
        </row>
        <row r="3400">
          <cell r="B3400" t="str">
            <v>Smoke Detector &amp; Heat Detector</v>
          </cell>
          <cell r="D3400" t="str">
            <v>Al Mutanabbi Secondary School</v>
          </cell>
          <cell r="H3400" t="str">
            <v>AD</v>
          </cell>
        </row>
        <row r="3401">
          <cell r="B3401" t="str">
            <v>Water Tank</v>
          </cell>
          <cell r="D3401" t="str">
            <v>Al Mutanabbi Secondary School</v>
          </cell>
          <cell r="H3401" t="str">
            <v>AD</v>
          </cell>
        </row>
        <row r="3402">
          <cell r="B3402" t="str">
            <v>Water Tank</v>
          </cell>
          <cell r="D3402" t="str">
            <v>Al Mutanabbi Secondary School</v>
          </cell>
          <cell r="H3402" t="str">
            <v>AD</v>
          </cell>
        </row>
        <row r="3403">
          <cell r="B3403" t="str">
            <v>Fire Alarm Break Glass Call Point</v>
          </cell>
          <cell r="D3403" t="str">
            <v>Al Nassr KG</v>
          </cell>
          <cell r="H3403" t="str">
            <v>AD</v>
          </cell>
        </row>
        <row r="3404">
          <cell r="B3404" t="str">
            <v>Fire Alarm Break Glass Call Point</v>
          </cell>
          <cell r="D3404" t="str">
            <v>Al Nassr KG</v>
          </cell>
          <cell r="H3404" t="str">
            <v>AD</v>
          </cell>
        </row>
        <row r="3405">
          <cell r="B3405" t="str">
            <v>Fire Alarm Break Glass Call Point</v>
          </cell>
          <cell r="D3405" t="str">
            <v>Al Nassr KG</v>
          </cell>
          <cell r="H3405" t="str">
            <v>AD</v>
          </cell>
        </row>
        <row r="3406">
          <cell r="B3406" t="str">
            <v>Fire Alarm Break Glass Call Point</v>
          </cell>
          <cell r="D3406" t="str">
            <v>Al Nassr KG</v>
          </cell>
          <cell r="H3406" t="str">
            <v>AD</v>
          </cell>
        </row>
        <row r="3407">
          <cell r="B3407" t="str">
            <v>Fire Alarm Break Glass Call Point</v>
          </cell>
          <cell r="D3407" t="str">
            <v>Al Nassr KG</v>
          </cell>
          <cell r="H3407" t="str">
            <v>AD</v>
          </cell>
        </row>
        <row r="3408">
          <cell r="B3408" t="str">
            <v>Fire Alarm Break Glass Call Point</v>
          </cell>
          <cell r="D3408" t="str">
            <v>Al Nassr KG</v>
          </cell>
          <cell r="H3408" t="str">
            <v>AD</v>
          </cell>
        </row>
        <row r="3409">
          <cell r="B3409" t="str">
            <v>Fire Alarm Panel</v>
          </cell>
          <cell r="D3409" t="str">
            <v>Al Nassr KG</v>
          </cell>
          <cell r="H3409" t="str">
            <v>AD</v>
          </cell>
        </row>
        <row r="3410">
          <cell r="B3410" t="str">
            <v>Fire Alarm Panel</v>
          </cell>
          <cell r="D3410" t="str">
            <v>Al Nassr KG</v>
          </cell>
          <cell r="H3410" t="str">
            <v>AD</v>
          </cell>
        </row>
        <row r="3411">
          <cell r="B3411" t="str">
            <v>Fire Alarm Sounder, Bell, Light</v>
          </cell>
          <cell r="D3411" t="str">
            <v>Al Nassr KG</v>
          </cell>
          <cell r="H3411" t="str">
            <v>AD</v>
          </cell>
        </row>
        <row r="3412">
          <cell r="B3412" t="str">
            <v>Fire Alarm Sounder, Bell, Light</v>
          </cell>
          <cell r="D3412" t="str">
            <v>Al Nassr KG</v>
          </cell>
          <cell r="H3412" t="str">
            <v>AD</v>
          </cell>
        </row>
        <row r="3413">
          <cell r="B3413" t="str">
            <v>Fire Alarm Sounder, Bell, Light</v>
          </cell>
          <cell r="D3413" t="str">
            <v>Al Nassr KG</v>
          </cell>
          <cell r="H3413" t="str">
            <v>AD</v>
          </cell>
        </row>
        <row r="3414">
          <cell r="B3414" t="str">
            <v>Fire Alarm Sounder, Bell, Light</v>
          </cell>
          <cell r="D3414" t="str">
            <v>Al Nassr KG</v>
          </cell>
          <cell r="H3414" t="str">
            <v>AD</v>
          </cell>
        </row>
        <row r="3415">
          <cell r="B3415" t="str">
            <v>Fire Alarm Sounder, Bell, Light</v>
          </cell>
          <cell r="D3415" t="str">
            <v>Al Nassr KG</v>
          </cell>
          <cell r="H3415" t="str">
            <v>AD</v>
          </cell>
        </row>
        <row r="3416">
          <cell r="B3416" t="str">
            <v>Fire Alarm Sounder, Bell, Light</v>
          </cell>
          <cell r="D3416" t="str">
            <v>Al Nassr KG</v>
          </cell>
          <cell r="H3416" t="str">
            <v>AD</v>
          </cell>
        </row>
        <row r="3417">
          <cell r="B3417" t="str">
            <v>Fire Alarm Sounder, Bell, Light</v>
          </cell>
          <cell r="D3417" t="str">
            <v>Al Nassr KG</v>
          </cell>
          <cell r="H3417" t="str">
            <v>AD</v>
          </cell>
        </row>
        <row r="3418">
          <cell r="B3418" t="str">
            <v>Fire Alarm Sounder, Bell, Light</v>
          </cell>
          <cell r="D3418" t="str">
            <v>Al Nassr KG</v>
          </cell>
          <cell r="H3418" t="str">
            <v>AD</v>
          </cell>
        </row>
        <row r="3419">
          <cell r="B3419" t="str">
            <v>Fire Alarm Sounder, Bell, Light</v>
          </cell>
          <cell r="D3419" t="str">
            <v>Al Nassr KG</v>
          </cell>
          <cell r="H3419" t="str">
            <v>AD</v>
          </cell>
        </row>
        <row r="3420">
          <cell r="B3420" t="str">
            <v>Fire Alarm Sounder, Bell, Light</v>
          </cell>
          <cell r="D3420" t="str">
            <v>Al Nassr KG</v>
          </cell>
          <cell r="H3420" t="str">
            <v>AD</v>
          </cell>
        </row>
        <row r="3421">
          <cell r="B3421" t="str">
            <v>Fire Alarm Sounder, Bell, Light</v>
          </cell>
          <cell r="D3421" t="str">
            <v>Al Nassr KG</v>
          </cell>
          <cell r="H3421" t="str">
            <v>AD</v>
          </cell>
        </row>
        <row r="3422">
          <cell r="B3422" t="str">
            <v>Fire Alarm Sounder, Bell, Light</v>
          </cell>
          <cell r="D3422" t="str">
            <v>Al Nassr KG</v>
          </cell>
          <cell r="H3422" t="str">
            <v>AD</v>
          </cell>
        </row>
        <row r="3423">
          <cell r="B3423" t="str">
            <v>Fire Alarm Sounder, Bell, Light</v>
          </cell>
          <cell r="D3423" t="str">
            <v>Al Nassr KG</v>
          </cell>
          <cell r="H3423" t="str">
            <v>AD</v>
          </cell>
        </row>
        <row r="3424">
          <cell r="B3424" t="str">
            <v>Fire Alarm Sounder, Bell, Light</v>
          </cell>
          <cell r="D3424" t="str">
            <v>Al Nassr KG</v>
          </cell>
          <cell r="H3424" t="str">
            <v>AD</v>
          </cell>
        </row>
        <row r="3425">
          <cell r="B3425" t="str">
            <v>Fire Alarm Sounder, Bell, Light</v>
          </cell>
          <cell r="D3425" t="str">
            <v>Al Nassr KG</v>
          </cell>
          <cell r="H3425" t="str">
            <v>AD</v>
          </cell>
        </row>
        <row r="3426">
          <cell r="B3426" t="str">
            <v>Fire Alarm Sounder, Bell, Light</v>
          </cell>
          <cell r="D3426" t="str">
            <v>Al Nassr KG</v>
          </cell>
          <cell r="H3426" t="str">
            <v>AD</v>
          </cell>
        </row>
        <row r="3427">
          <cell r="B3427" t="str">
            <v>Fire Alarm Sounder, Bell, Light</v>
          </cell>
          <cell r="D3427" t="str">
            <v>Al Nassr KG</v>
          </cell>
          <cell r="H3427" t="str">
            <v>AD</v>
          </cell>
        </row>
        <row r="3428">
          <cell r="B3428" t="str">
            <v>Fire Extinguisher</v>
          </cell>
          <cell r="D3428" t="str">
            <v>Al Nassr KG</v>
          </cell>
          <cell r="H3428" t="str">
            <v>AD</v>
          </cell>
        </row>
        <row r="3429">
          <cell r="B3429" t="str">
            <v>Fire Extinguisher</v>
          </cell>
          <cell r="D3429" t="str">
            <v>Al Nassr KG</v>
          </cell>
          <cell r="H3429" t="str">
            <v>AD</v>
          </cell>
        </row>
        <row r="3430">
          <cell r="B3430" t="str">
            <v>Fire Extinguisher</v>
          </cell>
          <cell r="D3430" t="str">
            <v>Al Nassr KG</v>
          </cell>
          <cell r="H3430" t="str">
            <v>AD</v>
          </cell>
        </row>
        <row r="3431">
          <cell r="B3431" t="str">
            <v>Fire Hose Reel</v>
          </cell>
          <cell r="D3431" t="str">
            <v>Al Nassr KG</v>
          </cell>
          <cell r="H3431" t="str">
            <v>AD</v>
          </cell>
        </row>
        <row r="3432">
          <cell r="B3432" t="str">
            <v>Fire Hose Reel</v>
          </cell>
          <cell r="D3432" t="str">
            <v>Al Nassr KG</v>
          </cell>
          <cell r="H3432" t="str">
            <v>AD</v>
          </cell>
        </row>
        <row r="3433">
          <cell r="B3433" t="str">
            <v>Fire Hose Reel Pump</v>
          </cell>
          <cell r="D3433" t="str">
            <v>Al Nassr KG</v>
          </cell>
          <cell r="H3433" t="str">
            <v>AD</v>
          </cell>
        </row>
        <row r="3434">
          <cell r="B3434" t="str">
            <v>FIRE PUMP - Diesel</v>
          </cell>
          <cell r="D3434" t="str">
            <v>Al Nassr KG</v>
          </cell>
          <cell r="H3434" t="str">
            <v>AD</v>
          </cell>
        </row>
        <row r="3435">
          <cell r="B3435" t="str">
            <v>FIRE PUMP - Electric</v>
          </cell>
          <cell r="D3435" t="str">
            <v>Al Nassr KG</v>
          </cell>
          <cell r="H3435" t="str">
            <v>AD</v>
          </cell>
        </row>
        <row r="3436">
          <cell r="B3436" t="str">
            <v>Fire Smoke / Heat Detector, Sounder</v>
          </cell>
          <cell r="D3436" t="str">
            <v>Al Nassr KG</v>
          </cell>
          <cell r="H3436" t="str">
            <v>AD</v>
          </cell>
        </row>
        <row r="3437">
          <cell r="B3437" t="str">
            <v>Fire Smoke / Heat Detector, Sounder</v>
          </cell>
          <cell r="D3437" t="str">
            <v>Al Nassr KG</v>
          </cell>
          <cell r="H3437" t="str">
            <v>AD</v>
          </cell>
        </row>
        <row r="3438">
          <cell r="B3438" t="str">
            <v>Fire Smoke / Heat Detector, Sounder</v>
          </cell>
          <cell r="D3438" t="str">
            <v>Al Nassr KG</v>
          </cell>
          <cell r="H3438" t="str">
            <v>AD</v>
          </cell>
        </row>
        <row r="3439">
          <cell r="B3439" t="str">
            <v>Fire Smoke / Heat Detector, Sounder</v>
          </cell>
          <cell r="D3439" t="str">
            <v>Al Nassr KG</v>
          </cell>
          <cell r="H3439" t="str">
            <v>AD</v>
          </cell>
        </row>
        <row r="3440">
          <cell r="B3440" t="str">
            <v>Fire Smoke / Heat Detector, Sounder</v>
          </cell>
          <cell r="D3440" t="str">
            <v>Al Nassr KG</v>
          </cell>
          <cell r="H3440" t="str">
            <v>AD</v>
          </cell>
        </row>
        <row r="3441">
          <cell r="B3441" t="str">
            <v>Fire Smoke / Heat Detector, Sounder</v>
          </cell>
          <cell r="D3441" t="str">
            <v>Al Nassr KG</v>
          </cell>
          <cell r="H3441" t="str">
            <v>AD</v>
          </cell>
        </row>
        <row r="3442">
          <cell r="B3442" t="str">
            <v>Fire Smoke / Heat Detector, Sounder</v>
          </cell>
          <cell r="D3442" t="str">
            <v>Al Nassr KG</v>
          </cell>
          <cell r="H3442" t="str">
            <v>AD</v>
          </cell>
        </row>
        <row r="3443">
          <cell r="B3443" t="str">
            <v>Fire Smoke / Heat Detector, Sounder</v>
          </cell>
          <cell r="D3443" t="str">
            <v>Al Nassr KG</v>
          </cell>
          <cell r="H3443" t="str">
            <v>AD</v>
          </cell>
        </row>
        <row r="3444">
          <cell r="B3444" t="str">
            <v>Fire Smoke / Heat Detector, Sounder</v>
          </cell>
          <cell r="D3444" t="str">
            <v>Al Nassr KG</v>
          </cell>
          <cell r="H3444" t="str">
            <v>AD</v>
          </cell>
        </row>
        <row r="3445">
          <cell r="B3445" t="str">
            <v>Fire Smoke / Heat Detector, Sounder</v>
          </cell>
          <cell r="D3445" t="str">
            <v>Al Nassr KG</v>
          </cell>
          <cell r="H3445" t="str">
            <v>AD</v>
          </cell>
        </row>
        <row r="3446">
          <cell r="B3446" t="str">
            <v>Fire Smoke / Heat Detector, Sounder</v>
          </cell>
          <cell r="D3446" t="str">
            <v>Al Nassr KG</v>
          </cell>
          <cell r="H3446" t="str">
            <v>AD</v>
          </cell>
        </row>
        <row r="3447">
          <cell r="B3447" t="str">
            <v>Fire Smoke / Heat Detector, Sounder</v>
          </cell>
          <cell r="D3447" t="str">
            <v>Al Nassr KG</v>
          </cell>
          <cell r="H3447" t="str">
            <v>AD</v>
          </cell>
        </row>
        <row r="3448">
          <cell r="B3448" t="str">
            <v>Fire Smoke / Heat Detector, Sounder</v>
          </cell>
          <cell r="D3448" t="str">
            <v>Al Nassr KG</v>
          </cell>
          <cell r="H3448" t="str">
            <v>AD</v>
          </cell>
        </row>
        <row r="3449">
          <cell r="B3449" t="str">
            <v>Fire Smoke / Heat Detector, Sounder</v>
          </cell>
          <cell r="D3449" t="str">
            <v>Al Nassr KG</v>
          </cell>
          <cell r="H3449" t="str">
            <v>AD</v>
          </cell>
        </row>
        <row r="3450">
          <cell r="B3450" t="str">
            <v>Fire Smoke / Heat Detector, Sounder</v>
          </cell>
          <cell r="D3450" t="str">
            <v>Al Nassr KG</v>
          </cell>
          <cell r="H3450" t="str">
            <v>AD</v>
          </cell>
        </row>
        <row r="3451">
          <cell r="B3451" t="str">
            <v>Fire Smoke / Heat Detector, Sounder</v>
          </cell>
          <cell r="D3451" t="str">
            <v>Al Nassr KG</v>
          </cell>
          <cell r="H3451" t="str">
            <v>AD</v>
          </cell>
        </row>
        <row r="3452">
          <cell r="B3452" t="str">
            <v>Fire Smoke / Heat Detector, Sounder</v>
          </cell>
          <cell r="D3452" t="str">
            <v>Al Nassr KG</v>
          </cell>
          <cell r="H3452" t="str">
            <v>AD</v>
          </cell>
        </row>
        <row r="3453">
          <cell r="B3453" t="str">
            <v>Fire Smoke / Heat Detector, Sounder</v>
          </cell>
          <cell r="D3453" t="str">
            <v>Al Nassr KG</v>
          </cell>
          <cell r="H3453" t="str">
            <v>AD</v>
          </cell>
        </row>
        <row r="3454">
          <cell r="B3454" t="str">
            <v>Fire Smoke / Heat Detector, Sounder</v>
          </cell>
          <cell r="D3454" t="str">
            <v>Al Nassr KG</v>
          </cell>
          <cell r="H3454" t="str">
            <v>AD</v>
          </cell>
        </row>
        <row r="3455">
          <cell r="B3455" t="str">
            <v>Fire Smoke / Heat Detector, Sounder</v>
          </cell>
          <cell r="D3455" t="str">
            <v>Al Nassr KG</v>
          </cell>
          <cell r="H3455" t="str">
            <v>AD</v>
          </cell>
        </row>
        <row r="3456">
          <cell r="B3456" t="str">
            <v>Fire Smoke / Heat Detector, Sounder</v>
          </cell>
          <cell r="D3456" t="str">
            <v>Al Nassr KG</v>
          </cell>
          <cell r="H3456" t="str">
            <v>AD</v>
          </cell>
        </row>
        <row r="3457">
          <cell r="B3457" t="str">
            <v>Fire Smoke / Heat Detector, Sounder</v>
          </cell>
          <cell r="D3457" t="str">
            <v>Al Nassr KG</v>
          </cell>
          <cell r="H3457" t="str">
            <v>AD</v>
          </cell>
        </row>
        <row r="3458">
          <cell r="B3458" t="str">
            <v>Fire Smoke / Heat Detector, Sounder</v>
          </cell>
          <cell r="D3458" t="str">
            <v>Al Nassr KG</v>
          </cell>
          <cell r="H3458" t="str">
            <v>AD</v>
          </cell>
        </row>
        <row r="3459">
          <cell r="B3459" t="str">
            <v>Fire Smoke / Heat Detector, Sounder</v>
          </cell>
          <cell r="D3459" t="str">
            <v>Al Nassr KG</v>
          </cell>
          <cell r="H3459" t="str">
            <v>AD</v>
          </cell>
        </row>
        <row r="3460">
          <cell r="B3460" t="str">
            <v>Irrigation System</v>
          </cell>
          <cell r="D3460" t="str">
            <v>Al Nassr KG</v>
          </cell>
          <cell r="H3460" t="str">
            <v>AD</v>
          </cell>
        </row>
        <row r="3461">
          <cell r="B3461" t="str">
            <v>Fire Alarm Break Glass Call Point</v>
          </cell>
          <cell r="D3461" t="str">
            <v>Al Noor Primary School</v>
          </cell>
          <cell r="H3461" t="str">
            <v>AD</v>
          </cell>
        </row>
        <row r="3462">
          <cell r="B3462" t="str">
            <v>Fire Alarm Break Glass Call Point</v>
          </cell>
          <cell r="D3462" t="str">
            <v>Al Noor Primary School</v>
          </cell>
          <cell r="H3462" t="str">
            <v>AD</v>
          </cell>
        </row>
        <row r="3463">
          <cell r="B3463" t="str">
            <v>Fire Alarm Break Glass Call Point</v>
          </cell>
          <cell r="D3463" t="str">
            <v>Al Noor Primary School</v>
          </cell>
          <cell r="H3463" t="str">
            <v>AD</v>
          </cell>
        </row>
        <row r="3464">
          <cell r="B3464" t="str">
            <v>Fire Alarm Break Glass Call Point</v>
          </cell>
          <cell r="D3464" t="str">
            <v>Al Noor Primary School</v>
          </cell>
          <cell r="H3464" t="str">
            <v>AD</v>
          </cell>
        </row>
        <row r="3465">
          <cell r="B3465" t="str">
            <v>Fire Alarm Break Glass Call Point</v>
          </cell>
          <cell r="D3465" t="str">
            <v>Al Noor Primary School</v>
          </cell>
          <cell r="H3465" t="str">
            <v>AD</v>
          </cell>
        </row>
        <row r="3466">
          <cell r="B3466" t="str">
            <v>Fire Alarm Break Glass Call Point</v>
          </cell>
          <cell r="D3466" t="str">
            <v>Al Noor Primary School</v>
          </cell>
          <cell r="H3466" t="str">
            <v>AD</v>
          </cell>
        </row>
        <row r="3467">
          <cell r="B3467" t="str">
            <v>Fire Alarm Break Glass Call Point</v>
          </cell>
          <cell r="D3467" t="str">
            <v>Al Noor Primary School</v>
          </cell>
          <cell r="H3467" t="str">
            <v>AD</v>
          </cell>
        </row>
        <row r="3468">
          <cell r="B3468" t="str">
            <v>Fire Alarm Break Glass Call Point</v>
          </cell>
          <cell r="D3468" t="str">
            <v>Al Noor Primary School</v>
          </cell>
          <cell r="H3468" t="str">
            <v>AD</v>
          </cell>
        </row>
        <row r="3469">
          <cell r="B3469" t="str">
            <v>Fire Alarm Panel</v>
          </cell>
          <cell r="D3469" t="str">
            <v>Al Noor Primary School</v>
          </cell>
          <cell r="H3469" t="str">
            <v>AD</v>
          </cell>
        </row>
        <row r="3470">
          <cell r="B3470" t="str">
            <v>Fire Alarm Panel</v>
          </cell>
          <cell r="D3470" t="str">
            <v>Al Noor Primary School</v>
          </cell>
          <cell r="H3470" t="str">
            <v>AD</v>
          </cell>
        </row>
        <row r="3471">
          <cell r="B3471" t="str">
            <v>Fire Alarm Sounder, Bell, Light</v>
          </cell>
          <cell r="D3471" t="str">
            <v>Al Noor Primary School</v>
          </cell>
          <cell r="H3471" t="str">
            <v>AD</v>
          </cell>
        </row>
        <row r="3472">
          <cell r="B3472" t="str">
            <v>Fire Alarm Sounder, Bell, Light</v>
          </cell>
          <cell r="D3472" t="str">
            <v>Al Noor Primary School</v>
          </cell>
          <cell r="H3472" t="str">
            <v>AD</v>
          </cell>
        </row>
        <row r="3473">
          <cell r="B3473" t="str">
            <v>Fire Alarm Sounder, Bell, Light</v>
          </cell>
          <cell r="D3473" t="str">
            <v>Al Noor Primary School</v>
          </cell>
          <cell r="H3473" t="str">
            <v>AD</v>
          </cell>
        </row>
        <row r="3474">
          <cell r="B3474" t="str">
            <v>Fire Alarm Sounder, Bell, Light</v>
          </cell>
          <cell r="D3474" t="str">
            <v>Al Noor Primary School</v>
          </cell>
          <cell r="H3474" t="str">
            <v>AD</v>
          </cell>
        </row>
        <row r="3475">
          <cell r="B3475" t="str">
            <v>Fire Alarm Sounder, Bell, Light</v>
          </cell>
          <cell r="D3475" t="str">
            <v>Al Noor Primary School</v>
          </cell>
          <cell r="H3475" t="str">
            <v>AD</v>
          </cell>
        </row>
        <row r="3476">
          <cell r="B3476" t="str">
            <v>Fire Alarm Sounder, Bell, Light</v>
          </cell>
          <cell r="D3476" t="str">
            <v>Al Noor Primary School</v>
          </cell>
          <cell r="H3476" t="str">
            <v>AD</v>
          </cell>
        </row>
        <row r="3477">
          <cell r="B3477" t="str">
            <v>Fire Alarm Sounder, Bell, Light</v>
          </cell>
          <cell r="D3477" t="str">
            <v>Al Noor Primary School</v>
          </cell>
          <cell r="H3477" t="str">
            <v>AD</v>
          </cell>
        </row>
        <row r="3478">
          <cell r="B3478" t="str">
            <v>Fire Alarm Sounder, Bell, Light</v>
          </cell>
          <cell r="D3478" t="str">
            <v>Al Noor Primary School</v>
          </cell>
          <cell r="H3478" t="str">
            <v>AD</v>
          </cell>
        </row>
        <row r="3479">
          <cell r="B3479" t="str">
            <v>Fire Alarm Sounder, Bell, Light</v>
          </cell>
          <cell r="D3479" t="str">
            <v>Al Noor Primary School</v>
          </cell>
          <cell r="H3479" t="str">
            <v>AD</v>
          </cell>
        </row>
        <row r="3480">
          <cell r="B3480" t="str">
            <v>Fire Alarm Sounder, Bell, Light</v>
          </cell>
          <cell r="D3480" t="str">
            <v>Al Noor Primary School</v>
          </cell>
          <cell r="H3480" t="str">
            <v>AD</v>
          </cell>
        </row>
        <row r="3481">
          <cell r="B3481" t="str">
            <v>Fire Extinguisher</v>
          </cell>
          <cell r="D3481" t="str">
            <v>Al Noor Primary School</v>
          </cell>
          <cell r="H3481" t="str">
            <v>AD</v>
          </cell>
        </row>
        <row r="3482">
          <cell r="B3482" t="str">
            <v>Fire Extinguisher</v>
          </cell>
          <cell r="D3482" t="str">
            <v>Al Noor Primary School</v>
          </cell>
          <cell r="H3482" t="str">
            <v>AD</v>
          </cell>
        </row>
        <row r="3483">
          <cell r="B3483" t="str">
            <v>Fire Extinguisher</v>
          </cell>
          <cell r="D3483" t="str">
            <v>Al Noor Primary School</v>
          </cell>
          <cell r="H3483" t="str">
            <v>AD</v>
          </cell>
        </row>
        <row r="3484">
          <cell r="B3484" t="str">
            <v>Fire Extinguisher</v>
          </cell>
          <cell r="D3484" t="str">
            <v>Al Noor Primary School</v>
          </cell>
          <cell r="H3484" t="str">
            <v>AD</v>
          </cell>
        </row>
        <row r="3485">
          <cell r="B3485" t="str">
            <v>Fire Extinguisher</v>
          </cell>
          <cell r="D3485" t="str">
            <v>Al Noor Primary School</v>
          </cell>
          <cell r="H3485" t="str">
            <v>AD</v>
          </cell>
        </row>
        <row r="3486">
          <cell r="B3486" t="str">
            <v>Fire Extinguisher</v>
          </cell>
          <cell r="D3486" t="str">
            <v>Al Noor Primary School</v>
          </cell>
          <cell r="H3486" t="str">
            <v>AD</v>
          </cell>
        </row>
        <row r="3487">
          <cell r="B3487" t="str">
            <v>Fire Extinguisher</v>
          </cell>
          <cell r="D3487" t="str">
            <v>Al Noor Primary School</v>
          </cell>
          <cell r="H3487" t="str">
            <v>AD</v>
          </cell>
        </row>
        <row r="3488">
          <cell r="B3488" t="str">
            <v>Fire Extinguisher</v>
          </cell>
          <cell r="D3488" t="str">
            <v>Al Noor Primary School</v>
          </cell>
          <cell r="H3488" t="str">
            <v>AD</v>
          </cell>
        </row>
        <row r="3489">
          <cell r="B3489" t="str">
            <v>Fire Extinguisher</v>
          </cell>
          <cell r="D3489" t="str">
            <v>Al Noor Primary School</v>
          </cell>
          <cell r="H3489" t="str">
            <v>AD</v>
          </cell>
        </row>
        <row r="3490">
          <cell r="B3490" t="str">
            <v>Fire Extinguisher</v>
          </cell>
          <cell r="D3490" t="str">
            <v>Al Noor Primary School</v>
          </cell>
          <cell r="H3490" t="str">
            <v>AD</v>
          </cell>
        </row>
        <row r="3491">
          <cell r="B3491" t="str">
            <v>Fire Extinguisher</v>
          </cell>
          <cell r="D3491" t="str">
            <v>Al Noor Primary School</v>
          </cell>
          <cell r="H3491" t="str">
            <v>AD</v>
          </cell>
        </row>
        <row r="3492">
          <cell r="B3492" t="str">
            <v>Fire Extinguisher</v>
          </cell>
          <cell r="D3492" t="str">
            <v>Al Noor Primary School</v>
          </cell>
          <cell r="H3492" t="str">
            <v>AD</v>
          </cell>
        </row>
        <row r="3493">
          <cell r="B3493" t="str">
            <v>Fire Extinguisher</v>
          </cell>
          <cell r="D3493" t="str">
            <v>Al Noor Primary School</v>
          </cell>
          <cell r="H3493" t="str">
            <v>AD</v>
          </cell>
        </row>
        <row r="3494">
          <cell r="B3494" t="str">
            <v>Fire Extinguisher</v>
          </cell>
          <cell r="D3494" t="str">
            <v>Al Noor Primary School</v>
          </cell>
          <cell r="H3494" t="str">
            <v>AD</v>
          </cell>
        </row>
        <row r="3495">
          <cell r="B3495" t="str">
            <v>Fire Extinguisher</v>
          </cell>
          <cell r="D3495" t="str">
            <v>Al Noor Primary School</v>
          </cell>
          <cell r="H3495" t="str">
            <v>AD</v>
          </cell>
        </row>
        <row r="3496">
          <cell r="B3496" t="str">
            <v>Fire Extinguisher</v>
          </cell>
          <cell r="D3496" t="str">
            <v>Al Noor Primary School</v>
          </cell>
          <cell r="H3496" t="str">
            <v>AD</v>
          </cell>
        </row>
        <row r="3497">
          <cell r="B3497" t="str">
            <v>Fire Extinguisher</v>
          </cell>
          <cell r="D3497" t="str">
            <v>Al Noor Primary School</v>
          </cell>
          <cell r="H3497" t="str">
            <v>AD</v>
          </cell>
        </row>
        <row r="3498">
          <cell r="B3498" t="str">
            <v>Fire Extinguisher</v>
          </cell>
          <cell r="D3498" t="str">
            <v>Al Noor Primary School</v>
          </cell>
          <cell r="H3498" t="str">
            <v>AD</v>
          </cell>
        </row>
        <row r="3499">
          <cell r="B3499" t="str">
            <v>Fire Extinguisher</v>
          </cell>
          <cell r="D3499" t="str">
            <v>Al Noor Primary School</v>
          </cell>
          <cell r="H3499" t="str">
            <v>AD</v>
          </cell>
        </row>
        <row r="3500">
          <cell r="B3500" t="str">
            <v>Fire Extinguisher</v>
          </cell>
          <cell r="D3500" t="str">
            <v>Al Noor Primary School</v>
          </cell>
          <cell r="H3500" t="str">
            <v>AD</v>
          </cell>
        </row>
        <row r="3501">
          <cell r="B3501" t="str">
            <v>Fire Extinguisher</v>
          </cell>
          <cell r="D3501" t="str">
            <v>Al Noor Primary School</v>
          </cell>
          <cell r="H3501" t="str">
            <v>AD</v>
          </cell>
        </row>
        <row r="3502">
          <cell r="B3502" t="str">
            <v>Fire Extinguisher</v>
          </cell>
          <cell r="D3502" t="str">
            <v>Al Noor Primary School</v>
          </cell>
          <cell r="H3502" t="str">
            <v>AD</v>
          </cell>
        </row>
        <row r="3503">
          <cell r="B3503" t="str">
            <v>Fire Extinguisher</v>
          </cell>
          <cell r="D3503" t="str">
            <v>Al Noor Primary School</v>
          </cell>
          <cell r="H3503" t="str">
            <v>AD</v>
          </cell>
        </row>
        <row r="3504">
          <cell r="B3504" t="str">
            <v>Fire Extinguisher</v>
          </cell>
          <cell r="D3504" t="str">
            <v>Al Noor Primary School</v>
          </cell>
          <cell r="H3504" t="str">
            <v>AD</v>
          </cell>
        </row>
        <row r="3505">
          <cell r="B3505" t="str">
            <v>Fire Extinguisher</v>
          </cell>
          <cell r="D3505" t="str">
            <v>Al Noor Primary School</v>
          </cell>
          <cell r="H3505" t="str">
            <v>AD</v>
          </cell>
        </row>
        <row r="3506">
          <cell r="B3506" t="str">
            <v>Fire Extinguisher</v>
          </cell>
          <cell r="D3506" t="str">
            <v>Al Noor Primary School</v>
          </cell>
          <cell r="H3506" t="str">
            <v>AD</v>
          </cell>
        </row>
        <row r="3507">
          <cell r="B3507" t="str">
            <v>Fire Extinguisher</v>
          </cell>
          <cell r="D3507" t="str">
            <v>Al Noor Primary School</v>
          </cell>
          <cell r="H3507" t="str">
            <v>AD</v>
          </cell>
        </row>
        <row r="3508">
          <cell r="B3508" t="str">
            <v>Fire Extinguisher</v>
          </cell>
          <cell r="D3508" t="str">
            <v>Al Noor Primary School</v>
          </cell>
          <cell r="H3508" t="str">
            <v>AD</v>
          </cell>
        </row>
        <row r="3509">
          <cell r="B3509" t="str">
            <v>Fire Extinguisher</v>
          </cell>
          <cell r="D3509" t="str">
            <v>Al Noor Primary School</v>
          </cell>
          <cell r="H3509" t="str">
            <v>AD</v>
          </cell>
        </row>
        <row r="3510">
          <cell r="B3510" t="str">
            <v>Fire Extinguisher</v>
          </cell>
          <cell r="D3510" t="str">
            <v>Al Noor Primary School</v>
          </cell>
          <cell r="H3510" t="str">
            <v>AD</v>
          </cell>
        </row>
        <row r="3511">
          <cell r="B3511" t="str">
            <v>Fire Extinguisher</v>
          </cell>
          <cell r="D3511" t="str">
            <v>Al Noor Primary School</v>
          </cell>
          <cell r="H3511" t="str">
            <v>AD</v>
          </cell>
        </row>
        <row r="3512">
          <cell r="B3512" t="str">
            <v>Fire Extinguisher</v>
          </cell>
          <cell r="D3512" t="str">
            <v>Al Noor Primary School</v>
          </cell>
          <cell r="H3512" t="str">
            <v>AD</v>
          </cell>
        </row>
        <row r="3513">
          <cell r="B3513" t="str">
            <v>Fire Extinguisher</v>
          </cell>
          <cell r="D3513" t="str">
            <v>Al Noor Primary School</v>
          </cell>
          <cell r="H3513" t="str">
            <v>AD</v>
          </cell>
        </row>
        <row r="3514">
          <cell r="B3514" t="str">
            <v>Fire Extinguisher</v>
          </cell>
          <cell r="D3514" t="str">
            <v>Al Noor Primary School</v>
          </cell>
          <cell r="H3514" t="str">
            <v>AD</v>
          </cell>
        </row>
        <row r="3515">
          <cell r="B3515" t="str">
            <v>Fire Extinguisher</v>
          </cell>
          <cell r="D3515" t="str">
            <v>Al Noor Primary School</v>
          </cell>
          <cell r="H3515" t="str">
            <v>AD</v>
          </cell>
        </row>
        <row r="3516">
          <cell r="B3516" t="str">
            <v>Fire Extinguisher</v>
          </cell>
          <cell r="D3516" t="str">
            <v>Al Noor Primary School</v>
          </cell>
          <cell r="H3516" t="str">
            <v>AD</v>
          </cell>
        </row>
        <row r="3517">
          <cell r="B3517" t="str">
            <v>Fire Hose Reel</v>
          </cell>
          <cell r="D3517" t="str">
            <v>Al Noor Primary School</v>
          </cell>
          <cell r="H3517" t="str">
            <v>AD</v>
          </cell>
        </row>
        <row r="3518">
          <cell r="B3518" t="str">
            <v>Fire Hose Reel</v>
          </cell>
          <cell r="D3518" t="str">
            <v>Al Noor Primary School</v>
          </cell>
          <cell r="H3518" t="str">
            <v>AD</v>
          </cell>
        </row>
        <row r="3519">
          <cell r="B3519" t="str">
            <v>Fire Hose Reel</v>
          </cell>
          <cell r="D3519" t="str">
            <v>Al Noor Primary School</v>
          </cell>
          <cell r="H3519" t="str">
            <v>AD</v>
          </cell>
        </row>
        <row r="3520">
          <cell r="B3520" t="str">
            <v>FIRE PUMP - Diesel</v>
          </cell>
          <cell r="D3520" t="str">
            <v>Al Noor Primary School</v>
          </cell>
          <cell r="H3520" t="str">
            <v>AD</v>
          </cell>
        </row>
        <row r="3521">
          <cell r="B3521" t="str">
            <v>FIRE PUMP - Electric</v>
          </cell>
          <cell r="D3521" t="str">
            <v>Al Noor Primary School</v>
          </cell>
          <cell r="H3521" t="str">
            <v>AD</v>
          </cell>
        </row>
        <row r="3522">
          <cell r="B3522" t="str">
            <v>Fire Smoke / Heat Detector, Sounder</v>
          </cell>
          <cell r="D3522" t="str">
            <v>Al Noor Primary School</v>
          </cell>
          <cell r="H3522" t="str">
            <v>AD</v>
          </cell>
        </row>
        <row r="3523">
          <cell r="B3523" t="str">
            <v>Fire Smoke / Heat Detector, Sounder</v>
          </cell>
          <cell r="D3523" t="str">
            <v>Al Noor Primary School</v>
          </cell>
          <cell r="H3523" t="str">
            <v>AD</v>
          </cell>
        </row>
        <row r="3524">
          <cell r="B3524" t="str">
            <v>Fire Smoke / Heat Detector, Sounder</v>
          </cell>
          <cell r="D3524" t="str">
            <v>Al Noor Primary School</v>
          </cell>
          <cell r="H3524" t="str">
            <v>AD</v>
          </cell>
        </row>
        <row r="3525">
          <cell r="B3525" t="str">
            <v>Fire Smoke / Heat Detector, Sounder</v>
          </cell>
          <cell r="D3525" t="str">
            <v>Al Noor Primary School</v>
          </cell>
          <cell r="H3525" t="str">
            <v>AD</v>
          </cell>
        </row>
        <row r="3526">
          <cell r="B3526" t="str">
            <v>Fire Smoke / Heat Detector, Sounder</v>
          </cell>
          <cell r="D3526" t="str">
            <v>Al Noor Primary School</v>
          </cell>
          <cell r="H3526" t="str">
            <v>AD</v>
          </cell>
        </row>
        <row r="3527">
          <cell r="B3527" t="str">
            <v>Fire Smoke / Heat Detector, Sounder</v>
          </cell>
          <cell r="D3527" t="str">
            <v>Al Noor Primary School</v>
          </cell>
          <cell r="H3527" t="str">
            <v>AD</v>
          </cell>
        </row>
        <row r="3528">
          <cell r="B3528" t="str">
            <v>Fire Smoke / Heat Detector, Sounder</v>
          </cell>
          <cell r="D3528" t="str">
            <v>Al Noor Primary School</v>
          </cell>
          <cell r="H3528" t="str">
            <v>AD</v>
          </cell>
        </row>
        <row r="3529">
          <cell r="B3529" t="str">
            <v>Fire Smoke / Heat Detector, Sounder</v>
          </cell>
          <cell r="D3529" t="str">
            <v>Al Noor Primary School</v>
          </cell>
          <cell r="H3529" t="str">
            <v>AD</v>
          </cell>
        </row>
        <row r="3530">
          <cell r="B3530" t="str">
            <v>Fire Smoke / Heat Detector, Sounder</v>
          </cell>
          <cell r="D3530" t="str">
            <v>Al Noor Primary School</v>
          </cell>
          <cell r="H3530" t="str">
            <v>AD</v>
          </cell>
        </row>
        <row r="3531">
          <cell r="B3531" t="str">
            <v>Fire Smoke / Heat Detector, Sounder</v>
          </cell>
          <cell r="D3531" t="str">
            <v>Al Noor Primary School</v>
          </cell>
          <cell r="H3531" t="str">
            <v>AD</v>
          </cell>
        </row>
        <row r="3532">
          <cell r="B3532" t="str">
            <v>Fire Smoke / Heat Detector, Sounder</v>
          </cell>
          <cell r="D3532" t="str">
            <v>Al Noor Primary School</v>
          </cell>
          <cell r="H3532" t="str">
            <v>AD</v>
          </cell>
        </row>
        <row r="3533">
          <cell r="B3533" t="str">
            <v>Fire Smoke / Heat Detector, Sounder</v>
          </cell>
          <cell r="D3533" t="str">
            <v>Al Noor Primary School</v>
          </cell>
          <cell r="H3533" t="str">
            <v>AD</v>
          </cell>
        </row>
        <row r="3534">
          <cell r="B3534" t="str">
            <v>Fire Smoke / Heat Detector, Sounder</v>
          </cell>
          <cell r="D3534" t="str">
            <v>Al Noor Primary School</v>
          </cell>
          <cell r="H3534" t="str">
            <v>AD</v>
          </cell>
        </row>
        <row r="3535">
          <cell r="B3535" t="str">
            <v>Fire Smoke / Heat Detector, Sounder</v>
          </cell>
          <cell r="D3535" t="str">
            <v>Al Noor Primary School</v>
          </cell>
          <cell r="H3535" t="str">
            <v>AD</v>
          </cell>
        </row>
        <row r="3536">
          <cell r="B3536" t="str">
            <v>Fire Smoke / Heat Detector, Sounder</v>
          </cell>
          <cell r="D3536" t="str">
            <v>Al Noor Primary School</v>
          </cell>
          <cell r="H3536" t="str">
            <v>AD</v>
          </cell>
        </row>
        <row r="3537">
          <cell r="B3537" t="str">
            <v>Fire Smoke / Heat Detector, Sounder</v>
          </cell>
          <cell r="D3537" t="str">
            <v>Al Noor Primary School</v>
          </cell>
          <cell r="H3537" t="str">
            <v>AD</v>
          </cell>
        </row>
        <row r="3538">
          <cell r="B3538" t="str">
            <v>Fire Smoke / Heat Detector, Sounder</v>
          </cell>
          <cell r="D3538" t="str">
            <v>Al Noor Primary School</v>
          </cell>
          <cell r="H3538" t="str">
            <v>AD</v>
          </cell>
        </row>
        <row r="3539">
          <cell r="B3539" t="str">
            <v>Fire Smoke / Heat Detector, Sounder</v>
          </cell>
          <cell r="D3539" t="str">
            <v>Al Noor Primary School</v>
          </cell>
          <cell r="H3539" t="str">
            <v>AD</v>
          </cell>
        </row>
        <row r="3540">
          <cell r="B3540" t="str">
            <v>Fire Smoke / Heat Detector, Sounder</v>
          </cell>
          <cell r="D3540" t="str">
            <v>Al Noor Primary School</v>
          </cell>
          <cell r="H3540" t="str">
            <v>AD</v>
          </cell>
        </row>
        <row r="3541">
          <cell r="B3541" t="str">
            <v>Fire Smoke / Heat Detector, Sounder</v>
          </cell>
          <cell r="D3541" t="str">
            <v>Al Noor Primary School</v>
          </cell>
          <cell r="H3541" t="str">
            <v>AD</v>
          </cell>
        </row>
        <row r="3542">
          <cell r="B3542" t="str">
            <v>Fire Smoke / Heat Detector, Sounder</v>
          </cell>
          <cell r="D3542" t="str">
            <v>Al Noor Primary School</v>
          </cell>
          <cell r="H3542" t="str">
            <v>AD</v>
          </cell>
        </row>
        <row r="3543">
          <cell r="B3543" t="str">
            <v>Fire Smoke / Heat Detector, Sounder</v>
          </cell>
          <cell r="D3543" t="str">
            <v>Al Noor Primary School</v>
          </cell>
          <cell r="H3543" t="str">
            <v>AD</v>
          </cell>
        </row>
        <row r="3544">
          <cell r="B3544" t="str">
            <v>Fire Smoke / Heat Detector, Sounder</v>
          </cell>
          <cell r="D3544" t="str">
            <v>Al Noor Primary School</v>
          </cell>
          <cell r="H3544" t="str">
            <v>AD</v>
          </cell>
        </row>
        <row r="3545">
          <cell r="B3545" t="str">
            <v>Fire Smoke / Heat Detector, Sounder</v>
          </cell>
          <cell r="D3545" t="str">
            <v>Al Noor Primary School</v>
          </cell>
          <cell r="H3545" t="str">
            <v>AD</v>
          </cell>
        </row>
        <row r="3546">
          <cell r="B3546" t="str">
            <v>Fire Smoke / Heat Detector, Sounder</v>
          </cell>
          <cell r="D3546" t="str">
            <v>Al Noor Primary School</v>
          </cell>
          <cell r="H3546" t="str">
            <v>AD</v>
          </cell>
        </row>
        <row r="3547">
          <cell r="B3547" t="str">
            <v>Fire Smoke / Heat Detector, Sounder</v>
          </cell>
          <cell r="D3547" t="str">
            <v>Al Noor Primary School</v>
          </cell>
          <cell r="H3547" t="str">
            <v>AD</v>
          </cell>
        </row>
        <row r="3548">
          <cell r="B3548" t="str">
            <v>Fire Smoke / Heat Detector, Sounder</v>
          </cell>
          <cell r="D3548" t="str">
            <v>Al Noor Primary School</v>
          </cell>
          <cell r="H3548" t="str">
            <v>AD</v>
          </cell>
        </row>
        <row r="3549">
          <cell r="B3549" t="str">
            <v>Fire Smoke / Heat Detector, Sounder</v>
          </cell>
          <cell r="D3549" t="str">
            <v>Al Noor Primary School</v>
          </cell>
          <cell r="H3549" t="str">
            <v>AD</v>
          </cell>
        </row>
        <row r="3550">
          <cell r="B3550" t="str">
            <v>Fire Smoke / Heat Detector, Sounder</v>
          </cell>
          <cell r="D3550" t="str">
            <v>Al Noor Primary School</v>
          </cell>
          <cell r="H3550" t="str">
            <v>AD</v>
          </cell>
        </row>
        <row r="3551">
          <cell r="B3551" t="str">
            <v>Fire Smoke / Heat Detector, Sounder</v>
          </cell>
          <cell r="D3551" t="str">
            <v>Al Noor Primary School</v>
          </cell>
          <cell r="H3551" t="str">
            <v>AD</v>
          </cell>
        </row>
        <row r="3552">
          <cell r="B3552" t="str">
            <v>Fire Smoke / Heat Detector, Sounder</v>
          </cell>
          <cell r="D3552" t="str">
            <v>Al Noor Primary School</v>
          </cell>
          <cell r="H3552" t="str">
            <v>AD</v>
          </cell>
        </row>
        <row r="3553">
          <cell r="B3553" t="str">
            <v>Fire Smoke / Heat Detector, Sounder</v>
          </cell>
          <cell r="D3553" t="str">
            <v>Al Noor Primary School</v>
          </cell>
          <cell r="H3553" t="str">
            <v>AD</v>
          </cell>
        </row>
        <row r="3554">
          <cell r="B3554" t="str">
            <v>Fire Smoke / Heat Detector, Sounder</v>
          </cell>
          <cell r="D3554" t="str">
            <v>Al Noor Primary School</v>
          </cell>
          <cell r="H3554" t="str">
            <v>AD</v>
          </cell>
        </row>
        <row r="3555">
          <cell r="B3555" t="str">
            <v>Fire Smoke / Heat Detector, Sounder</v>
          </cell>
          <cell r="D3555" t="str">
            <v>Al Noor Primary School</v>
          </cell>
          <cell r="H3555" t="str">
            <v>AD</v>
          </cell>
        </row>
        <row r="3556">
          <cell r="B3556" t="str">
            <v>Fire Smoke / Heat Detector, Sounder</v>
          </cell>
          <cell r="D3556" t="str">
            <v>Al Noor Primary School</v>
          </cell>
          <cell r="H3556" t="str">
            <v>AD</v>
          </cell>
        </row>
        <row r="3557">
          <cell r="B3557" t="str">
            <v>Fire Smoke / Heat Detector, Sounder</v>
          </cell>
          <cell r="D3557" t="str">
            <v>Al Noor Primary School</v>
          </cell>
          <cell r="H3557" t="str">
            <v>AD</v>
          </cell>
        </row>
        <row r="3558">
          <cell r="B3558" t="str">
            <v>Fire Smoke / Heat Detector, Sounder</v>
          </cell>
          <cell r="D3558" t="str">
            <v>Al Noor Primary School</v>
          </cell>
          <cell r="H3558" t="str">
            <v>AD</v>
          </cell>
        </row>
        <row r="3559">
          <cell r="B3559" t="str">
            <v>Fire Smoke / Heat Detector, Sounder</v>
          </cell>
          <cell r="D3559" t="str">
            <v>Al Noor Primary School</v>
          </cell>
          <cell r="H3559" t="str">
            <v>AD</v>
          </cell>
        </row>
        <row r="3560">
          <cell r="B3560" t="str">
            <v>Fire Smoke / Heat Detector, Sounder</v>
          </cell>
          <cell r="D3560" t="str">
            <v>Al Noor Primary School</v>
          </cell>
          <cell r="H3560" t="str">
            <v>AD</v>
          </cell>
        </row>
        <row r="3561">
          <cell r="B3561" t="str">
            <v>Fire Smoke / Heat Detector, Sounder</v>
          </cell>
          <cell r="D3561" t="str">
            <v>Al Noor Primary School</v>
          </cell>
          <cell r="H3561" t="str">
            <v>AD</v>
          </cell>
        </row>
        <row r="3562">
          <cell r="B3562" t="str">
            <v>Fire Smoke / Heat Detector, Sounder</v>
          </cell>
          <cell r="D3562" t="str">
            <v>Al Noor Primary School</v>
          </cell>
          <cell r="H3562" t="str">
            <v>AD</v>
          </cell>
        </row>
        <row r="3563">
          <cell r="B3563" t="str">
            <v>Fire Alarm Control Panel Board</v>
          </cell>
          <cell r="D3563" t="str">
            <v>Al Qadesyah Secondary School</v>
          </cell>
          <cell r="H3563" t="str">
            <v>AD</v>
          </cell>
        </row>
        <row r="3564">
          <cell r="B3564" t="str">
            <v>Fire Alarm Control Panel Board</v>
          </cell>
          <cell r="D3564" t="str">
            <v>Al Qadesyah Secondary School</v>
          </cell>
          <cell r="H3564" t="str">
            <v>AD</v>
          </cell>
        </row>
        <row r="3565">
          <cell r="B3565" t="str">
            <v>Fire Alarm Control Panel Board</v>
          </cell>
          <cell r="D3565" t="str">
            <v>Al Qadesyah Secondary School</v>
          </cell>
          <cell r="H3565" t="str">
            <v>AD</v>
          </cell>
        </row>
        <row r="3566">
          <cell r="B3566" t="str">
            <v>Fire Alarm Detector</v>
          </cell>
          <cell r="D3566" t="str">
            <v>Al Qadesyah Secondary School</v>
          </cell>
          <cell r="H3566" t="str">
            <v>AD</v>
          </cell>
        </row>
        <row r="3567">
          <cell r="B3567" t="str">
            <v>Fire Alarm Detector</v>
          </cell>
          <cell r="D3567" t="str">
            <v>Al Qadesyah Secondary School</v>
          </cell>
          <cell r="H3567" t="str">
            <v>AD</v>
          </cell>
        </row>
        <row r="3568">
          <cell r="B3568" t="str">
            <v>Fire Alarm Detector</v>
          </cell>
          <cell r="D3568" t="str">
            <v>Al Qadesyah Secondary School</v>
          </cell>
          <cell r="H3568" t="str">
            <v>AD</v>
          </cell>
        </row>
        <row r="3569">
          <cell r="B3569" t="str">
            <v>Fire Alarm Detector</v>
          </cell>
          <cell r="D3569" t="str">
            <v>Al Qadesyah Secondary School</v>
          </cell>
          <cell r="H3569" t="str">
            <v>AD</v>
          </cell>
        </row>
        <row r="3570">
          <cell r="B3570" t="str">
            <v>Fire Alarm Detector</v>
          </cell>
          <cell r="D3570" t="str">
            <v>Al Qadesyah Secondary School</v>
          </cell>
          <cell r="H3570" t="str">
            <v>AD</v>
          </cell>
        </row>
        <row r="3571">
          <cell r="B3571" t="str">
            <v>Fire Alarm Indicator</v>
          </cell>
          <cell r="D3571" t="str">
            <v>Al Qadesyah Secondary School</v>
          </cell>
          <cell r="H3571" t="str">
            <v>AD</v>
          </cell>
        </row>
        <row r="3572">
          <cell r="B3572" t="str">
            <v>Fire Alarm Indicator</v>
          </cell>
          <cell r="D3572" t="str">
            <v>Al Qadesyah Secondary School</v>
          </cell>
          <cell r="H3572" t="str">
            <v>AD</v>
          </cell>
        </row>
        <row r="3573">
          <cell r="B3573" t="str">
            <v>Fire Alarm Sounder</v>
          </cell>
          <cell r="D3573" t="str">
            <v>Al Qadesyah Secondary School</v>
          </cell>
          <cell r="H3573" t="str">
            <v>AD</v>
          </cell>
        </row>
        <row r="3574">
          <cell r="B3574" t="str">
            <v>Fire Blanket</v>
          </cell>
          <cell r="D3574" t="str">
            <v>Al Qadesyah Secondary School</v>
          </cell>
          <cell r="H3574" t="str">
            <v>AD</v>
          </cell>
        </row>
        <row r="3575">
          <cell r="B3575" t="str">
            <v>Fire Blanket</v>
          </cell>
          <cell r="D3575" t="str">
            <v>Al Qadesyah Secondary School</v>
          </cell>
          <cell r="H3575" t="str">
            <v>AD</v>
          </cell>
        </row>
        <row r="3576">
          <cell r="B3576" t="str">
            <v>Fire Blanket</v>
          </cell>
          <cell r="D3576" t="str">
            <v>Al Qadesyah Secondary School</v>
          </cell>
          <cell r="H3576" t="str">
            <v>AD</v>
          </cell>
        </row>
        <row r="3577">
          <cell r="B3577" t="str">
            <v>Fire Break Glass</v>
          </cell>
          <cell r="D3577" t="str">
            <v>Al Qadesyah Secondary School</v>
          </cell>
          <cell r="H3577" t="str">
            <v>AD</v>
          </cell>
        </row>
        <row r="3578">
          <cell r="B3578" t="str">
            <v>Fire Break Glass</v>
          </cell>
          <cell r="D3578" t="str">
            <v>Al Qadesyah Secondary School</v>
          </cell>
          <cell r="H3578" t="str">
            <v>AD</v>
          </cell>
        </row>
        <row r="3579">
          <cell r="B3579" t="str">
            <v>Fire Break Glass</v>
          </cell>
          <cell r="D3579" t="str">
            <v>Al Qadesyah Secondary School</v>
          </cell>
          <cell r="H3579" t="str">
            <v>AD</v>
          </cell>
        </row>
        <row r="3580">
          <cell r="B3580" t="str">
            <v>Fire Break Glass</v>
          </cell>
          <cell r="D3580" t="str">
            <v>Al Qadesyah Secondary School</v>
          </cell>
          <cell r="H3580" t="str">
            <v>AD</v>
          </cell>
        </row>
        <row r="3581">
          <cell r="B3581" t="str">
            <v>Fire Break Glass</v>
          </cell>
          <cell r="D3581" t="str">
            <v>Al Qadesyah Secondary School</v>
          </cell>
          <cell r="H3581" t="str">
            <v>AD</v>
          </cell>
        </row>
        <row r="3582">
          <cell r="B3582" t="str">
            <v>Fire Extinguisher</v>
          </cell>
          <cell r="D3582" t="str">
            <v>Al Qadesyah Secondary School</v>
          </cell>
          <cell r="H3582" t="str">
            <v>AD</v>
          </cell>
        </row>
        <row r="3583">
          <cell r="B3583" t="str">
            <v>Fire Extinguisher - C02</v>
          </cell>
          <cell r="D3583" t="str">
            <v>Al Qadesyah Secondary School</v>
          </cell>
          <cell r="H3583" t="str">
            <v>AD</v>
          </cell>
        </row>
        <row r="3584">
          <cell r="B3584" t="str">
            <v>Fire Extinguisher - C02</v>
          </cell>
          <cell r="D3584" t="str">
            <v>Al Qadesyah Secondary School</v>
          </cell>
          <cell r="H3584" t="str">
            <v>AD</v>
          </cell>
        </row>
        <row r="3585">
          <cell r="B3585" t="str">
            <v>Fire Extinguisher - C02</v>
          </cell>
          <cell r="D3585" t="str">
            <v>Al Qadesyah Secondary School</v>
          </cell>
          <cell r="H3585" t="str">
            <v>AD</v>
          </cell>
        </row>
        <row r="3586">
          <cell r="B3586" t="str">
            <v>Fire Extinguisher - C02</v>
          </cell>
          <cell r="D3586" t="str">
            <v>Al Qadesyah Secondary School</v>
          </cell>
          <cell r="H3586" t="str">
            <v>AD</v>
          </cell>
        </row>
        <row r="3587">
          <cell r="B3587" t="str">
            <v>Fire Extinguisher - C02</v>
          </cell>
          <cell r="D3587" t="str">
            <v>Al Qadesyah Secondary School</v>
          </cell>
          <cell r="H3587" t="str">
            <v>AD</v>
          </cell>
        </row>
        <row r="3588">
          <cell r="B3588" t="str">
            <v>Fire Extinguisher - C02</v>
          </cell>
          <cell r="D3588" t="str">
            <v>Al Qadesyah Secondary School</v>
          </cell>
          <cell r="H3588" t="str">
            <v>AD</v>
          </cell>
        </row>
        <row r="3589">
          <cell r="B3589" t="str">
            <v>Fire Extinguisher - C02</v>
          </cell>
          <cell r="D3589" t="str">
            <v>Al Qadesyah Secondary School</v>
          </cell>
          <cell r="H3589" t="str">
            <v>AD</v>
          </cell>
        </row>
        <row r="3590">
          <cell r="B3590" t="str">
            <v>Fire Extinguisher - C02</v>
          </cell>
          <cell r="D3590" t="str">
            <v>Al Qadesyah Secondary School</v>
          </cell>
          <cell r="H3590" t="str">
            <v>AD</v>
          </cell>
        </row>
        <row r="3591">
          <cell r="B3591" t="str">
            <v>Fire Extinguisher - C02</v>
          </cell>
          <cell r="D3591" t="str">
            <v>Al Qadesyah Secondary School</v>
          </cell>
          <cell r="H3591" t="str">
            <v>AD</v>
          </cell>
        </row>
        <row r="3592">
          <cell r="B3592" t="str">
            <v>Fire Extinguisher - C02</v>
          </cell>
          <cell r="D3592" t="str">
            <v>Al Qadesyah Secondary School</v>
          </cell>
          <cell r="H3592" t="str">
            <v>AD</v>
          </cell>
        </row>
        <row r="3593">
          <cell r="B3593" t="str">
            <v>Fire Extinguisher - C02</v>
          </cell>
          <cell r="D3593" t="str">
            <v>Al Qadesyah Secondary School</v>
          </cell>
          <cell r="H3593" t="str">
            <v>AD</v>
          </cell>
        </row>
        <row r="3594">
          <cell r="B3594" t="str">
            <v>Fire Extinguisher - C02</v>
          </cell>
          <cell r="D3594" t="str">
            <v>Al Qadesyah Secondary School</v>
          </cell>
          <cell r="H3594" t="str">
            <v>AD</v>
          </cell>
        </row>
        <row r="3595">
          <cell r="B3595" t="str">
            <v>Fire Extinguisher - C02</v>
          </cell>
          <cell r="D3595" t="str">
            <v>Al Qadesyah Secondary School</v>
          </cell>
          <cell r="H3595" t="str">
            <v>AD</v>
          </cell>
        </row>
        <row r="3596">
          <cell r="B3596" t="str">
            <v>Fire Extinguisher - C02</v>
          </cell>
          <cell r="D3596" t="str">
            <v>Al Qadesyah Secondary School</v>
          </cell>
          <cell r="H3596" t="str">
            <v>AD</v>
          </cell>
        </row>
        <row r="3597">
          <cell r="B3597" t="str">
            <v>Fire Extinguisher - C02</v>
          </cell>
          <cell r="D3597" t="str">
            <v>Al Qadesyah Secondary School</v>
          </cell>
          <cell r="H3597" t="str">
            <v>AD</v>
          </cell>
        </row>
        <row r="3598">
          <cell r="B3598" t="str">
            <v>Fire Extinguisher - C02</v>
          </cell>
          <cell r="D3598" t="str">
            <v>Al Qadesyah Secondary School</v>
          </cell>
          <cell r="H3598" t="str">
            <v>AD</v>
          </cell>
        </row>
        <row r="3599">
          <cell r="B3599" t="str">
            <v>Fire Extinguisher - Dry</v>
          </cell>
          <cell r="D3599" t="str">
            <v>Al Qadesyah Secondary School</v>
          </cell>
          <cell r="H3599" t="str">
            <v>AD</v>
          </cell>
        </row>
        <row r="3600">
          <cell r="B3600" t="str">
            <v>Fire Extinguisher - Dry</v>
          </cell>
          <cell r="D3600" t="str">
            <v>Al Qadesyah Secondary School</v>
          </cell>
          <cell r="H3600" t="str">
            <v>AD</v>
          </cell>
        </row>
        <row r="3601">
          <cell r="B3601" t="str">
            <v>Fire Extinguisher - Dry</v>
          </cell>
          <cell r="D3601" t="str">
            <v>Al Qadesyah Secondary School</v>
          </cell>
          <cell r="H3601" t="str">
            <v>AD</v>
          </cell>
        </row>
        <row r="3602">
          <cell r="B3602" t="str">
            <v>Fire Extinguisher - Dry</v>
          </cell>
          <cell r="D3602" t="str">
            <v>Al Qadesyah Secondary School</v>
          </cell>
          <cell r="H3602" t="str">
            <v>AD</v>
          </cell>
        </row>
        <row r="3603">
          <cell r="B3603" t="str">
            <v>Fire Extinguisher - Dry</v>
          </cell>
          <cell r="D3603" t="str">
            <v>Al Qadesyah Secondary School</v>
          </cell>
          <cell r="H3603" t="str">
            <v>AD</v>
          </cell>
        </row>
        <row r="3604">
          <cell r="B3604" t="str">
            <v>Fire Extinguisher - Dry</v>
          </cell>
          <cell r="D3604" t="str">
            <v>Al Qadesyah Secondary School</v>
          </cell>
          <cell r="H3604" t="str">
            <v>AD</v>
          </cell>
        </row>
        <row r="3605">
          <cell r="B3605" t="str">
            <v>Fire Extinguisher - Dry</v>
          </cell>
          <cell r="D3605" t="str">
            <v>Al Qadesyah Secondary School</v>
          </cell>
          <cell r="H3605" t="str">
            <v>AD</v>
          </cell>
        </row>
        <row r="3606">
          <cell r="B3606" t="str">
            <v>Fire Extinguisher - Dry</v>
          </cell>
          <cell r="D3606" t="str">
            <v>Al Qadesyah Secondary School</v>
          </cell>
          <cell r="H3606" t="str">
            <v>AD</v>
          </cell>
        </row>
        <row r="3607">
          <cell r="B3607" t="str">
            <v>Fire Extinguisher - Dry</v>
          </cell>
          <cell r="D3607" t="str">
            <v>Al Qadesyah Secondary School</v>
          </cell>
          <cell r="H3607" t="str">
            <v>AD</v>
          </cell>
        </row>
        <row r="3608">
          <cell r="B3608" t="str">
            <v>Fire Extinguisher - Dry</v>
          </cell>
          <cell r="D3608" t="str">
            <v>Al Qadesyah Secondary School</v>
          </cell>
          <cell r="H3608" t="str">
            <v>AD</v>
          </cell>
        </row>
        <row r="3609">
          <cell r="B3609" t="str">
            <v>Fire Extinguisher - Dry</v>
          </cell>
          <cell r="D3609" t="str">
            <v>Al Qadesyah Secondary School</v>
          </cell>
          <cell r="H3609" t="str">
            <v>AD</v>
          </cell>
        </row>
        <row r="3610">
          <cell r="B3610" t="str">
            <v>Fire Extinguisher - Dry</v>
          </cell>
          <cell r="D3610" t="str">
            <v>Al Qadesyah Secondary School</v>
          </cell>
          <cell r="H3610" t="str">
            <v>AD</v>
          </cell>
        </row>
        <row r="3611">
          <cell r="B3611" t="str">
            <v>Fire Extinguisher - Dry</v>
          </cell>
          <cell r="D3611" t="str">
            <v>Al Qadesyah Secondary School</v>
          </cell>
          <cell r="H3611" t="str">
            <v>AD</v>
          </cell>
        </row>
        <row r="3612">
          <cell r="B3612" t="str">
            <v>Fire Extinguisher - Dry</v>
          </cell>
          <cell r="D3612" t="str">
            <v>Al Qadesyah Secondary School</v>
          </cell>
          <cell r="H3612" t="str">
            <v>AD</v>
          </cell>
        </row>
        <row r="3613">
          <cell r="B3613" t="str">
            <v>Fire Hose</v>
          </cell>
          <cell r="D3613" t="str">
            <v>Al Qadesyah Secondary School</v>
          </cell>
          <cell r="H3613" t="str">
            <v>AD</v>
          </cell>
        </row>
        <row r="3614">
          <cell r="B3614" t="str">
            <v>Fire Hose</v>
          </cell>
          <cell r="D3614" t="str">
            <v>Al Qadesyah Secondary School</v>
          </cell>
          <cell r="H3614" t="str">
            <v>AD</v>
          </cell>
        </row>
        <row r="3615">
          <cell r="B3615" t="str">
            <v>Fire Hose</v>
          </cell>
          <cell r="D3615" t="str">
            <v>Al Qadesyah Secondary School</v>
          </cell>
          <cell r="H3615" t="str">
            <v>AD</v>
          </cell>
        </row>
        <row r="3616">
          <cell r="B3616" t="str">
            <v>Fire Hose Cabinet</v>
          </cell>
          <cell r="D3616" t="str">
            <v>Al Qadesyah Secondary School</v>
          </cell>
          <cell r="H3616" t="str">
            <v>AD</v>
          </cell>
        </row>
        <row r="3617">
          <cell r="B3617" t="str">
            <v>Fire Hose Cabinet</v>
          </cell>
          <cell r="D3617" t="str">
            <v>Al Qadesyah Secondary School</v>
          </cell>
          <cell r="H3617" t="str">
            <v>AD</v>
          </cell>
        </row>
        <row r="3618">
          <cell r="B3618" t="str">
            <v>Fire Hose Cabinet</v>
          </cell>
          <cell r="D3618" t="str">
            <v>Al Qadesyah Secondary School</v>
          </cell>
          <cell r="H3618" t="str">
            <v>AD</v>
          </cell>
        </row>
        <row r="3619">
          <cell r="B3619" t="str">
            <v>Fire Hose Reel</v>
          </cell>
          <cell r="D3619" t="str">
            <v>Al Qadesyah Secondary School</v>
          </cell>
          <cell r="H3619" t="str">
            <v>AD</v>
          </cell>
        </row>
        <row r="3620">
          <cell r="B3620" t="str">
            <v>Fire Hose Reel</v>
          </cell>
          <cell r="D3620" t="str">
            <v>Al Qadesyah Secondary School</v>
          </cell>
          <cell r="H3620" t="str">
            <v>AD</v>
          </cell>
        </row>
        <row r="3621">
          <cell r="B3621" t="str">
            <v>Fire Hose Reel</v>
          </cell>
          <cell r="D3621" t="str">
            <v>Al Qadesyah Secondary School</v>
          </cell>
          <cell r="H3621" t="str">
            <v>AD</v>
          </cell>
        </row>
        <row r="3622">
          <cell r="B3622" t="str">
            <v>Fire Hose Reel</v>
          </cell>
          <cell r="D3622" t="str">
            <v>Al Qadesyah Secondary School</v>
          </cell>
          <cell r="H3622" t="str">
            <v>AD</v>
          </cell>
        </row>
        <row r="3623">
          <cell r="B3623" t="str">
            <v>Fire Hose Reel</v>
          </cell>
          <cell r="D3623" t="str">
            <v>Al Qadesyah Secondary School</v>
          </cell>
          <cell r="H3623" t="str">
            <v>AD</v>
          </cell>
        </row>
        <row r="3624">
          <cell r="B3624" t="str">
            <v>Fire Hose Reel</v>
          </cell>
          <cell r="D3624" t="str">
            <v>Al Qadesyah Secondary School</v>
          </cell>
          <cell r="H3624" t="str">
            <v>AD</v>
          </cell>
        </row>
        <row r="3625">
          <cell r="B3625" t="str">
            <v>Fire Hose Reel</v>
          </cell>
          <cell r="D3625" t="str">
            <v>Al Qadesyah Secondary School</v>
          </cell>
          <cell r="H3625" t="str">
            <v>AD</v>
          </cell>
        </row>
        <row r="3626">
          <cell r="B3626" t="str">
            <v>Fire Hose Reel</v>
          </cell>
          <cell r="D3626" t="str">
            <v>Al Qadesyah Secondary School</v>
          </cell>
          <cell r="H3626" t="str">
            <v>AD</v>
          </cell>
        </row>
        <row r="3627">
          <cell r="B3627" t="str">
            <v>Fire Hose Reel</v>
          </cell>
          <cell r="D3627" t="str">
            <v>Al Qadesyah Secondary School</v>
          </cell>
          <cell r="H3627" t="str">
            <v>AD</v>
          </cell>
        </row>
        <row r="3628">
          <cell r="B3628" t="str">
            <v>Fire Hose Reel</v>
          </cell>
          <cell r="D3628" t="str">
            <v>Al Qadesyah Secondary School</v>
          </cell>
          <cell r="H3628" t="str">
            <v>AD</v>
          </cell>
        </row>
        <row r="3629">
          <cell r="B3629" t="str">
            <v>Fire Hose Reel</v>
          </cell>
          <cell r="D3629" t="str">
            <v>Al Qadesyah Secondary School</v>
          </cell>
          <cell r="H3629" t="str">
            <v>AD</v>
          </cell>
        </row>
        <row r="3630">
          <cell r="B3630" t="str">
            <v>Fire Hose Reel</v>
          </cell>
          <cell r="D3630" t="str">
            <v>Al Qadesyah Secondary School</v>
          </cell>
          <cell r="H3630" t="str">
            <v>AD</v>
          </cell>
        </row>
        <row r="3631">
          <cell r="B3631" t="str">
            <v>Fire Hose Reel</v>
          </cell>
          <cell r="D3631" t="str">
            <v>Al Qadesyah Secondary School</v>
          </cell>
          <cell r="H3631" t="str">
            <v>AD</v>
          </cell>
        </row>
        <row r="3632">
          <cell r="B3632" t="str">
            <v>Fire Hose Reel</v>
          </cell>
          <cell r="D3632" t="str">
            <v>Al Qadesyah Secondary School</v>
          </cell>
          <cell r="H3632" t="str">
            <v>AD</v>
          </cell>
        </row>
        <row r="3633">
          <cell r="B3633" t="str">
            <v>Fire Hose Reel</v>
          </cell>
          <cell r="D3633" t="str">
            <v>Al Qadesyah Secondary School</v>
          </cell>
          <cell r="H3633" t="str">
            <v>AD</v>
          </cell>
        </row>
        <row r="3634">
          <cell r="B3634" t="str">
            <v>Fire Hose Reel</v>
          </cell>
          <cell r="D3634" t="str">
            <v>Al Qadesyah Secondary School</v>
          </cell>
          <cell r="H3634" t="str">
            <v>AD</v>
          </cell>
        </row>
        <row r="3635">
          <cell r="B3635" t="str">
            <v>Fire Hose Reel</v>
          </cell>
          <cell r="D3635" t="str">
            <v>Al Qadesyah Secondary School</v>
          </cell>
          <cell r="H3635" t="str">
            <v>AD</v>
          </cell>
        </row>
        <row r="3636">
          <cell r="B3636" t="str">
            <v>Fire Hose Reel</v>
          </cell>
          <cell r="D3636" t="str">
            <v>Al Qadesyah Secondary School</v>
          </cell>
          <cell r="H3636" t="str">
            <v>AD</v>
          </cell>
        </row>
        <row r="3637">
          <cell r="B3637" t="str">
            <v>Fire Hose Reel</v>
          </cell>
          <cell r="D3637" t="str">
            <v>Al Qadesyah Secondary School</v>
          </cell>
          <cell r="H3637" t="str">
            <v>AD</v>
          </cell>
        </row>
        <row r="3638">
          <cell r="B3638" t="str">
            <v>Fire Hose Reel</v>
          </cell>
          <cell r="D3638" t="str">
            <v>Al Qadesyah Secondary School</v>
          </cell>
          <cell r="H3638" t="str">
            <v>AD</v>
          </cell>
        </row>
        <row r="3639">
          <cell r="B3639" t="str">
            <v>Fire Hose Reel</v>
          </cell>
          <cell r="D3639" t="str">
            <v>Al Qadesyah Secondary School</v>
          </cell>
          <cell r="H3639" t="str">
            <v>AD</v>
          </cell>
        </row>
        <row r="3640">
          <cell r="B3640" t="str">
            <v>Fire Hose Reel</v>
          </cell>
          <cell r="D3640" t="str">
            <v>Al Qadesyah Secondary School</v>
          </cell>
          <cell r="H3640" t="str">
            <v>AD</v>
          </cell>
        </row>
        <row r="3641">
          <cell r="B3641" t="str">
            <v>Fire Hose Reel</v>
          </cell>
          <cell r="D3641" t="str">
            <v>Al Qadesyah Secondary School</v>
          </cell>
          <cell r="H3641" t="str">
            <v>AD</v>
          </cell>
        </row>
        <row r="3642">
          <cell r="B3642" t="str">
            <v>Fire Hose Reel</v>
          </cell>
          <cell r="D3642" t="str">
            <v>Al Qadesyah Secondary School</v>
          </cell>
          <cell r="H3642" t="str">
            <v>AD</v>
          </cell>
        </row>
        <row r="3643">
          <cell r="B3643" t="str">
            <v>Fire Hose Reel</v>
          </cell>
          <cell r="D3643" t="str">
            <v>Al Qadesyah Secondary School</v>
          </cell>
          <cell r="H3643" t="str">
            <v>AD</v>
          </cell>
        </row>
        <row r="3644">
          <cell r="B3644" t="str">
            <v>Fire Hose Reel</v>
          </cell>
          <cell r="D3644" t="str">
            <v>Al Qadesyah Secondary School</v>
          </cell>
          <cell r="H3644" t="str">
            <v>AD</v>
          </cell>
        </row>
        <row r="3645">
          <cell r="B3645" t="str">
            <v>Fire Hose Reel</v>
          </cell>
          <cell r="D3645" t="str">
            <v>Al Qadesyah Secondary School</v>
          </cell>
          <cell r="H3645" t="str">
            <v>AD</v>
          </cell>
        </row>
        <row r="3646">
          <cell r="B3646" t="str">
            <v>Fire Hose Reel</v>
          </cell>
          <cell r="D3646" t="str">
            <v>Al Qadesyah Secondary School</v>
          </cell>
          <cell r="H3646" t="str">
            <v>AD</v>
          </cell>
        </row>
        <row r="3647">
          <cell r="B3647" t="str">
            <v>Fire Hose Reel</v>
          </cell>
          <cell r="D3647" t="str">
            <v>Al Qadesyah Secondary School</v>
          </cell>
          <cell r="H3647" t="str">
            <v>AD</v>
          </cell>
        </row>
        <row r="3648">
          <cell r="B3648" t="str">
            <v>Fire Hose Reel</v>
          </cell>
          <cell r="D3648" t="str">
            <v>Al Qadesyah Secondary School</v>
          </cell>
          <cell r="H3648" t="str">
            <v>AD</v>
          </cell>
        </row>
        <row r="3649">
          <cell r="B3649" t="str">
            <v>Fire Hose Reel</v>
          </cell>
          <cell r="D3649" t="str">
            <v>Al Qadesyah Secondary School</v>
          </cell>
          <cell r="H3649" t="str">
            <v>AD</v>
          </cell>
        </row>
        <row r="3650">
          <cell r="B3650" t="str">
            <v>Fire Hose Reel</v>
          </cell>
          <cell r="D3650" t="str">
            <v>Al Qadesyah Secondary School</v>
          </cell>
          <cell r="H3650" t="str">
            <v>AD</v>
          </cell>
        </row>
        <row r="3651">
          <cell r="B3651" t="str">
            <v>Fire Hose Reel</v>
          </cell>
          <cell r="D3651" t="str">
            <v>Al Qadesyah Secondary School</v>
          </cell>
          <cell r="H3651" t="str">
            <v>AD</v>
          </cell>
        </row>
        <row r="3652">
          <cell r="B3652" t="str">
            <v>Fire Hose Reel</v>
          </cell>
          <cell r="D3652" t="str">
            <v>Al Qadesyah Secondary School</v>
          </cell>
          <cell r="H3652" t="str">
            <v>AD</v>
          </cell>
        </row>
        <row r="3653">
          <cell r="B3653" t="str">
            <v>Fire Hose Reel</v>
          </cell>
          <cell r="D3653" t="str">
            <v>Al Qadesyah Secondary School</v>
          </cell>
          <cell r="H3653" t="str">
            <v>AD</v>
          </cell>
        </row>
        <row r="3654">
          <cell r="B3654" t="str">
            <v>Fire Hose Reel</v>
          </cell>
          <cell r="D3654" t="str">
            <v>Al Qadesyah Secondary School</v>
          </cell>
          <cell r="H3654" t="str">
            <v>AD</v>
          </cell>
        </row>
        <row r="3655">
          <cell r="B3655" t="str">
            <v>Fire Hose Reel Cabinet</v>
          </cell>
          <cell r="D3655" t="str">
            <v>Al Qadesyah Secondary School</v>
          </cell>
          <cell r="H3655" t="str">
            <v>AD</v>
          </cell>
        </row>
        <row r="3656">
          <cell r="B3656" t="str">
            <v>Fire Hose Reel Cabinet</v>
          </cell>
          <cell r="D3656" t="str">
            <v>Al Qadesyah Secondary School</v>
          </cell>
          <cell r="H3656" t="str">
            <v>AD</v>
          </cell>
        </row>
        <row r="3657">
          <cell r="B3657" t="str">
            <v>Fire Hose Reel Cabinet</v>
          </cell>
          <cell r="D3657" t="str">
            <v>Al Qadesyah Secondary School</v>
          </cell>
          <cell r="H3657" t="str">
            <v>AD</v>
          </cell>
        </row>
        <row r="3658">
          <cell r="B3658" t="str">
            <v>Fire Hose Reel Cabinet</v>
          </cell>
          <cell r="D3658" t="str">
            <v>Al Qadesyah Secondary School</v>
          </cell>
          <cell r="H3658" t="str">
            <v>AD</v>
          </cell>
        </row>
        <row r="3659">
          <cell r="B3659" t="str">
            <v>Fire Hose Reel Cabinet</v>
          </cell>
          <cell r="D3659" t="str">
            <v>Al Qadesyah Secondary School</v>
          </cell>
          <cell r="H3659" t="str">
            <v>AD</v>
          </cell>
        </row>
        <row r="3660">
          <cell r="B3660" t="str">
            <v>Fire Hose Reel Cabinet</v>
          </cell>
          <cell r="D3660" t="str">
            <v>Al Qadesyah Secondary School</v>
          </cell>
          <cell r="H3660" t="str">
            <v>AD</v>
          </cell>
        </row>
        <row r="3661">
          <cell r="B3661" t="str">
            <v>Fire Hose Reel Cabinet</v>
          </cell>
          <cell r="D3661" t="str">
            <v>Al Qadesyah Secondary School</v>
          </cell>
          <cell r="H3661" t="str">
            <v>AD</v>
          </cell>
        </row>
        <row r="3662">
          <cell r="B3662" t="str">
            <v>Fire Hose Reel Cabinet</v>
          </cell>
          <cell r="D3662" t="str">
            <v>Al Qadesyah Secondary School</v>
          </cell>
          <cell r="H3662" t="str">
            <v>AD</v>
          </cell>
        </row>
        <row r="3663">
          <cell r="B3663" t="str">
            <v>Fire Hose Reel Cabinet</v>
          </cell>
          <cell r="D3663" t="str">
            <v>Al Qadesyah Secondary School</v>
          </cell>
          <cell r="H3663" t="str">
            <v>AD</v>
          </cell>
        </row>
        <row r="3664">
          <cell r="B3664" t="str">
            <v>Fire Hose Reel Cabinet</v>
          </cell>
          <cell r="D3664" t="str">
            <v>Al Qadesyah Secondary School</v>
          </cell>
          <cell r="H3664" t="str">
            <v>AD</v>
          </cell>
        </row>
        <row r="3665">
          <cell r="B3665" t="str">
            <v>Fire Hose Reel Cabinet</v>
          </cell>
          <cell r="D3665" t="str">
            <v>Al Qadesyah Secondary School</v>
          </cell>
          <cell r="H3665" t="str">
            <v>AD</v>
          </cell>
        </row>
        <row r="3666">
          <cell r="B3666" t="str">
            <v>Fire Hose Reel Cabinet</v>
          </cell>
          <cell r="D3666" t="str">
            <v>Al Qadesyah Secondary School</v>
          </cell>
          <cell r="H3666" t="str">
            <v>AD</v>
          </cell>
        </row>
        <row r="3667">
          <cell r="B3667" t="str">
            <v>Fire Hose Reel Cabinet</v>
          </cell>
          <cell r="D3667" t="str">
            <v>Al Qadesyah Secondary School</v>
          </cell>
          <cell r="H3667" t="str">
            <v>AD</v>
          </cell>
        </row>
        <row r="3668">
          <cell r="B3668" t="str">
            <v>Fire Hose Reel Cabinet</v>
          </cell>
          <cell r="D3668" t="str">
            <v>Al Qadesyah Secondary School</v>
          </cell>
          <cell r="H3668" t="str">
            <v>AD</v>
          </cell>
        </row>
        <row r="3669">
          <cell r="B3669" t="str">
            <v>Fire Hose Reel Cabinet</v>
          </cell>
          <cell r="D3669" t="str">
            <v>Al Qadesyah Secondary School</v>
          </cell>
          <cell r="H3669" t="str">
            <v>AD</v>
          </cell>
        </row>
        <row r="3670">
          <cell r="B3670" t="str">
            <v>Fire Hose Reel Cabinet</v>
          </cell>
          <cell r="D3670" t="str">
            <v>Al Qadesyah Secondary School</v>
          </cell>
          <cell r="H3670" t="str">
            <v>AD</v>
          </cell>
        </row>
        <row r="3671">
          <cell r="B3671" t="str">
            <v>Fire Hose Reel Cabinet</v>
          </cell>
          <cell r="D3671" t="str">
            <v>Al Qadesyah Secondary School</v>
          </cell>
          <cell r="H3671" t="str">
            <v>AD</v>
          </cell>
        </row>
        <row r="3672">
          <cell r="B3672" t="str">
            <v>Fire Hose Reel Cabinet</v>
          </cell>
          <cell r="D3672" t="str">
            <v>Al Qadesyah Secondary School</v>
          </cell>
          <cell r="H3672" t="str">
            <v>AD</v>
          </cell>
        </row>
        <row r="3673">
          <cell r="B3673" t="str">
            <v>Fire Hose Reel Cabinet</v>
          </cell>
          <cell r="D3673" t="str">
            <v>Al Qadesyah Secondary School</v>
          </cell>
          <cell r="H3673" t="str">
            <v>AD</v>
          </cell>
        </row>
        <row r="3674">
          <cell r="B3674" t="str">
            <v>Fire Hose Reel Cabinet</v>
          </cell>
          <cell r="D3674" t="str">
            <v>Al Qadesyah Secondary School</v>
          </cell>
          <cell r="H3674" t="str">
            <v>AD</v>
          </cell>
        </row>
        <row r="3675">
          <cell r="B3675" t="str">
            <v>Fire Hose Reel Cabinet</v>
          </cell>
          <cell r="D3675" t="str">
            <v>Al Qadesyah Secondary School</v>
          </cell>
          <cell r="H3675" t="str">
            <v>AD</v>
          </cell>
        </row>
        <row r="3676">
          <cell r="B3676" t="str">
            <v>Fire Hose Reel Cabinet</v>
          </cell>
          <cell r="D3676" t="str">
            <v>Al Qadesyah Secondary School</v>
          </cell>
          <cell r="H3676" t="str">
            <v>AD</v>
          </cell>
        </row>
        <row r="3677">
          <cell r="B3677" t="str">
            <v>Fire Hose Reel Cabinet</v>
          </cell>
          <cell r="D3677" t="str">
            <v>Al Qadesyah Secondary School</v>
          </cell>
          <cell r="H3677" t="str">
            <v>AD</v>
          </cell>
        </row>
        <row r="3678">
          <cell r="B3678" t="str">
            <v>Fire Hose Reel Cabinet</v>
          </cell>
          <cell r="D3678" t="str">
            <v>Al Qadesyah Secondary School</v>
          </cell>
          <cell r="H3678" t="str">
            <v>AD</v>
          </cell>
        </row>
        <row r="3679">
          <cell r="B3679" t="str">
            <v>FIRE PUMP - Electric</v>
          </cell>
          <cell r="D3679" t="str">
            <v>Al Qadesyah Secondary School</v>
          </cell>
          <cell r="H3679" t="str">
            <v>AD</v>
          </cell>
        </row>
        <row r="3680">
          <cell r="B3680" t="str">
            <v>Fire Smoke / Heat Detector, Sounder</v>
          </cell>
          <cell r="D3680" t="str">
            <v>Al Qadesyah Secondary School</v>
          </cell>
          <cell r="H3680" t="str">
            <v>AD</v>
          </cell>
        </row>
        <row r="3681">
          <cell r="B3681" t="str">
            <v>Fire Smoke / Heat Detector, Sounder</v>
          </cell>
          <cell r="D3681" t="str">
            <v>Al Qadesyah Secondary School</v>
          </cell>
          <cell r="H3681" t="str">
            <v>AD</v>
          </cell>
        </row>
        <row r="3682">
          <cell r="B3682" t="str">
            <v>Fire Smoke / Heat Detector, Sounder</v>
          </cell>
          <cell r="D3682" t="str">
            <v>Al Qadesyah Secondary School</v>
          </cell>
          <cell r="H3682" t="str">
            <v>AD</v>
          </cell>
        </row>
        <row r="3683">
          <cell r="B3683" t="str">
            <v>Fire Smoke / Heat Detector, Sounder</v>
          </cell>
          <cell r="D3683" t="str">
            <v>Al Qadesyah Secondary School</v>
          </cell>
          <cell r="H3683" t="str">
            <v>AD</v>
          </cell>
        </row>
        <row r="3684">
          <cell r="B3684" t="str">
            <v>Fire Smoke / Heat Detector, Sounder</v>
          </cell>
          <cell r="D3684" t="str">
            <v>Al Qadesyah Secondary School</v>
          </cell>
          <cell r="H3684" t="str">
            <v>AD</v>
          </cell>
        </row>
        <row r="3685">
          <cell r="B3685" t="str">
            <v>Gas Alarm</v>
          </cell>
          <cell r="D3685" t="str">
            <v>Al Qadesyah Secondary School</v>
          </cell>
          <cell r="H3685" t="str">
            <v>AD</v>
          </cell>
        </row>
        <row r="3686">
          <cell r="B3686" t="str">
            <v>Gas Detection System</v>
          </cell>
          <cell r="D3686" t="str">
            <v>Al Qadesyah Secondary School</v>
          </cell>
          <cell r="H3686" t="str">
            <v>AD</v>
          </cell>
        </row>
        <row r="3687">
          <cell r="B3687" t="str">
            <v>Gas Detection System</v>
          </cell>
          <cell r="D3687" t="str">
            <v>Al Qadesyah Secondary School</v>
          </cell>
          <cell r="H3687" t="str">
            <v>AD</v>
          </cell>
        </row>
        <row r="3688">
          <cell r="B3688" t="str">
            <v>Gas Detection System</v>
          </cell>
          <cell r="D3688" t="str">
            <v>Al Qadesyah Secondary School</v>
          </cell>
          <cell r="H3688" t="str">
            <v>AD</v>
          </cell>
        </row>
        <row r="3689">
          <cell r="B3689" t="str">
            <v>Smoke Detector &amp; Heat Detector</v>
          </cell>
          <cell r="D3689" t="str">
            <v>Al Qadesyah Secondary School</v>
          </cell>
          <cell r="H3689" t="str">
            <v>AD</v>
          </cell>
        </row>
        <row r="3690">
          <cell r="B3690" t="str">
            <v>Smoke Detector &amp; Heat Detector</v>
          </cell>
          <cell r="D3690" t="str">
            <v>Al Qadesyah Secondary School</v>
          </cell>
          <cell r="H3690" t="str">
            <v>AD</v>
          </cell>
        </row>
        <row r="3691">
          <cell r="B3691" t="str">
            <v>Smoke Detector &amp; Heat Detector</v>
          </cell>
          <cell r="D3691" t="str">
            <v>Al Qadesyah Secondary School</v>
          </cell>
          <cell r="H3691" t="str">
            <v>AD</v>
          </cell>
        </row>
        <row r="3692">
          <cell r="B3692" t="str">
            <v>Smoke Detector &amp; Heat Detector</v>
          </cell>
          <cell r="D3692" t="str">
            <v>Al Qadesyah Secondary School</v>
          </cell>
          <cell r="H3692" t="str">
            <v>AD</v>
          </cell>
        </row>
        <row r="3693">
          <cell r="B3693" t="str">
            <v>Smoke Detector &amp; Heat Detector</v>
          </cell>
          <cell r="D3693" t="str">
            <v>Al Qadesyah Secondary School</v>
          </cell>
          <cell r="H3693" t="str">
            <v>AD</v>
          </cell>
        </row>
        <row r="3694">
          <cell r="B3694" t="str">
            <v>Smoke Detector &amp; Heat Detector</v>
          </cell>
          <cell r="D3694" t="str">
            <v>Al Qadesyah Secondary School</v>
          </cell>
          <cell r="H3694" t="str">
            <v>AD</v>
          </cell>
        </row>
        <row r="3695">
          <cell r="B3695" t="str">
            <v>Smoke Detector &amp; Heat Detector</v>
          </cell>
          <cell r="D3695" t="str">
            <v>Al Qadesyah Secondary School</v>
          </cell>
          <cell r="H3695" t="str">
            <v>AD</v>
          </cell>
        </row>
        <row r="3696">
          <cell r="B3696" t="str">
            <v>Smoke Detector &amp; Heat Detector</v>
          </cell>
          <cell r="D3696" t="str">
            <v>Al Qadesyah Secondary School</v>
          </cell>
          <cell r="H3696" t="str">
            <v>AD</v>
          </cell>
        </row>
        <row r="3697">
          <cell r="B3697" t="str">
            <v>Smoke Detector &amp; Heat Detector</v>
          </cell>
          <cell r="D3697" t="str">
            <v>Al Qadesyah Secondary School</v>
          </cell>
          <cell r="H3697" t="str">
            <v>AD</v>
          </cell>
        </row>
        <row r="3698">
          <cell r="B3698" t="str">
            <v>Smoke Detector &amp; Heat Detector</v>
          </cell>
          <cell r="D3698" t="str">
            <v>Al Qadesyah Secondary School</v>
          </cell>
          <cell r="H3698" t="str">
            <v>AD</v>
          </cell>
        </row>
        <row r="3699">
          <cell r="B3699" t="str">
            <v>Smoke Detector &amp; Heat Detector</v>
          </cell>
          <cell r="D3699" t="str">
            <v>Al Qadesyah Secondary School</v>
          </cell>
          <cell r="H3699" t="str">
            <v>AD</v>
          </cell>
        </row>
        <row r="3700">
          <cell r="B3700" t="str">
            <v>Smoke Detector &amp; Heat Detector</v>
          </cell>
          <cell r="D3700" t="str">
            <v>Al Qadesyah Secondary School</v>
          </cell>
          <cell r="H3700" t="str">
            <v>AD</v>
          </cell>
        </row>
        <row r="3701">
          <cell r="B3701" t="str">
            <v>Smoke Detector &amp; Heat Detector</v>
          </cell>
          <cell r="D3701" t="str">
            <v>Al Qadesyah Secondary School</v>
          </cell>
          <cell r="H3701" t="str">
            <v>AD</v>
          </cell>
        </row>
        <row r="3702">
          <cell r="B3702" t="str">
            <v>Smoke Detector &amp; Heat Detector</v>
          </cell>
          <cell r="D3702" t="str">
            <v>Al Qadesyah Secondary School</v>
          </cell>
          <cell r="H3702" t="str">
            <v>AD</v>
          </cell>
        </row>
        <row r="3703">
          <cell r="B3703" t="str">
            <v>Smoke Detector &amp; Heat Detector</v>
          </cell>
          <cell r="D3703" t="str">
            <v>Al Qadesyah Secondary School</v>
          </cell>
          <cell r="H3703" t="str">
            <v>AD</v>
          </cell>
        </row>
        <row r="3704">
          <cell r="B3704" t="str">
            <v>Smoke Detector &amp; Heat Detector</v>
          </cell>
          <cell r="D3704" t="str">
            <v>Al Qadesyah Secondary School</v>
          </cell>
          <cell r="H3704" t="str">
            <v>AD</v>
          </cell>
        </row>
        <row r="3705">
          <cell r="B3705" t="str">
            <v>Smoke Detector &amp; Heat Detector</v>
          </cell>
          <cell r="D3705" t="str">
            <v>Al Qadesyah Secondary School</v>
          </cell>
          <cell r="H3705" t="str">
            <v>AD</v>
          </cell>
        </row>
        <row r="3706">
          <cell r="B3706" t="str">
            <v>Smoke Detector &amp; Heat Detector</v>
          </cell>
          <cell r="D3706" t="str">
            <v>Al Qadesyah Secondary School</v>
          </cell>
          <cell r="H3706" t="str">
            <v>AD</v>
          </cell>
        </row>
        <row r="3707">
          <cell r="B3707" t="str">
            <v>Smoke Detector &amp; Heat Detector</v>
          </cell>
          <cell r="D3707" t="str">
            <v>Al Qadesyah Secondary School</v>
          </cell>
          <cell r="H3707" t="str">
            <v>AD</v>
          </cell>
        </row>
        <row r="3708">
          <cell r="B3708" t="str">
            <v>Smoke Detector &amp; Heat Detector</v>
          </cell>
          <cell r="D3708" t="str">
            <v>Al Qadesyah Secondary School</v>
          </cell>
          <cell r="H3708" t="str">
            <v>AD</v>
          </cell>
        </row>
        <row r="3709">
          <cell r="B3709" t="str">
            <v>Smoke Detector &amp; Heat Detector</v>
          </cell>
          <cell r="D3709" t="str">
            <v>Al Qadesyah Secondary School</v>
          </cell>
          <cell r="H3709" t="str">
            <v>AD</v>
          </cell>
        </row>
        <row r="3710">
          <cell r="B3710" t="str">
            <v>Smoke Detector &amp; Heat Detector</v>
          </cell>
          <cell r="D3710" t="str">
            <v>Al Qadesyah Secondary School</v>
          </cell>
          <cell r="H3710" t="str">
            <v>AD</v>
          </cell>
        </row>
        <row r="3711">
          <cell r="B3711" t="str">
            <v>Smoke Detector &amp; Heat Detector</v>
          </cell>
          <cell r="D3711" t="str">
            <v>Al Qadesyah Secondary School</v>
          </cell>
          <cell r="H3711" t="str">
            <v>AD</v>
          </cell>
        </row>
        <row r="3712">
          <cell r="B3712" t="str">
            <v>Smoke Detector &amp; Heat Detector</v>
          </cell>
          <cell r="D3712" t="str">
            <v>Al Qadesyah Secondary School</v>
          </cell>
          <cell r="H3712" t="str">
            <v>AD</v>
          </cell>
        </row>
        <row r="3713">
          <cell r="B3713" t="str">
            <v>Smoke Detector &amp; Heat Detector</v>
          </cell>
          <cell r="D3713" t="str">
            <v>Al Qadesyah Secondary School</v>
          </cell>
          <cell r="H3713" t="str">
            <v>AD</v>
          </cell>
        </row>
        <row r="3714">
          <cell r="B3714" t="str">
            <v>Smoke Detector &amp; Heat Detector</v>
          </cell>
          <cell r="D3714" t="str">
            <v>Al Qadesyah Secondary School</v>
          </cell>
          <cell r="H3714" t="str">
            <v>AD</v>
          </cell>
        </row>
        <row r="3715">
          <cell r="B3715" t="str">
            <v>CCTV Camera</v>
          </cell>
          <cell r="D3715" t="str">
            <v xml:space="preserve">Al Rakia School                           </v>
          </cell>
          <cell r="H3715" t="str">
            <v>AA</v>
          </cell>
        </row>
        <row r="3716">
          <cell r="B3716" t="str">
            <v>CCTV Camera</v>
          </cell>
          <cell r="D3716" t="str">
            <v xml:space="preserve">Al Rakia School                           </v>
          </cell>
          <cell r="H3716" t="str">
            <v>AA</v>
          </cell>
        </row>
        <row r="3717">
          <cell r="B3717" t="str">
            <v>CCTV Camera</v>
          </cell>
          <cell r="D3717" t="str">
            <v xml:space="preserve">Al Rakia School                           </v>
          </cell>
          <cell r="H3717" t="str">
            <v>AA</v>
          </cell>
        </row>
        <row r="3718">
          <cell r="B3718" t="str">
            <v>CCTV Camera</v>
          </cell>
          <cell r="D3718" t="str">
            <v xml:space="preserve">Al Rakia School                           </v>
          </cell>
          <cell r="H3718" t="str">
            <v>AA</v>
          </cell>
        </row>
        <row r="3719">
          <cell r="B3719" t="str">
            <v>CCTV Camera</v>
          </cell>
          <cell r="D3719" t="str">
            <v xml:space="preserve">Al Rakia School                           </v>
          </cell>
          <cell r="H3719" t="str">
            <v>AA</v>
          </cell>
        </row>
        <row r="3720">
          <cell r="B3720" t="str">
            <v>CCTV Camera</v>
          </cell>
          <cell r="D3720" t="str">
            <v xml:space="preserve">Al Rakia School                           </v>
          </cell>
          <cell r="H3720" t="str">
            <v>AA</v>
          </cell>
        </row>
        <row r="3721">
          <cell r="B3721" t="str">
            <v>CCTV Camera</v>
          </cell>
          <cell r="D3721" t="str">
            <v xml:space="preserve">Al Rakia School                           </v>
          </cell>
          <cell r="H3721" t="str">
            <v>AA</v>
          </cell>
        </row>
        <row r="3722">
          <cell r="B3722" t="str">
            <v>Elevator</v>
          </cell>
          <cell r="D3722" t="str">
            <v xml:space="preserve">Al Rakia School                           </v>
          </cell>
          <cell r="H3722" t="str">
            <v>AA</v>
          </cell>
        </row>
        <row r="3723">
          <cell r="B3723" t="str">
            <v>Fire Alarm Bell</v>
          </cell>
          <cell r="D3723" t="str">
            <v xml:space="preserve">Al Rakia School                           </v>
          </cell>
          <cell r="H3723" t="str">
            <v>AA</v>
          </cell>
        </row>
        <row r="3724">
          <cell r="B3724" t="str">
            <v>Fire Alarm Bell</v>
          </cell>
          <cell r="D3724" t="str">
            <v xml:space="preserve">Al Rakia School                           </v>
          </cell>
          <cell r="H3724" t="str">
            <v>AA</v>
          </cell>
        </row>
        <row r="3725">
          <cell r="B3725" t="str">
            <v>Fire Alarm Bell</v>
          </cell>
          <cell r="D3725" t="str">
            <v xml:space="preserve">Al Rakia School                           </v>
          </cell>
          <cell r="H3725" t="str">
            <v>AA</v>
          </cell>
        </row>
        <row r="3726">
          <cell r="B3726" t="str">
            <v>Fire Alarm Bell</v>
          </cell>
          <cell r="D3726" t="str">
            <v xml:space="preserve">Al Rakia School                           </v>
          </cell>
          <cell r="H3726" t="str">
            <v>AA</v>
          </cell>
        </row>
        <row r="3727">
          <cell r="B3727" t="str">
            <v>Fire Alarm Bell</v>
          </cell>
          <cell r="D3727" t="str">
            <v xml:space="preserve">Al Rakia School                           </v>
          </cell>
          <cell r="H3727" t="str">
            <v>AA</v>
          </cell>
        </row>
        <row r="3728">
          <cell r="B3728" t="str">
            <v>Fire Alarm Bell</v>
          </cell>
          <cell r="D3728" t="str">
            <v xml:space="preserve">Al Rakia School                           </v>
          </cell>
          <cell r="H3728" t="str">
            <v>AA</v>
          </cell>
        </row>
        <row r="3729">
          <cell r="B3729" t="str">
            <v>Fire Alarm Control Panel Board</v>
          </cell>
          <cell r="D3729" t="str">
            <v xml:space="preserve">Al Rakia School                           </v>
          </cell>
          <cell r="H3729" t="str">
            <v>AA</v>
          </cell>
        </row>
        <row r="3730">
          <cell r="B3730" t="str">
            <v>Fire Blanket</v>
          </cell>
          <cell r="D3730" t="str">
            <v xml:space="preserve">Al Rakia School                           </v>
          </cell>
          <cell r="H3730" t="str">
            <v>AA</v>
          </cell>
        </row>
        <row r="3731">
          <cell r="B3731" t="str">
            <v>Fire Break Glass</v>
          </cell>
          <cell r="D3731" t="str">
            <v xml:space="preserve">Al Rakia School                           </v>
          </cell>
          <cell r="H3731" t="str">
            <v>AA</v>
          </cell>
        </row>
        <row r="3732">
          <cell r="B3732" t="str">
            <v>Fire Break Glass</v>
          </cell>
          <cell r="D3732" t="str">
            <v xml:space="preserve">Al Rakia School                           </v>
          </cell>
          <cell r="H3732" t="str">
            <v>AA</v>
          </cell>
        </row>
        <row r="3733">
          <cell r="B3733" t="str">
            <v>Fire Break Glass</v>
          </cell>
          <cell r="D3733" t="str">
            <v xml:space="preserve">Al Rakia School                           </v>
          </cell>
          <cell r="H3733" t="str">
            <v>AA</v>
          </cell>
        </row>
        <row r="3734">
          <cell r="B3734" t="str">
            <v>Fire Break Glass</v>
          </cell>
          <cell r="D3734" t="str">
            <v xml:space="preserve">Al Rakia School                           </v>
          </cell>
          <cell r="H3734" t="str">
            <v>AA</v>
          </cell>
        </row>
        <row r="3735">
          <cell r="B3735" t="str">
            <v>Fire Break Glass</v>
          </cell>
          <cell r="D3735" t="str">
            <v xml:space="preserve">Al Rakia School                           </v>
          </cell>
          <cell r="H3735" t="str">
            <v>AA</v>
          </cell>
        </row>
        <row r="3736">
          <cell r="B3736" t="str">
            <v>Fire Break Glass</v>
          </cell>
          <cell r="D3736" t="str">
            <v xml:space="preserve">Al Rakia School                           </v>
          </cell>
          <cell r="H3736" t="str">
            <v>AA</v>
          </cell>
        </row>
        <row r="3737">
          <cell r="B3737" t="str">
            <v>Fire Break Glass</v>
          </cell>
          <cell r="D3737" t="str">
            <v xml:space="preserve">Al Rakia School                           </v>
          </cell>
          <cell r="H3737" t="str">
            <v>AA</v>
          </cell>
        </row>
        <row r="3738">
          <cell r="B3738" t="str">
            <v>Fire Break Glass</v>
          </cell>
          <cell r="D3738" t="str">
            <v xml:space="preserve">Al Rakia School                           </v>
          </cell>
          <cell r="H3738" t="str">
            <v>AA</v>
          </cell>
        </row>
        <row r="3739">
          <cell r="B3739" t="str">
            <v>Fire Break Glass</v>
          </cell>
          <cell r="D3739" t="str">
            <v xml:space="preserve">Al Rakia School                           </v>
          </cell>
          <cell r="H3739" t="str">
            <v>AA</v>
          </cell>
        </row>
        <row r="3740">
          <cell r="B3740" t="str">
            <v>Fire Break Glass</v>
          </cell>
          <cell r="D3740" t="str">
            <v xml:space="preserve">Al Rakia School                           </v>
          </cell>
          <cell r="H3740" t="str">
            <v>AA</v>
          </cell>
        </row>
        <row r="3741">
          <cell r="B3741" t="str">
            <v>Fire Break Glass</v>
          </cell>
          <cell r="D3741" t="str">
            <v xml:space="preserve">Al Rakia School                           </v>
          </cell>
          <cell r="H3741" t="str">
            <v>AA</v>
          </cell>
        </row>
        <row r="3742">
          <cell r="B3742" t="str">
            <v>Fire Break Glass</v>
          </cell>
          <cell r="D3742" t="str">
            <v xml:space="preserve">Al Rakia School                           </v>
          </cell>
          <cell r="H3742" t="str">
            <v>AA</v>
          </cell>
        </row>
        <row r="3743">
          <cell r="B3743" t="str">
            <v>Fire Break Glass</v>
          </cell>
          <cell r="D3743" t="str">
            <v xml:space="preserve">Al Rakia School                           </v>
          </cell>
          <cell r="H3743" t="str">
            <v>AA</v>
          </cell>
        </row>
        <row r="3744">
          <cell r="B3744" t="str">
            <v>Fire Break Glass</v>
          </cell>
          <cell r="D3744" t="str">
            <v xml:space="preserve">Al Rakia School                           </v>
          </cell>
          <cell r="H3744" t="str">
            <v>AA</v>
          </cell>
        </row>
        <row r="3745">
          <cell r="B3745" t="str">
            <v>Fire Break Glass</v>
          </cell>
          <cell r="D3745" t="str">
            <v xml:space="preserve">Al Rakia School                           </v>
          </cell>
          <cell r="H3745" t="str">
            <v>AA</v>
          </cell>
        </row>
        <row r="3746">
          <cell r="B3746" t="str">
            <v>Fire Break Glass</v>
          </cell>
          <cell r="D3746" t="str">
            <v xml:space="preserve">Al Rakia School                           </v>
          </cell>
          <cell r="H3746" t="str">
            <v>AA</v>
          </cell>
        </row>
        <row r="3747">
          <cell r="B3747" t="str">
            <v>Fire Break Glass</v>
          </cell>
          <cell r="D3747" t="str">
            <v xml:space="preserve">Al Rakia School                           </v>
          </cell>
          <cell r="H3747" t="str">
            <v>AA</v>
          </cell>
        </row>
        <row r="3748">
          <cell r="B3748" t="str">
            <v>Fire Break Glass</v>
          </cell>
          <cell r="D3748" t="str">
            <v xml:space="preserve">Al Rakia School                           </v>
          </cell>
          <cell r="H3748" t="str">
            <v>AA</v>
          </cell>
        </row>
        <row r="3749">
          <cell r="B3749" t="str">
            <v>Fire Break Glass</v>
          </cell>
          <cell r="D3749" t="str">
            <v xml:space="preserve">Al Rakia School                           </v>
          </cell>
          <cell r="H3749" t="str">
            <v>AA</v>
          </cell>
        </row>
        <row r="3750">
          <cell r="B3750" t="str">
            <v>Fire Break Glass</v>
          </cell>
          <cell r="D3750" t="str">
            <v xml:space="preserve">Al Rakia School                           </v>
          </cell>
          <cell r="H3750" t="str">
            <v>AA</v>
          </cell>
        </row>
        <row r="3751">
          <cell r="B3751" t="str">
            <v>Fire Break Glass</v>
          </cell>
          <cell r="D3751" t="str">
            <v xml:space="preserve">Al Rakia School                           </v>
          </cell>
          <cell r="H3751" t="str">
            <v>AA</v>
          </cell>
        </row>
        <row r="3752">
          <cell r="B3752" t="str">
            <v>Fire Extinguisher - C02</v>
          </cell>
          <cell r="D3752" t="str">
            <v xml:space="preserve">Al Rakia School                           </v>
          </cell>
          <cell r="H3752" t="str">
            <v>AA</v>
          </cell>
        </row>
        <row r="3753">
          <cell r="B3753" t="str">
            <v>Fire Extinguisher - C02</v>
          </cell>
          <cell r="D3753" t="str">
            <v xml:space="preserve">Al Rakia School                           </v>
          </cell>
          <cell r="H3753" t="str">
            <v>AA</v>
          </cell>
        </row>
        <row r="3754">
          <cell r="B3754" t="str">
            <v>Fire Extinguisher - C02</v>
          </cell>
          <cell r="D3754" t="str">
            <v xml:space="preserve">Al Rakia School                           </v>
          </cell>
          <cell r="H3754" t="str">
            <v>AA</v>
          </cell>
        </row>
        <row r="3755">
          <cell r="B3755" t="str">
            <v>Fire Extinguisher - C02</v>
          </cell>
          <cell r="D3755" t="str">
            <v xml:space="preserve">Al Rakia School                           </v>
          </cell>
          <cell r="H3755" t="str">
            <v>AA</v>
          </cell>
        </row>
        <row r="3756">
          <cell r="B3756" t="str">
            <v>Fire Extinguisher - C02</v>
          </cell>
          <cell r="D3756" t="str">
            <v xml:space="preserve">Al Rakia School                           </v>
          </cell>
          <cell r="H3756" t="str">
            <v>AA</v>
          </cell>
        </row>
        <row r="3757">
          <cell r="B3757" t="str">
            <v>Fire Extinguisher - C02</v>
          </cell>
          <cell r="D3757" t="str">
            <v xml:space="preserve">Al Rakia School                           </v>
          </cell>
          <cell r="H3757" t="str">
            <v>AA</v>
          </cell>
        </row>
        <row r="3758">
          <cell r="B3758" t="str">
            <v>Fire Extinguisher - C02</v>
          </cell>
          <cell r="D3758" t="str">
            <v xml:space="preserve">Al Rakia School                           </v>
          </cell>
          <cell r="H3758" t="str">
            <v>AA</v>
          </cell>
        </row>
        <row r="3759">
          <cell r="B3759" t="str">
            <v>Fire Extinguisher - C02</v>
          </cell>
          <cell r="D3759" t="str">
            <v xml:space="preserve">Al Rakia School                           </v>
          </cell>
          <cell r="H3759" t="str">
            <v>AA</v>
          </cell>
        </row>
        <row r="3760">
          <cell r="B3760" t="str">
            <v>Fire Extinguisher - C02</v>
          </cell>
          <cell r="D3760" t="str">
            <v xml:space="preserve">Al Rakia School                           </v>
          </cell>
          <cell r="H3760" t="str">
            <v>AA</v>
          </cell>
        </row>
        <row r="3761">
          <cell r="B3761" t="str">
            <v>Fire Extinguisher - C02</v>
          </cell>
          <cell r="D3761" t="str">
            <v xml:space="preserve">Al Rakia School                           </v>
          </cell>
          <cell r="H3761" t="str">
            <v>AA</v>
          </cell>
        </row>
        <row r="3762">
          <cell r="B3762" t="str">
            <v>Fire Extinguisher - C02</v>
          </cell>
          <cell r="D3762" t="str">
            <v xml:space="preserve">Al Rakia School                           </v>
          </cell>
          <cell r="H3762" t="str">
            <v>AA</v>
          </cell>
        </row>
        <row r="3763">
          <cell r="B3763" t="str">
            <v>Fire Extinguisher - C02</v>
          </cell>
          <cell r="D3763" t="str">
            <v xml:space="preserve">Al Rakia School                           </v>
          </cell>
          <cell r="H3763" t="str">
            <v>AA</v>
          </cell>
        </row>
        <row r="3764">
          <cell r="B3764" t="str">
            <v>Fire Extinguisher - C02</v>
          </cell>
          <cell r="D3764" t="str">
            <v xml:space="preserve">Al Rakia School                           </v>
          </cell>
          <cell r="H3764" t="str">
            <v>AA</v>
          </cell>
        </row>
        <row r="3765">
          <cell r="B3765" t="str">
            <v>Fire Extinguisher - C02</v>
          </cell>
          <cell r="D3765" t="str">
            <v xml:space="preserve">Al Rakia School                           </v>
          </cell>
          <cell r="H3765" t="str">
            <v>AA</v>
          </cell>
        </row>
        <row r="3766">
          <cell r="B3766" t="str">
            <v>Fire Extinguisher - C02</v>
          </cell>
          <cell r="D3766" t="str">
            <v xml:space="preserve">Al Rakia School                           </v>
          </cell>
          <cell r="H3766" t="str">
            <v>AA</v>
          </cell>
        </row>
        <row r="3767">
          <cell r="B3767" t="str">
            <v>Fire Extinguisher - C02</v>
          </cell>
          <cell r="D3767" t="str">
            <v xml:space="preserve">Al Rakia School                           </v>
          </cell>
          <cell r="H3767" t="str">
            <v>AA</v>
          </cell>
        </row>
        <row r="3768">
          <cell r="B3768" t="str">
            <v>Fire Extinguisher - C02</v>
          </cell>
          <cell r="D3768" t="str">
            <v xml:space="preserve">Al Rakia School                           </v>
          </cell>
          <cell r="H3768" t="str">
            <v>AA</v>
          </cell>
        </row>
        <row r="3769">
          <cell r="B3769" t="str">
            <v>Fire Extinguisher - C02</v>
          </cell>
          <cell r="D3769" t="str">
            <v xml:space="preserve">Al Rakia School                           </v>
          </cell>
          <cell r="H3769" t="str">
            <v>AA</v>
          </cell>
        </row>
        <row r="3770">
          <cell r="B3770" t="str">
            <v>Fire Extinguisher - C02</v>
          </cell>
          <cell r="D3770" t="str">
            <v xml:space="preserve">Al Rakia School                           </v>
          </cell>
          <cell r="H3770" t="str">
            <v>AA</v>
          </cell>
        </row>
        <row r="3771">
          <cell r="B3771" t="str">
            <v>Fire Extinguisher - C02</v>
          </cell>
          <cell r="D3771" t="str">
            <v xml:space="preserve">Al Rakia School                           </v>
          </cell>
          <cell r="H3771" t="str">
            <v>AA</v>
          </cell>
        </row>
        <row r="3772">
          <cell r="B3772" t="str">
            <v>Fire Extinguisher - C02</v>
          </cell>
          <cell r="D3772" t="str">
            <v xml:space="preserve">Al Rakia School                           </v>
          </cell>
          <cell r="H3772" t="str">
            <v>AA</v>
          </cell>
        </row>
        <row r="3773">
          <cell r="B3773" t="str">
            <v>Fire Extinguisher - C02</v>
          </cell>
          <cell r="D3773" t="str">
            <v xml:space="preserve">Al Rakia School                           </v>
          </cell>
          <cell r="H3773" t="str">
            <v>AA</v>
          </cell>
        </row>
        <row r="3774">
          <cell r="B3774" t="str">
            <v>Fire Extinguisher - C02</v>
          </cell>
          <cell r="D3774" t="str">
            <v xml:space="preserve">Al Rakia School                           </v>
          </cell>
          <cell r="H3774" t="str">
            <v>AA</v>
          </cell>
        </row>
        <row r="3775">
          <cell r="B3775" t="str">
            <v>Fire Extinguisher - C02</v>
          </cell>
          <cell r="D3775" t="str">
            <v xml:space="preserve">Al Rakia School                           </v>
          </cell>
          <cell r="H3775" t="str">
            <v>AA</v>
          </cell>
        </row>
        <row r="3776">
          <cell r="B3776" t="str">
            <v>Fire Extinguisher - C02</v>
          </cell>
          <cell r="D3776" t="str">
            <v xml:space="preserve">Al Rakia School                           </v>
          </cell>
          <cell r="H3776" t="str">
            <v>AA</v>
          </cell>
        </row>
        <row r="3777">
          <cell r="B3777" t="str">
            <v>Fire Extinguisher - Dry</v>
          </cell>
          <cell r="D3777" t="str">
            <v xml:space="preserve">Al Rakia School                           </v>
          </cell>
          <cell r="H3777" t="str">
            <v>AA</v>
          </cell>
        </row>
        <row r="3778">
          <cell r="B3778" t="str">
            <v>Fire Extinguisher - Dry</v>
          </cell>
          <cell r="D3778" t="str">
            <v xml:space="preserve">Al Rakia School                           </v>
          </cell>
          <cell r="H3778" t="str">
            <v>AA</v>
          </cell>
        </row>
        <row r="3779">
          <cell r="B3779" t="str">
            <v>Fire Extinguisher - Dry</v>
          </cell>
          <cell r="D3779" t="str">
            <v xml:space="preserve">Al Rakia School                           </v>
          </cell>
          <cell r="H3779" t="str">
            <v>AA</v>
          </cell>
        </row>
        <row r="3780">
          <cell r="B3780" t="str">
            <v>Fire Extinguisher - Dry</v>
          </cell>
          <cell r="D3780" t="str">
            <v xml:space="preserve">Al Rakia School                           </v>
          </cell>
          <cell r="H3780" t="str">
            <v>AA</v>
          </cell>
        </row>
        <row r="3781">
          <cell r="B3781" t="str">
            <v>Fire Extinguisher - Dry</v>
          </cell>
          <cell r="D3781" t="str">
            <v xml:space="preserve">Al Rakia School                           </v>
          </cell>
          <cell r="H3781" t="str">
            <v>AA</v>
          </cell>
        </row>
        <row r="3782">
          <cell r="B3782" t="str">
            <v>Fire Extinguisher - Dry</v>
          </cell>
          <cell r="D3782" t="str">
            <v xml:space="preserve">Al Rakia School                           </v>
          </cell>
          <cell r="H3782" t="str">
            <v>AA</v>
          </cell>
        </row>
        <row r="3783">
          <cell r="B3783" t="str">
            <v>Fire Extinguisher - Dry</v>
          </cell>
          <cell r="D3783" t="str">
            <v xml:space="preserve">Al Rakia School                           </v>
          </cell>
          <cell r="H3783" t="str">
            <v>AA</v>
          </cell>
        </row>
        <row r="3784">
          <cell r="B3784" t="str">
            <v>Fire Extinguisher - Dry</v>
          </cell>
          <cell r="D3784" t="str">
            <v xml:space="preserve">Al Rakia School                           </v>
          </cell>
          <cell r="H3784" t="str">
            <v>AA</v>
          </cell>
        </row>
        <row r="3785">
          <cell r="B3785" t="str">
            <v>Fire Extinguisher - Dry</v>
          </cell>
          <cell r="D3785" t="str">
            <v xml:space="preserve">Al Rakia School                           </v>
          </cell>
          <cell r="H3785" t="str">
            <v>AA</v>
          </cell>
        </row>
        <row r="3786">
          <cell r="B3786" t="str">
            <v>Fire Extinguisher - Dry</v>
          </cell>
          <cell r="D3786" t="str">
            <v xml:space="preserve">Al Rakia School                           </v>
          </cell>
          <cell r="H3786" t="str">
            <v>AA</v>
          </cell>
        </row>
        <row r="3787">
          <cell r="B3787" t="str">
            <v>Fire Extinguisher - Dry</v>
          </cell>
          <cell r="D3787" t="str">
            <v xml:space="preserve">Al Rakia School                           </v>
          </cell>
          <cell r="H3787" t="str">
            <v>AA</v>
          </cell>
        </row>
        <row r="3788">
          <cell r="B3788" t="str">
            <v>Fire Extinguisher - Dry</v>
          </cell>
          <cell r="D3788" t="str">
            <v xml:space="preserve">Al Rakia School                           </v>
          </cell>
          <cell r="H3788" t="str">
            <v>AA</v>
          </cell>
        </row>
        <row r="3789">
          <cell r="B3789" t="str">
            <v>Fire Extinguisher - Dry</v>
          </cell>
          <cell r="D3789" t="str">
            <v xml:space="preserve">Al Rakia School                           </v>
          </cell>
          <cell r="H3789" t="str">
            <v>AA</v>
          </cell>
        </row>
        <row r="3790">
          <cell r="B3790" t="str">
            <v>Fire Extinguisher - Dry</v>
          </cell>
          <cell r="D3790" t="str">
            <v xml:space="preserve">Al Rakia School                           </v>
          </cell>
          <cell r="H3790" t="str">
            <v>AA</v>
          </cell>
        </row>
        <row r="3791">
          <cell r="B3791" t="str">
            <v>Fire Extinguisher - Dry</v>
          </cell>
          <cell r="D3791" t="str">
            <v xml:space="preserve">Al Rakia School                           </v>
          </cell>
          <cell r="H3791" t="str">
            <v>AA</v>
          </cell>
        </row>
        <row r="3792">
          <cell r="B3792" t="str">
            <v>Fire Extinguisher - Dry</v>
          </cell>
          <cell r="D3792" t="str">
            <v xml:space="preserve">Al Rakia School                           </v>
          </cell>
          <cell r="H3792" t="str">
            <v>AA</v>
          </cell>
        </row>
        <row r="3793">
          <cell r="B3793" t="str">
            <v>Fire Extinguisher - Dry</v>
          </cell>
          <cell r="D3793" t="str">
            <v xml:space="preserve">Al Rakia School                           </v>
          </cell>
          <cell r="H3793" t="str">
            <v>AA</v>
          </cell>
        </row>
        <row r="3794">
          <cell r="B3794" t="str">
            <v>Fire Extinguisher - Dry</v>
          </cell>
          <cell r="D3794" t="str">
            <v xml:space="preserve">Al Rakia School                           </v>
          </cell>
          <cell r="H3794" t="str">
            <v>AA</v>
          </cell>
        </row>
        <row r="3795">
          <cell r="B3795" t="str">
            <v>Fire Extinguisher - Dry</v>
          </cell>
          <cell r="D3795" t="str">
            <v xml:space="preserve">Al Rakia School                           </v>
          </cell>
          <cell r="H3795" t="str">
            <v>AA</v>
          </cell>
        </row>
        <row r="3796">
          <cell r="B3796" t="str">
            <v>Fire Extinguisher - Dry</v>
          </cell>
          <cell r="D3796" t="str">
            <v xml:space="preserve">Al Rakia School                           </v>
          </cell>
          <cell r="H3796" t="str">
            <v>AA</v>
          </cell>
        </row>
        <row r="3797">
          <cell r="B3797" t="str">
            <v>Fire Extinguisher - Dry</v>
          </cell>
          <cell r="D3797" t="str">
            <v xml:space="preserve">Al Rakia School                           </v>
          </cell>
          <cell r="H3797" t="str">
            <v>AA</v>
          </cell>
        </row>
        <row r="3798">
          <cell r="B3798" t="str">
            <v>Fire Extinguisher - Dry</v>
          </cell>
          <cell r="D3798" t="str">
            <v xml:space="preserve">Al Rakia School                           </v>
          </cell>
          <cell r="H3798" t="str">
            <v>AA</v>
          </cell>
        </row>
        <row r="3799">
          <cell r="B3799" t="str">
            <v>Fire Extinguisher - Dry</v>
          </cell>
          <cell r="D3799" t="str">
            <v xml:space="preserve">Al Rakia School                           </v>
          </cell>
          <cell r="H3799" t="str">
            <v>AA</v>
          </cell>
        </row>
        <row r="3800">
          <cell r="B3800" t="str">
            <v>Fire Extinguisher - Dry</v>
          </cell>
          <cell r="D3800" t="str">
            <v xml:space="preserve">Al Rakia School                           </v>
          </cell>
          <cell r="H3800" t="str">
            <v>AA</v>
          </cell>
        </row>
        <row r="3801">
          <cell r="B3801" t="str">
            <v>Fire Extinguisher - Dry</v>
          </cell>
          <cell r="D3801" t="str">
            <v xml:space="preserve">Al Rakia School                           </v>
          </cell>
          <cell r="H3801" t="str">
            <v>AA</v>
          </cell>
        </row>
        <row r="3802">
          <cell r="B3802" t="str">
            <v>Fire Extinguisher - Dry</v>
          </cell>
          <cell r="D3802" t="str">
            <v xml:space="preserve">Al Rakia School                           </v>
          </cell>
          <cell r="H3802" t="str">
            <v>AA</v>
          </cell>
        </row>
        <row r="3803">
          <cell r="B3803" t="str">
            <v>Fire Extinguisher - Dry</v>
          </cell>
          <cell r="D3803" t="str">
            <v xml:space="preserve">Al Rakia School                           </v>
          </cell>
          <cell r="H3803" t="str">
            <v>AA</v>
          </cell>
        </row>
        <row r="3804">
          <cell r="B3804" t="str">
            <v>Fire Extinguisher - Dry</v>
          </cell>
          <cell r="D3804" t="str">
            <v xml:space="preserve">Al Rakia School                           </v>
          </cell>
          <cell r="H3804" t="str">
            <v>AA</v>
          </cell>
        </row>
        <row r="3805">
          <cell r="B3805" t="str">
            <v>Fire Extinguisher - Dry</v>
          </cell>
          <cell r="D3805" t="str">
            <v xml:space="preserve">Al Rakia School                           </v>
          </cell>
          <cell r="H3805" t="str">
            <v>AA</v>
          </cell>
        </row>
        <row r="3806">
          <cell r="B3806" t="str">
            <v>Fire Extinguisher - Dry</v>
          </cell>
          <cell r="D3806" t="str">
            <v xml:space="preserve">Al Rakia School                           </v>
          </cell>
          <cell r="H3806" t="str">
            <v>AA</v>
          </cell>
        </row>
        <row r="3807">
          <cell r="B3807" t="str">
            <v>Fire Extinguisher - Dry</v>
          </cell>
          <cell r="D3807" t="str">
            <v xml:space="preserve">Al Rakia School                           </v>
          </cell>
          <cell r="H3807" t="str">
            <v>AA</v>
          </cell>
        </row>
        <row r="3808">
          <cell r="B3808" t="str">
            <v>Fire Extinguisher - Dry</v>
          </cell>
          <cell r="D3808" t="str">
            <v xml:space="preserve">Al Rakia School                           </v>
          </cell>
          <cell r="H3808" t="str">
            <v>AA</v>
          </cell>
        </row>
        <row r="3809">
          <cell r="B3809" t="str">
            <v>Fire Extinguisher Cabinet</v>
          </cell>
          <cell r="D3809" t="str">
            <v xml:space="preserve">Al Rakia School                           </v>
          </cell>
          <cell r="H3809" t="str">
            <v>AA</v>
          </cell>
        </row>
        <row r="3810">
          <cell r="B3810" t="str">
            <v>Fire Extinguisher Cabinet</v>
          </cell>
          <cell r="D3810" t="str">
            <v xml:space="preserve">Al Rakia School                           </v>
          </cell>
          <cell r="H3810" t="str">
            <v>AA</v>
          </cell>
        </row>
        <row r="3811">
          <cell r="B3811" t="str">
            <v>Fire Extinguisher Cabinet</v>
          </cell>
          <cell r="D3811" t="str">
            <v xml:space="preserve">Al Rakia School                           </v>
          </cell>
          <cell r="H3811" t="str">
            <v>AA</v>
          </cell>
        </row>
        <row r="3812">
          <cell r="B3812" t="str">
            <v>Fire Extinguisher Cabinet</v>
          </cell>
          <cell r="D3812" t="str">
            <v xml:space="preserve">Al Rakia School                           </v>
          </cell>
          <cell r="H3812" t="str">
            <v>AA</v>
          </cell>
        </row>
        <row r="3813">
          <cell r="B3813" t="str">
            <v>Fire Extinguisher Cabinet</v>
          </cell>
          <cell r="D3813" t="str">
            <v xml:space="preserve">Al Rakia School                           </v>
          </cell>
          <cell r="H3813" t="str">
            <v>AA</v>
          </cell>
        </row>
        <row r="3814">
          <cell r="B3814" t="str">
            <v>Fire Extinguisher Cabinet</v>
          </cell>
          <cell r="D3814" t="str">
            <v xml:space="preserve">Al Rakia School                           </v>
          </cell>
          <cell r="H3814" t="str">
            <v>AA</v>
          </cell>
        </row>
        <row r="3815">
          <cell r="B3815" t="str">
            <v>Fire Extinguisher Cabinet</v>
          </cell>
          <cell r="D3815" t="str">
            <v xml:space="preserve">Al Rakia School                           </v>
          </cell>
          <cell r="H3815" t="str">
            <v>AA</v>
          </cell>
        </row>
        <row r="3816">
          <cell r="B3816" t="str">
            <v>Fire Extinguisher Cabinet</v>
          </cell>
          <cell r="D3816" t="str">
            <v xml:space="preserve">Al Rakia School                           </v>
          </cell>
          <cell r="H3816" t="str">
            <v>AA</v>
          </cell>
        </row>
        <row r="3817">
          <cell r="B3817" t="str">
            <v>Fire Extinguisher Cabinet</v>
          </cell>
          <cell r="D3817" t="str">
            <v xml:space="preserve">Al Rakia School                           </v>
          </cell>
          <cell r="H3817" t="str">
            <v>AA</v>
          </cell>
        </row>
        <row r="3818">
          <cell r="B3818" t="str">
            <v>Fire Extinguisher Cabinet</v>
          </cell>
          <cell r="D3818" t="str">
            <v xml:space="preserve">Al Rakia School                           </v>
          </cell>
          <cell r="H3818" t="str">
            <v>AA</v>
          </cell>
        </row>
        <row r="3819">
          <cell r="B3819" t="str">
            <v>Fire Extinguisher Cabinet</v>
          </cell>
          <cell r="D3819" t="str">
            <v xml:space="preserve">Al Rakia School                           </v>
          </cell>
          <cell r="H3819" t="str">
            <v>AA</v>
          </cell>
        </row>
        <row r="3820">
          <cell r="B3820" t="str">
            <v>Fire Extinguisher Cabinet</v>
          </cell>
          <cell r="D3820" t="str">
            <v xml:space="preserve">Al Rakia School                           </v>
          </cell>
          <cell r="H3820" t="str">
            <v>AA</v>
          </cell>
        </row>
        <row r="3821">
          <cell r="B3821" t="str">
            <v>Fire Extinguisher Cabinet</v>
          </cell>
          <cell r="D3821" t="str">
            <v xml:space="preserve">Al Rakia School                           </v>
          </cell>
          <cell r="H3821" t="str">
            <v>AA</v>
          </cell>
        </row>
        <row r="3822">
          <cell r="B3822" t="str">
            <v>Fire Extinguisher Cabinet</v>
          </cell>
          <cell r="D3822" t="str">
            <v xml:space="preserve">Al Rakia School                           </v>
          </cell>
          <cell r="H3822" t="str">
            <v>AA</v>
          </cell>
        </row>
        <row r="3823">
          <cell r="B3823" t="str">
            <v>Fire Hose Reel</v>
          </cell>
          <cell r="D3823" t="str">
            <v xml:space="preserve">Al Rakia School                           </v>
          </cell>
          <cell r="H3823" t="str">
            <v>AA</v>
          </cell>
        </row>
        <row r="3824">
          <cell r="B3824" t="str">
            <v>Fire Hose Reel</v>
          </cell>
          <cell r="D3824" t="str">
            <v xml:space="preserve">Al Rakia School                           </v>
          </cell>
          <cell r="H3824" t="str">
            <v>AA</v>
          </cell>
        </row>
        <row r="3825">
          <cell r="B3825" t="str">
            <v>Fire Hose Reel</v>
          </cell>
          <cell r="D3825" t="str">
            <v xml:space="preserve">Al Rakia School                           </v>
          </cell>
          <cell r="H3825" t="str">
            <v>AA</v>
          </cell>
        </row>
        <row r="3826">
          <cell r="B3826" t="str">
            <v>Fire Hose Reel</v>
          </cell>
          <cell r="D3826" t="str">
            <v xml:space="preserve">Al Rakia School                           </v>
          </cell>
          <cell r="H3826" t="str">
            <v>AA</v>
          </cell>
        </row>
        <row r="3827">
          <cell r="B3827" t="str">
            <v>Fire Hose Reel</v>
          </cell>
          <cell r="D3827" t="str">
            <v xml:space="preserve">Al Rakia School                           </v>
          </cell>
          <cell r="H3827" t="str">
            <v>AA</v>
          </cell>
        </row>
        <row r="3828">
          <cell r="B3828" t="str">
            <v>Fire hose Reel</v>
          </cell>
          <cell r="D3828" t="str">
            <v xml:space="preserve">Al Rakia School                           </v>
          </cell>
          <cell r="H3828" t="str">
            <v>AA</v>
          </cell>
        </row>
        <row r="3829">
          <cell r="B3829" t="str">
            <v>Fire Hose Reel</v>
          </cell>
          <cell r="D3829" t="str">
            <v xml:space="preserve">Al Rakia School                           </v>
          </cell>
          <cell r="H3829" t="str">
            <v>AA</v>
          </cell>
        </row>
        <row r="3830">
          <cell r="B3830" t="str">
            <v>Fire Hose Reel</v>
          </cell>
          <cell r="D3830" t="str">
            <v xml:space="preserve">Al Rakia School                           </v>
          </cell>
          <cell r="H3830" t="str">
            <v>AA</v>
          </cell>
        </row>
        <row r="3831">
          <cell r="B3831" t="str">
            <v>Fire Hose Reel</v>
          </cell>
          <cell r="D3831" t="str">
            <v xml:space="preserve">Al Rakia School                           </v>
          </cell>
          <cell r="H3831" t="str">
            <v>AA</v>
          </cell>
        </row>
        <row r="3832">
          <cell r="B3832" t="str">
            <v>Fire Hose Reel</v>
          </cell>
          <cell r="D3832" t="str">
            <v xml:space="preserve">Al Rakia School                           </v>
          </cell>
          <cell r="H3832" t="str">
            <v>AA</v>
          </cell>
        </row>
        <row r="3833">
          <cell r="B3833" t="str">
            <v>Fire Hose Reel</v>
          </cell>
          <cell r="D3833" t="str">
            <v xml:space="preserve">Al Rakia School                           </v>
          </cell>
          <cell r="H3833" t="str">
            <v>AA</v>
          </cell>
        </row>
        <row r="3834">
          <cell r="B3834" t="str">
            <v>Fire Hose Reel</v>
          </cell>
          <cell r="D3834" t="str">
            <v xml:space="preserve">Al Rakia School                           </v>
          </cell>
          <cell r="H3834" t="str">
            <v>AA</v>
          </cell>
        </row>
        <row r="3835">
          <cell r="B3835" t="str">
            <v>Fire Hose Reel</v>
          </cell>
          <cell r="D3835" t="str">
            <v xml:space="preserve">Al Rakia School                           </v>
          </cell>
          <cell r="H3835" t="str">
            <v>AA</v>
          </cell>
        </row>
        <row r="3836">
          <cell r="B3836" t="str">
            <v>Fire Hose Reel</v>
          </cell>
          <cell r="D3836" t="str">
            <v xml:space="preserve">Al Rakia School                           </v>
          </cell>
          <cell r="H3836" t="str">
            <v>AA</v>
          </cell>
        </row>
        <row r="3837">
          <cell r="B3837" t="str">
            <v>Fire Hose Reel Cabinet</v>
          </cell>
          <cell r="D3837" t="str">
            <v xml:space="preserve">Al Rakia School                           </v>
          </cell>
          <cell r="H3837" t="str">
            <v>AA</v>
          </cell>
        </row>
        <row r="3838">
          <cell r="B3838" t="str">
            <v>Fire Hose Reel Cabinet</v>
          </cell>
          <cell r="D3838" t="str">
            <v xml:space="preserve">Al Rakia School                           </v>
          </cell>
          <cell r="H3838" t="str">
            <v>AA</v>
          </cell>
        </row>
        <row r="3839">
          <cell r="B3839" t="str">
            <v>Fire Hose Reel Cabinet</v>
          </cell>
          <cell r="D3839" t="str">
            <v xml:space="preserve">Al Rakia School                           </v>
          </cell>
          <cell r="H3839" t="str">
            <v>AA</v>
          </cell>
        </row>
        <row r="3840">
          <cell r="B3840" t="str">
            <v>Fire Hose Reel Cabinet</v>
          </cell>
          <cell r="D3840" t="str">
            <v xml:space="preserve">Al Rakia School                           </v>
          </cell>
          <cell r="H3840" t="str">
            <v>AA</v>
          </cell>
        </row>
        <row r="3841">
          <cell r="B3841" t="str">
            <v>Fire Hose Reel Cabinet</v>
          </cell>
          <cell r="D3841" t="str">
            <v xml:space="preserve">Al Rakia School                           </v>
          </cell>
          <cell r="H3841" t="str">
            <v>AA</v>
          </cell>
        </row>
        <row r="3842">
          <cell r="B3842" t="str">
            <v>Fire Hose Reel Cabinet</v>
          </cell>
          <cell r="D3842" t="str">
            <v xml:space="preserve">Al Rakia School                           </v>
          </cell>
          <cell r="H3842" t="str">
            <v>AA</v>
          </cell>
        </row>
        <row r="3843">
          <cell r="B3843" t="str">
            <v>Fire Hose Reel Cabinet</v>
          </cell>
          <cell r="D3843" t="str">
            <v xml:space="preserve">Al Rakia School                           </v>
          </cell>
          <cell r="H3843" t="str">
            <v>AA</v>
          </cell>
        </row>
        <row r="3844">
          <cell r="B3844" t="str">
            <v>Fire Hose Reel Cabinet</v>
          </cell>
          <cell r="D3844" t="str">
            <v xml:space="preserve">Al Rakia School                           </v>
          </cell>
          <cell r="H3844" t="str">
            <v>AA</v>
          </cell>
        </row>
        <row r="3845">
          <cell r="B3845" t="str">
            <v>Fire Hose Reel Cabinet</v>
          </cell>
          <cell r="D3845" t="str">
            <v xml:space="preserve">Al Rakia School                           </v>
          </cell>
          <cell r="H3845" t="str">
            <v>AA</v>
          </cell>
        </row>
        <row r="3846">
          <cell r="B3846" t="str">
            <v>Fire Hose Reel Cabinet</v>
          </cell>
          <cell r="D3846" t="str">
            <v xml:space="preserve">Al Rakia School                           </v>
          </cell>
          <cell r="H3846" t="str">
            <v>AA</v>
          </cell>
        </row>
        <row r="3847">
          <cell r="B3847" t="str">
            <v>Fire Hose Reel Cabinet</v>
          </cell>
          <cell r="D3847" t="str">
            <v xml:space="preserve">Al Rakia School                           </v>
          </cell>
          <cell r="H3847" t="str">
            <v>AA</v>
          </cell>
        </row>
        <row r="3848">
          <cell r="B3848" t="str">
            <v>Fire Hose Reel Cabinet</v>
          </cell>
          <cell r="D3848" t="str">
            <v xml:space="preserve">Al Rakia School                           </v>
          </cell>
          <cell r="H3848" t="str">
            <v>AA</v>
          </cell>
        </row>
        <row r="3849">
          <cell r="B3849" t="str">
            <v>Fire Hose Reel Cabinet</v>
          </cell>
          <cell r="D3849" t="str">
            <v xml:space="preserve">Al Rakia School                           </v>
          </cell>
          <cell r="H3849" t="str">
            <v>AA</v>
          </cell>
        </row>
        <row r="3850">
          <cell r="B3850" t="str">
            <v>Fire Hose Reel Cabinet</v>
          </cell>
          <cell r="D3850" t="str">
            <v xml:space="preserve">Al Rakia School                           </v>
          </cell>
          <cell r="H3850" t="str">
            <v>AA</v>
          </cell>
        </row>
        <row r="3851">
          <cell r="B3851" t="str">
            <v>FIRE PUMP - Diesel</v>
          </cell>
          <cell r="D3851" t="str">
            <v xml:space="preserve">Al Rakia School                           </v>
          </cell>
          <cell r="H3851" t="str">
            <v>AA</v>
          </cell>
        </row>
        <row r="3852">
          <cell r="B3852" t="str">
            <v>Fire Pump Motor</v>
          </cell>
          <cell r="D3852" t="str">
            <v xml:space="preserve">Al Rakia School                           </v>
          </cell>
          <cell r="H3852" t="str">
            <v>AA</v>
          </cell>
        </row>
        <row r="3853">
          <cell r="B3853" t="str">
            <v>Gas Detection System</v>
          </cell>
          <cell r="D3853" t="str">
            <v xml:space="preserve">Al Rakia School                           </v>
          </cell>
          <cell r="H3853" t="str">
            <v>AA</v>
          </cell>
        </row>
        <row r="3854">
          <cell r="B3854" t="str">
            <v>Gas Detection System</v>
          </cell>
          <cell r="D3854" t="str">
            <v xml:space="preserve">Al Rakia School                           </v>
          </cell>
          <cell r="H3854" t="str">
            <v>AA</v>
          </cell>
        </row>
        <row r="3855">
          <cell r="B3855" t="str">
            <v>Gas Detection System</v>
          </cell>
          <cell r="D3855" t="str">
            <v xml:space="preserve">Al Rakia School                           </v>
          </cell>
          <cell r="H3855" t="str">
            <v>AA</v>
          </cell>
        </row>
        <row r="3856">
          <cell r="B3856" t="str">
            <v>Smoke Detector &amp; Heat Detector</v>
          </cell>
          <cell r="D3856" t="str">
            <v xml:space="preserve">Al Rakia School                           </v>
          </cell>
          <cell r="H3856" t="str">
            <v>AA</v>
          </cell>
        </row>
        <row r="3857">
          <cell r="B3857" t="str">
            <v>Smoke Detector &amp; Heat Detector</v>
          </cell>
          <cell r="D3857" t="str">
            <v xml:space="preserve">Al Rakia School                           </v>
          </cell>
          <cell r="H3857" t="str">
            <v>AA</v>
          </cell>
        </row>
        <row r="3858">
          <cell r="B3858" t="str">
            <v>Smoke Detector &amp; Heat Detector</v>
          </cell>
          <cell r="D3858" t="str">
            <v xml:space="preserve">Al Rakia School                           </v>
          </cell>
          <cell r="H3858" t="str">
            <v>AA</v>
          </cell>
        </row>
        <row r="3859">
          <cell r="B3859" t="str">
            <v>Smoke Detector &amp; Heat Detector</v>
          </cell>
          <cell r="D3859" t="str">
            <v xml:space="preserve">Al Rakia School                           </v>
          </cell>
          <cell r="H3859" t="str">
            <v>AA</v>
          </cell>
        </row>
        <row r="3860">
          <cell r="B3860" t="str">
            <v>Smoke Detector &amp; Heat Detector</v>
          </cell>
          <cell r="D3860" t="str">
            <v xml:space="preserve">Al Rakia School                           </v>
          </cell>
          <cell r="H3860" t="str">
            <v>AA</v>
          </cell>
        </row>
        <row r="3861">
          <cell r="B3861" t="str">
            <v>Smoke Detector &amp; Heat Detector</v>
          </cell>
          <cell r="D3861" t="str">
            <v xml:space="preserve">Al Rakia School                           </v>
          </cell>
          <cell r="H3861" t="str">
            <v>AA</v>
          </cell>
        </row>
        <row r="3862">
          <cell r="B3862" t="str">
            <v>Smoke Detector &amp; Heat Detector</v>
          </cell>
          <cell r="D3862" t="str">
            <v xml:space="preserve">Al Rakia School                           </v>
          </cell>
          <cell r="H3862" t="str">
            <v>AA</v>
          </cell>
        </row>
        <row r="3863">
          <cell r="B3863" t="str">
            <v>Smoke Detector &amp; Heat Detector</v>
          </cell>
          <cell r="D3863" t="str">
            <v xml:space="preserve">Al Rakia School                           </v>
          </cell>
          <cell r="H3863" t="str">
            <v>AA</v>
          </cell>
        </row>
        <row r="3864">
          <cell r="B3864" t="str">
            <v>Smoke Detector &amp; Heat Detector</v>
          </cell>
          <cell r="D3864" t="str">
            <v xml:space="preserve">Al Rakia School                           </v>
          </cell>
          <cell r="H3864" t="str">
            <v>AA</v>
          </cell>
        </row>
        <row r="3865">
          <cell r="B3865" t="str">
            <v>Smoke Detector &amp; Heat Detector</v>
          </cell>
          <cell r="D3865" t="str">
            <v xml:space="preserve">Al Rakia School                           </v>
          </cell>
          <cell r="H3865" t="str">
            <v>AA</v>
          </cell>
        </row>
        <row r="3866">
          <cell r="B3866" t="str">
            <v>Smoke Detector &amp; Heat Detector</v>
          </cell>
          <cell r="D3866" t="str">
            <v xml:space="preserve">Al Rakia School                           </v>
          </cell>
          <cell r="H3866" t="str">
            <v>AA</v>
          </cell>
        </row>
        <row r="3867">
          <cell r="B3867" t="str">
            <v>Smoke Detector &amp; Heat Detector</v>
          </cell>
          <cell r="D3867" t="str">
            <v xml:space="preserve">Al Rakia School                           </v>
          </cell>
          <cell r="H3867" t="str">
            <v>AA</v>
          </cell>
        </row>
        <row r="3868">
          <cell r="B3868" t="str">
            <v>Smoke Detector &amp; Heat Detector</v>
          </cell>
          <cell r="D3868" t="str">
            <v xml:space="preserve">Al Rakia School                           </v>
          </cell>
          <cell r="H3868" t="str">
            <v>AA</v>
          </cell>
        </row>
        <row r="3869">
          <cell r="B3869" t="str">
            <v>Smoke Detector &amp; Heat Detector</v>
          </cell>
          <cell r="D3869" t="str">
            <v xml:space="preserve">Al Rakia School                           </v>
          </cell>
          <cell r="H3869" t="str">
            <v>AA</v>
          </cell>
        </row>
        <row r="3870">
          <cell r="B3870" t="str">
            <v>Smoke Detector &amp; Heat Detector</v>
          </cell>
          <cell r="D3870" t="str">
            <v xml:space="preserve">Al Rakia School                           </v>
          </cell>
          <cell r="H3870" t="str">
            <v>AA</v>
          </cell>
        </row>
        <row r="3871">
          <cell r="B3871" t="str">
            <v>Smoke Detector &amp; Heat Detector</v>
          </cell>
          <cell r="D3871" t="str">
            <v xml:space="preserve">Al Rakia School                           </v>
          </cell>
          <cell r="H3871" t="str">
            <v>AA</v>
          </cell>
        </row>
        <row r="3872">
          <cell r="B3872" t="str">
            <v>Smoke Detector &amp; Heat Detector</v>
          </cell>
          <cell r="D3872" t="str">
            <v xml:space="preserve">Al Rakia School                           </v>
          </cell>
          <cell r="H3872" t="str">
            <v>AA</v>
          </cell>
        </row>
        <row r="3873">
          <cell r="B3873" t="str">
            <v>Smoke Detector &amp; Heat Detector</v>
          </cell>
          <cell r="D3873" t="str">
            <v xml:space="preserve">Al Rakia School                           </v>
          </cell>
          <cell r="H3873" t="str">
            <v>AA</v>
          </cell>
        </row>
        <row r="3874">
          <cell r="B3874" t="str">
            <v>Smoke Detector &amp; Heat Detector</v>
          </cell>
          <cell r="D3874" t="str">
            <v xml:space="preserve">Al Rakia School                           </v>
          </cell>
          <cell r="H3874" t="str">
            <v>AA</v>
          </cell>
        </row>
        <row r="3875">
          <cell r="B3875" t="str">
            <v>Smoke Detector &amp; Heat Detector</v>
          </cell>
          <cell r="D3875" t="str">
            <v xml:space="preserve">Al Rakia School                           </v>
          </cell>
          <cell r="H3875" t="str">
            <v>AA</v>
          </cell>
        </row>
        <row r="3876">
          <cell r="B3876" t="str">
            <v>Smoke Detector &amp; Heat Detector</v>
          </cell>
          <cell r="D3876" t="str">
            <v xml:space="preserve">Al Rakia School                           </v>
          </cell>
          <cell r="H3876" t="str">
            <v>AA</v>
          </cell>
        </row>
        <row r="3877">
          <cell r="B3877" t="str">
            <v>Smoke Detector &amp; Heat Detector</v>
          </cell>
          <cell r="D3877" t="str">
            <v xml:space="preserve">Al Rakia School                           </v>
          </cell>
          <cell r="H3877" t="str">
            <v>AA</v>
          </cell>
        </row>
        <row r="3878">
          <cell r="B3878" t="str">
            <v>Smoke Detector &amp; Heat Detector</v>
          </cell>
          <cell r="D3878" t="str">
            <v xml:space="preserve">Al Rakia School                           </v>
          </cell>
          <cell r="H3878" t="str">
            <v>AA</v>
          </cell>
        </row>
        <row r="3879">
          <cell r="B3879" t="str">
            <v>Smoke Detector &amp; Heat Detector</v>
          </cell>
          <cell r="D3879" t="str">
            <v xml:space="preserve">Al Rakia School                           </v>
          </cell>
          <cell r="H3879" t="str">
            <v>AA</v>
          </cell>
        </row>
        <row r="3880">
          <cell r="B3880" t="str">
            <v>Smoke Detector &amp; Heat Detector</v>
          </cell>
          <cell r="D3880" t="str">
            <v xml:space="preserve">Al Rakia School                           </v>
          </cell>
          <cell r="H3880" t="str">
            <v>AA</v>
          </cell>
        </row>
        <row r="3881">
          <cell r="B3881" t="str">
            <v>Smoke Detector &amp; Heat Detector</v>
          </cell>
          <cell r="D3881" t="str">
            <v xml:space="preserve">Al Rakia School                           </v>
          </cell>
          <cell r="H3881" t="str">
            <v>AA</v>
          </cell>
        </row>
        <row r="3882">
          <cell r="B3882" t="str">
            <v>Smoke Detector &amp; Heat Detector</v>
          </cell>
          <cell r="D3882" t="str">
            <v xml:space="preserve">Al Rakia School                           </v>
          </cell>
          <cell r="H3882" t="str">
            <v>AA</v>
          </cell>
        </row>
        <row r="3883">
          <cell r="B3883" t="str">
            <v>Smoke Detector &amp; Heat Detector</v>
          </cell>
          <cell r="D3883" t="str">
            <v xml:space="preserve">Al Rakia School                           </v>
          </cell>
          <cell r="H3883" t="str">
            <v>AA</v>
          </cell>
        </row>
        <row r="3884">
          <cell r="B3884" t="str">
            <v>Smoke Detector &amp; Heat Detector</v>
          </cell>
          <cell r="D3884" t="str">
            <v xml:space="preserve">Al Rakia School                           </v>
          </cell>
          <cell r="H3884" t="str">
            <v>AA</v>
          </cell>
        </row>
        <row r="3885">
          <cell r="B3885" t="str">
            <v>Smoke Detector &amp; Heat Detector</v>
          </cell>
          <cell r="D3885" t="str">
            <v xml:space="preserve">Al Rakia School                           </v>
          </cell>
          <cell r="H3885" t="str">
            <v>AA</v>
          </cell>
        </row>
        <row r="3886">
          <cell r="B3886" t="str">
            <v>Smoke Detector &amp; Heat Detector</v>
          </cell>
          <cell r="D3886" t="str">
            <v xml:space="preserve">Al Rakia School                           </v>
          </cell>
          <cell r="H3886" t="str">
            <v>AA</v>
          </cell>
        </row>
        <row r="3887">
          <cell r="B3887" t="str">
            <v>Smoke Detector &amp; Heat Detector</v>
          </cell>
          <cell r="D3887" t="str">
            <v xml:space="preserve">Al Rakia School                           </v>
          </cell>
          <cell r="H3887" t="str">
            <v>AA</v>
          </cell>
        </row>
        <row r="3888">
          <cell r="B3888" t="str">
            <v>Smoke Detector &amp; Heat Detector</v>
          </cell>
          <cell r="D3888" t="str">
            <v xml:space="preserve">Al Rakia School                           </v>
          </cell>
          <cell r="H3888" t="str">
            <v>AA</v>
          </cell>
        </row>
        <row r="3889">
          <cell r="B3889" t="str">
            <v>Smoke Detector &amp; Heat Detector</v>
          </cell>
          <cell r="D3889" t="str">
            <v xml:space="preserve">Al Rakia School                           </v>
          </cell>
          <cell r="H3889" t="str">
            <v>AA</v>
          </cell>
        </row>
        <row r="3890">
          <cell r="B3890" t="str">
            <v>Smoke Detector &amp; Heat Detector</v>
          </cell>
          <cell r="D3890" t="str">
            <v xml:space="preserve">Al Rakia School                           </v>
          </cell>
          <cell r="H3890" t="str">
            <v>AA</v>
          </cell>
        </row>
        <row r="3891">
          <cell r="B3891" t="str">
            <v>Smoke Detector &amp; Heat Detector</v>
          </cell>
          <cell r="D3891" t="str">
            <v xml:space="preserve">Al Rakia School                           </v>
          </cell>
          <cell r="H3891" t="str">
            <v>AA</v>
          </cell>
        </row>
        <row r="3892">
          <cell r="B3892" t="str">
            <v>Smoke Detector &amp; Heat Detector</v>
          </cell>
          <cell r="D3892" t="str">
            <v xml:space="preserve">Al Rakia School                           </v>
          </cell>
          <cell r="H3892" t="str">
            <v>AA</v>
          </cell>
        </row>
        <row r="3893">
          <cell r="B3893" t="str">
            <v>Smoke Detector &amp; Heat Detector</v>
          </cell>
          <cell r="D3893" t="str">
            <v xml:space="preserve">Al Rakia School                           </v>
          </cell>
          <cell r="H3893" t="str">
            <v>AA</v>
          </cell>
        </row>
        <row r="3894">
          <cell r="B3894" t="str">
            <v>Smoke Detector &amp; Heat Detector</v>
          </cell>
          <cell r="D3894" t="str">
            <v xml:space="preserve">Al Rakia School                           </v>
          </cell>
          <cell r="H3894" t="str">
            <v>AA</v>
          </cell>
        </row>
        <row r="3895">
          <cell r="B3895" t="str">
            <v>Smoke Detector &amp; Heat Detector</v>
          </cell>
          <cell r="D3895" t="str">
            <v xml:space="preserve">Al Rakia School                           </v>
          </cell>
          <cell r="H3895" t="str">
            <v>AA</v>
          </cell>
        </row>
        <row r="3896">
          <cell r="B3896" t="str">
            <v>Smoke Detector &amp; Heat Detector</v>
          </cell>
          <cell r="D3896" t="str">
            <v xml:space="preserve">Al Rakia School                           </v>
          </cell>
          <cell r="H3896" t="str">
            <v>AA</v>
          </cell>
        </row>
        <row r="3897">
          <cell r="B3897" t="str">
            <v>Smoke Detector &amp; Heat Detector</v>
          </cell>
          <cell r="D3897" t="str">
            <v xml:space="preserve">Al Rakia School                           </v>
          </cell>
          <cell r="H3897" t="str">
            <v>AA</v>
          </cell>
        </row>
        <row r="3898">
          <cell r="B3898" t="str">
            <v>Smoke Detector &amp; Heat Detector</v>
          </cell>
          <cell r="D3898" t="str">
            <v xml:space="preserve">Al Rakia School                           </v>
          </cell>
          <cell r="H3898" t="str">
            <v>AA</v>
          </cell>
        </row>
        <row r="3899">
          <cell r="B3899" t="str">
            <v>Smoke Detector &amp; Heat Detector</v>
          </cell>
          <cell r="D3899" t="str">
            <v xml:space="preserve">Al Rakia School                           </v>
          </cell>
          <cell r="H3899" t="str">
            <v>AA</v>
          </cell>
        </row>
        <row r="3900">
          <cell r="B3900" t="str">
            <v>Smoke Detector &amp; Heat Detector</v>
          </cell>
          <cell r="D3900" t="str">
            <v xml:space="preserve">Al Rakia School                           </v>
          </cell>
          <cell r="H3900" t="str">
            <v>AA</v>
          </cell>
        </row>
        <row r="3901">
          <cell r="B3901" t="str">
            <v>Smoke Detector &amp; Heat Detector</v>
          </cell>
          <cell r="D3901" t="str">
            <v xml:space="preserve">Al Rakia School                           </v>
          </cell>
          <cell r="H3901" t="str">
            <v>AA</v>
          </cell>
        </row>
        <row r="3902">
          <cell r="B3902" t="str">
            <v>Smoke Detector &amp; Heat Detector</v>
          </cell>
          <cell r="D3902" t="str">
            <v xml:space="preserve">Al Rakia School                           </v>
          </cell>
          <cell r="H3902" t="str">
            <v>AA</v>
          </cell>
        </row>
        <row r="3903">
          <cell r="B3903" t="str">
            <v>Smoke Detector &amp; Heat Detector</v>
          </cell>
          <cell r="D3903" t="str">
            <v xml:space="preserve">Al Rakia School                           </v>
          </cell>
          <cell r="H3903" t="str">
            <v>AA</v>
          </cell>
        </row>
        <row r="3904">
          <cell r="B3904" t="str">
            <v>Smoke Detector &amp; Heat Detector</v>
          </cell>
          <cell r="D3904" t="str">
            <v xml:space="preserve">Al Rakia School                           </v>
          </cell>
          <cell r="H3904" t="str">
            <v>AA</v>
          </cell>
        </row>
        <row r="3905">
          <cell r="B3905" t="str">
            <v>Smoke Detector &amp; Heat Detector</v>
          </cell>
          <cell r="D3905" t="str">
            <v xml:space="preserve">Al Rakia School                           </v>
          </cell>
          <cell r="H3905" t="str">
            <v>AA</v>
          </cell>
        </row>
        <row r="3906">
          <cell r="B3906" t="str">
            <v>Smoke Detector &amp; Heat Detector</v>
          </cell>
          <cell r="D3906" t="str">
            <v xml:space="preserve">Al Rakia School                           </v>
          </cell>
          <cell r="H3906" t="str">
            <v>AA</v>
          </cell>
        </row>
        <row r="3907">
          <cell r="B3907" t="str">
            <v>Smoke Detector &amp; Heat Detector</v>
          </cell>
          <cell r="D3907" t="str">
            <v xml:space="preserve">Al Rakia School                           </v>
          </cell>
          <cell r="H3907" t="str">
            <v>AA</v>
          </cell>
        </row>
        <row r="3908">
          <cell r="B3908" t="str">
            <v>Smoke Detector &amp; Heat Detector</v>
          </cell>
          <cell r="D3908" t="str">
            <v xml:space="preserve">Al Rakia School                           </v>
          </cell>
          <cell r="H3908" t="str">
            <v>AA</v>
          </cell>
        </row>
        <row r="3909">
          <cell r="B3909" t="str">
            <v>Smoke Detector &amp; Heat Detector</v>
          </cell>
          <cell r="D3909" t="str">
            <v xml:space="preserve">Al Rakia School                           </v>
          </cell>
          <cell r="H3909" t="str">
            <v>AA</v>
          </cell>
        </row>
        <row r="3910">
          <cell r="B3910" t="str">
            <v>Smoke Detector &amp; Heat Detector</v>
          </cell>
          <cell r="D3910" t="str">
            <v xml:space="preserve">Al Rakia School                           </v>
          </cell>
          <cell r="H3910" t="str">
            <v>AA</v>
          </cell>
        </row>
        <row r="3911">
          <cell r="B3911" t="str">
            <v>Smoke Detector &amp; Heat Detector</v>
          </cell>
          <cell r="D3911" t="str">
            <v xml:space="preserve">Al Rakia School                           </v>
          </cell>
          <cell r="H3911" t="str">
            <v>AA</v>
          </cell>
        </row>
        <row r="3912">
          <cell r="B3912" t="str">
            <v>Smoke Detector &amp; Heat Detector</v>
          </cell>
          <cell r="D3912" t="str">
            <v xml:space="preserve">Al Rakia School                           </v>
          </cell>
          <cell r="H3912" t="str">
            <v>AA</v>
          </cell>
        </row>
        <row r="3913">
          <cell r="B3913" t="str">
            <v>Smoke Detector &amp; Heat Detector</v>
          </cell>
          <cell r="D3913" t="str">
            <v xml:space="preserve">Al Rakia School                           </v>
          </cell>
          <cell r="H3913" t="str">
            <v>AA</v>
          </cell>
        </row>
        <row r="3914">
          <cell r="B3914" t="str">
            <v>Smoke Detector &amp; Heat Detector</v>
          </cell>
          <cell r="D3914" t="str">
            <v xml:space="preserve">Al Rakia School                           </v>
          </cell>
          <cell r="H3914" t="str">
            <v>AA</v>
          </cell>
        </row>
        <row r="3915">
          <cell r="B3915" t="str">
            <v>Smoke Detector &amp; Heat Detector</v>
          </cell>
          <cell r="D3915" t="str">
            <v xml:space="preserve">Al Rakia School                           </v>
          </cell>
          <cell r="H3915" t="str">
            <v>AA</v>
          </cell>
        </row>
        <row r="3916">
          <cell r="B3916" t="str">
            <v>Smoke Detector &amp; Heat Detector</v>
          </cell>
          <cell r="D3916" t="str">
            <v xml:space="preserve">Al Rakia School                           </v>
          </cell>
          <cell r="H3916" t="str">
            <v>AA</v>
          </cell>
        </row>
        <row r="3917">
          <cell r="B3917" t="str">
            <v>Smoke Detector &amp; Heat Detector</v>
          </cell>
          <cell r="D3917" t="str">
            <v xml:space="preserve">Al Rakia School                           </v>
          </cell>
          <cell r="H3917" t="str">
            <v>AA</v>
          </cell>
        </row>
        <row r="3918">
          <cell r="B3918" t="str">
            <v>Smoke Detector &amp; Heat Detector</v>
          </cell>
          <cell r="D3918" t="str">
            <v xml:space="preserve">Al Rakia School                           </v>
          </cell>
          <cell r="H3918" t="str">
            <v>AA</v>
          </cell>
        </row>
        <row r="3919">
          <cell r="B3919" t="str">
            <v>Smoke Detector &amp; Heat Detector</v>
          </cell>
          <cell r="D3919" t="str">
            <v xml:space="preserve">Al Rakia School                           </v>
          </cell>
          <cell r="H3919" t="str">
            <v>AA</v>
          </cell>
        </row>
        <row r="3920">
          <cell r="B3920" t="str">
            <v>Smoke Detector &amp; Heat Detector</v>
          </cell>
          <cell r="D3920" t="str">
            <v xml:space="preserve">Al Rakia School                           </v>
          </cell>
          <cell r="H3920" t="str">
            <v>AA</v>
          </cell>
        </row>
        <row r="3921">
          <cell r="B3921" t="str">
            <v>Smoke Detector &amp; Heat Detector</v>
          </cell>
          <cell r="D3921" t="str">
            <v xml:space="preserve">Al Rakia School                           </v>
          </cell>
          <cell r="H3921" t="str">
            <v>AA</v>
          </cell>
        </row>
        <row r="3922">
          <cell r="B3922" t="str">
            <v>Smoke Detector &amp; Heat Detector</v>
          </cell>
          <cell r="D3922" t="str">
            <v xml:space="preserve">Al Rakia School                           </v>
          </cell>
          <cell r="H3922" t="str">
            <v>AA</v>
          </cell>
        </row>
        <row r="3923">
          <cell r="B3923" t="str">
            <v>Smoke Detector &amp; Heat Detector</v>
          </cell>
          <cell r="D3923" t="str">
            <v xml:space="preserve">Al Rakia School                           </v>
          </cell>
          <cell r="H3923" t="str">
            <v>AA</v>
          </cell>
        </row>
        <row r="3924">
          <cell r="B3924" t="str">
            <v>Smoke Detector &amp; Heat Detector</v>
          </cell>
          <cell r="D3924" t="str">
            <v xml:space="preserve">Al Rakia School                           </v>
          </cell>
          <cell r="H3924" t="str">
            <v>AA</v>
          </cell>
        </row>
        <row r="3925">
          <cell r="B3925" t="str">
            <v>Smoke Detector &amp; Heat Detector</v>
          </cell>
          <cell r="D3925" t="str">
            <v xml:space="preserve">Al Rakia School                           </v>
          </cell>
          <cell r="H3925" t="str">
            <v>AA</v>
          </cell>
        </row>
        <row r="3926">
          <cell r="B3926" t="str">
            <v>Smoke Detector &amp; Heat Detector</v>
          </cell>
          <cell r="D3926" t="str">
            <v xml:space="preserve">Al Rakia School                           </v>
          </cell>
          <cell r="H3926" t="str">
            <v>AA</v>
          </cell>
        </row>
        <row r="3927">
          <cell r="B3927" t="str">
            <v>Smoke Detector &amp; Heat Detector</v>
          </cell>
          <cell r="D3927" t="str">
            <v xml:space="preserve">Al Rakia School                           </v>
          </cell>
          <cell r="H3927" t="str">
            <v>AA</v>
          </cell>
        </row>
        <row r="3928">
          <cell r="B3928" t="str">
            <v>Smoke Detector &amp; Heat Detector</v>
          </cell>
          <cell r="D3928" t="str">
            <v xml:space="preserve">Al Rakia School                           </v>
          </cell>
          <cell r="H3928" t="str">
            <v>AA</v>
          </cell>
        </row>
        <row r="3929">
          <cell r="B3929" t="str">
            <v>Smoke Detector &amp; Heat Detector</v>
          </cell>
          <cell r="D3929" t="str">
            <v xml:space="preserve">Al Rakia School                           </v>
          </cell>
          <cell r="H3929" t="str">
            <v>AA</v>
          </cell>
        </row>
        <row r="3930">
          <cell r="B3930" t="str">
            <v>Smoke Detector &amp; Heat Detector</v>
          </cell>
          <cell r="D3930" t="str">
            <v xml:space="preserve">Al Rakia School                           </v>
          </cell>
          <cell r="H3930" t="str">
            <v>AA</v>
          </cell>
        </row>
        <row r="3931">
          <cell r="B3931" t="str">
            <v>Smoke Detector &amp; Heat Detector</v>
          </cell>
          <cell r="D3931" t="str">
            <v xml:space="preserve">Al Rakia School                           </v>
          </cell>
          <cell r="H3931" t="str">
            <v>AA</v>
          </cell>
        </row>
        <row r="3932">
          <cell r="B3932" t="str">
            <v>Smoke Detector &amp; Heat Detector</v>
          </cell>
          <cell r="D3932" t="str">
            <v xml:space="preserve">Al Rakia School                           </v>
          </cell>
          <cell r="H3932" t="str">
            <v>AA</v>
          </cell>
        </row>
        <row r="3933">
          <cell r="B3933" t="str">
            <v>Smoke Detector &amp; Heat Detector</v>
          </cell>
          <cell r="D3933" t="str">
            <v xml:space="preserve">Al Rakia School                           </v>
          </cell>
          <cell r="H3933" t="str">
            <v>AA</v>
          </cell>
        </row>
        <row r="3934">
          <cell r="B3934" t="str">
            <v>Smoke Detector &amp; Heat Detector</v>
          </cell>
          <cell r="D3934" t="str">
            <v xml:space="preserve">Al Rakia School                           </v>
          </cell>
          <cell r="H3934" t="str">
            <v>AA</v>
          </cell>
        </row>
        <row r="3935">
          <cell r="B3935" t="str">
            <v>Smoke Detector &amp; Heat Detector</v>
          </cell>
          <cell r="D3935" t="str">
            <v xml:space="preserve">Al Rakia School                           </v>
          </cell>
          <cell r="H3935" t="str">
            <v>AA</v>
          </cell>
        </row>
        <row r="3936">
          <cell r="B3936" t="str">
            <v>Smoke Detector &amp; Heat Detector</v>
          </cell>
          <cell r="D3936" t="str">
            <v xml:space="preserve">Al Rakia School                           </v>
          </cell>
          <cell r="H3936" t="str">
            <v>AA</v>
          </cell>
        </row>
        <row r="3937">
          <cell r="B3937" t="str">
            <v>Smoke Detector &amp; Heat Detector</v>
          </cell>
          <cell r="D3937" t="str">
            <v xml:space="preserve">Al Rakia School                           </v>
          </cell>
          <cell r="H3937" t="str">
            <v>AA</v>
          </cell>
        </row>
        <row r="3938">
          <cell r="B3938" t="str">
            <v>Smoke Detector &amp; Heat Detector</v>
          </cell>
          <cell r="D3938" t="str">
            <v xml:space="preserve">Al Rakia School                           </v>
          </cell>
          <cell r="H3938" t="str">
            <v>AA</v>
          </cell>
        </row>
        <row r="3939">
          <cell r="B3939" t="str">
            <v>Smoke Detector &amp; Heat Detector</v>
          </cell>
          <cell r="D3939" t="str">
            <v xml:space="preserve">Al Rakia School                           </v>
          </cell>
          <cell r="H3939" t="str">
            <v>AA</v>
          </cell>
        </row>
        <row r="3940">
          <cell r="B3940" t="str">
            <v>Smoke Detector &amp; Heat Detector</v>
          </cell>
          <cell r="D3940" t="str">
            <v xml:space="preserve">Al Rakia School                           </v>
          </cell>
          <cell r="H3940" t="str">
            <v>AA</v>
          </cell>
        </row>
        <row r="3941">
          <cell r="B3941" t="str">
            <v>Smoke Detector &amp; Heat Detector</v>
          </cell>
          <cell r="D3941" t="str">
            <v xml:space="preserve">Al Rakia School                           </v>
          </cell>
          <cell r="H3941" t="str">
            <v>AA</v>
          </cell>
        </row>
        <row r="3942">
          <cell r="B3942" t="str">
            <v>Smoke Detector &amp; Heat Detector</v>
          </cell>
          <cell r="D3942" t="str">
            <v xml:space="preserve">Al Rakia School                           </v>
          </cell>
          <cell r="H3942" t="str">
            <v>AA</v>
          </cell>
        </row>
        <row r="3943">
          <cell r="B3943" t="str">
            <v>Smoke Detector &amp; Heat Detector</v>
          </cell>
          <cell r="D3943" t="str">
            <v xml:space="preserve">Al Rakia School                           </v>
          </cell>
          <cell r="H3943" t="str">
            <v>AA</v>
          </cell>
        </row>
        <row r="3944">
          <cell r="B3944" t="str">
            <v>Smoke Detector &amp; Heat Detector</v>
          </cell>
          <cell r="D3944" t="str">
            <v xml:space="preserve">Al Rakia School                           </v>
          </cell>
          <cell r="H3944" t="str">
            <v>AA</v>
          </cell>
        </row>
        <row r="3945">
          <cell r="B3945" t="str">
            <v>Smoke Detector &amp; Heat Detector</v>
          </cell>
          <cell r="D3945" t="str">
            <v xml:space="preserve">Al Rakia School                           </v>
          </cell>
          <cell r="H3945" t="str">
            <v>AA</v>
          </cell>
        </row>
        <row r="3946">
          <cell r="B3946" t="str">
            <v>Smoke Detector &amp; Heat Detector</v>
          </cell>
          <cell r="D3946" t="str">
            <v xml:space="preserve">Al Rakia School                           </v>
          </cell>
          <cell r="H3946" t="str">
            <v>AA</v>
          </cell>
        </row>
        <row r="3947">
          <cell r="B3947" t="str">
            <v>Smoke Detector &amp; Heat Detector</v>
          </cell>
          <cell r="D3947" t="str">
            <v xml:space="preserve">Al Rakia School                           </v>
          </cell>
          <cell r="H3947" t="str">
            <v>AA</v>
          </cell>
        </row>
        <row r="3948">
          <cell r="B3948" t="str">
            <v>Smoke Detector &amp; Heat Detector</v>
          </cell>
          <cell r="D3948" t="str">
            <v xml:space="preserve">Al Rakia School                           </v>
          </cell>
          <cell r="H3948" t="str">
            <v>AA</v>
          </cell>
        </row>
        <row r="3949">
          <cell r="B3949" t="str">
            <v>Smoke Detector &amp; Heat Detector</v>
          </cell>
          <cell r="D3949" t="str">
            <v xml:space="preserve">Al Rakia School                           </v>
          </cell>
          <cell r="H3949" t="str">
            <v>AA</v>
          </cell>
        </row>
        <row r="3950">
          <cell r="B3950" t="str">
            <v>Smoke Detector &amp; Heat Detector</v>
          </cell>
          <cell r="D3950" t="str">
            <v xml:space="preserve">Al Rakia School                           </v>
          </cell>
          <cell r="H3950" t="str">
            <v>AA</v>
          </cell>
        </row>
        <row r="3951">
          <cell r="B3951" t="str">
            <v>Smoke Detector &amp; Heat Detector</v>
          </cell>
          <cell r="D3951" t="str">
            <v xml:space="preserve">Al Rakia School                           </v>
          </cell>
          <cell r="H3951" t="str">
            <v>AA</v>
          </cell>
        </row>
        <row r="3952">
          <cell r="B3952" t="str">
            <v>Smoke Detector &amp; Heat Detector</v>
          </cell>
          <cell r="D3952" t="str">
            <v xml:space="preserve">Al Rakia School                           </v>
          </cell>
          <cell r="H3952" t="str">
            <v>AA</v>
          </cell>
        </row>
        <row r="3953">
          <cell r="B3953" t="str">
            <v>Smoke Detector &amp; Heat Detector</v>
          </cell>
          <cell r="D3953" t="str">
            <v xml:space="preserve">Al Rakia School                           </v>
          </cell>
          <cell r="H3953" t="str">
            <v>AA</v>
          </cell>
        </row>
        <row r="3954">
          <cell r="B3954" t="str">
            <v>Smoke Detector &amp; Heat Detector</v>
          </cell>
          <cell r="D3954" t="str">
            <v xml:space="preserve">Al Rakia School                           </v>
          </cell>
          <cell r="H3954" t="str">
            <v>AA</v>
          </cell>
        </row>
        <row r="3955">
          <cell r="B3955" t="str">
            <v>Smoke Detector &amp; Heat Detector</v>
          </cell>
          <cell r="D3955" t="str">
            <v xml:space="preserve">Al Rakia School                           </v>
          </cell>
          <cell r="H3955" t="str">
            <v>AA</v>
          </cell>
        </row>
        <row r="3956">
          <cell r="B3956" t="str">
            <v>Smoke Detector &amp; Heat Detector</v>
          </cell>
          <cell r="D3956" t="str">
            <v xml:space="preserve">Al Rakia School                           </v>
          </cell>
          <cell r="H3956" t="str">
            <v>AA</v>
          </cell>
        </row>
        <row r="3957">
          <cell r="B3957" t="str">
            <v>Smoke Detector &amp; Heat Detector</v>
          </cell>
          <cell r="D3957" t="str">
            <v xml:space="preserve">Al Rakia School                           </v>
          </cell>
          <cell r="H3957" t="str">
            <v>AA</v>
          </cell>
        </row>
        <row r="3958">
          <cell r="B3958" t="str">
            <v>Smoke Detector &amp; Heat Detector</v>
          </cell>
          <cell r="D3958" t="str">
            <v xml:space="preserve">Al Rakia School                           </v>
          </cell>
          <cell r="H3958" t="str">
            <v>AA</v>
          </cell>
        </row>
        <row r="3959">
          <cell r="B3959" t="str">
            <v>Smoke Detector &amp; Heat Detector</v>
          </cell>
          <cell r="D3959" t="str">
            <v xml:space="preserve">Al Rakia School                           </v>
          </cell>
          <cell r="H3959" t="str">
            <v>AA</v>
          </cell>
        </row>
        <row r="3960">
          <cell r="B3960" t="str">
            <v>Smoke Detector &amp; Heat Detector</v>
          </cell>
          <cell r="D3960" t="str">
            <v xml:space="preserve">Al Rakia School                           </v>
          </cell>
          <cell r="H3960" t="str">
            <v>AA</v>
          </cell>
        </row>
        <row r="3961">
          <cell r="B3961" t="str">
            <v>Smoke Detector &amp; Heat Detector</v>
          </cell>
          <cell r="D3961" t="str">
            <v xml:space="preserve">Al Rakia School                           </v>
          </cell>
          <cell r="H3961" t="str">
            <v>AA</v>
          </cell>
        </row>
        <row r="3962">
          <cell r="B3962" t="str">
            <v>Smoke Detector &amp; Heat Detector</v>
          </cell>
          <cell r="D3962" t="str">
            <v xml:space="preserve">Al Rakia School                           </v>
          </cell>
          <cell r="H3962" t="str">
            <v>AA</v>
          </cell>
        </row>
        <row r="3963">
          <cell r="B3963" t="str">
            <v>Smoke Detector &amp; Heat Detector</v>
          </cell>
          <cell r="D3963" t="str">
            <v xml:space="preserve">Al Rakia School                           </v>
          </cell>
          <cell r="H3963" t="str">
            <v>AA</v>
          </cell>
        </row>
        <row r="3964">
          <cell r="B3964" t="str">
            <v>Smoke Detector &amp; Heat Detector</v>
          </cell>
          <cell r="D3964" t="str">
            <v xml:space="preserve">Al Rakia School                           </v>
          </cell>
          <cell r="H3964" t="str">
            <v>AA</v>
          </cell>
        </row>
        <row r="3965">
          <cell r="B3965" t="str">
            <v>Smoke Detector &amp; Heat Detector</v>
          </cell>
          <cell r="D3965" t="str">
            <v xml:space="preserve">Al Rakia School                           </v>
          </cell>
          <cell r="H3965" t="str">
            <v>AA</v>
          </cell>
        </row>
        <row r="3966">
          <cell r="B3966" t="str">
            <v>Smoke Detector &amp; Heat Detector</v>
          </cell>
          <cell r="D3966" t="str">
            <v xml:space="preserve">Al Rakia School                           </v>
          </cell>
          <cell r="H3966" t="str">
            <v>AA</v>
          </cell>
        </row>
        <row r="3967">
          <cell r="B3967" t="str">
            <v>Smoke Detector &amp; Heat Detector</v>
          </cell>
          <cell r="D3967" t="str">
            <v xml:space="preserve">Al Rakia School                           </v>
          </cell>
          <cell r="H3967" t="str">
            <v>AA</v>
          </cell>
        </row>
        <row r="3968">
          <cell r="B3968" t="str">
            <v>Smoke Detector &amp; Heat Detector</v>
          </cell>
          <cell r="D3968" t="str">
            <v xml:space="preserve">Al Rakia School                           </v>
          </cell>
          <cell r="H3968" t="str">
            <v>AA</v>
          </cell>
        </row>
        <row r="3969">
          <cell r="B3969" t="str">
            <v>Smoke Detector &amp; Heat Detector</v>
          </cell>
          <cell r="D3969" t="str">
            <v xml:space="preserve">Al Rakia School                           </v>
          </cell>
          <cell r="H3969" t="str">
            <v>AA</v>
          </cell>
        </row>
        <row r="3970">
          <cell r="B3970" t="str">
            <v>Smoke Detector &amp; Heat Detector</v>
          </cell>
          <cell r="D3970" t="str">
            <v xml:space="preserve">Al Rakia School                           </v>
          </cell>
          <cell r="H3970" t="str">
            <v>AA</v>
          </cell>
        </row>
        <row r="3971">
          <cell r="B3971" t="str">
            <v>Smoke Detector &amp; Heat Detector</v>
          </cell>
          <cell r="D3971" t="str">
            <v xml:space="preserve">Al Rakia School                           </v>
          </cell>
          <cell r="H3971" t="str">
            <v>AA</v>
          </cell>
        </row>
        <row r="3972">
          <cell r="B3972" t="str">
            <v>Smoke Detector &amp; Heat Detector</v>
          </cell>
          <cell r="D3972" t="str">
            <v xml:space="preserve">Al Rakia School                           </v>
          </cell>
          <cell r="H3972" t="str">
            <v>AA</v>
          </cell>
        </row>
        <row r="3973">
          <cell r="B3973" t="str">
            <v>Smoke Detector &amp; Heat Detector</v>
          </cell>
          <cell r="D3973" t="str">
            <v xml:space="preserve">Al Rakia School                           </v>
          </cell>
          <cell r="H3973" t="str">
            <v>AA</v>
          </cell>
        </row>
        <row r="3974">
          <cell r="B3974" t="str">
            <v>Smoke Detector &amp; Heat Detector</v>
          </cell>
          <cell r="D3974" t="str">
            <v xml:space="preserve">Al Rakia School                           </v>
          </cell>
          <cell r="H3974" t="str">
            <v>AA</v>
          </cell>
        </row>
        <row r="3975">
          <cell r="B3975" t="str">
            <v>Smoke Detector &amp; Heat Detector</v>
          </cell>
          <cell r="D3975" t="str">
            <v xml:space="preserve">Al Rakia School                           </v>
          </cell>
          <cell r="H3975" t="str">
            <v>AA</v>
          </cell>
        </row>
        <row r="3976">
          <cell r="B3976" t="str">
            <v>Smoke Detector &amp; Heat Detector</v>
          </cell>
          <cell r="D3976" t="str">
            <v xml:space="preserve">Al Rakia School                           </v>
          </cell>
          <cell r="H3976" t="str">
            <v>AA</v>
          </cell>
        </row>
        <row r="3977">
          <cell r="B3977" t="str">
            <v>Smoke Detector &amp; Heat Detector</v>
          </cell>
          <cell r="D3977" t="str">
            <v xml:space="preserve">Al Rakia School                           </v>
          </cell>
          <cell r="H3977" t="str">
            <v>AA</v>
          </cell>
        </row>
        <row r="3978">
          <cell r="B3978" t="str">
            <v>Smoke Detector &amp; Heat Detector</v>
          </cell>
          <cell r="D3978" t="str">
            <v xml:space="preserve">Al Rakia School                           </v>
          </cell>
          <cell r="H3978" t="str">
            <v>AA</v>
          </cell>
        </row>
        <row r="3979">
          <cell r="B3979" t="str">
            <v>Smoke Detector &amp; Heat Detector</v>
          </cell>
          <cell r="D3979" t="str">
            <v xml:space="preserve">Al Rakia School                           </v>
          </cell>
          <cell r="H3979" t="str">
            <v>AA</v>
          </cell>
        </row>
        <row r="3980">
          <cell r="B3980" t="str">
            <v>Smoke Detector &amp; Heat Detector</v>
          </cell>
          <cell r="D3980" t="str">
            <v xml:space="preserve">Al Rakia School                           </v>
          </cell>
          <cell r="H3980" t="str">
            <v>AA</v>
          </cell>
        </row>
        <row r="3981">
          <cell r="B3981" t="str">
            <v>Smoke Detector &amp; Heat Detector</v>
          </cell>
          <cell r="D3981" t="str">
            <v xml:space="preserve">Al Rakia School                           </v>
          </cell>
          <cell r="H3981" t="str">
            <v>AA</v>
          </cell>
        </row>
        <row r="3982">
          <cell r="B3982" t="str">
            <v>Smoke Detector &amp; Heat Detector</v>
          </cell>
          <cell r="D3982" t="str">
            <v xml:space="preserve">Al Rakia School                           </v>
          </cell>
          <cell r="H3982" t="str">
            <v>AA</v>
          </cell>
        </row>
        <row r="3983">
          <cell r="B3983" t="str">
            <v>Smoke Detector &amp; Heat Detector</v>
          </cell>
          <cell r="D3983" t="str">
            <v xml:space="preserve">Al Rakia School                           </v>
          </cell>
          <cell r="H3983" t="str">
            <v>AA</v>
          </cell>
        </row>
        <row r="3984">
          <cell r="B3984" t="str">
            <v>Smoke Detector &amp; Heat Detector</v>
          </cell>
          <cell r="D3984" t="str">
            <v xml:space="preserve">Al Rakia School                           </v>
          </cell>
          <cell r="H3984" t="str">
            <v>AA</v>
          </cell>
        </row>
        <row r="3985">
          <cell r="B3985" t="str">
            <v>Smoke Detector &amp; Heat Detector</v>
          </cell>
          <cell r="D3985" t="str">
            <v xml:space="preserve">Al Rakia School                           </v>
          </cell>
          <cell r="H3985" t="str">
            <v>AA</v>
          </cell>
        </row>
        <row r="3986">
          <cell r="B3986" t="str">
            <v>Smoke Detector &amp; Heat Detector</v>
          </cell>
          <cell r="D3986" t="str">
            <v xml:space="preserve">Al Rakia School                           </v>
          </cell>
          <cell r="H3986" t="str">
            <v>AA</v>
          </cell>
        </row>
        <row r="3987">
          <cell r="B3987" t="str">
            <v>Smoke Detector &amp; Heat Detector</v>
          </cell>
          <cell r="D3987" t="str">
            <v xml:space="preserve">Al Rakia School                           </v>
          </cell>
          <cell r="H3987" t="str">
            <v>AA</v>
          </cell>
        </row>
        <row r="3988">
          <cell r="B3988" t="str">
            <v>Water Tank</v>
          </cell>
          <cell r="D3988" t="str">
            <v xml:space="preserve">Al Rakia School                           </v>
          </cell>
          <cell r="H3988" t="str">
            <v>AA</v>
          </cell>
        </row>
        <row r="3989">
          <cell r="B3989" t="str">
            <v>Water Tank</v>
          </cell>
          <cell r="D3989" t="str">
            <v xml:space="preserve">Al Rakia School                           </v>
          </cell>
          <cell r="H3989" t="str">
            <v>AA</v>
          </cell>
        </row>
        <row r="3990">
          <cell r="B3990" t="str">
            <v>Water Tank</v>
          </cell>
          <cell r="D3990" t="str">
            <v xml:space="preserve">Al Rakia School                           </v>
          </cell>
          <cell r="H3990" t="str">
            <v>AA</v>
          </cell>
        </row>
        <row r="3991">
          <cell r="B3991" t="str">
            <v>Water Tank</v>
          </cell>
          <cell r="D3991" t="str">
            <v xml:space="preserve">Al Rakia School                           </v>
          </cell>
          <cell r="H3991" t="str">
            <v>AA</v>
          </cell>
        </row>
        <row r="3992">
          <cell r="B3992" t="str">
            <v>Fire Alarm Control Panel Board</v>
          </cell>
          <cell r="D3992" t="str">
            <v>Al Reem (previously Alqadisiah)</v>
          </cell>
          <cell r="H3992" t="str">
            <v>AD</v>
          </cell>
        </row>
        <row r="3993">
          <cell r="B3993" t="str">
            <v>Fire Alarm Remote Indicator</v>
          </cell>
          <cell r="D3993" t="str">
            <v>Al Reem (previously Alqadisiah)</v>
          </cell>
          <cell r="H3993" t="str">
            <v>AD</v>
          </cell>
        </row>
        <row r="3994">
          <cell r="B3994" t="str">
            <v>Fire Alarm Remote Indicator</v>
          </cell>
          <cell r="D3994" t="str">
            <v>Al Reem (previously Alqadisiah)</v>
          </cell>
          <cell r="H3994" t="str">
            <v>AD</v>
          </cell>
        </row>
        <row r="3995">
          <cell r="B3995" t="str">
            <v>Fire Alarm Remote Indicator</v>
          </cell>
          <cell r="D3995" t="str">
            <v>Al Reem (previously Alqadisiah)</v>
          </cell>
          <cell r="H3995" t="str">
            <v>AD</v>
          </cell>
        </row>
        <row r="3996">
          <cell r="B3996" t="str">
            <v>Fire Alarm Remote Indicator</v>
          </cell>
          <cell r="D3996" t="str">
            <v>Al Reem (previously Alqadisiah)</v>
          </cell>
          <cell r="H3996" t="str">
            <v>AD</v>
          </cell>
        </row>
        <row r="3997">
          <cell r="B3997" t="str">
            <v>Fire Alarm Socket</v>
          </cell>
          <cell r="D3997" t="str">
            <v>Al Reem (previously Alqadisiah)</v>
          </cell>
          <cell r="H3997" t="str">
            <v>AD</v>
          </cell>
        </row>
        <row r="3998">
          <cell r="B3998" t="str">
            <v>Fire Alarm Sounder</v>
          </cell>
          <cell r="D3998" t="str">
            <v>Al Reem (previously Alqadisiah)</v>
          </cell>
          <cell r="H3998" t="str">
            <v>AD</v>
          </cell>
        </row>
        <row r="3999">
          <cell r="B3999" t="str">
            <v>Fire Alarm Sounder</v>
          </cell>
          <cell r="D3999" t="str">
            <v>Al Reem (previously Alqadisiah)</v>
          </cell>
          <cell r="H3999" t="str">
            <v>AD</v>
          </cell>
        </row>
        <row r="4000">
          <cell r="B4000" t="str">
            <v>Fire Alarm Sounder</v>
          </cell>
          <cell r="D4000" t="str">
            <v>Al Reem (previously Alqadisiah)</v>
          </cell>
          <cell r="H4000" t="str">
            <v>AD</v>
          </cell>
        </row>
        <row r="4001">
          <cell r="B4001" t="str">
            <v>Fire Alarm Sounder</v>
          </cell>
          <cell r="D4001" t="str">
            <v>Al Reem (previously Alqadisiah)</v>
          </cell>
          <cell r="H4001" t="str">
            <v>AD</v>
          </cell>
        </row>
        <row r="4002">
          <cell r="B4002" t="str">
            <v>Fire Alarm Sounder</v>
          </cell>
          <cell r="D4002" t="str">
            <v>Al Reem (previously Alqadisiah)</v>
          </cell>
          <cell r="H4002" t="str">
            <v>AD</v>
          </cell>
        </row>
        <row r="4003">
          <cell r="B4003" t="str">
            <v>Fire Alarm Sounder</v>
          </cell>
          <cell r="D4003" t="str">
            <v>Al Reem (previously Alqadisiah)</v>
          </cell>
          <cell r="H4003" t="str">
            <v>AD</v>
          </cell>
        </row>
        <row r="4004">
          <cell r="B4004" t="str">
            <v>Fire Alarm Sounder</v>
          </cell>
          <cell r="D4004" t="str">
            <v>Al Reem (previously Alqadisiah)</v>
          </cell>
          <cell r="H4004" t="str">
            <v>AD</v>
          </cell>
        </row>
        <row r="4005">
          <cell r="B4005" t="str">
            <v>Fire Alarm Sounder</v>
          </cell>
          <cell r="D4005" t="str">
            <v>Al Reem (previously Alqadisiah)</v>
          </cell>
          <cell r="H4005" t="str">
            <v>AD</v>
          </cell>
        </row>
        <row r="4006">
          <cell r="B4006" t="str">
            <v>Fire Alarm Sounder</v>
          </cell>
          <cell r="D4006" t="str">
            <v>Al Reem (previously Alqadisiah)</v>
          </cell>
          <cell r="H4006" t="str">
            <v>AD</v>
          </cell>
        </row>
        <row r="4007">
          <cell r="B4007" t="str">
            <v>Fire Alarm Sounder</v>
          </cell>
          <cell r="D4007" t="str">
            <v>Al Reem (previously Alqadisiah)</v>
          </cell>
          <cell r="H4007" t="str">
            <v>AD</v>
          </cell>
        </row>
        <row r="4008">
          <cell r="B4008" t="str">
            <v>Fire Blanket</v>
          </cell>
          <cell r="D4008" t="str">
            <v>Al Reem (previously Alqadisiah)</v>
          </cell>
          <cell r="H4008" t="str">
            <v>AD</v>
          </cell>
        </row>
        <row r="4009">
          <cell r="B4009" t="str">
            <v>Fire Blanket</v>
          </cell>
          <cell r="D4009" t="str">
            <v>Al Reem (previously Alqadisiah)</v>
          </cell>
          <cell r="H4009" t="str">
            <v>AD</v>
          </cell>
        </row>
        <row r="4010">
          <cell r="B4010" t="str">
            <v>Fire Break Glass</v>
          </cell>
          <cell r="D4010" t="str">
            <v>Al Reem (previously Alqadisiah)</v>
          </cell>
          <cell r="H4010" t="str">
            <v>AD</v>
          </cell>
        </row>
        <row r="4011">
          <cell r="B4011" t="str">
            <v>Fire Break Glass</v>
          </cell>
          <cell r="D4011" t="str">
            <v>Al Reem (previously Alqadisiah)</v>
          </cell>
          <cell r="H4011" t="str">
            <v>AD</v>
          </cell>
        </row>
        <row r="4012">
          <cell r="B4012" t="str">
            <v>Fire Break Glass</v>
          </cell>
          <cell r="D4012" t="str">
            <v>Al Reem (previously Alqadisiah)</v>
          </cell>
          <cell r="H4012" t="str">
            <v>AD</v>
          </cell>
        </row>
        <row r="4013">
          <cell r="B4013" t="str">
            <v>Fire Extinguisher</v>
          </cell>
          <cell r="D4013" t="str">
            <v>Al Reem (previously Alqadisiah)</v>
          </cell>
          <cell r="H4013" t="str">
            <v>AD</v>
          </cell>
        </row>
        <row r="4014">
          <cell r="B4014" t="str">
            <v>Fire Extinguisher</v>
          </cell>
          <cell r="D4014" t="str">
            <v>Al Reem (previously Alqadisiah)</v>
          </cell>
          <cell r="H4014" t="str">
            <v>AD</v>
          </cell>
        </row>
        <row r="4015">
          <cell r="B4015" t="str">
            <v>Fire Extinguisher</v>
          </cell>
          <cell r="D4015" t="str">
            <v>Al Reem (previously Alqadisiah)</v>
          </cell>
          <cell r="H4015" t="str">
            <v>AD</v>
          </cell>
        </row>
        <row r="4016">
          <cell r="B4016" t="str">
            <v>Fire Extinguisher</v>
          </cell>
          <cell r="D4016" t="str">
            <v>Al Reem (previously Alqadisiah)</v>
          </cell>
          <cell r="H4016" t="str">
            <v>AD</v>
          </cell>
        </row>
        <row r="4017">
          <cell r="B4017" t="str">
            <v>Fire Extinguisher</v>
          </cell>
          <cell r="D4017" t="str">
            <v>Al Reem (previously Alqadisiah)</v>
          </cell>
          <cell r="H4017" t="str">
            <v>AD</v>
          </cell>
        </row>
        <row r="4018">
          <cell r="B4018" t="str">
            <v>Fire Extinguisher</v>
          </cell>
          <cell r="D4018" t="str">
            <v>Al Reem (previously Alqadisiah)</v>
          </cell>
          <cell r="H4018" t="str">
            <v>AD</v>
          </cell>
        </row>
        <row r="4019">
          <cell r="B4019" t="str">
            <v>Fire Extinguisher</v>
          </cell>
          <cell r="D4019" t="str">
            <v>Al Reem (previously Alqadisiah)</v>
          </cell>
          <cell r="H4019" t="str">
            <v>AD</v>
          </cell>
        </row>
        <row r="4020">
          <cell r="B4020" t="str">
            <v>Fire Extinguisher</v>
          </cell>
          <cell r="D4020" t="str">
            <v>Al Reem (previously Alqadisiah)</v>
          </cell>
          <cell r="H4020" t="str">
            <v>AD</v>
          </cell>
        </row>
        <row r="4021">
          <cell r="B4021" t="str">
            <v>Fire Extinguisher</v>
          </cell>
          <cell r="D4021" t="str">
            <v>Al Reem (previously Alqadisiah)</v>
          </cell>
          <cell r="H4021" t="str">
            <v>AD</v>
          </cell>
        </row>
        <row r="4022">
          <cell r="B4022" t="str">
            <v>Fire Extinguisher</v>
          </cell>
          <cell r="D4022" t="str">
            <v>Al Reem (previously Alqadisiah)</v>
          </cell>
          <cell r="H4022" t="str">
            <v>AD</v>
          </cell>
        </row>
        <row r="4023">
          <cell r="B4023" t="str">
            <v>Fire Extinguisher</v>
          </cell>
          <cell r="D4023" t="str">
            <v>Al Reem (previously Alqadisiah)</v>
          </cell>
          <cell r="H4023" t="str">
            <v>AD</v>
          </cell>
        </row>
        <row r="4024">
          <cell r="B4024" t="str">
            <v>Fire Extinguisher</v>
          </cell>
          <cell r="D4024" t="str">
            <v>Al Reem (previously Alqadisiah)</v>
          </cell>
          <cell r="H4024" t="str">
            <v>AD</v>
          </cell>
        </row>
        <row r="4025">
          <cell r="B4025" t="str">
            <v>Fire Extinguisher</v>
          </cell>
          <cell r="D4025" t="str">
            <v>Al Reem (previously Alqadisiah)</v>
          </cell>
          <cell r="H4025" t="str">
            <v>AD</v>
          </cell>
        </row>
        <row r="4026">
          <cell r="B4026" t="str">
            <v>Fire Extinguisher</v>
          </cell>
          <cell r="D4026" t="str">
            <v>Al Reem (previously Alqadisiah)</v>
          </cell>
          <cell r="H4026" t="str">
            <v>AD</v>
          </cell>
        </row>
        <row r="4027">
          <cell r="B4027" t="str">
            <v>Fire Extinguisher</v>
          </cell>
          <cell r="D4027" t="str">
            <v>Al Reem (previously Alqadisiah)</v>
          </cell>
          <cell r="H4027" t="str">
            <v>AD</v>
          </cell>
        </row>
        <row r="4028">
          <cell r="B4028" t="str">
            <v>Fire Extinguisher</v>
          </cell>
          <cell r="D4028" t="str">
            <v>Al Reem (previously Alqadisiah)</v>
          </cell>
          <cell r="H4028" t="str">
            <v>AD</v>
          </cell>
        </row>
        <row r="4029">
          <cell r="B4029" t="str">
            <v>Fire Extinguisher</v>
          </cell>
          <cell r="D4029" t="str">
            <v>Al Reem (previously Alqadisiah)</v>
          </cell>
          <cell r="H4029" t="str">
            <v>AD</v>
          </cell>
        </row>
        <row r="4030">
          <cell r="B4030" t="str">
            <v>Fire Extinguisher</v>
          </cell>
          <cell r="D4030" t="str">
            <v>Al Reem (previously Alqadisiah)</v>
          </cell>
          <cell r="H4030" t="str">
            <v>AD</v>
          </cell>
        </row>
        <row r="4031">
          <cell r="B4031" t="str">
            <v>Fire Extinguisher</v>
          </cell>
          <cell r="D4031" t="str">
            <v>Al Reem (previously Alqadisiah)</v>
          </cell>
          <cell r="H4031" t="str">
            <v>AD</v>
          </cell>
        </row>
        <row r="4032">
          <cell r="B4032" t="str">
            <v>Fire Extinguisher</v>
          </cell>
          <cell r="D4032" t="str">
            <v>Al Reem (previously Alqadisiah)</v>
          </cell>
          <cell r="H4032" t="str">
            <v>AD</v>
          </cell>
        </row>
        <row r="4033">
          <cell r="B4033" t="str">
            <v>Fire Extinguisher</v>
          </cell>
          <cell r="D4033" t="str">
            <v>Al Reem (previously Alqadisiah)</v>
          </cell>
          <cell r="H4033" t="str">
            <v>AD</v>
          </cell>
        </row>
        <row r="4034">
          <cell r="B4034" t="str">
            <v>Fire Extinguisher</v>
          </cell>
          <cell r="D4034" t="str">
            <v>Al Reem (previously Alqadisiah)</v>
          </cell>
          <cell r="H4034" t="str">
            <v>AD</v>
          </cell>
        </row>
        <row r="4035">
          <cell r="B4035" t="str">
            <v>Fire Extinguisher</v>
          </cell>
          <cell r="D4035" t="str">
            <v>Al Reem (previously Alqadisiah)</v>
          </cell>
          <cell r="H4035" t="str">
            <v>AD</v>
          </cell>
        </row>
        <row r="4036">
          <cell r="B4036" t="str">
            <v>Fire Extinguisher</v>
          </cell>
          <cell r="D4036" t="str">
            <v>Al Reem (previously Alqadisiah)</v>
          </cell>
          <cell r="H4036" t="str">
            <v>AD</v>
          </cell>
        </row>
        <row r="4037">
          <cell r="B4037" t="str">
            <v>Fire Extinguisher</v>
          </cell>
          <cell r="D4037" t="str">
            <v>Al Reem (previously Alqadisiah)</v>
          </cell>
          <cell r="H4037" t="str">
            <v>AD</v>
          </cell>
        </row>
        <row r="4038">
          <cell r="B4038" t="str">
            <v>Fire Extinguisher</v>
          </cell>
          <cell r="D4038" t="str">
            <v>Al Reem (previously Alqadisiah)</v>
          </cell>
          <cell r="H4038" t="str">
            <v>AD</v>
          </cell>
        </row>
        <row r="4039">
          <cell r="B4039" t="str">
            <v>Fire Extinguisher</v>
          </cell>
          <cell r="D4039" t="str">
            <v>Al Reem (previously Alqadisiah)</v>
          </cell>
          <cell r="H4039" t="str">
            <v>AD</v>
          </cell>
        </row>
        <row r="4040">
          <cell r="B4040" t="str">
            <v>Fire Extinguisher</v>
          </cell>
          <cell r="D4040" t="str">
            <v>Al Reem (previously Alqadisiah)</v>
          </cell>
          <cell r="H4040" t="str">
            <v>AD</v>
          </cell>
        </row>
        <row r="4041">
          <cell r="B4041" t="str">
            <v>Fire Extinguisher</v>
          </cell>
          <cell r="D4041" t="str">
            <v>Al Reem (previously Alqadisiah)</v>
          </cell>
          <cell r="H4041" t="str">
            <v>AD</v>
          </cell>
        </row>
        <row r="4042">
          <cell r="B4042" t="str">
            <v>Fire Extinguisher</v>
          </cell>
          <cell r="D4042" t="str">
            <v>Al Reem (previously Alqadisiah)</v>
          </cell>
          <cell r="H4042" t="str">
            <v>AD</v>
          </cell>
        </row>
        <row r="4043">
          <cell r="B4043" t="str">
            <v>Fire Extinguisher</v>
          </cell>
          <cell r="D4043" t="str">
            <v>Al Reem (previously Alqadisiah)</v>
          </cell>
          <cell r="H4043" t="str">
            <v>AD</v>
          </cell>
        </row>
        <row r="4044">
          <cell r="B4044" t="str">
            <v>Fire Extinguisher</v>
          </cell>
          <cell r="D4044" t="str">
            <v>Al Reem (previously Alqadisiah)</v>
          </cell>
          <cell r="H4044" t="str">
            <v>AD</v>
          </cell>
        </row>
        <row r="4045">
          <cell r="B4045" t="str">
            <v>Fire Extinguisher</v>
          </cell>
          <cell r="D4045" t="str">
            <v>Al Reem (previously Alqadisiah)</v>
          </cell>
          <cell r="H4045" t="str">
            <v>AD</v>
          </cell>
        </row>
        <row r="4046">
          <cell r="B4046" t="str">
            <v>Fire Extinguisher</v>
          </cell>
          <cell r="D4046" t="str">
            <v>Al Reem (previously Alqadisiah)</v>
          </cell>
          <cell r="H4046" t="str">
            <v>AD</v>
          </cell>
        </row>
        <row r="4047">
          <cell r="B4047" t="str">
            <v>Fire Extinguisher</v>
          </cell>
          <cell r="D4047" t="str">
            <v>Al Reem (previously Alqadisiah)</v>
          </cell>
          <cell r="H4047" t="str">
            <v>AD</v>
          </cell>
        </row>
        <row r="4048">
          <cell r="B4048" t="str">
            <v>Fire Extinguisher</v>
          </cell>
          <cell r="D4048" t="str">
            <v>Al Reem (previously Alqadisiah)</v>
          </cell>
          <cell r="H4048" t="str">
            <v>AD</v>
          </cell>
        </row>
        <row r="4049">
          <cell r="B4049" t="str">
            <v>Fire Extinguisher</v>
          </cell>
          <cell r="D4049" t="str">
            <v>Al Reem (previously Alqadisiah)</v>
          </cell>
          <cell r="H4049" t="str">
            <v>AD</v>
          </cell>
        </row>
        <row r="4050">
          <cell r="B4050" t="str">
            <v>Fire Extinguisher</v>
          </cell>
          <cell r="D4050" t="str">
            <v>Al Reem (previously Alqadisiah)</v>
          </cell>
          <cell r="H4050" t="str">
            <v>AD</v>
          </cell>
        </row>
        <row r="4051">
          <cell r="B4051" t="str">
            <v>Fire Extinguisher</v>
          </cell>
          <cell r="D4051" t="str">
            <v>Al Reem (previously Alqadisiah)</v>
          </cell>
          <cell r="H4051" t="str">
            <v>AD</v>
          </cell>
        </row>
        <row r="4052">
          <cell r="B4052" t="str">
            <v>Fire Extinguisher</v>
          </cell>
          <cell r="D4052" t="str">
            <v>Al Reem (previously Alqadisiah)</v>
          </cell>
          <cell r="H4052" t="str">
            <v>AD</v>
          </cell>
        </row>
        <row r="4053">
          <cell r="B4053" t="str">
            <v>Fire Extinguisher</v>
          </cell>
          <cell r="D4053" t="str">
            <v>Al Reem (previously Alqadisiah)</v>
          </cell>
          <cell r="H4053" t="str">
            <v>AD</v>
          </cell>
        </row>
        <row r="4054">
          <cell r="B4054" t="str">
            <v>Fire Extinguisher</v>
          </cell>
          <cell r="D4054" t="str">
            <v>Al Reem (previously Alqadisiah)</v>
          </cell>
          <cell r="H4054" t="str">
            <v>AD</v>
          </cell>
        </row>
        <row r="4055">
          <cell r="B4055" t="str">
            <v>Fire Extinguisher</v>
          </cell>
          <cell r="D4055" t="str">
            <v>Al Reem (previously Alqadisiah)</v>
          </cell>
          <cell r="H4055" t="str">
            <v>AD</v>
          </cell>
        </row>
        <row r="4056">
          <cell r="B4056" t="str">
            <v>Fire Extinguisher</v>
          </cell>
          <cell r="D4056" t="str">
            <v>Al Reem (previously Alqadisiah)</v>
          </cell>
          <cell r="H4056" t="str">
            <v>AD</v>
          </cell>
        </row>
        <row r="4057">
          <cell r="B4057" t="str">
            <v>Fire Extinguisher</v>
          </cell>
          <cell r="D4057" t="str">
            <v>Al Reem (previously Alqadisiah)</v>
          </cell>
          <cell r="H4057" t="str">
            <v>AD</v>
          </cell>
        </row>
        <row r="4058">
          <cell r="B4058" t="str">
            <v>Fire Extinguisher</v>
          </cell>
          <cell r="D4058" t="str">
            <v>Al Reem (previously Alqadisiah)</v>
          </cell>
          <cell r="H4058" t="str">
            <v>AD</v>
          </cell>
        </row>
        <row r="4059">
          <cell r="B4059" t="str">
            <v>Fire Extinguisher</v>
          </cell>
          <cell r="D4059" t="str">
            <v>Al Reem (previously Alqadisiah)</v>
          </cell>
          <cell r="H4059" t="str">
            <v>AD</v>
          </cell>
        </row>
        <row r="4060">
          <cell r="B4060" t="str">
            <v>Fire Extinguisher</v>
          </cell>
          <cell r="D4060" t="str">
            <v>Al Reem (previously Alqadisiah)</v>
          </cell>
          <cell r="H4060" t="str">
            <v>AD</v>
          </cell>
        </row>
        <row r="4061">
          <cell r="B4061" t="str">
            <v>Fire Extinguisher</v>
          </cell>
          <cell r="D4061" t="str">
            <v>Al Reem (previously Alqadisiah)</v>
          </cell>
          <cell r="H4061" t="str">
            <v>AD</v>
          </cell>
        </row>
        <row r="4062">
          <cell r="B4062" t="str">
            <v>Fire Extinguisher</v>
          </cell>
          <cell r="D4062" t="str">
            <v>Al Reem (previously Alqadisiah)</v>
          </cell>
          <cell r="H4062" t="str">
            <v>AD</v>
          </cell>
        </row>
        <row r="4063">
          <cell r="B4063" t="str">
            <v>Fire Extinguisher</v>
          </cell>
          <cell r="D4063" t="str">
            <v>Al Reem (previously Alqadisiah)</v>
          </cell>
          <cell r="H4063" t="str">
            <v>AD</v>
          </cell>
        </row>
        <row r="4064">
          <cell r="B4064" t="str">
            <v>Fire Extinguisher</v>
          </cell>
          <cell r="D4064" t="str">
            <v>Al Reem (previously Alqadisiah)</v>
          </cell>
          <cell r="H4064" t="str">
            <v>AD</v>
          </cell>
        </row>
        <row r="4065">
          <cell r="B4065" t="str">
            <v>Fire Extinguisher</v>
          </cell>
          <cell r="D4065" t="str">
            <v>Al Reem (previously Alqadisiah)</v>
          </cell>
          <cell r="H4065" t="str">
            <v>AD</v>
          </cell>
        </row>
        <row r="4066">
          <cell r="B4066" t="str">
            <v>Fire Extinguisher</v>
          </cell>
          <cell r="D4066" t="str">
            <v>Al Reem (previously Alqadisiah)</v>
          </cell>
          <cell r="H4066" t="str">
            <v>AD</v>
          </cell>
        </row>
        <row r="4067">
          <cell r="B4067" t="str">
            <v>Fire Extinguisher</v>
          </cell>
          <cell r="D4067" t="str">
            <v>Al Reem (previously Alqadisiah)</v>
          </cell>
          <cell r="H4067" t="str">
            <v>AD</v>
          </cell>
        </row>
        <row r="4068">
          <cell r="B4068" t="str">
            <v>Fire Extinguisher</v>
          </cell>
          <cell r="D4068" t="str">
            <v>Al Reem (previously Alqadisiah)</v>
          </cell>
          <cell r="H4068" t="str">
            <v>AD</v>
          </cell>
        </row>
        <row r="4069">
          <cell r="B4069" t="str">
            <v>Fire Extinguisher</v>
          </cell>
          <cell r="D4069" t="str">
            <v>Al Reem (previously Alqadisiah)</v>
          </cell>
          <cell r="H4069" t="str">
            <v>AD</v>
          </cell>
        </row>
        <row r="4070">
          <cell r="B4070" t="str">
            <v>Fire Extinguisher</v>
          </cell>
          <cell r="D4070" t="str">
            <v>Al Reem (previously Alqadisiah)</v>
          </cell>
          <cell r="H4070" t="str">
            <v>AD</v>
          </cell>
        </row>
        <row r="4071">
          <cell r="B4071" t="str">
            <v>Fire Extinguisher</v>
          </cell>
          <cell r="D4071" t="str">
            <v>Al Reem (previously Alqadisiah)</v>
          </cell>
          <cell r="H4071" t="str">
            <v>AD</v>
          </cell>
        </row>
        <row r="4072">
          <cell r="B4072" t="str">
            <v>Fire Extinguisher</v>
          </cell>
          <cell r="D4072" t="str">
            <v>Al Reem (previously Alqadisiah)</v>
          </cell>
          <cell r="H4072" t="str">
            <v>AD</v>
          </cell>
        </row>
        <row r="4073">
          <cell r="B4073" t="str">
            <v>Fire Extinguisher</v>
          </cell>
          <cell r="D4073" t="str">
            <v>Al Reem (previously Alqadisiah)</v>
          </cell>
          <cell r="H4073" t="str">
            <v>AD</v>
          </cell>
        </row>
        <row r="4074">
          <cell r="B4074" t="str">
            <v>Fire Extinguisher</v>
          </cell>
          <cell r="D4074" t="str">
            <v>Al Reem (previously Alqadisiah)</v>
          </cell>
          <cell r="H4074" t="str">
            <v>AD</v>
          </cell>
        </row>
        <row r="4075">
          <cell r="B4075" t="str">
            <v>Fire Hose Cabinet</v>
          </cell>
          <cell r="D4075" t="str">
            <v>Al Reem (previously Alqadisiah)</v>
          </cell>
          <cell r="H4075" t="str">
            <v>AD</v>
          </cell>
        </row>
        <row r="4076">
          <cell r="B4076" t="str">
            <v>Fire Hose Cabinet</v>
          </cell>
          <cell r="D4076" t="str">
            <v>Al Reem (previously Alqadisiah)</v>
          </cell>
          <cell r="H4076" t="str">
            <v>AD</v>
          </cell>
        </row>
        <row r="4077">
          <cell r="B4077" t="str">
            <v>Fire Hose Cabinet</v>
          </cell>
          <cell r="D4077" t="str">
            <v>Al Reem (previously Alqadisiah)</v>
          </cell>
          <cell r="H4077" t="str">
            <v>AD</v>
          </cell>
        </row>
        <row r="4078">
          <cell r="B4078" t="str">
            <v>Fire Hose Cabinet</v>
          </cell>
          <cell r="D4078" t="str">
            <v>Al Reem (previously Alqadisiah)</v>
          </cell>
          <cell r="H4078" t="str">
            <v>AD</v>
          </cell>
        </row>
        <row r="4079">
          <cell r="B4079" t="str">
            <v>Fire Hose Cabinet</v>
          </cell>
          <cell r="D4079" t="str">
            <v>Al Reem (previously Alqadisiah)</v>
          </cell>
          <cell r="H4079" t="str">
            <v>AD</v>
          </cell>
        </row>
        <row r="4080">
          <cell r="B4080" t="str">
            <v>Fire Hose Cabinet</v>
          </cell>
          <cell r="D4080" t="str">
            <v>Al Reem (previously Alqadisiah)</v>
          </cell>
          <cell r="H4080" t="str">
            <v>AD</v>
          </cell>
        </row>
        <row r="4081">
          <cell r="B4081" t="str">
            <v>Fire Hose Cabinet</v>
          </cell>
          <cell r="D4081" t="str">
            <v>Al Reem (previously Alqadisiah)</v>
          </cell>
          <cell r="H4081" t="str">
            <v>AD</v>
          </cell>
        </row>
        <row r="4082">
          <cell r="B4082" t="str">
            <v>Fire Hose Cabinet</v>
          </cell>
          <cell r="D4082" t="str">
            <v>Al Reem (previously Alqadisiah)</v>
          </cell>
          <cell r="H4082" t="str">
            <v>AD</v>
          </cell>
        </row>
        <row r="4083">
          <cell r="B4083" t="str">
            <v>Fire Hose Cabinet</v>
          </cell>
          <cell r="D4083" t="str">
            <v>Al Reem (previously Alqadisiah)</v>
          </cell>
          <cell r="H4083" t="str">
            <v>AD</v>
          </cell>
        </row>
        <row r="4084">
          <cell r="B4084" t="str">
            <v>Fire Hose Cabinet</v>
          </cell>
          <cell r="D4084" t="str">
            <v>Al Reem (previously Alqadisiah)</v>
          </cell>
          <cell r="H4084" t="str">
            <v>AD</v>
          </cell>
        </row>
        <row r="4085">
          <cell r="B4085" t="str">
            <v>Fire Hose Cabinet</v>
          </cell>
          <cell r="D4085" t="str">
            <v>Al Reem (previously Alqadisiah)</v>
          </cell>
          <cell r="H4085" t="str">
            <v>AD</v>
          </cell>
        </row>
        <row r="4086">
          <cell r="B4086" t="str">
            <v>Fire Hose Cabinet</v>
          </cell>
          <cell r="D4086" t="str">
            <v>Al Reem (previously Alqadisiah)</v>
          </cell>
          <cell r="H4086" t="str">
            <v>AD</v>
          </cell>
        </row>
        <row r="4087">
          <cell r="B4087" t="str">
            <v>Fire Hose Cabinet</v>
          </cell>
          <cell r="D4087" t="str">
            <v>Al Reem (previously Alqadisiah)</v>
          </cell>
          <cell r="H4087" t="str">
            <v>AD</v>
          </cell>
        </row>
        <row r="4088">
          <cell r="B4088" t="str">
            <v>Fire Hose Cabinet</v>
          </cell>
          <cell r="D4088" t="str">
            <v>Al Reem (previously Alqadisiah)</v>
          </cell>
          <cell r="H4088" t="str">
            <v>AD</v>
          </cell>
        </row>
        <row r="4089">
          <cell r="B4089" t="str">
            <v>Fire Hose Cabinet</v>
          </cell>
          <cell r="D4089" t="str">
            <v>Al Reem (previously Alqadisiah)</v>
          </cell>
          <cell r="H4089" t="str">
            <v>AD</v>
          </cell>
        </row>
        <row r="4090">
          <cell r="B4090" t="str">
            <v>Fire Hose Cabinet</v>
          </cell>
          <cell r="D4090" t="str">
            <v>Al Reem (previously Alqadisiah)</v>
          </cell>
          <cell r="H4090" t="str">
            <v>AD</v>
          </cell>
        </row>
        <row r="4091">
          <cell r="B4091" t="str">
            <v>Fire Hose Cabinet</v>
          </cell>
          <cell r="D4091" t="str">
            <v>Al Reem (previously Alqadisiah)</v>
          </cell>
          <cell r="H4091" t="str">
            <v>AD</v>
          </cell>
        </row>
        <row r="4092">
          <cell r="B4092" t="str">
            <v>Fire Hose Cabinet</v>
          </cell>
          <cell r="D4092" t="str">
            <v>Al Reem (previously Alqadisiah)</v>
          </cell>
          <cell r="H4092" t="str">
            <v>AD</v>
          </cell>
        </row>
        <row r="4093">
          <cell r="B4093" t="str">
            <v>Fire Hose Cabinet</v>
          </cell>
          <cell r="D4093" t="str">
            <v>Al Reem (previously Alqadisiah)</v>
          </cell>
          <cell r="H4093" t="str">
            <v>AD</v>
          </cell>
        </row>
        <row r="4094">
          <cell r="B4094" t="str">
            <v>Fire Hose Cabinet</v>
          </cell>
          <cell r="D4094" t="str">
            <v>Al Reem (previously Alqadisiah)</v>
          </cell>
          <cell r="H4094" t="str">
            <v>AD</v>
          </cell>
        </row>
        <row r="4095">
          <cell r="B4095" t="str">
            <v>Fire Hose Cabinet</v>
          </cell>
          <cell r="D4095" t="str">
            <v>Al Reem (previously Alqadisiah)</v>
          </cell>
          <cell r="H4095" t="str">
            <v>AD</v>
          </cell>
        </row>
        <row r="4096">
          <cell r="B4096" t="str">
            <v>Fire Hose Cabinet</v>
          </cell>
          <cell r="D4096" t="str">
            <v>Al Reem (previously Alqadisiah)</v>
          </cell>
          <cell r="H4096" t="str">
            <v>AD</v>
          </cell>
        </row>
        <row r="4097">
          <cell r="B4097" t="str">
            <v>Fire Hose Cabinet</v>
          </cell>
          <cell r="D4097" t="str">
            <v>Al Reem (previously Alqadisiah)</v>
          </cell>
          <cell r="H4097" t="str">
            <v>AD</v>
          </cell>
        </row>
        <row r="4098">
          <cell r="B4098" t="str">
            <v>Fire Hose Cabinet</v>
          </cell>
          <cell r="D4098" t="str">
            <v>Al Reem (previously Alqadisiah)</v>
          </cell>
          <cell r="H4098" t="str">
            <v>AD</v>
          </cell>
        </row>
        <row r="4099">
          <cell r="B4099" t="str">
            <v>Fire Hose Cabinet</v>
          </cell>
          <cell r="D4099" t="str">
            <v>Al Reem (previously Alqadisiah)</v>
          </cell>
          <cell r="H4099" t="str">
            <v>AD</v>
          </cell>
        </row>
        <row r="4100">
          <cell r="B4100" t="str">
            <v>Fire Hose Cabinet</v>
          </cell>
          <cell r="D4100" t="str">
            <v>Al Reem (previously Alqadisiah)</v>
          </cell>
          <cell r="H4100" t="str">
            <v>AD</v>
          </cell>
        </row>
        <row r="4101">
          <cell r="B4101" t="str">
            <v>Fire Hose Cabinet</v>
          </cell>
          <cell r="D4101" t="str">
            <v>Al Reem (previously Alqadisiah)</v>
          </cell>
          <cell r="H4101" t="str">
            <v>AD</v>
          </cell>
        </row>
        <row r="4102">
          <cell r="B4102" t="str">
            <v>Fire Hose Cabinet</v>
          </cell>
          <cell r="D4102" t="str">
            <v>Al Reem (previously Alqadisiah)</v>
          </cell>
          <cell r="H4102" t="str">
            <v>AD</v>
          </cell>
        </row>
        <row r="4103">
          <cell r="B4103" t="str">
            <v>Fire Hose Cabinet</v>
          </cell>
          <cell r="D4103" t="str">
            <v>Al Reem (previously Alqadisiah)</v>
          </cell>
          <cell r="H4103" t="str">
            <v>AD</v>
          </cell>
        </row>
        <row r="4104">
          <cell r="B4104" t="str">
            <v>Fire Hose Reel</v>
          </cell>
          <cell r="D4104" t="str">
            <v>Al Reem (previously Alqadisiah)</v>
          </cell>
          <cell r="H4104" t="str">
            <v>AD</v>
          </cell>
        </row>
        <row r="4105">
          <cell r="B4105" t="str">
            <v>Fire Hose Reel</v>
          </cell>
          <cell r="D4105" t="str">
            <v>Al Reem (previously Alqadisiah)</v>
          </cell>
          <cell r="H4105" t="str">
            <v>AD</v>
          </cell>
        </row>
        <row r="4106">
          <cell r="B4106" t="str">
            <v>Fire Hose Reel</v>
          </cell>
          <cell r="D4106" t="str">
            <v>Al Reem (previously Alqadisiah)</v>
          </cell>
          <cell r="H4106" t="str">
            <v>AD</v>
          </cell>
        </row>
        <row r="4107">
          <cell r="B4107" t="str">
            <v>Fire Hose Reel</v>
          </cell>
          <cell r="D4107" t="str">
            <v>Al Reem (previously Alqadisiah)</v>
          </cell>
          <cell r="H4107" t="str">
            <v>AD</v>
          </cell>
        </row>
        <row r="4108">
          <cell r="B4108" t="str">
            <v>Fire Hose Reel</v>
          </cell>
          <cell r="D4108" t="str">
            <v>Al Reem (previously Alqadisiah)</v>
          </cell>
          <cell r="H4108" t="str">
            <v>AD</v>
          </cell>
        </row>
        <row r="4109">
          <cell r="B4109" t="str">
            <v>Fire Hose Reel</v>
          </cell>
          <cell r="D4109" t="str">
            <v>Al Reem (previously Alqadisiah)</v>
          </cell>
          <cell r="H4109" t="str">
            <v>AD</v>
          </cell>
        </row>
        <row r="4110">
          <cell r="B4110" t="str">
            <v>Fire Hose Reel</v>
          </cell>
          <cell r="D4110" t="str">
            <v>Al Reem (previously Alqadisiah)</v>
          </cell>
          <cell r="H4110" t="str">
            <v>AD</v>
          </cell>
        </row>
        <row r="4111">
          <cell r="B4111" t="str">
            <v>Fire Hose Reel</v>
          </cell>
          <cell r="D4111" t="str">
            <v>Al Reem (previously Alqadisiah)</v>
          </cell>
          <cell r="H4111" t="str">
            <v>AD</v>
          </cell>
        </row>
        <row r="4112">
          <cell r="B4112" t="str">
            <v>Fire Hose Reel</v>
          </cell>
          <cell r="D4112" t="str">
            <v>Al Reem (previously Alqadisiah)</v>
          </cell>
          <cell r="H4112" t="str">
            <v>AD</v>
          </cell>
        </row>
        <row r="4113">
          <cell r="B4113" t="str">
            <v>Fire Hose Reel</v>
          </cell>
          <cell r="D4113" t="str">
            <v>Al Reem (previously Alqadisiah)</v>
          </cell>
          <cell r="H4113" t="str">
            <v>AD</v>
          </cell>
        </row>
        <row r="4114">
          <cell r="B4114" t="str">
            <v>Fire Hose Reel</v>
          </cell>
          <cell r="D4114" t="str">
            <v>Al Reem (previously Alqadisiah)</v>
          </cell>
          <cell r="H4114" t="str">
            <v>AD</v>
          </cell>
        </row>
        <row r="4115">
          <cell r="B4115" t="str">
            <v>Fire Hose Reel</v>
          </cell>
          <cell r="D4115" t="str">
            <v>Al Reem (previously Alqadisiah)</v>
          </cell>
          <cell r="H4115" t="str">
            <v>AD</v>
          </cell>
        </row>
        <row r="4116">
          <cell r="B4116" t="str">
            <v>Fire Hose Reel</v>
          </cell>
          <cell r="D4116" t="str">
            <v>Al Reem (previously Alqadisiah)</v>
          </cell>
          <cell r="H4116" t="str">
            <v>AD</v>
          </cell>
        </row>
        <row r="4117">
          <cell r="B4117" t="str">
            <v>Fire Hose Reel</v>
          </cell>
          <cell r="D4117" t="str">
            <v>Al Reem (previously Alqadisiah)</v>
          </cell>
          <cell r="H4117" t="str">
            <v>AD</v>
          </cell>
        </row>
        <row r="4118">
          <cell r="B4118" t="str">
            <v>Fire Hose Reel</v>
          </cell>
          <cell r="D4118" t="str">
            <v>Al Reem (previously Alqadisiah)</v>
          </cell>
          <cell r="H4118" t="str">
            <v>AD</v>
          </cell>
        </row>
        <row r="4119">
          <cell r="B4119" t="str">
            <v>Fire Hose Reel</v>
          </cell>
          <cell r="D4119" t="str">
            <v>Al Reem (previously Alqadisiah)</v>
          </cell>
          <cell r="H4119" t="str">
            <v>AD</v>
          </cell>
        </row>
        <row r="4120">
          <cell r="B4120" t="str">
            <v>Fire Hose Reel</v>
          </cell>
          <cell r="D4120" t="str">
            <v>Al Reem (previously Alqadisiah)</v>
          </cell>
          <cell r="H4120" t="str">
            <v>AD</v>
          </cell>
        </row>
        <row r="4121">
          <cell r="B4121" t="str">
            <v>Fire Hose Reel</v>
          </cell>
          <cell r="D4121" t="str">
            <v>Al Reem (previously Alqadisiah)</v>
          </cell>
          <cell r="H4121" t="str">
            <v>AD</v>
          </cell>
        </row>
        <row r="4122">
          <cell r="B4122" t="str">
            <v>Fire Hose Reel</v>
          </cell>
          <cell r="D4122" t="str">
            <v>Al Reem (previously Alqadisiah)</v>
          </cell>
          <cell r="H4122" t="str">
            <v>AD</v>
          </cell>
        </row>
        <row r="4123">
          <cell r="B4123" t="str">
            <v>Fire Hose Reel</v>
          </cell>
          <cell r="D4123" t="str">
            <v>Al Reem (previously Alqadisiah)</v>
          </cell>
          <cell r="H4123" t="str">
            <v>AD</v>
          </cell>
        </row>
        <row r="4124">
          <cell r="B4124" t="str">
            <v>Fire Hose Reel</v>
          </cell>
          <cell r="D4124" t="str">
            <v>Al Reem (previously Alqadisiah)</v>
          </cell>
          <cell r="H4124" t="str">
            <v>AD</v>
          </cell>
        </row>
        <row r="4125">
          <cell r="B4125" t="str">
            <v>Fire Hose Reel</v>
          </cell>
          <cell r="D4125" t="str">
            <v>Al Reem (previously Alqadisiah)</v>
          </cell>
          <cell r="H4125" t="str">
            <v>AD</v>
          </cell>
        </row>
        <row r="4126">
          <cell r="B4126" t="str">
            <v>Fire Hose Reel</v>
          </cell>
          <cell r="D4126" t="str">
            <v>Al Reem (previously Alqadisiah)</v>
          </cell>
          <cell r="H4126" t="str">
            <v>AD</v>
          </cell>
        </row>
        <row r="4127">
          <cell r="B4127" t="str">
            <v>Fire Hose Reel</v>
          </cell>
          <cell r="D4127" t="str">
            <v>Al Reem (previously Alqadisiah)</v>
          </cell>
          <cell r="H4127" t="str">
            <v>AD</v>
          </cell>
        </row>
        <row r="4128">
          <cell r="B4128" t="str">
            <v>Fire Hose Reel</v>
          </cell>
          <cell r="D4128" t="str">
            <v>Al Reem (previously Alqadisiah)</v>
          </cell>
          <cell r="H4128" t="str">
            <v>AD</v>
          </cell>
        </row>
        <row r="4129">
          <cell r="B4129" t="str">
            <v>Fire Hose Reel</v>
          </cell>
          <cell r="D4129" t="str">
            <v>Al Reem (previously Alqadisiah)</v>
          </cell>
          <cell r="H4129" t="str">
            <v>AD</v>
          </cell>
        </row>
        <row r="4130">
          <cell r="B4130" t="str">
            <v>Fire Hose Reel</v>
          </cell>
          <cell r="D4130" t="str">
            <v>Al Reem (previously Alqadisiah)</v>
          </cell>
          <cell r="H4130" t="str">
            <v>AD</v>
          </cell>
        </row>
        <row r="4131">
          <cell r="B4131" t="str">
            <v>Fire Hose Reel</v>
          </cell>
          <cell r="D4131" t="str">
            <v>Al Reem (previously Alqadisiah)</v>
          </cell>
          <cell r="H4131" t="str">
            <v>AD</v>
          </cell>
        </row>
        <row r="4132">
          <cell r="B4132" t="str">
            <v>Fire Hose Reel</v>
          </cell>
          <cell r="D4132" t="str">
            <v>Al Reem (previously Alqadisiah)</v>
          </cell>
          <cell r="H4132" t="str">
            <v>AD</v>
          </cell>
        </row>
        <row r="4133">
          <cell r="B4133" t="str">
            <v>Gas Detection System</v>
          </cell>
          <cell r="D4133" t="str">
            <v>Al Reem (previously Alqadisiah)</v>
          </cell>
          <cell r="H4133" t="str">
            <v>AD</v>
          </cell>
        </row>
        <row r="4134">
          <cell r="B4134" t="str">
            <v>Smoke Detector &amp; Heat Detector</v>
          </cell>
          <cell r="D4134" t="str">
            <v>Al Reem (previously Alqadisiah)</v>
          </cell>
          <cell r="H4134" t="str">
            <v>AD</v>
          </cell>
        </row>
        <row r="4135">
          <cell r="B4135" t="str">
            <v>Smoke Detector &amp; Heat Detector</v>
          </cell>
          <cell r="D4135" t="str">
            <v>Al Reem (previously Alqadisiah)</v>
          </cell>
          <cell r="H4135" t="str">
            <v>AD</v>
          </cell>
        </row>
        <row r="4136">
          <cell r="B4136" t="str">
            <v>Smoke Detector &amp; Heat Detector</v>
          </cell>
          <cell r="D4136" t="str">
            <v>Al Reem (previously Alqadisiah)</v>
          </cell>
          <cell r="H4136" t="str">
            <v>AD</v>
          </cell>
        </row>
        <row r="4137">
          <cell r="B4137" t="str">
            <v>Smoke Detector &amp; Heat Detector</v>
          </cell>
          <cell r="D4137" t="str">
            <v>Al Reem (previously Alqadisiah)</v>
          </cell>
          <cell r="H4137" t="str">
            <v>AD</v>
          </cell>
        </row>
        <row r="4138">
          <cell r="B4138" t="str">
            <v>Smoke Detector &amp; Heat Detector</v>
          </cell>
          <cell r="D4138" t="str">
            <v>Al Reem (previously Alqadisiah)</v>
          </cell>
          <cell r="H4138" t="str">
            <v>AD</v>
          </cell>
        </row>
        <row r="4139">
          <cell r="B4139" t="str">
            <v>Smoke Detector &amp; Heat Detector</v>
          </cell>
          <cell r="D4139" t="str">
            <v>Al Reem (previously Alqadisiah)</v>
          </cell>
          <cell r="H4139" t="str">
            <v>AD</v>
          </cell>
        </row>
        <row r="4140">
          <cell r="B4140" t="str">
            <v>Smoke Detector &amp; Heat Detector</v>
          </cell>
          <cell r="D4140" t="str">
            <v>Al Reem (previously Alqadisiah)</v>
          </cell>
          <cell r="H4140" t="str">
            <v>AD</v>
          </cell>
        </row>
        <row r="4141">
          <cell r="B4141" t="str">
            <v>Smoke Detector &amp; Heat Detector</v>
          </cell>
          <cell r="D4141" t="str">
            <v>Al Reem (previously Alqadisiah)</v>
          </cell>
          <cell r="H4141" t="str">
            <v>AD</v>
          </cell>
        </row>
        <row r="4142">
          <cell r="B4142" t="str">
            <v>Smoke Detector &amp; Heat Detector</v>
          </cell>
          <cell r="D4142" t="str">
            <v>Al Reem (previously Alqadisiah)</v>
          </cell>
          <cell r="H4142" t="str">
            <v>AD</v>
          </cell>
        </row>
        <row r="4143">
          <cell r="B4143" t="str">
            <v>Smoke Detector &amp; Heat Detector</v>
          </cell>
          <cell r="D4143" t="str">
            <v>Al Reem (previously Alqadisiah)</v>
          </cell>
          <cell r="H4143" t="str">
            <v>AD</v>
          </cell>
        </row>
        <row r="4144">
          <cell r="B4144" t="str">
            <v>Smoke Detector &amp; Heat Detector</v>
          </cell>
          <cell r="D4144" t="str">
            <v>Al Reem (previously Alqadisiah)</v>
          </cell>
          <cell r="H4144" t="str">
            <v>AD</v>
          </cell>
        </row>
        <row r="4145">
          <cell r="B4145" t="str">
            <v>Smoke Detector &amp; Heat Detector</v>
          </cell>
          <cell r="D4145" t="str">
            <v>Al Reem (previously Alqadisiah)</v>
          </cell>
          <cell r="H4145" t="str">
            <v>AD</v>
          </cell>
        </row>
        <row r="4146">
          <cell r="B4146" t="str">
            <v>Smoke Detector &amp; Heat Detector</v>
          </cell>
          <cell r="D4146" t="str">
            <v>Al Reem (previously Alqadisiah)</v>
          </cell>
          <cell r="H4146" t="str">
            <v>AD</v>
          </cell>
        </row>
        <row r="4147">
          <cell r="B4147" t="str">
            <v>Smoke Detector &amp; Heat Detector</v>
          </cell>
          <cell r="D4147" t="str">
            <v>Al Reem (previously Alqadisiah)</v>
          </cell>
          <cell r="H4147" t="str">
            <v>AD</v>
          </cell>
        </row>
        <row r="4148">
          <cell r="B4148" t="str">
            <v>Smoke Detector &amp; Heat Detector</v>
          </cell>
          <cell r="D4148" t="str">
            <v>Al Reem (previously Alqadisiah)</v>
          </cell>
          <cell r="H4148" t="str">
            <v>AD</v>
          </cell>
        </row>
        <row r="4149">
          <cell r="B4149" t="str">
            <v>Smoke Detector &amp; Heat Detector</v>
          </cell>
          <cell r="D4149" t="str">
            <v>Al Reem (previously Alqadisiah)</v>
          </cell>
          <cell r="H4149" t="str">
            <v>AD</v>
          </cell>
        </row>
        <row r="4150">
          <cell r="B4150" t="str">
            <v>Smoke Detector &amp; Heat Detector</v>
          </cell>
          <cell r="D4150" t="str">
            <v>Al Reem (previously Alqadisiah)</v>
          </cell>
          <cell r="H4150" t="str">
            <v>AD</v>
          </cell>
        </row>
        <row r="4151">
          <cell r="B4151" t="str">
            <v>Smoke Detector &amp; Heat Detector</v>
          </cell>
          <cell r="D4151" t="str">
            <v>Al Reem (previously Alqadisiah)</v>
          </cell>
          <cell r="H4151" t="str">
            <v>AD</v>
          </cell>
        </row>
        <row r="4152">
          <cell r="B4152" t="str">
            <v>Smoke Detector &amp; Heat Detector</v>
          </cell>
          <cell r="D4152" t="str">
            <v>Al Reem (previously Alqadisiah)</v>
          </cell>
          <cell r="H4152" t="str">
            <v>AD</v>
          </cell>
        </row>
        <row r="4153">
          <cell r="B4153" t="str">
            <v>Smoke Detector &amp; Heat Detector</v>
          </cell>
          <cell r="D4153" t="str">
            <v>Al Reem (previously Alqadisiah)</v>
          </cell>
          <cell r="H4153" t="str">
            <v>AD</v>
          </cell>
        </row>
        <row r="4154">
          <cell r="B4154" t="str">
            <v>Smoke Detector &amp; Heat Detector</v>
          </cell>
          <cell r="D4154" t="str">
            <v>Al Reem (previously Alqadisiah)</v>
          </cell>
          <cell r="H4154" t="str">
            <v>AD</v>
          </cell>
        </row>
        <row r="4155">
          <cell r="B4155" t="str">
            <v>Smoke Detector &amp; Heat Detector</v>
          </cell>
          <cell r="D4155" t="str">
            <v>Al Reem (previously Alqadisiah)</v>
          </cell>
          <cell r="H4155" t="str">
            <v>AD</v>
          </cell>
        </row>
        <row r="4156">
          <cell r="B4156" t="str">
            <v>Smoke Detector &amp; Heat Detector</v>
          </cell>
          <cell r="D4156" t="str">
            <v>Al Reem (previously Alqadisiah)</v>
          </cell>
          <cell r="H4156" t="str">
            <v>AD</v>
          </cell>
        </row>
        <row r="4157">
          <cell r="B4157" t="str">
            <v>Smoke Detector &amp; Heat Detector</v>
          </cell>
          <cell r="D4157" t="str">
            <v>Al Reem (previously Alqadisiah)</v>
          </cell>
          <cell r="H4157" t="str">
            <v>AD</v>
          </cell>
        </row>
        <row r="4158">
          <cell r="B4158" t="str">
            <v>Smoke Detector &amp; Heat Detector</v>
          </cell>
          <cell r="D4158" t="str">
            <v>Al Reem (previously Alqadisiah)</v>
          </cell>
          <cell r="H4158" t="str">
            <v>AD</v>
          </cell>
        </row>
        <row r="4159">
          <cell r="B4159" t="str">
            <v>Smoke Detector &amp; Heat Detector</v>
          </cell>
          <cell r="D4159" t="str">
            <v>Al Reem (previously Alqadisiah)</v>
          </cell>
          <cell r="H4159" t="str">
            <v>AD</v>
          </cell>
        </row>
        <row r="4160">
          <cell r="B4160" t="str">
            <v>Smoke Detector &amp; Heat Detector</v>
          </cell>
          <cell r="D4160" t="str">
            <v>Al Reem (previously Alqadisiah)</v>
          </cell>
          <cell r="H4160" t="str">
            <v>AD</v>
          </cell>
        </row>
        <row r="4161">
          <cell r="B4161" t="str">
            <v>Smoke Detector &amp; Heat Detector</v>
          </cell>
          <cell r="D4161" t="str">
            <v>Al Reem (previously Alqadisiah)</v>
          </cell>
          <cell r="H4161" t="str">
            <v>AD</v>
          </cell>
        </row>
        <row r="4162">
          <cell r="B4162" t="str">
            <v>Smoke Detector &amp; Heat Detector</v>
          </cell>
          <cell r="D4162" t="str">
            <v>Al Reem (previously Alqadisiah)</v>
          </cell>
          <cell r="H4162" t="str">
            <v>AD</v>
          </cell>
        </row>
        <row r="4163">
          <cell r="B4163" t="str">
            <v>Smoke Detector &amp; Heat Detector</v>
          </cell>
          <cell r="D4163" t="str">
            <v>Al Reem (previously Alqadisiah)</v>
          </cell>
          <cell r="H4163" t="str">
            <v>AD</v>
          </cell>
        </row>
        <row r="4164">
          <cell r="B4164" t="str">
            <v>Smoke Detector &amp; Heat Detector</v>
          </cell>
          <cell r="D4164" t="str">
            <v>Al Reem (previously Alqadisiah)</v>
          </cell>
          <cell r="H4164" t="str">
            <v>AD</v>
          </cell>
        </row>
        <row r="4165">
          <cell r="B4165" t="str">
            <v>Fire Alarm Break Glass Call Point</v>
          </cell>
          <cell r="D4165" t="str">
            <v>Al Ruwaad Primary Secondary Model School</v>
          </cell>
          <cell r="H4165" t="str">
            <v>AD</v>
          </cell>
        </row>
        <row r="4166">
          <cell r="B4166" t="str">
            <v>Fire Alarm Break Glass Call Point</v>
          </cell>
          <cell r="D4166" t="str">
            <v>Al Ruwaad Primary Secondary Model School</v>
          </cell>
          <cell r="H4166" t="str">
            <v>AD</v>
          </cell>
        </row>
        <row r="4167">
          <cell r="B4167" t="str">
            <v>Fire Alarm Break Glass Call Point</v>
          </cell>
          <cell r="D4167" t="str">
            <v>Al Ruwaad Primary Secondary Model School</v>
          </cell>
          <cell r="H4167" t="str">
            <v>AD</v>
          </cell>
        </row>
        <row r="4168">
          <cell r="B4168" t="str">
            <v>Fire Alarm Break Glass Call Point</v>
          </cell>
          <cell r="D4168" t="str">
            <v>Al Ruwaad Primary Secondary Model School</v>
          </cell>
          <cell r="H4168" t="str">
            <v>AD</v>
          </cell>
        </row>
        <row r="4169">
          <cell r="B4169" t="str">
            <v>Fire Alarm Break Glass Call Point</v>
          </cell>
          <cell r="D4169" t="str">
            <v>Al Ruwaad Primary Secondary Model School</v>
          </cell>
          <cell r="H4169" t="str">
            <v>AD</v>
          </cell>
        </row>
        <row r="4170">
          <cell r="B4170" t="str">
            <v>Fire Alarm Break Glass Call Point</v>
          </cell>
          <cell r="D4170" t="str">
            <v>Al Ruwaad Primary Secondary Model School</v>
          </cell>
          <cell r="H4170" t="str">
            <v>AD</v>
          </cell>
        </row>
        <row r="4171">
          <cell r="B4171" t="str">
            <v>Fire Alarm Break Glass Call Point</v>
          </cell>
          <cell r="D4171" t="str">
            <v>Al Ruwaad Primary Secondary Model School</v>
          </cell>
          <cell r="H4171" t="str">
            <v>AD</v>
          </cell>
        </row>
        <row r="4172">
          <cell r="B4172" t="str">
            <v>Fire Alarm Break Glass Call Point</v>
          </cell>
          <cell r="D4172" t="str">
            <v>Al Ruwaad Primary Secondary Model School</v>
          </cell>
          <cell r="H4172" t="str">
            <v>AD</v>
          </cell>
        </row>
        <row r="4173">
          <cell r="B4173" t="str">
            <v>Fire Alarm Break Glass Call Point</v>
          </cell>
          <cell r="D4173" t="str">
            <v>Al Ruwaad Primary Secondary Model School</v>
          </cell>
          <cell r="H4173" t="str">
            <v>AD</v>
          </cell>
        </row>
        <row r="4174">
          <cell r="B4174" t="str">
            <v>Fire Alarm Break Glass Call Point</v>
          </cell>
          <cell r="D4174" t="str">
            <v>Al Ruwaad Primary Secondary Model School</v>
          </cell>
          <cell r="H4174" t="str">
            <v>AD</v>
          </cell>
        </row>
        <row r="4175">
          <cell r="B4175" t="str">
            <v>Fire Alarm Break Glass Call Point</v>
          </cell>
          <cell r="D4175" t="str">
            <v>Al Ruwaad Primary Secondary Model School</v>
          </cell>
          <cell r="H4175" t="str">
            <v>AD</v>
          </cell>
        </row>
        <row r="4176">
          <cell r="B4176" t="str">
            <v>Fire Alarm Panel</v>
          </cell>
          <cell r="D4176" t="str">
            <v>Al Ruwaad Primary Secondary Model School</v>
          </cell>
          <cell r="H4176" t="str">
            <v>AD</v>
          </cell>
        </row>
        <row r="4177">
          <cell r="B4177" t="str">
            <v>Fire Alarm Sounder, Bell, Light</v>
          </cell>
          <cell r="D4177" t="str">
            <v>Al Ruwaad Primary Secondary Model School</v>
          </cell>
          <cell r="H4177" t="str">
            <v>AD</v>
          </cell>
        </row>
        <row r="4178">
          <cell r="B4178" t="str">
            <v>Fire Alarm Sounder, Bell, Light</v>
          </cell>
          <cell r="D4178" t="str">
            <v>Al Ruwaad Primary Secondary Model School</v>
          </cell>
          <cell r="H4178" t="str">
            <v>AD</v>
          </cell>
        </row>
        <row r="4179">
          <cell r="B4179" t="str">
            <v>Fire Alarm Sounder, Bell, Light</v>
          </cell>
          <cell r="D4179" t="str">
            <v>Al Ruwaad Primary Secondary Model School</v>
          </cell>
          <cell r="H4179" t="str">
            <v>AD</v>
          </cell>
        </row>
        <row r="4180">
          <cell r="B4180" t="str">
            <v>Fire Alarm Sounder, Bell, Light</v>
          </cell>
          <cell r="D4180" t="str">
            <v>Al Ruwaad Primary Secondary Model School</v>
          </cell>
          <cell r="H4180" t="str">
            <v>AD</v>
          </cell>
        </row>
        <row r="4181">
          <cell r="B4181" t="str">
            <v>Fire Alarm Sounder, Bell, Light</v>
          </cell>
          <cell r="D4181" t="str">
            <v>Al Ruwaad Primary Secondary Model School</v>
          </cell>
          <cell r="H4181" t="str">
            <v>AD</v>
          </cell>
        </row>
        <row r="4182">
          <cell r="B4182" t="str">
            <v>Fire Alarm Sounder, Bell, Light</v>
          </cell>
          <cell r="D4182" t="str">
            <v>Al Ruwaad Primary Secondary Model School</v>
          </cell>
          <cell r="H4182" t="str">
            <v>AD</v>
          </cell>
        </row>
        <row r="4183">
          <cell r="B4183" t="str">
            <v>Fire Alarm Sounder, Bell, Light</v>
          </cell>
          <cell r="D4183" t="str">
            <v>Al Ruwaad Primary Secondary Model School</v>
          </cell>
          <cell r="H4183" t="str">
            <v>AD</v>
          </cell>
        </row>
        <row r="4184">
          <cell r="B4184" t="str">
            <v>Fire Alarm Sounder, Bell, Light</v>
          </cell>
          <cell r="D4184" t="str">
            <v>Al Ruwaad Primary Secondary Model School</v>
          </cell>
          <cell r="H4184" t="str">
            <v>AD</v>
          </cell>
        </row>
        <row r="4185">
          <cell r="B4185" t="str">
            <v>Fire Alarm Sounder, Bell, Light</v>
          </cell>
          <cell r="D4185" t="str">
            <v>Al Ruwaad Primary Secondary Model School</v>
          </cell>
          <cell r="H4185" t="str">
            <v>AD</v>
          </cell>
        </row>
        <row r="4186">
          <cell r="B4186" t="str">
            <v>Fire Alarm Sounder, Bell, Light</v>
          </cell>
          <cell r="D4186" t="str">
            <v>Al Ruwaad Primary Secondary Model School</v>
          </cell>
          <cell r="H4186" t="str">
            <v>AD</v>
          </cell>
        </row>
        <row r="4187">
          <cell r="B4187" t="str">
            <v>Fire Alarm Sounder, Bell, Light</v>
          </cell>
          <cell r="D4187" t="str">
            <v>Al Ruwaad Primary Secondary Model School</v>
          </cell>
          <cell r="H4187" t="str">
            <v>AD</v>
          </cell>
        </row>
        <row r="4188">
          <cell r="B4188" t="str">
            <v>Fire Alarm Sounder, Bell, Light</v>
          </cell>
          <cell r="D4188" t="str">
            <v>Al Ruwaad Primary Secondary Model School</v>
          </cell>
          <cell r="H4188" t="str">
            <v>AD</v>
          </cell>
        </row>
        <row r="4189">
          <cell r="B4189" t="str">
            <v>Fire Alarm Sounder, Bell, Light</v>
          </cell>
          <cell r="D4189" t="str">
            <v>Al Ruwaad Primary Secondary Model School</v>
          </cell>
          <cell r="H4189" t="str">
            <v>AD</v>
          </cell>
        </row>
        <row r="4190">
          <cell r="B4190" t="str">
            <v>Fire Alarm Sounder, Bell, Light</v>
          </cell>
          <cell r="D4190" t="str">
            <v>Al Ruwaad Primary Secondary Model School</v>
          </cell>
          <cell r="H4190" t="str">
            <v>AD</v>
          </cell>
        </row>
        <row r="4191">
          <cell r="B4191" t="str">
            <v>Fire Alarm Sounder, Bell, Light</v>
          </cell>
          <cell r="D4191" t="str">
            <v>Al Ruwaad Primary Secondary Model School</v>
          </cell>
          <cell r="H4191" t="str">
            <v>AD</v>
          </cell>
        </row>
        <row r="4192">
          <cell r="B4192" t="str">
            <v>Fire Alarm Sounder, Bell, Light</v>
          </cell>
          <cell r="D4192" t="str">
            <v>Al Ruwaad Primary Secondary Model School</v>
          </cell>
          <cell r="H4192" t="str">
            <v>AD</v>
          </cell>
        </row>
        <row r="4193">
          <cell r="B4193" t="str">
            <v>Fire Alarm Sounder, Bell, Light</v>
          </cell>
          <cell r="D4193" t="str">
            <v>Al Ruwaad Primary Secondary Model School</v>
          </cell>
          <cell r="H4193" t="str">
            <v>AD</v>
          </cell>
        </row>
        <row r="4194">
          <cell r="B4194" t="str">
            <v>Fire Alarm Sounder, Bell, Light</v>
          </cell>
          <cell r="D4194" t="str">
            <v>Al Ruwaad Primary Secondary Model School</v>
          </cell>
          <cell r="H4194" t="str">
            <v>AD</v>
          </cell>
        </row>
        <row r="4195">
          <cell r="B4195" t="str">
            <v>Fire Alarm Sounder, Bell, Light</v>
          </cell>
          <cell r="D4195" t="str">
            <v>Al Ruwaad Primary Secondary Model School</v>
          </cell>
          <cell r="H4195" t="str">
            <v>AD</v>
          </cell>
        </row>
        <row r="4196">
          <cell r="B4196" t="str">
            <v>Fire Alarm Sounder, Bell, Light</v>
          </cell>
          <cell r="D4196" t="str">
            <v>Al Ruwaad Primary Secondary Model School</v>
          </cell>
          <cell r="H4196" t="str">
            <v>AD</v>
          </cell>
        </row>
        <row r="4197">
          <cell r="B4197" t="str">
            <v>Fire Alarm Sounder, Bell, Light</v>
          </cell>
          <cell r="D4197" t="str">
            <v>Al Ruwaad Primary Secondary Model School</v>
          </cell>
          <cell r="H4197" t="str">
            <v>AD</v>
          </cell>
        </row>
        <row r="4198">
          <cell r="B4198" t="str">
            <v>Fire Extinguisher</v>
          </cell>
          <cell r="D4198" t="str">
            <v>Al Ruwaad Primary Secondary Model School</v>
          </cell>
          <cell r="H4198" t="str">
            <v>AD</v>
          </cell>
        </row>
        <row r="4199">
          <cell r="B4199" t="str">
            <v>Fire Extinguisher</v>
          </cell>
          <cell r="D4199" t="str">
            <v>Al Ruwaad Primary Secondary Model School</v>
          </cell>
          <cell r="H4199" t="str">
            <v>AD</v>
          </cell>
        </row>
        <row r="4200">
          <cell r="B4200" t="str">
            <v>Fire Extinguisher</v>
          </cell>
          <cell r="D4200" t="str">
            <v>Al Ruwaad Primary Secondary Model School</v>
          </cell>
          <cell r="H4200" t="str">
            <v>AD</v>
          </cell>
        </row>
        <row r="4201">
          <cell r="B4201" t="str">
            <v>Fire Extinguisher</v>
          </cell>
          <cell r="D4201" t="str">
            <v>Al Ruwaad Primary Secondary Model School</v>
          </cell>
          <cell r="H4201" t="str">
            <v>AD</v>
          </cell>
        </row>
        <row r="4202">
          <cell r="B4202" t="str">
            <v>Fire Extinguisher</v>
          </cell>
          <cell r="D4202" t="str">
            <v>Al Ruwaad Primary Secondary Model School</v>
          </cell>
          <cell r="H4202" t="str">
            <v>AD</v>
          </cell>
        </row>
        <row r="4203">
          <cell r="B4203" t="str">
            <v>Fire Extinguisher</v>
          </cell>
          <cell r="D4203" t="str">
            <v>Al Ruwaad Primary Secondary Model School</v>
          </cell>
          <cell r="H4203" t="str">
            <v>AD</v>
          </cell>
        </row>
        <row r="4204">
          <cell r="B4204" t="str">
            <v>Fire Extinguisher</v>
          </cell>
          <cell r="D4204" t="str">
            <v>Al Ruwaad Primary Secondary Model School</v>
          </cell>
          <cell r="H4204" t="str">
            <v>AD</v>
          </cell>
        </row>
        <row r="4205">
          <cell r="B4205" t="str">
            <v>Fire Extinguisher</v>
          </cell>
          <cell r="D4205" t="str">
            <v>Al Ruwaad Primary Secondary Model School</v>
          </cell>
          <cell r="H4205" t="str">
            <v>AD</v>
          </cell>
        </row>
        <row r="4206">
          <cell r="B4206" t="str">
            <v>Fire Extinguisher</v>
          </cell>
          <cell r="D4206" t="str">
            <v>Al Ruwaad Primary Secondary Model School</v>
          </cell>
          <cell r="H4206" t="str">
            <v>AD</v>
          </cell>
        </row>
        <row r="4207">
          <cell r="B4207" t="str">
            <v>Fire Extinguisher</v>
          </cell>
          <cell r="D4207" t="str">
            <v>Al Ruwaad Primary Secondary Model School</v>
          </cell>
          <cell r="H4207" t="str">
            <v>AD</v>
          </cell>
        </row>
        <row r="4208">
          <cell r="B4208" t="str">
            <v>Fire Extinguisher</v>
          </cell>
          <cell r="D4208" t="str">
            <v>Al Ruwaad Primary Secondary Model School</v>
          </cell>
          <cell r="H4208" t="str">
            <v>AD</v>
          </cell>
        </row>
        <row r="4209">
          <cell r="B4209" t="str">
            <v>Fire Extinguisher</v>
          </cell>
          <cell r="D4209" t="str">
            <v>Al Ruwaad Primary Secondary Model School</v>
          </cell>
          <cell r="H4209" t="str">
            <v>AD</v>
          </cell>
        </row>
        <row r="4210">
          <cell r="B4210" t="str">
            <v>Fire Extinguisher</v>
          </cell>
          <cell r="D4210" t="str">
            <v>Al Ruwaad Primary Secondary Model School</v>
          </cell>
          <cell r="H4210" t="str">
            <v>AD</v>
          </cell>
        </row>
        <row r="4211">
          <cell r="B4211" t="str">
            <v>Fire Extinguisher</v>
          </cell>
          <cell r="D4211" t="str">
            <v>Al Ruwaad Primary Secondary Model School</v>
          </cell>
          <cell r="H4211" t="str">
            <v>AD</v>
          </cell>
        </row>
        <row r="4212">
          <cell r="B4212" t="str">
            <v>Fire Extinguisher</v>
          </cell>
          <cell r="D4212" t="str">
            <v>Al Ruwaad Primary Secondary Model School</v>
          </cell>
          <cell r="H4212" t="str">
            <v>AD</v>
          </cell>
        </row>
        <row r="4213">
          <cell r="B4213" t="str">
            <v>Fire Extinguisher</v>
          </cell>
          <cell r="D4213" t="str">
            <v>Al Ruwaad Primary Secondary Model School</v>
          </cell>
          <cell r="H4213" t="str">
            <v>AD</v>
          </cell>
        </row>
        <row r="4214">
          <cell r="B4214" t="str">
            <v>Fire Extinguisher</v>
          </cell>
          <cell r="D4214" t="str">
            <v>Al Ruwaad Primary Secondary Model School</v>
          </cell>
          <cell r="H4214" t="str">
            <v>AD</v>
          </cell>
        </row>
        <row r="4215">
          <cell r="B4215" t="str">
            <v>Fire Extinguisher</v>
          </cell>
          <cell r="D4215" t="str">
            <v>Al Ruwaad Primary Secondary Model School</v>
          </cell>
          <cell r="H4215" t="str">
            <v>AD</v>
          </cell>
        </row>
        <row r="4216">
          <cell r="B4216" t="str">
            <v>Fire Hose Reel</v>
          </cell>
          <cell r="D4216" t="str">
            <v>Al Ruwaad Primary Secondary Model School</v>
          </cell>
          <cell r="H4216" t="str">
            <v>AD</v>
          </cell>
        </row>
        <row r="4217">
          <cell r="B4217" t="str">
            <v>Fire Hose Reel</v>
          </cell>
          <cell r="D4217" t="str">
            <v>Al Ruwaad Primary Secondary Model School</v>
          </cell>
          <cell r="H4217" t="str">
            <v>AD</v>
          </cell>
        </row>
        <row r="4218">
          <cell r="B4218" t="str">
            <v>Fire Hose Reel</v>
          </cell>
          <cell r="D4218" t="str">
            <v>Al Ruwaad Primary Secondary Model School</v>
          </cell>
          <cell r="H4218" t="str">
            <v>AD</v>
          </cell>
        </row>
        <row r="4219">
          <cell r="B4219" t="str">
            <v>Fire Hose Reel</v>
          </cell>
          <cell r="D4219" t="str">
            <v>Al Ruwaad Primary Secondary Model School</v>
          </cell>
          <cell r="H4219" t="str">
            <v>AD</v>
          </cell>
        </row>
        <row r="4220">
          <cell r="B4220" t="str">
            <v>Fire Hose Reel</v>
          </cell>
          <cell r="D4220" t="str">
            <v>Al Ruwaad Primary Secondary Model School</v>
          </cell>
          <cell r="H4220" t="str">
            <v>AD</v>
          </cell>
        </row>
        <row r="4221">
          <cell r="B4221" t="str">
            <v>FIRE PUMP - Diesel</v>
          </cell>
          <cell r="D4221" t="str">
            <v>Al Ruwaad Primary Secondary Model School</v>
          </cell>
          <cell r="H4221" t="str">
            <v>AD</v>
          </cell>
        </row>
        <row r="4222">
          <cell r="B4222" t="str">
            <v>FIRE PUMP - Electric</v>
          </cell>
          <cell r="D4222" t="str">
            <v>Al Ruwaad Primary Secondary Model School</v>
          </cell>
          <cell r="H4222" t="str">
            <v>AD</v>
          </cell>
        </row>
        <row r="4223">
          <cell r="B4223" t="str">
            <v>Fire Smoke / Heat Detector, Sounder</v>
          </cell>
          <cell r="D4223" t="str">
            <v>Al Ruwaad Primary Secondary Model School</v>
          </cell>
          <cell r="H4223" t="str">
            <v>AD</v>
          </cell>
        </row>
        <row r="4224">
          <cell r="B4224" t="str">
            <v>Fire Smoke / Heat Detector, Sounder</v>
          </cell>
          <cell r="D4224" t="str">
            <v>Al Ruwaad Primary Secondary Model School</v>
          </cell>
          <cell r="H4224" t="str">
            <v>AD</v>
          </cell>
        </row>
        <row r="4225">
          <cell r="B4225" t="str">
            <v>Fire Smoke / Heat Detector, Sounder</v>
          </cell>
          <cell r="D4225" t="str">
            <v>Al Ruwaad Primary Secondary Model School</v>
          </cell>
          <cell r="H4225" t="str">
            <v>AD</v>
          </cell>
        </row>
        <row r="4226">
          <cell r="B4226" t="str">
            <v>Fire Smoke / Heat Detector, Sounder</v>
          </cell>
          <cell r="D4226" t="str">
            <v>Al Ruwaad Primary Secondary Model School</v>
          </cell>
          <cell r="H4226" t="str">
            <v>AD</v>
          </cell>
        </row>
        <row r="4227">
          <cell r="B4227" t="str">
            <v>Fire Smoke / Heat Detector, Sounder</v>
          </cell>
          <cell r="D4227" t="str">
            <v>Al Ruwaad Primary Secondary Model School</v>
          </cell>
          <cell r="H4227" t="str">
            <v>AD</v>
          </cell>
        </row>
        <row r="4228">
          <cell r="B4228" t="str">
            <v>Fire Smoke / Heat Detector, Sounder</v>
          </cell>
          <cell r="D4228" t="str">
            <v>Al Ruwaad Primary Secondary Model School</v>
          </cell>
          <cell r="H4228" t="str">
            <v>AD</v>
          </cell>
        </row>
        <row r="4229">
          <cell r="B4229" t="str">
            <v>Fire Smoke / Heat Detector, Sounder</v>
          </cell>
          <cell r="D4229" t="str">
            <v>Al Ruwaad Primary Secondary Model School</v>
          </cell>
          <cell r="H4229" t="str">
            <v>AD</v>
          </cell>
        </row>
        <row r="4230">
          <cell r="B4230" t="str">
            <v>Fire Smoke / Heat Detector, Sounder</v>
          </cell>
          <cell r="D4230" t="str">
            <v>Al Ruwaad Primary Secondary Model School</v>
          </cell>
          <cell r="H4230" t="str">
            <v>AD</v>
          </cell>
        </row>
        <row r="4231">
          <cell r="B4231" t="str">
            <v>Fire Smoke / Heat Detector, Sounder</v>
          </cell>
          <cell r="D4231" t="str">
            <v>Al Ruwaad Primary Secondary Model School</v>
          </cell>
          <cell r="H4231" t="str">
            <v>AD</v>
          </cell>
        </row>
        <row r="4232">
          <cell r="B4232" t="str">
            <v>Fire Smoke / Heat Detector, Sounder</v>
          </cell>
          <cell r="D4232" t="str">
            <v>Al Ruwaad Primary Secondary Model School</v>
          </cell>
          <cell r="H4232" t="str">
            <v>AD</v>
          </cell>
        </row>
        <row r="4233">
          <cell r="B4233" t="str">
            <v>Fire Smoke / Heat Detector, Sounder</v>
          </cell>
          <cell r="D4233" t="str">
            <v>Al Ruwaad Primary Secondary Model School</v>
          </cell>
          <cell r="H4233" t="str">
            <v>AD</v>
          </cell>
        </row>
        <row r="4234">
          <cell r="B4234" t="str">
            <v>Fire Smoke / Heat Detector, Sounder</v>
          </cell>
          <cell r="D4234" t="str">
            <v>Al Ruwaad Primary Secondary Model School</v>
          </cell>
          <cell r="H4234" t="str">
            <v>AD</v>
          </cell>
        </row>
        <row r="4235">
          <cell r="B4235" t="str">
            <v>Fire Smoke / Heat Detector, Sounder</v>
          </cell>
          <cell r="D4235" t="str">
            <v>Al Ruwaad Primary Secondary Model School</v>
          </cell>
          <cell r="H4235" t="str">
            <v>AD</v>
          </cell>
        </row>
        <row r="4236">
          <cell r="B4236" t="str">
            <v>Fire Smoke / Heat Detector, Sounder</v>
          </cell>
          <cell r="D4236" t="str">
            <v>Al Ruwaad Primary Secondary Model School</v>
          </cell>
          <cell r="H4236" t="str">
            <v>AD</v>
          </cell>
        </row>
        <row r="4237">
          <cell r="B4237" t="str">
            <v>Fire Smoke / Heat Detector, Sounder</v>
          </cell>
          <cell r="D4237" t="str">
            <v>Al Ruwaad Primary Secondary Model School</v>
          </cell>
          <cell r="H4237" t="str">
            <v>AD</v>
          </cell>
        </row>
        <row r="4238">
          <cell r="B4238" t="str">
            <v>Fire Smoke / Heat Detector, Sounder</v>
          </cell>
          <cell r="D4238" t="str">
            <v>Al Ruwaad Primary Secondary Model School</v>
          </cell>
          <cell r="H4238" t="str">
            <v>AD</v>
          </cell>
        </row>
        <row r="4239">
          <cell r="B4239" t="str">
            <v>Fire Smoke / Heat Detector, Sounder</v>
          </cell>
          <cell r="D4239" t="str">
            <v>Al Ruwaad Primary Secondary Model School</v>
          </cell>
          <cell r="H4239" t="str">
            <v>AD</v>
          </cell>
        </row>
        <row r="4240">
          <cell r="B4240" t="str">
            <v>Fire Smoke / Heat Detector, Sounder</v>
          </cell>
          <cell r="D4240" t="str">
            <v>Al Ruwaad Primary Secondary Model School</v>
          </cell>
          <cell r="H4240" t="str">
            <v>AD</v>
          </cell>
        </row>
        <row r="4241">
          <cell r="B4241" t="str">
            <v>Fire Smoke / Heat Detector, Sounder</v>
          </cell>
          <cell r="D4241" t="str">
            <v>Al Ruwaad Primary Secondary Model School</v>
          </cell>
          <cell r="H4241" t="str">
            <v>AD</v>
          </cell>
        </row>
        <row r="4242">
          <cell r="B4242" t="str">
            <v>Fire Smoke / Heat Detector, Sounder</v>
          </cell>
          <cell r="D4242" t="str">
            <v>Al Ruwaad Primary Secondary Model School</v>
          </cell>
          <cell r="H4242" t="str">
            <v>AD</v>
          </cell>
        </row>
        <row r="4243">
          <cell r="B4243" t="str">
            <v>Fire Smoke / Heat Detector, Sounder</v>
          </cell>
          <cell r="D4243" t="str">
            <v>Al Ruwaad Primary Secondary Model School</v>
          </cell>
          <cell r="H4243" t="str">
            <v>AD</v>
          </cell>
        </row>
        <row r="4244">
          <cell r="B4244" t="str">
            <v>Fire Smoke / Heat Detector, Sounder</v>
          </cell>
          <cell r="D4244" t="str">
            <v>Al Ruwaad Primary Secondary Model School</v>
          </cell>
          <cell r="H4244" t="str">
            <v>AD</v>
          </cell>
        </row>
        <row r="4245">
          <cell r="B4245" t="str">
            <v>Fire Smoke / Heat Detector, Sounder</v>
          </cell>
          <cell r="D4245" t="str">
            <v>Al Ruwaad Primary Secondary Model School</v>
          </cell>
          <cell r="H4245" t="str">
            <v>AD</v>
          </cell>
        </row>
        <row r="4246">
          <cell r="B4246" t="str">
            <v>Fire Smoke / Heat Detector, Sounder</v>
          </cell>
          <cell r="D4246" t="str">
            <v>Al Ruwaad Primary Secondary Model School</v>
          </cell>
          <cell r="H4246" t="str">
            <v>AD</v>
          </cell>
        </row>
        <row r="4247">
          <cell r="B4247" t="str">
            <v>Fire Smoke / Heat Detector, Sounder</v>
          </cell>
          <cell r="D4247" t="str">
            <v>Al Ruwaad Primary Secondary Model School</v>
          </cell>
          <cell r="H4247" t="str">
            <v>AD</v>
          </cell>
        </row>
        <row r="4248">
          <cell r="B4248" t="str">
            <v>Fire Smoke / Heat Detector, Sounder</v>
          </cell>
          <cell r="D4248" t="str">
            <v>Al Ruwaad Primary Secondary Model School</v>
          </cell>
          <cell r="H4248" t="str">
            <v>AD</v>
          </cell>
        </row>
        <row r="4249">
          <cell r="B4249" t="str">
            <v>Fire Smoke / Heat Detector, Sounder</v>
          </cell>
          <cell r="D4249" t="str">
            <v>Al Ruwaad Primary Secondary Model School</v>
          </cell>
          <cell r="H4249" t="str">
            <v>AD</v>
          </cell>
        </row>
        <row r="4250">
          <cell r="B4250" t="str">
            <v>Fire Smoke / Heat Detector, Sounder</v>
          </cell>
          <cell r="D4250" t="str">
            <v>Al Ruwaad Primary Secondary Model School</v>
          </cell>
          <cell r="H4250" t="str">
            <v>AD</v>
          </cell>
        </row>
        <row r="4251">
          <cell r="B4251" t="str">
            <v>Fire Smoke / Heat Detector, Sounder</v>
          </cell>
          <cell r="D4251" t="str">
            <v>Al Ruwaad Primary Secondary Model School</v>
          </cell>
          <cell r="H4251" t="str">
            <v>AD</v>
          </cell>
        </row>
        <row r="4252">
          <cell r="B4252" t="str">
            <v>Fire Smoke / Heat Detector, Sounder</v>
          </cell>
          <cell r="D4252" t="str">
            <v>Al Ruwaad Primary Secondary Model School</v>
          </cell>
          <cell r="H4252" t="str">
            <v>AD</v>
          </cell>
        </row>
        <row r="4253">
          <cell r="B4253" t="str">
            <v>Fire Smoke / Heat Detector, Sounder</v>
          </cell>
          <cell r="D4253" t="str">
            <v>Al Ruwaad Primary Secondary Model School</v>
          </cell>
          <cell r="H4253" t="str">
            <v>AD</v>
          </cell>
        </row>
        <row r="4254">
          <cell r="B4254" t="str">
            <v>Fire Smoke / Heat Detector, Sounder</v>
          </cell>
          <cell r="D4254" t="str">
            <v>Al Ruwaad Primary Secondary Model School</v>
          </cell>
          <cell r="H4254" t="str">
            <v>AD</v>
          </cell>
        </row>
        <row r="4255">
          <cell r="B4255" t="str">
            <v>Fire Smoke / Heat Detector, Sounder</v>
          </cell>
          <cell r="D4255" t="str">
            <v>Al Ruwaad Primary Secondary Model School</v>
          </cell>
          <cell r="H4255" t="str">
            <v>AD</v>
          </cell>
        </row>
        <row r="4256">
          <cell r="B4256" t="str">
            <v>Fire Smoke / Heat Detector, Sounder</v>
          </cell>
          <cell r="D4256" t="str">
            <v>Al Ruwaad Primary Secondary Model School</v>
          </cell>
          <cell r="H4256" t="str">
            <v>AD</v>
          </cell>
        </row>
        <row r="4257">
          <cell r="B4257" t="str">
            <v>Fire Smoke / Heat Detector, Sounder</v>
          </cell>
          <cell r="D4257" t="str">
            <v>Al Ruwaad Primary Secondary Model School</v>
          </cell>
          <cell r="H4257" t="str">
            <v>AD</v>
          </cell>
        </row>
        <row r="4258">
          <cell r="B4258" t="str">
            <v>Fire Smoke / Heat Detector, Sounder</v>
          </cell>
          <cell r="D4258" t="str">
            <v>Al Ruwaad Primary Secondary Model School</v>
          </cell>
          <cell r="H4258" t="str">
            <v>AD</v>
          </cell>
        </row>
        <row r="4259">
          <cell r="B4259" t="str">
            <v>Fire Smoke / Heat Detector, Sounder</v>
          </cell>
          <cell r="D4259" t="str">
            <v>Al Ruwaad Primary Secondary Model School</v>
          </cell>
          <cell r="H4259" t="str">
            <v>AD</v>
          </cell>
        </row>
        <row r="4260">
          <cell r="B4260" t="str">
            <v>Fire Smoke / Heat Detector, Sounder</v>
          </cell>
          <cell r="D4260" t="str">
            <v>Al Ruwaad Primary Secondary Model School</v>
          </cell>
          <cell r="H4260" t="str">
            <v>AD</v>
          </cell>
        </row>
        <row r="4261">
          <cell r="B4261" t="str">
            <v>Fire Smoke / Heat Detector, Sounder</v>
          </cell>
          <cell r="D4261" t="str">
            <v>Al Ruwaad Primary Secondary Model School</v>
          </cell>
          <cell r="H4261" t="str">
            <v>AD</v>
          </cell>
        </row>
        <row r="4262">
          <cell r="B4262" t="str">
            <v>Fire Smoke / Heat Detector, Sounder</v>
          </cell>
          <cell r="D4262" t="str">
            <v>Al Ruwaad Primary Secondary Model School</v>
          </cell>
          <cell r="H4262" t="str">
            <v>AD</v>
          </cell>
        </row>
        <row r="4263">
          <cell r="B4263" t="str">
            <v>Fire Smoke / Heat Detector, Sounder</v>
          </cell>
          <cell r="D4263" t="str">
            <v>Al Ruwaad Primary Secondary Model School</v>
          </cell>
          <cell r="H4263" t="str">
            <v>AD</v>
          </cell>
        </row>
        <row r="4264">
          <cell r="B4264" t="str">
            <v>Fire Alarm</v>
          </cell>
          <cell r="D4264" t="str">
            <v>Al Sahab KG</v>
          </cell>
          <cell r="H4264" t="str">
            <v>WR</v>
          </cell>
        </row>
        <row r="4265">
          <cell r="B4265" t="str">
            <v>Fire Alarm Control Panel Board</v>
          </cell>
          <cell r="D4265" t="str">
            <v>Al Sahab KG</v>
          </cell>
          <cell r="H4265" t="str">
            <v>WR</v>
          </cell>
        </row>
        <row r="4266">
          <cell r="B4266" t="str">
            <v>Fire Alarm Panel</v>
          </cell>
          <cell r="D4266" t="str">
            <v>Al Seddique School</v>
          </cell>
          <cell r="H4266" t="str">
            <v>WR</v>
          </cell>
        </row>
        <row r="4267">
          <cell r="B4267" t="str">
            <v>Fire Alarm Panel</v>
          </cell>
          <cell r="D4267" t="str">
            <v>Al Seddique School</v>
          </cell>
          <cell r="H4267" t="str">
            <v>WR</v>
          </cell>
        </row>
        <row r="4268">
          <cell r="B4268" t="str">
            <v>Fire Extinguisher - C02</v>
          </cell>
          <cell r="D4268" t="str">
            <v>Al Seddique School</v>
          </cell>
          <cell r="H4268" t="str">
            <v>WR</v>
          </cell>
        </row>
        <row r="4269">
          <cell r="B4269" t="str">
            <v>Fire Extinguisher - C02</v>
          </cell>
          <cell r="D4269" t="str">
            <v>Al Seddique School</v>
          </cell>
          <cell r="H4269" t="str">
            <v>WR</v>
          </cell>
        </row>
        <row r="4270">
          <cell r="B4270" t="str">
            <v>Fire Extinguisher - C02</v>
          </cell>
          <cell r="D4270" t="str">
            <v>Al Seddique School</v>
          </cell>
          <cell r="H4270" t="str">
            <v>WR</v>
          </cell>
        </row>
        <row r="4271">
          <cell r="B4271" t="str">
            <v>Fire Extinguisher - Dry</v>
          </cell>
          <cell r="D4271" t="str">
            <v>Al Seddique School</v>
          </cell>
          <cell r="H4271" t="str">
            <v>WR</v>
          </cell>
        </row>
        <row r="4272">
          <cell r="B4272" t="str">
            <v>Fire Extinguisher - Dry</v>
          </cell>
          <cell r="D4272" t="str">
            <v>Al Seddique School</v>
          </cell>
          <cell r="H4272" t="str">
            <v>WR</v>
          </cell>
        </row>
        <row r="4273">
          <cell r="B4273" t="str">
            <v>Fire Extinguisher - Dry</v>
          </cell>
          <cell r="D4273" t="str">
            <v>Al Seddique School</v>
          </cell>
          <cell r="H4273" t="str">
            <v>WR</v>
          </cell>
        </row>
        <row r="4274">
          <cell r="B4274" t="str">
            <v>Fire Extinguisher - Dry</v>
          </cell>
          <cell r="D4274" t="str">
            <v>Al Seddique School</v>
          </cell>
          <cell r="H4274" t="str">
            <v>WR</v>
          </cell>
        </row>
        <row r="4275">
          <cell r="B4275" t="str">
            <v>Fire Extinguisher - Dry</v>
          </cell>
          <cell r="D4275" t="str">
            <v>Al Seddique School</v>
          </cell>
          <cell r="H4275" t="str">
            <v>WR</v>
          </cell>
        </row>
        <row r="4276">
          <cell r="B4276" t="str">
            <v>Fire Extinguisher - Dry</v>
          </cell>
          <cell r="D4276" t="str">
            <v>Al Seddique School</v>
          </cell>
          <cell r="H4276" t="str">
            <v>WR</v>
          </cell>
        </row>
        <row r="4277">
          <cell r="B4277" t="str">
            <v>Fire Extinguisher - Dry</v>
          </cell>
          <cell r="D4277" t="str">
            <v>Al Seddique School</v>
          </cell>
          <cell r="H4277" t="str">
            <v>WR</v>
          </cell>
        </row>
        <row r="4278">
          <cell r="B4278" t="str">
            <v>Fire Extinguisher - Dry</v>
          </cell>
          <cell r="D4278" t="str">
            <v>Al Seddique School</v>
          </cell>
          <cell r="H4278" t="str">
            <v>WR</v>
          </cell>
        </row>
        <row r="4279">
          <cell r="B4279" t="str">
            <v>Fire Extinguisher - Dry</v>
          </cell>
          <cell r="D4279" t="str">
            <v>Al Seddique School</v>
          </cell>
          <cell r="H4279" t="str">
            <v>WR</v>
          </cell>
        </row>
        <row r="4280">
          <cell r="B4280" t="str">
            <v>Fire Extinguisher - Dry</v>
          </cell>
          <cell r="D4280" t="str">
            <v>Al Seddique School</v>
          </cell>
          <cell r="H4280" t="str">
            <v>WR</v>
          </cell>
        </row>
        <row r="4281">
          <cell r="B4281" t="str">
            <v>Fire Extinguisher - Dry</v>
          </cell>
          <cell r="D4281" t="str">
            <v>Al Seddique School</v>
          </cell>
          <cell r="H4281" t="str">
            <v>WR</v>
          </cell>
        </row>
        <row r="4282">
          <cell r="B4282" t="str">
            <v>Fire Extinguisher - Dry</v>
          </cell>
          <cell r="D4282" t="str">
            <v>Al Seddique School</v>
          </cell>
          <cell r="H4282" t="str">
            <v>WR</v>
          </cell>
        </row>
        <row r="4283">
          <cell r="B4283" t="str">
            <v>FIRE PUMP - Diesel</v>
          </cell>
          <cell r="D4283" t="str">
            <v>Al Seddique School</v>
          </cell>
          <cell r="H4283" t="str">
            <v>WR</v>
          </cell>
        </row>
        <row r="4284">
          <cell r="B4284" t="str">
            <v>FIRE PUMP - Electric</v>
          </cell>
          <cell r="D4284" t="str">
            <v>Al Seddique School</v>
          </cell>
          <cell r="H4284" t="str">
            <v>WR</v>
          </cell>
        </row>
        <row r="4285">
          <cell r="B4285" t="str">
            <v>Water Tank</v>
          </cell>
          <cell r="D4285" t="str">
            <v>Al Seddique School</v>
          </cell>
          <cell r="H4285" t="str">
            <v>WR</v>
          </cell>
        </row>
        <row r="4286">
          <cell r="B4286" t="str">
            <v>Water Tank</v>
          </cell>
          <cell r="D4286" t="str">
            <v>Al Seddique School</v>
          </cell>
          <cell r="H4286" t="str">
            <v>WR</v>
          </cell>
        </row>
        <row r="4287">
          <cell r="B4287" t="str">
            <v>Water Tank</v>
          </cell>
          <cell r="D4287" t="str">
            <v>Al Seddique School</v>
          </cell>
          <cell r="H4287" t="str">
            <v>WR</v>
          </cell>
        </row>
        <row r="4288">
          <cell r="B4288" t="str">
            <v>Fire Alarm Break Glass Call Point</v>
          </cell>
          <cell r="D4288" t="str">
            <v>Al Shamkha KG</v>
          </cell>
          <cell r="H4288" t="str">
            <v>AD</v>
          </cell>
        </row>
        <row r="4289">
          <cell r="B4289" t="str">
            <v>Fire Alarm Break Glass Call Point</v>
          </cell>
          <cell r="D4289" t="str">
            <v>Al Shamkha KG</v>
          </cell>
          <cell r="H4289" t="str">
            <v>AD</v>
          </cell>
        </row>
        <row r="4290">
          <cell r="B4290" t="str">
            <v>Fire Alarm Break Glass Call Point</v>
          </cell>
          <cell r="D4290" t="str">
            <v>Al Shamkha KG</v>
          </cell>
          <cell r="H4290" t="str">
            <v>AD</v>
          </cell>
        </row>
        <row r="4291">
          <cell r="B4291" t="str">
            <v>Fire Alarm Panel</v>
          </cell>
          <cell r="D4291" t="str">
            <v>Al Shamkha KG</v>
          </cell>
          <cell r="H4291" t="str">
            <v>AD</v>
          </cell>
        </row>
        <row r="4292">
          <cell r="B4292" t="str">
            <v>Fire Alarm Sounder, Bell, Light</v>
          </cell>
          <cell r="D4292" t="str">
            <v>Al Shamkha KG</v>
          </cell>
          <cell r="H4292" t="str">
            <v>AD</v>
          </cell>
        </row>
        <row r="4293">
          <cell r="B4293" t="str">
            <v>Fire Alarm Sounder, Bell, Light</v>
          </cell>
          <cell r="D4293" t="str">
            <v>Al Shamkha KG</v>
          </cell>
          <cell r="H4293" t="str">
            <v>AD</v>
          </cell>
        </row>
        <row r="4294">
          <cell r="B4294" t="str">
            <v>Fire Alarm Sounder, Bell, Light</v>
          </cell>
          <cell r="D4294" t="str">
            <v>Al Shamkha KG</v>
          </cell>
          <cell r="H4294" t="str">
            <v>AD</v>
          </cell>
        </row>
        <row r="4295">
          <cell r="B4295" t="str">
            <v>Fire Alarm Sounder, Bell, Light</v>
          </cell>
          <cell r="D4295" t="str">
            <v>Al Shamkha KG</v>
          </cell>
          <cell r="H4295" t="str">
            <v>AD</v>
          </cell>
        </row>
        <row r="4296">
          <cell r="B4296" t="str">
            <v>Fire Alarm Sounder, Bell, Light</v>
          </cell>
          <cell r="D4296" t="str">
            <v>Al Shamkha KG</v>
          </cell>
          <cell r="H4296" t="str">
            <v>AD</v>
          </cell>
        </row>
        <row r="4297">
          <cell r="B4297" t="str">
            <v>Fire Alarm Sounder, Bell, Light</v>
          </cell>
          <cell r="D4297" t="str">
            <v>Al Shamkha KG</v>
          </cell>
          <cell r="H4297" t="str">
            <v>AD</v>
          </cell>
        </row>
        <row r="4298">
          <cell r="B4298" t="str">
            <v>Fire Alarm Sounder, Bell, Light</v>
          </cell>
          <cell r="D4298" t="str">
            <v>Al Shamkha KG</v>
          </cell>
          <cell r="H4298" t="str">
            <v>AD</v>
          </cell>
        </row>
        <row r="4299">
          <cell r="B4299" t="str">
            <v>Fire Alarm Sounder, Bell, Light</v>
          </cell>
          <cell r="D4299" t="str">
            <v>Al Shamkha KG</v>
          </cell>
          <cell r="H4299" t="str">
            <v>AD</v>
          </cell>
        </row>
        <row r="4300">
          <cell r="B4300" t="str">
            <v>Fire Alarm Sounder, Bell, Light</v>
          </cell>
          <cell r="D4300" t="str">
            <v>Al Shamkha KG</v>
          </cell>
          <cell r="H4300" t="str">
            <v>AD</v>
          </cell>
        </row>
        <row r="4301">
          <cell r="B4301" t="str">
            <v>Fire Alarm Sounder, Bell, Light</v>
          </cell>
          <cell r="D4301" t="str">
            <v>Al Shamkha KG</v>
          </cell>
          <cell r="H4301" t="str">
            <v>AD</v>
          </cell>
        </row>
        <row r="4302">
          <cell r="B4302" t="str">
            <v>Fire Alarm Sounder, Bell, Light</v>
          </cell>
          <cell r="D4302" t="str">
            <v>Al Shamkha KG</v>
          </cell>
          <cell r="H4302" t="str">
            <v>AD</v>
          </cell>
        </row>
        <row r="4303">
          <cell r="B4303" t="str">
            <v>Fire Alarm Sounder, Bell, Light</v>
          </cell>
          <cell r="D4303" t="str">
            <v>Al Shamkha KG</v>
          </cell>
          <cell r="H4303" t="str">
            <v>AD</v>
          </cell>
        </row>
        <row r="4304">
          <cell r="B4304" t="str">
            <v>Fire Alarm Sounder, Bell, Light</v>
          </cell>
          <cell r="D4304" t="str">
            <v>Al Shamkha KG</v>
          </cell>
          <cell r="H4304" t="str">
            <v>AD</v>
          </cell>
        </row>
        <row r="4305">
          <cell r="B4305" t="str">
            <v>Fire Extinguisher</v>
          </cell>
          <cell r="D4305" t="str">
            <v>Al Shamkha KG</v>
          </cell>
          <cell r="H4305" t="str">
            <v>AD</v>
          </cell>
        </row>
        <row r="4306">
          <cell r="B4306" t="str">
            <v>Fire Extinguisher</v>
          </cell>
          <cell r="D4306" t="str">
            <v>Al Shamkha KG</v>
          </cell>
          <cell r="H4306" t="str">
            <v>AD</v>
          </cell>
        </row>
        <row r="4307">
          <cell r="B4307" t="str">
            <v>Fire Extinguisher</v>
          </cell>
          <cell r="D4307" t="str">
            <v>Al Shamkha KG</v>
          </cell>
          <cell r="H4307" t="str">
            <v>AD</v>
          </cell>
        </row>
        <row r="4308">
          <cell r="B4308" t="str">
            <v>Fire Extinguisher</v>
          </cell>
          <cell r="D4308" t="str">
            <v>Al Shamkha KG</v>
          </cell>
          <cell r="H4308" t="str">
            <v>AD</v>
          </cell>
        </row>
        <row r="4309">
          <cell r="B4309" t="str">
            <v>Fire Extinguisher</v>
          </cell>
          <cell r="D4309" t="str">
            <v>Al Shamkha KG</v>
          </cell>
          <cell r="H4309" t="str">
            <v>AD</v>
          </cell>
        </row>
        <row r="4310">
          <cell r="B4310" t="str">
            <v>Fire Extinguisher</v>
          </cell>
          <cell r="D4310" t="str">
            <v>Al Shamkha KG</v>
          </cell>
          <cell r="H4310" t="str">
            <v>AD</v>
          </cell>
        </row>
        <row r="4311">
          <cell r="B4311" t="str">
            <v>Fire Extinguisher</v>
          </cell>
          <cell r="D4311" t="str">
            <v>Al Shamkha KG</v>
          </cell>
          <cell r="H4311" t="str">
            <v>AD</v>
          </cell>
        </row>
        <row r="4312">
          <cell r="B4312" t="str">
            <v>Fire Extinguisher</v>
          </cell>
          <cell r="D4312" t="str">
            <v>Al Shamkha KG</v>
          </cell>
          <cell r="H4312" t="str">
            <v>AD</v>
          </cell>
        </row>
        <row r="4313">
          <cell r="B4313" t="str">
            <v>FIRE PUMP - Diesel</v>
          </cell>
          <cell r="D4313" t="str">
            <v>Al Shamkha KG</v>
          </cell>
          <cell r="H4313" t="str">
            <v>AD</v>
          </cell>
        </row>
        <row r="4314">
          <cell r="B4314" t="str">
            <v>FIRE PUMP - Electric</v>
          </cell>
          <cell r="D4314" t="str">
            <v>Al Shamkha KG</v>
          </cell>
          <cell r="H4314" t="str">
            <v>AD</v>
          </cell>
        </row>
        <row r="4315">
          <cell r="B4315" t="str">
            <v>Fire Smoke / Heat Detector, Sounder</v>
          </cell>
          <cell r="D4315" t="str">
            <v>Al Shamkha KG</v>
          </cell>
          <cell r="H4315" t="str">
            <v>AD</v>
          </cell>
        </row>
        <row r="4316">
          <cell r="B4316" t="str">
            <v>Fire Smoke / Heat Detector, Sounder</v>
          </cell>
          <cell r="D4316" t="str">
            <v>Al Shamkha KG</v>
          </cell>
          <cell r="H4316" t="str">
            <v>AD</v>
          </cell>
        </row>
        <row r="4317">
          <cell r="B4317" t="str">
            <v>Fire Smoke / Heat Detector, Sounder</v>
          </cell>
          <cell r="D4317" t="str">
            <v>Al Shamkha KG</v>
          </cell>
          <cell r="H4317" t="str">
            <v>AD</v>
          </cell>
        </row>
        <row r="4318">
          <cell r="B4318" t="str">
            <v>Fire Smoke / Heat Detector, Sounder</v>
          </cell>
          <cell r="D4318" t="str">
            <v>Al Shamkha KG</v>
          </cell>
          <cell r="H4318" t="str">
            <v>AD</v>
          </cell>
        </row>
        <row r="4319">
          <cell r="B4319" t="str">
            <v>Fire Smoke / Heat Detector, Sounder</v>
          </cell>
          <cell r="D4319" t="str">
            <v>Al Shamkha KG</v>
          </cell>
          <cell r="H4319" t="str">
            <v>AD</v>
          </cell>
        </row>
        <row r="4320">
          <cell r="B4320" t="str">
            <v>Fire Smoke / Heat Detector, Sounder</v>
          </cell>
          <cell r="D4320" t="str">
            <v>Al Shamkha KG</v>
          </cell>
          <cell r="H4320" t="str">
            <v>AD</v>
          </cell>
        </row>
        <row r="4321">
          <cell r="B4321" t="str">
            <v>Fire Smoke / Heat Detector, Sounder</v>
          </cell>
          <cell r="D4321" t="str">
            <v>Al Shamkha KG</v>
          </cell>
          <cell r="H4321" t="str">
            <v>AD</v>
          </cell>
        </row>
        <row r="4322">
          <cell r="B4322" t="str">
            <v>Fire Smoke / Heat Detector, Sounder</v>
          </cell>
          <cell r="D4322" t="str">
            <v>Al Shamkha KG</v>
          </cell>
          <cell r="H4322" t="str">
            <v>AD</v>
          </cell>
        </row>
        <row r="4323">
          <cell r="B4323" t="str">
            <v>Fire Smoke / Heat Detector, Sounder</v>
          </cell>
          <cell r="D4323" t="str">
            <v>Al Shamkha KG</v>
          </cell>
          <cell r="H4323" t="str">
            <v>AD</v>
          </cell>
        </row>
        <row r="4324">
          <cell r="B4324" t="str">
            <v>Fire Smoke / Heat Detector, Sounder</v>
          </cell>
          <cell r="D4324" t="str">
            <v>Al Shamkha KG</v>
          </cell>
          <cell r="H4324" t="str">
            <v>AD</v>
          </cell>
        </row>
        <row r="4325">
          <cell r="B4325" t="str">
            <v>Fire Smoke / Heat Detector, Sounder</v>
          </cell>
          <cell r="D4325" t="str">
            <v>Al Shamkha KG</v>
          </cell>
          <cell r="H4325" t="str">
            <v>AD</v>
          </cell>
        </row>
        <row r="4326">
          <cell r="B4326" t="str">
            <v>Fire Smoke / Heat Detector, Sounder</v>
          </cell>
          <cell r="D4326" t="str">
            <v>Al Shamkha KG</v>
          </cell>
          <cell r="H4326" t="str">
            <v>AD</v>
          </cell>
        </row>
        <row r="4327">
          <cell r="B4327" t="str">
            <v>Fire Smoke / Heat Detector, Sounder</v>
          </cell>
          <cell r="D4327" t="str">
            <v>Al Shamkha KG</v>
          </cell>
          <cell r="H4327" t="str">
            <v>AD</v>
          </cell>
        </row>
        <row r="4328">
          <cell r="B4328" t="str">
            <v>Fire Smoke / Heat Detector, Sounder</v>
          </cell>
          <cell r="D4328" t="str">
            <v>Al Shamkha KG</v>
          </cell>
          <cell r="H4328" t="str">
            <v>AD</v>
          </cell>
        </row>
        <row r="4329">
          <cell r="B4329" t="str">
            <v>Fire Smoke / Heat Detector, Sounder</v>
          </cell>
          <cell r="D4329" t="str">
            <v>Al Shamkha KG</v>
          </cell>
          <cell r="H4329" t="str">
            <v>AD</v>
          </cell>
        </row>
        <row r="4330">
          <cell r="B4330" t="str">
            <v>Fire Smoke / Heat Detector, Sounder</v>
          </cell>
          <cell r="D4330" t="str">
            <v>Al Shamkha KG</v>
          </cell>
          <cell r="H4330" t="str">
            <v>AD</v>
          </cell>
        </row>
        <row r="4331">
          <cell r="B4331" t="str">
            <v>Fire Smoke / Heat Detector, Sounder</v>
          </cell>
          <cell r="D4331" t="str">
            <v>Al Shamkha KG</v>
          </cell>
          <cell r="H4331" t="str">
            <v>AD</v>
          </cell>
        </row>
        <row r="4332">
          <cell r="B4332" t="str">
            <v>Fire Smoke / Heat Detector, Sounder</v>
          </cell>
          <cell r="D4332" t="str">
            <v>Al Shamkha KG</v>
          </cell>
          <cell r="H4332" t="str">
            <v>AD</v>
          </cell>
        </row>
        <row r="4333">
          <cell r="B4333" t="str">
            <v>Fire Smoke / Heat Detector, Sounder</v>
          </cell>
          <cell r="D4333" t="str">
            <v>Al Shamkha KG</v>
          </cell>
          <cell r="H4333" t="str">
            <v>AD</v>
          </cell>
        </row>
        <row r="4334">
          <cell r="B4334" t="str">
            <v>Fire Smoke / Heat Detector, Sounder</v>
          </cell>
          <cell r="D4334" t="str">
            <v>Al Shamkha KG</v>
          </cell>
          <cell r="H4334" t="str">
            <v>AD</v>
          </cell>
        </row>
        <row r="4335">
          <cell r="B4335" t="str">
            <v>Fire Smoke / Heat Detector, Sounder</v>
          </cell>
          <cell r="D4335" t="str">
            <v>Al Shamkha KG</v>
          </cell>
          <cell r="H4335" t="str">
            <v>AD</v>
          </cell>
        </row>
        <row r="4336">
          <cell r="B4336" t="str">
            <v>Fire Smoke / Heat Detector, Sounder</v>
          </cell>
          <cell r="D4336" t="str">
            <v>Al Shamkha KG</v>
          </cell>
          <cell r="H4336" t="str">
            <v>AD</v>
          </cell>
        </row>
        <row r="4337">
          <cell r="B4337" t="str">
            <v>Fire Smoke / Heat Detector, Sounder</v>
          </cell>
          <cell r="D4337" t="str">
            <v>Al Shamkha KG</v>
          </cell>
          <cell r="H4337" t="str">
            <v>AD</v>
          </cell>
        </row>
        <row r="4338">
          <cell r="B4338" t="str">
            <v>Fire Smoke / Heat Detector, Sounder</v>
          </cell>
          <cell r="D4338" t="str">
            <v>Al Shamkha KG</v>
          </cell>
          <cell r="H4338" t="str">
            <v>AD</v>
          </cell>
        </row>
        <row r="4339">
          <cell r="B4339" t="str">
            <v>Fire Smoke / Heat Detector, Sounder</v>
          </cell>
          <cell r="D4339" t="str">
            <v>Al Shamkha KG</v>
          </cell>
          <cell r="H4339" t="str">
            <v>AD</v>
          </cell>
        </row>
        <row r="4340">
          <cell r="B4340" t="str">
            <v>Fire Smoke / Heat Detector, Sounder</v>
          </cell>
          <cell r="D4340" t="str">
            <v>Al Shamkha KG</v>
          </cell>
          <cell r="H4340" t="str">
            <v>AD</v>
          </cell>
        </row>
        <row r="4341">
          <cell r="B4341" t="str">
            <v>Fire Smoke / Heat Detector, Sounder</v>
          </cell>
          <cell r="D4341" t="str">
            <v>Al Shamkha KG</v>
          </cell>
          <cell r="H4341" t="str">
            <v>AD</v>
          </cell>
        </row>
        <row r="4342">
          <cell r="B4342" t="str">
            <v>Fire Smoke / Heat Detector, Sounder</v>
          </cell>
          <cell r="D4342" t="str">
            <v>Al Shamkha KG</v>
          </cell>
          <cell r="H4342" t="str">
            <v>AD</v>
          </cell>
        </row>
        <row r="4343">
          <cell r="B4343" t="str">
            <v>Fire Smoke / Heat Detector, Sounder</v>
          </cell>
          <cell r="D4343" t="str">
            <v>Al Shamkha KG</v>
          </cell>
          <cell r="H4343" t="str">
            <v>AD</v>
          </cell>
        </row>
        <row r="4344">
          <cell r="B4344" t="str">
            <v>Fire Smoke / Heat Detector, Sounder</v>
          </cell>
          <cell r="D4344" t="str">
            <v>Al Shamkha KG</v>
          </cell>
          <cell r="H4344" t="str">
            <v>AD</v>
          </cell>
        </row>
        <row r="4345">
          <cell r="B4345" t="str">
            <v>Fire Smoke / Heat Detector, Sounder</v>
          </cell>
          <cell r="D4345" t="str">
            <v>Al Shamkha KG</v>
          </cell>
          <cell r="H4345" t="str">
            <v>AD</v>
          </cell>
        </row>
        <row r="4346">
          <cell r="B4346" t="str">
            <v>Irrigation System</v>
          </cell>
          <cell r="D4346" t="str">
            <v>Al Shamkha KG</v>
          </cell>
          <cell r="H4346" t="str">
            <v>AD</v>
          </cell>
        </row>
        <row r="4347">
          <cell r="B4347" t="str">
            <v>Water Tank</v>
          </cell>
          <cell r="D4347" t="str">
            <v>Al Shatha KG</v>
          </cell>
          <cell r="H4347" t="str">
            <v>WR</v>
          </cell>
        </row>
        <row r="4348">
          <cell r="B4348" t="str">
            <v>Water Tank</v>
          </cell>
          <cell r="D4348" t="str">
            <v>Al Shatha KG</v>
          </cell>
          <cell r="H4348" t="str">
            <v>WR</v>
          </cell>
        </row>
        <row r="4349">
          <cell r="B4349" t="str">
            <v>Water Tank</v>
          </cell>
          <cell r="D4349" t="str">
            <v>Al Shatha KG</v>
          </cell>
          <cell r="H4349" t="str">
            <v>WR</v>
          </cell>
        </row>
        <row r="4350">
          <cell r="B4350" t="str">
            <v>Water Tank</v>
          </cell>
          <cell r="D4350" t="str">
            <v>Al Shatha KG</v>
          </cell>
          <cell r="H4350" t="str">
            <v>WR</v>
          </cell>
        </row>
        <row r="4351">
          <cell r="B4351" t="str">
            <v>Water Tank</v>
          </cell>
          <cell r="D4351" t="str">
            <v>Al Shatha KG</v>
          </cell>
          <cell r="H4351" t="str">
            <v>WR</v>
          </cell>
        </row>
        <row r="4352">
          <cell r="B4352" t="str">
            <v>Water Tank</v>
          </cell>
          <cell r="D4352" t="str">
            <v>Al Shatha KG</v>
          </cell>
          <cell r="H4352" t="str">
            <v>WR</v>
          </cell>
        </row>
        <row r="4353">
          <cell r="B4353" t="str">
            <v>Water Tank</v>
          </cell>
          <cell r="D4353" t="str">
            <v>Al Shatha KG</v>
          </cell>
          <cell r="H4353" t="str">
            <v>WR</v>
          </cell>
        </row>
        <row r="4354">
          <cell r="B4354" t="str">
            <v>CCTV Camera</v>
          </cell>
          <cell r="D4354" t="str">
            <v>Al Soqoor Primary Model  School</v>
          </cell>
          <cell r="H4354" t="str">
            <v>AD</v>
          </cell>
        </row>
        <row r="4355">
          <cell r="B4355" t="str">
            <v>CCTV Camera</v>
          </cell>
          <cell r="D4355" t="str">
            <v>Al Soqoor Primary Model  School</v>
          </cell>
          <cell r="H4355" t="str">
            <v>AD</v>
          </cell>
        </row>
        <row r="4356">
          <cell r="B4356" t="str">
            <v>CCTV Camera</v>
          </cell>
          <cell r="D4356" t="str">
            <v>Al Soqoor Primary Model  School</v>
          </cell>
          <cell r="H4356" t="str">
            <v>AD</v>
          </cell>
        </row>
        <row r="4357">
          <cell r="B4357" t="str">
            <v>CCTV Camera</v>
          </cell>
          <cell r="D4357" t="str">
            <v>Al Soqoor Primary Model  School</v>
          </cell>
          <cell r="H4357" t="str">
            <v>AD</v>
          </cell>
        </row>
        <row r="4358">
          <cell r="B4358" t="str">
            <v>CCTV Camera</v>
          </cell>
          <cell r="D4358" t="str">
            <v>Al Soqoor Primary Model  School</v>
          </cell>
          <cell r="H4358" t="str">
            <v>AD</v>
          </cell>
        </row>
        <row r="4359">
          <cell r="B4359" t="str">
            <v>CCTV Camera</v>
          </cell>
          <cell r="D4359" t="str">
            <v>Al Soqoor Primary Model  School</v>
          </cell>
          <cell r="H4359" t="str">
            <v>AD</v>
          </cell>
        </row>
        <row r="4360">
          <cell r="B4360" t="str">
            <v>Fire Alarm Control Panel Board</v>
          </cell>
          <cell r="D4360" t="str">
            <v>Al Soqoor Primary Model  School</v>
          </cell>
          <cell r="H4360" t="str">
            <v>AD</v>
          </cell>
        </row>
        <row r="4361">
          <cell r="B4361" t="str">
            <v>Fire Alarm Sounder, Bell, Light</v>
          </cell>
          <cell r="D4361" t="str">
            <v>Al Soqoor Primary Model  School</v>
          </cell>
          <cell r="H4361" t="str">
            <v>AD</v>
          </cell>
        </row>
        <row r="4362">
          <cell r="B4362" t="str">
            <v>Fire Alarm Sounder, Bell, Light</v>
          </cell>
          <cell r="D4362" t="str">
            <v>Al Soqoor Primary Model  School</v>
          </cell>
          <cell r="H4362" t="str">
            <v>AD</v>
          </cell>
        </row>
        <row r="4363">
          <cell r="B4363" t="str">
            <v>Fire Alarm Sounder, Bell, Light</v>
          </cell>
          <cell r="D4363" t="str">
            <v>Al Soqoor Primary Model  School</v>
          </cell>
          <cell r="H4363" t="str">
            <v>AD</v>
          </cell>
        </row>
        <row r="4364">
          <cell r="B4364" t="str">
            <v>Fire Alarm Sounder, Bell, Light</v>
          </cell>
          <cell r="D4364" t="str">
            <v>Al Soqoor Primary Model  School</v>
          </cell>
          <cell r="H4364" t="str">
            <v>AD</v>
          </cell>
        </row>
        <row r="4365">
          <cell r="B4365" t="str">
            <v>Fire Alarm Sounder, Bell, Light</v>
          </cell>
          <cell r="D4365" t="str">
            <v>Al Soqoor Primary Model  School</v>
          </cell>
          <cell r="H4365" t="str">
            <v>AD</v>
          </cell>
        </row>
        <row r="4366">
          <cell r="B4366" t="str">
            <v>Fire Alarm Sounder, Bell, Light</v>
          </cell>
          <cell r="D4366" t="str">
            <v>Al Soqoor Primary Model  School</v>
          </cell>
          <cell r="H4366" t="str">
            <v>AD</v>
          </cell>
        </row>
        <row r="4367">
          <cell r="B4367" t="str">
            <v>Fire Alarm Sounder, Bell, Light</v>
          </cell>
          <cell r="D4367" t="str">
            <v>Al Soqoor Primary Model  School</v>
          </cell>
          <cell r="H4367" t="str">
            <v>AD</v>
          </cell>
        </row>
        <row r="4368">
          <cell r="B4368" t="str">
            <v>Fire Alarm Sounder, Bell, Light</v>
          </cell>
          <cell r="D4368" t="str">
            <v>Al Soqoor Primary Model  School</v>
          </cell>
          <cell r="H4368" t="str">
            <v>AD</v>
          </cell>
        </row>
        <row r="4369">
          <cell r="B4369" t="str">
            <v>Fire Alarm Sounder, Bell, Light</v>
          </cell>
          <cell r="D4369" t="str">
            <v>Al Soqoor Primary Model  School</v>
          </cell>
          <cell r="H4369" t="str">
            <v>AD</v>
          </cell>
        </row>
        <row r="4370">
          <cell r="B4370" t="str">
            <v>Fire Alarm Sounder, Bell, Light</v>
          </cell>
          <cell r="D4370" t="str">
            <v>Al Soqoor Primary Model  School</v>
          </cell>
          <cell r="H4370" t="str">
            <v>AD</v>
          </cell>
        </row>
        <row r="4371">
          <cell r="B4371" t="str">
            <v>Fire Alarm Sounder, Bell, Light</v>
          </cell>
          <cell r="D4371" t="str">
            <v>Al Soqoor Primary Model  School</v>
          </cell>
          <cell r="H4371" t="str">
            <v>AD</v>
          </cell>
        </row>
        <row r="4372">
          <cell r="B4372" t="str">
            <v>Fire Alarm Sounder, Bell, Light</v>
          </cell>
          <cell r="D4372" t="str">
            <v>Al Soqoor Primary Model  School</v>
          </cell>
          <cell r="H4372" t="str">
            <v>AD</v>
          </cell>
        </row>
        <row r="4373">
          <cell r="B4373" t="str">
            <v>Fire Alarm Sounder, Bell, Light</v>
          </cell>
          <cell r="D4373" t="str">
            <v>Al Soqoor Primary Model  School</v>
          </cell>
          <cell r="H4373" t="str">
            <v>AD</v>
          </cell>
        </row>
        <row r="4374">
          <cell r="B4374" t="str">
            <v>Fire Alarm Sounder, Bell, Light</v>
          </cell>
          <cell r="D4374" t="str">
            <v>Al Soqoor Primary Model  School</v>
          </cell>
          <cell r="H4374" t="str">
            <v>AD</v>
          </cell>
        </row>
        <row r="4375">
          <cell r="B4375" t="str">
            <v>Fire Alarm Sounder, Bell, Light</v>
          </cell>
          <cell r="D4375" t="str">
            <v>Al Soqoor Primary Model  School</v>
          </cell>
          <cell r="H4375" t="str">
            <v>AD</v>
          </cell>
        </row>
        <row r="4376">
          <cell r="B4376" t="str">
            <v>Fire extinguisher</v>
          </cell>
          <cell r="D4376" t="str">
            <v>Al Soqoor Primary Model  School</v>
          </cell>
          <cell r="H4376" t="str">
            <v>AD</v>
          </cell>
        </row>
        <row r="4377">
          <cell r="B4377" t="str">
            <v>Fire extinguisher</v>
          </cell>
          <cell r="D4377" t="str">
            <v>Al Soqoor Primary Model  School</v>
          </cell>
          <cell r="H4377" t="str">
            <v>AD</v>
          </cell>
        </row>
        <row r="4378">
          <cell r="B4378" t="str">
            <v>Fire extinguisher</v>
          </cell>
          <cell r="D4378" t="str">
            <v>Al Soqoor Primary Model  School</v>
          </cell>
          <cell r="H4378" t="str">
            <v>AD</v>
          </cell>
        </row>
        <row r="4379">
          <cell r="B4379" t="str">
            <v>Fire extinguisher</v>
          </cell>
          <cell r="D4379" t="str">
            <v>Al Soqoor Primary Model  School</v>
          </cell>
          <cell r="H4379" t="str">
            <v>AD</v>
          </cell>
        </row>
        <row r="4380">
          <cell r="B4380" t="str">
            <v>Fire extinguisher</v>
          </cell>
          <cell r="D4380" t="str">
            <v>Al Soqoor Primary Model  School</v>
          </cell>
          <cell r="H4380" t="str">
            <v>AD</v>
          </cell>
        </row>
        <row r="4381">
          <cell r="B4381" t="str">
            <v>Fire extinguisher</v>
          </cell>
          <cell r="D4381" t="str">
            <v>Al Soqoor Primary Model  School</v>
          </cell>
          <cell r="H4381" t="str">
            <v>AD</v>
          </cell>
        </row>
        <row r="4382">
          <cell r="B4382" t="str">
            <v>Fire extinguisher</v>
          </cell>
          <cell r="D4382" t="str">
            <v>Al Soqoor Primary Model  School</v>
          </cell>
          <cell r="H4382" t="str">
            <v>AD</v>
          </cell>
        </row>
        <row r="4383">
          <cell r="B4383" t="str">
            <v>Fire extinguisher</v>
          </cell>
          <cell r="D4383" t="str">
            <v>Al Soqoor Primary Model  School</v>
          </cell>
          <cell r="H4383" t="str">
            <v>AD</v>
          </cell>
        </row>
        <row r="4384">
          <cell r="B4384" t="str">
            <v>Fire extinguisher</v>
          </cell>
          <cell r="D4384" t="str">
            <v>Al Soqoor Primary Model  School</v>
          </cell>
          <cell r="H4384" t="str">
            <v>AD</v>
          </cell>
        </row>
        <row r="4385">
          <cell r="B4385" t="str">
            <v>Fire extinguisher</v>
          </cell>
          <cell r="D4385" t="str">
            <v>Al Soqoor Primary Model  School</v>
          </cell>
          <cell r="H4385" t="str">
            <v>AD</v>
          </cell>
        </row>
        <row r="4386">
          <cell r="B4386" t="str">
            <v>Fire extinguisher</v>
          </cell>
          <cell r="D4386" t="str">
            <v>Al Soqoor Primary Model  School</v>
          </cell>
          <cell r="H4386" t="str">
            <v>AD</v>
          </cell>
        </row>
        <row r="4387">
          <cell r="B4387" t="str">
            <v>Fire extinguisher</v>
          </cell>
          <cell r="D4387" t="str">
            <v>Al Soqoor Primary Model  School</v>
          </cell>
          <cell r="H4387" t="str">
            <v>AD</v>
          </cell>
        </row>
        <row r="4388">
          <cell r="B4388" t="str">
            <v>Fire extinguisher</v>
          </cell>
          <cell r="D4388" t="str">
            <v>Al Soqoor Primary Model  School</v>
          </cell>
          <cell r="H4388" t="str">
            <v>AD</v>
          </cell>
        </row>
        <row r="4389">
          <cell r="B4389" t="str">
            <v>Fire extinguisher</v>
          </cell>
          <cell r="D4389" t="str">
            <v>Al Soqoor Primary Model  School</v>
          </cell>
          <cell r="H4389" t="str">
            <v>AD</v>
          </cell>
        </row>
        <row r="4390">
          <cell r="B4390" t="str">
            <v>Fire extinguisher</v>
          </cell>
          <cell r="D4390" t="str">
            <v>Al Soqoor Primary Model  School</v>
          </cell>
          <cell r="H4390" t="str">
            <v>AD</v>
          </cell>
        </row>
        <row r="4391">
          <cell r="B4391" t="str">
            <v>Fire extinguisher</v>
          </cell>
          <cell r="D4391" t="str">
            <v>Al Soqoor Primary Model  School</v>
          </cell>
          <cell r="H4391" t="str">
            <v>AD</v>
          </cell>
        </row>
        <row r="4392">
          <cell r="B4392" t="str">
            <v>Fire extinguisher</v>
          </cell>
          <cell r="D4392" t="str">
            <v>Al Soqoor Primary Model  School</v>
          </cell>
          <cell r="H4392" t="str">
            <v>AD</v>
          </cell>
        </row>
        <row r="4393">
          <cell r="B4393" t="str">
            <v>Fire extinguisher</v>
          </cell>
          <cell r="D4393" t="str">
            <v>Al Soqoor Primary Model  School</v>
          </cell>
          <cell r="H4393" t="str">
            <v>AD</v>
          </cell>
        </row>
        <row r="4394">
          <cell r="B4394" t="str">
            <v>Fire extinguisher</v>
          </cell>
          <cell r="D4394" t="str">
            <v>Al Soqoor Primary Model  School</v>
          </cell>
          <cell r="H4394" t="str">
            <v>AD</v>
          </cell>
        </row>
        <row r="4395">
          <cell r="B4395" t="str">
            <v>Fire extinguisher</v>
          </cell>
          <cell r="D4395" t="str">
            <v>Al Soqoor Primary Model  School</v>
          </cell>
          <cell r="H4395" t="str">
            <v>AD</v>
          </cell>
        </row>
        <row r="4396">
          <cell r="B4396" t="str">
            <v>Fire extinguisher</v>
          </cell>
          <cell r="D4396" t="str">
            <v>Al Soqoor Primary Model  School</v>
          </cell>
          <cell r="H4396" t="str">
            <v>AD</v>
          </cell>
        </row>
        <row r="4397">
          <cell r="B4397" t="str">
            <v>Fire extinguisher</v>
          </cell>
          <cell r="D4397" t="str">
            <v>Al Soqoor Primary Model  School</v>
          </cell>
          <cell r="H4397" t="str">
            <v>AD</v>
          </cell>
        </row>
        <row r="4398">
          <cell r="B4398" t="str">
            <v>Fire extinguisher</v>
          </cell>
          <cell r="D4398" t="str">
            <v>Al Soqoor Primary Model  School</v>
          </cell>
          <cell r="H4398" t="str">
            <v>AD</v>
          </cell>
        </row>
        <row r="4399">
          <cell r="B4399" t="str">
            <v>Fire extinguisher</v>
          </cell>
          <cell r="D4399" t="str">
            <v>Al Soqoor Primary Model  School</v>
          </cell>
          <cell r="H4399" t="str">
            <v>AD</v>
          </cell>
        </row>
        <row r="4400">
          <cell r="B4400" t="str">
            <v>Fire extinguisher</v>
          </cell>
          <cell r="D4400" t="str">
            <v>Al Soqoor Primary Model  School</v>
          </cell>
          <cell r="H4400" t="str">
            <v>AD</v>
          </cell>
        </row>
        <row r="4401">
          <cell r="B4401" t="str">
            <v>Fire extinguisher</v>
          </cell>
          <cell r="D4401" t="str">
            <v>Al Soqoor Primary Model  School</v>
          </cell>
          <cell r="H4401" t="str">
            <v>AD</v>
          </cell>
        </row>
        <row r="4402">
          <cell r="B4402" t="str">
            <v>Fire extinguisher</v>
          </cell>
          <cell r="D4402" t="str">
            <v>Al Soqoor Primary Model  School</v>
          </cell>
          <cell r="H4402" t="str">
            <v>AD</v>
          </cell>
        </row>
        <row r="4403">
          <cell r="B4403" t="str">
            <v>Fire extinguisher</v>
          </cell>
          <cell r="D4403" t="str">
            <v>Al Soqoor Primary Model  School</v>
          </cell>
          <cell r="H4403" t="str">
            <v>AD</v>
          </cell>
        </row>
        <row r="4404">
          <cell r="B4404" t="str">
            <v>Fire extinguisher</v>
          </cell>
          <cell r="D4404" t="str">
            <v>Al Soqoor Primary Model  School</v>
          </cell>
          <cell r="H4404" t="str">
            <v>AD</v>
          </cell>
        </row>
        <row r="4405">
          <cell r="B4405" t="str">
            <v>Fire extinguisher</v>
          </cell>
          <cell r="D4405" t="str">
            <v>Al Soqoor Primary Model  School</v>
          </cell>
          <cell r="H4405" t="str">
            <v>AD</v>
          </cell>
        </row>
        <row r="4406">
          <cell r="B4406" t="str">
            <v>Fire extinguisher</v>
          </cell>
          <cell r="D4406" t="str">
            <v>Al Soqoor Primary Model  School</v>
          </cell>
          <cell r="H4406" t="str">
            <v>AD</v>
          </cell>
        </row>
        <row r="4407">
          <cell r="B4407" t="str">
            <v>Fire extinguisher</v>
          </cell>
          <cell r="D4407" t="str">
            <v>Al Soqoor Primary Model  School</v>
          </cell>
          <cell r="H4407" t="str">
            <v>AD</v>
          </cell>
        </row>
        <row r="4408">
          <cell r="B4408" t="str">
            <v>Fire extinguisher</v>
          </cell>
          <cell r="D4408" t="str">
            <v>Al Soqoor Primary Model  School</v>
          </cell>
          <cell r="H4408" t="str">
            <v>AD</v>
          </cell>
        </row>
        <row r="4409">
          <cell r="B4409" t="str">
            <v>Fire extinguisher</v>
          </cell>
          <cell r="D4409" t="str">
            <v>Al Soqoor Primary Model  School</v>
          </cell>
          <cell r="H4409" t="str">
            <v>AD</v>
          </cell>
        </row>
        <row r="4410">
          <cell r="B4410" t="str">
            <v>Fire extinguisher</v>
          </cell>
          <cell r="D4410" t="str">
            <v>Al Soqoor Primary Model  School</v>
          </cell>
          <cell r="H4410" t="str">
            <v>AD</v>
          </cell>
        </row>
        <row r="4411">
          <cell r="B4411" t="str">
            <v>Fire extinguisher</v>
          </cell>
          <cell r="D4411" t="str">
            <v>Al Soqoor Primary Model  School</v>
          </cell>
          <cell r="H4411" t="str">
            <v>AD</v>
          </cell>
        </row>
        <row r="4412">
          <cell r="B4412" t="str">
            <v>Fire extinguisher</v>
          </cell>
          <cell r="D4412" t="str">
            <v>Al Soqoor Primary Model  School</v>
          </cell>
          <cell r="H4412" t="str">
            <v>AD</v>
          </cell>
        </row>
        <row r="4413">
          <cell r="B4413" t="str">
            <v>Fire extinguisher</v>
          </cell>
          <cell r="D4413" t="str">
            <v>Al Soqoor Primary Model  School</v>
          </cell>
          <cell r="H4413" t="str">
            <v>AD</v>
          </cell>
        </row>
        <row r="4414">
          <cell r="B4414" t="str">
            <v>Fire extinguisher</v>
          </cell>
          <cell r="D4414" t="str">
            <v>Al Soqoor Primary Model  School</v>
          </cell>
          <cell r="H4414" t="str">
            <v>AD</v>
          </cell>
        </row>
        <row r="4415">
          <cell r="B4415" t="str">
            <v>Fire extinguisher</v>
          </cell>
          <cell r="D4415" t="str">
            <v>Al Soqoor Primary Model  School</v>
          </cell>
          <cell r="H4415" t="str">
            <v>AD</v>
          </cell>
        </row>
        <row r="4416">
          <cell r="B4416" t="str">
            <v>Fire extinguisher</v>
          </cell>
          <cell r="D4416" t="str">
            <v>Al Soqoor Primary Model  School</v>
          </cell>
          <cell r="H4416" t="str">
            <v>AD</v>
          </cell>
        </row>
        <row r="4417">
          <cell r="B4417" t="str">
            <v>Fire hose cabinet</v>
          </cell>
          <cell r="D4417" t="str">
            <v>Al Soqoor Primary Model  School</v>
          </cell>
          <cell r="H4417" t="str">
            <v>AD</v>
          </cell>
        </row>
        <row r="4418">
          <cell r="B4418" t="str">
            <v>Fire hose cabinet</v>
          </cell>
          <cell r="D4418" t="str">
            <v>Al Soqoor Primary Model  School</v>
          </cell>
          <cell r="H4418" t="str">
            <v>AD</v>
          </cell>
        </row>
        <row r="4419">
          <cell r="B4419" t="str">
            <v>Fire hose cabinet</v>
          </cell>
          <cell r="D4419" t="str">
            <v>Al Soqoor Primary Model  School</v>
          </cell>
          <cell r="H4419" t="str">
            <v>AD</v>
          </cell>
        </row>
        <row r="4420">
          <cell r="B4420" t="str">
            <v>Fire hose cabinet</v>
          </cell>
          <cell r="D4420" t="str">
            <v>Al Soqoor Primary Model  School</v>
          </cell>
          <cell r="H4420" t="str">
            <v>AD</v>
          </cell>
        </row>
        <row r="4421">
          <cell r="B4421" t="str">
            <v>Fire hose cabinet</v>
          </cell>
          <cell r="D4421" t="str">
            <v>Al Soqoor Primary Model  School</v>
          </cell>
          <cell r="H4421" t="str">
            <v>AD</v>
          </cell>
        </row>
        <row r="4422">
          <cell r="B4422" t="str">
            <v>Fire hose cabinet</v>
          </cell>
          <cell r="D4422" t="str">
            <v>Al Soqoor Primary Model  School</v>
          </cell>
          <cell r="H4422" t="str">
            <v>AD</v>
          </cell>
        </row>
        <row r="4423">
          <cell r="B4423" t="str">
            <v>Fire hose cabinet</v>
          </cell>
          <cell r="D4423" t="str">
            <v>Al Soqoor Primary Model  School</v>
          </cell>
          <cell r="H4423" t="str">
            <v>AD</v>
          </cell>
        </row>
        <row r="4424">
          <cell r="B4424" t="str">
            <v>Fire hose cabinet</v>
          </cell>
          <cell r="D4424" t="str">
            <v>Al Soqoor Primary Model  School</v>
          </cell>
          <cell r="H4424" t="str">
            <v>AD</v>
          </cell>
        </row>
        <row r="4425">
          <cell r="B4425" t="str">
            <v>Fire hose cabinet</v>
          </cell>
          <cell r="D4425" t="str">
            <v>Al Soqoor Primary Model  School</v>
          </cell>
          <cell r="H4425" t="str">
            <v>AD</v>
          </cell>
        </row>
        <row r="4426">
          <cell r="B4426" t="str">
            <v>Fire hose cabinet</v>
          </cell>
          <cell r="D4426" t="str">
            <v>Al Soqoor Primary Model  School</v>
          </cell>
          <cell r="H4426" t="str">
            <v>AD</v>
          </cell>
        </row>
        <row r="4427">
          <cell r="B4427" t="str">
            <v>Fire hose cabinet</v>
          </cell>
          <cell r="D4427" t="str">
            <v>Al Soqoor Primary Model  School</v>
          </cell>
          <cell r="H4427" t="str">
            <v>AD</v>
          </cell>
        </row>
        <row r="4428">
          <cell r="B4428" t="str">
            <v>Fire hose cabinet</v>
          </cell>
          <cell r="D4428" t="str">
            <v>Al Soqoor Primary Model  School</v>
          </cell>
          <cell r="H4428" t="str">
            <v>AD</v>
          </cell>
        </row>
        <row r="4429">
          <cell r="B4429" t="str">
            <v>Fire hose cabinet</v>
          </cell>
          <cell r="D4429" t="str">
            <v>Al Soqoor Primary Model  School</v>
          </cell>
          <cell r="H4429" t="str">
            <v>AD</v>
          </cell>
        </row>
        <row r="4430">
          <cell r="B4430" t="str">
            <v>Fire hose cabinet</v>
          </cell>
          <cell r="D4430" t="str">
            <v>Al Soqoor Primary Model  School</v>
          </cell>
          <cell r="H4430" t="str">
            <v>AD</v>
          </cell>
        </row>
        <row r="4431">
          <cell r="B4431" t="str">
            <v>Fire hose cabinet</v>
          </cell>
          <cell r="D4431" t="str">
            <v>Al Soqoor Primary Model  School</v>
          </cell>
          <cell r="H4431" t="str">
            <v>AD</v>
          </cell>
        </row>
        <row r="4432">
          <cell r="B4432" t="str">
            <v>Fire hose cabinet</v>
          </cell>
          <cell r="D4432" t="str">
            <v>Al Soqoor Primary Model  School</v>
          </cell>
          <cell r="H4432" t="str">
            <v>AD</v>
          </cell>
        </row>
        <row r="4433">
          <cell r="B4433" t="str">
            <v>Fire hose cabinet</v>
          </cell>
          <cell r="D4433" t="str">
            <v>Al Soqoor Primary Model  School</v>
          </cell>
          <cell r="H4433" t="str">
            <v>AD</v>
          </cell>
        </row>
        <row r="4434">
          <cell r="B4434" t="str">
            <v>Fire hose cabinet</v>
          </cell>
          <cell r="D4434" t="str">
            <v>Al Soqoor Primary Model  School</v>
          </cell>
          <cell r="H4434" t="str">
            <v>AD</v>
          </cell>
        </row>
        <row r="4435">
          <cell r="B4435" t="str">
            <v>Fire hose cabinet</v>
          </cell>
          <cell r="D4435" t="str">
            <v>Al Soqoor Primary Model  School</v>
          </cell>
          <cell r="H4435" t="str">
            <v>AD</v>
          </cell>
        </row>
        <row r="4436">
          <cell r="B4436" t="str">
            <v>Fire hose cabinet</v>
          </cell>
          <cell r="D4436" t="str">
            <v>Al Soqoor Primary Model  School</v>
          </cell>
          <cell r="H4436" t="str">
            <v>AD</v>
          </cell>
        </row>
        <row r="4437">
          <cell r="B4437" t="str">
            <v>Fire hose cabinet</v>
          </cell>
          <cell r="D4437" t="str">
            <v>Al Soqoor Primary Model  School</v>
          </cell>
          <cell r="H4437" t="str">
            <v>AD</v>
          </cell>
        </row>
        <row r="4438">
          <cell r="B4438" t="str">
            <v>Fire hose reel</v>
          </cell>
          <cell r="D4438" t="str">
            <v>Al Soqoor Primary Model  School</v>
          </cell>
          <cell r="H4438" t="str">
            <v>AD</v>
          </cell>
        </row>
        <row r="4439">
          <cell r="B4439" t="str">
            <v>Fire hose reel</v>
          </cell>
          <cell r="D4439" t="str">
            <v>Al Soqoor Primary Model  School</v>
          </cell>
          <cell r="H4439" t="str">
            <v>AD</v>
          </cell>
        </row>
        <row r="4440">
          <cell r="B4440" t="str">
            <v>Fire hose reel</v>
          </cell>
          <cell r="D4440" t="str">
            <v>Al Soqoor Primary Model  School</v>
          </cell>
          <cell r="H4440" t="str">
            <v>AD</v>
          </cell>
        </row>
        <row r="4441">
          <cell r="B4441" t="str">
            <v>Fire hose reel</v>
          </cell>
          <cell r="D4441" t="str">
            <v>Al Soqoor Primary Model  School</v>
          </cell>
          <cell r="H4441" t="str">
            <v>AD</v>
          </cell>
        </row>
        <row r="4442">
          <cell r="B4442" t="str">
            <v>Fire hose reel</v>
          </cell>
          <cell r="D4442" t="str">
            <v>Al Soqoor Primary Model  School</v>
          </cell>
          <cell r="H4442" t="str">
            <v>AD</v>
          </cell>
        </row>
        <row r="4443">
          <cell r="B4443" t="str">
            <v>Fire hose reel</v>
          </cell>
          <cell r="D4443" t="str">
            <v>Al Soqoor Primary Model  School</v>
          </cell>
          <cell r="H4443" t="str">
            <v>AD</v>
          </cell>
        </row>
        <row r="4444">
          <cell r="B4444" t="str">
            <v>Fire hose reel</v>
          </cell>
          <cell r="D4444" t="str">
            <v>Al Soqoor Primary Model  School</v>
          </cell>
          <cell r="H4444" t="str">
            <v>AD</v>
          </cell>
        </row>
        <row r="4445">
          <cell r="B4445" t="str">
            <v>Fire hose reel</v>
          </cell>
          <cell r="D4445" t="str">
            <v>Al Soqoor Primary Model  School</v>
          </cell>
          <cell r="H4445" t="str">
            <v>AD</v>
          </cell>
        </row>
        <row r="4446">
          <cell r="B4446" t="str">
            <v>Fire hose reel</v>
          </cell>
          <cell r="D4446" t="str">
            <v>Al Soqoor Primary Model  School</v>
          </cell>
          <cell r="H4446" t="str">
            <v>AD</v>
          </cell>
        </row>
        <row r="4447">
          <cell r="B4447" t="str">
            <v>Smoke Detector &amp; Heat Detector</v>
          </cell>
          <cell r="D4447" t="str">
            <v>Al Soqoor Primary Model  School</v>
          </cell>
          <cell r="H4447" t="str">
            <v>AD</v>
          </cell>
        </row>
        <row r="4448">
          <cell r="B4448" t="str">
            <v>Smoke Detector &amp; Heat Detector</v>
          </cell>
          <cell r="D4448" t="str">
            <v>Al Soqoor Primary Model  School</v>
          </cell>
          <cell r="H4448" t="str">
            <v>AD</v>
          </cell>
        </row>
        <row r="4449">
          <cell r="B4449" t="str">
            <v>Smoke Detector &amp; Heat Detector</v>
          </cell>
          <cell r="D4449" t="str">
            <v>Al Soqoor Primary Model  School</v>
          </cell>
          <cell r="H4449" t="str">
            <v>AD</v>
          </cell>
        </row>
        <row r="4450">
          <cell r="B4450" t="str">
            <v>Smoke Detector &amp; Heat Detector</v>
          </cell>
          <cell r="D4450" t="str">
            <v>Al Soqoor Primary Model  School</v>
          </cell>
          <cell r="H4450" t="str">
            <v>AD</v>
          </cell>
        </row>
        <row r="4451">
          <cell r="B4451" t="str">
            <v>Smoke Detector &amp; Heat Detector</v>
          </cell>
          <cell r="D4451" t="str">
            <v>Al Soqoor Primary Model  School</v>
          </cell>
          <cell r="H4451" t="str">
            <v>AD</v>
          </cell>
        </row>
        <row r="4452">
          <cell r="B4452" t="str">
            <v>Smoke Detector &amp; Heat Detector</v>
          </cell>
          <cell r="D4452" t="str">
            <v>Al Soqoor Primary Model  School</v>
          </cell>
          <cell r="H4452" t="str">
            <v>AD</v>
          </cell>
        </row>
        <row r="4453">
          <cell r="B4453" t="str">
            <v>Smoke Detector &amp; Heat Detector</v>
          </cell>
          <cell r="D4453" t="str">
            <v>Al Soqoor Primary Model  School</v>
          </cell>
          <cell r="H4453" t="str">
            <v>AD</v>
          </cell>
        </row>
        <row r="4454">
          <cell r="B4454" t="str">
            <v>Smoke Detector &amp; Heat Detector</v>
          </cell>
          <cell r="D4454" t="str">
            <v>Al Soqoor Primary Model  School</v>
          </cell>
          <cell r="H4454" t="str">
            <v>AD</v>
          </cell>
        </row>
        <row r="4455">
          <cell r="B4455" t="str">
            <v>Smoke Detector &amp; Heat Detector</v>
          </cell>
          <cell r="D4455" t="str">
            <v>Al Soqoor Primary Model  School</v>
          </cell>
          <cell r="H4455" t="str">
            <v>AD</v>
          </cell>
        </row>
        <row r="4456">
          <cell r="B4456" t="str">
            <v>Smoke Detector &amp; Heat Detector</v>
          </cell>
          <cell r="D4456" t="str">
            <v>Al Soqoor Primary Model  School</v>
          </cell>
          <cell r="H4456" t="str">
            <v>AD</v>
          </cell>
        </row>
        <row r="4457">
          <cell r="B4457" t="str">
            <v>Smoke Detector &amp; Heat Detector</v>
          </cell>
          <cell r="D4457" t="str">
            <v>Al Soqoor Primary Model  School</v>
          </cell>
          <cell r="H4457" t="str">
            <v>AD</v>
          </cell>
        </row>
        <row r="4458">
          <cell r="B4458" t="str">
            <v>Smoke Detector &amp; Heat Detector</v>
          </cell>
          <cell r="D4458" t="str">
            <v>Al Soqoor Primary Model  School</v>
          </cell>
          <cell r="H4458" t="str">
            <v>AD</v>
          </cell>
        </row>
        <row r="4459">
          <cell r="B4459" t="str">
            <v>Smoke Detector &amp; Heat Detector</v>
          </cell>
          <cell r="D4459" t="str">
            <v>Al Soqoor Primary Model  School</v>
          </cell>
          <cell r="H4459" t="str">
            <v>AD</v>
          </cell>
        </row>
        <row r="4460">
          <cell r="B4460" t="str">
            <v>Smoke Detector &amp; Heat Detector</v>
          </cell>
          <cell r="D4460" t="str">
            <v>Al Soqoor Primary Model  School</v>
          </cell>
          <cell r="H4460" t="str">
            <v>AD</v>
          </cell>
        </row>
        <row r="4461">
          <cell r="B4461" t="str">
            <v>Smoke Detector &amp; Heat Detector</v>
          </cell>
          <cell r="D4461" t="str">
            <v>Al Soqoor Primary Model  School</v>
          </cell>
          <cell r="H4461" t="str">
            <v>AD</v>
          </cell>
        </row>
        <row r="4462">
          <cell r="B4462" t="str">
            <v>Smoke Detector &amp; Heat Detector</v>
          </cell>
          <cell r="D4462" t="str">
            <v>Al Soqoor Primary Model  School</v>
          </cell>
          <cell r="H4462" t="str">
            <v>AD</v>
          </cell>
        </row>
        <row r="4463">
          <cell r="B4463" t="str">
            <v>Smoke Detector &amp; Heat Detector</v>
          </cell>
          <cell r="D4463" t="str">
            <v>Al Soqoor Primary Model  School</v>
          </cell>
          <cell r="H4463" t="str">
            <v>AD</v>
          </cell>
        </row>
        <row r="4464">
          <cell r="B4464" t="str">
            <v>Smoke Detector &amp; Heat Detector</v>
          </cell>
          <cell r="D4464" t="str">
            <v>Al Soqoor Primary Model  School</v>
          </cell>
          <cell r="H4464" t="str">
            <v>AD</v>
          </cell>
        </row>
        <row r="4465">
          <cell r="B4465" t="str">
            <v>Smoke Detector &amp; Heat Detector</v>
          </cell>
          <cell r="D4465" t="str">
            <v>Al Soqoor Primary Model  School</v>
          </cell>
          <cell r="H4465" t="str">
            <v>AD</v>
          </cell>
        </row>
        <row r="4466">
          <cell r="B4466" t="str">
            <v>Smoke Detector &amp; Heat Detector</v>
          </cell>
          <cell r="D4466" t="str">
            <v>Al Soqoor Primary Model  School</v>
          </cell>
          <cell r="H4466" t="str">
            <v>AD</v>
          </cell>
        </row>
        <row r="4467">
          <cell r="B4467" t="str">
            <v>Smoke Detector &amp; Heat Detector</v>
          </cell>
          <cell r="D4467" t="str">
            <v>Al Soqoor Primary Model  School</v>
          </cell>
          <cell r="H4467" t="str">
            <v>AD</v>
          </cell>
        </row>
        <row r="4468">
          <cell r="B4468" t="str">
            <v>Smoke Detector &amp; Heat Detector</v>
          </cell>
          <cell r="D4468" t="str">
            <v>Al Soqoor Primary Model  School</v>
          </cell>
          <cell r="H4468" t="str">
            <v>AD</v>
          </cell>
        </row>
        <row r="4469">
          <cell r="B4469" t="str">
            <v>Smoke Detector &amp; Heat Detector</v>
          </cell>
          <cell r="D4469" t="str">
            <v>Al Soqoor Primary Model  School</v>
          </cell>
          <cell r="H4469" t="str">
            <v>AD</v>
          </cell>
        </row>
        <row r="4470">
          <cell r="B4470" t="str">
            <v>Smoke Detector &amp; Heat Detector</v>
          </cell>
          <cell r="D4470" t="str">
            <v>Al Soqoor Primary Model  School</v>
          </cell>
          <cell r="H4470" t="str">
            <v>AD</v>
          </cell>
        </row>
        <row r="4471">
          <cell r="B4471" t="str">
            <v>Smoke Detector &amp; Heat Detector</v>
          </cell>
          <cell r="D4471" t="str">
            <v>Al Soqoor Primary Model  School</v>
          </cell>
          <cell r="H4471" t="str">
            <v>AD</v>
          </cell>
        </row>
        <row r="4472">
          <cell r="B4472" t="str">
            <v>Smoke Detector &amp; Heat Detector</v>
          </cell>
          <cell r="D4472" t="str">
            <v>Al Soqoor Primary Model  School</v>
          </cell>
          <cell r="H4472" t="str">
            <v>AD</v>
          </cell>
        </row>
        <row r="4473">
          <cell r="B4473" t="str">
            <v>Smoke Detector &amp; Heat Detector</v>
          </cell>
          <cell r="D4473" t="str">
            <v>Al Soqoor Primary Model  School</v>
          </cell>
          <cell r="H4473" t="str">
            <v>AD</v>
          </cell>
        </row>
        <row r="4474">
          <cell r="B4474" t="str">
            <v>Smoke Detector &amp; Heat Detector</v>
          </cell>
          <cell r="D4474" t="str">
            <v>Al Soqoor Primary Model  School</v>
          </cell>
          <cell r="H4474" t="str">
            <v>AD</v>
          </cell>
        </row>
        <row r="4475">
          <cell r="B4475" t="str">
            <v>Smoke Detector &amp; Heat Detector</v>
          </cell>
          <cell r="D4475" t="str">
            <v>Al Soqoor Primary Model  School</v>
          </cell>
          <cell r="H4475" t="str">
            <v>AD</v>
          </cell>
        </row>
        <row r="4476">
          <cell r="B4476" t="str">
            <v>Smoke Detector &amp; Heat Detector</v>
          </cell>
          <cell r="D4476" t="str">
            <v>Al Soqoor Primary Model  School</v>
          </cell>
          <cell r="H4476" t="str">
            <v>AD</v>
          </cell>
        </row>
        <row r="4477">
          <cell r="B4477" t="str">
            <v>Smoke Detector &amp; Heat Detector</v>
          </cell>
          <cell r="D4477" t="str">
            <v>Al Soqoor Primary Model  School</v>
          </cell>
          <cell r="H4477" t="str">
            <v>AD</v>
          </cell>
        </row>
        <row r="4478">
          <cell r="B4478" t="str">
            <v>Smoke Detector &amp; Heat Detector</v>
          </cell>
          <cell r="D4478" t="str">
            <v>Al Soqoor Primary Model  School</v>
          </cell>
          <cell r="H4478" t="str">
            <v>AD</v>
          </cell>
        </row>
        <row r="4479">
          <cell r="B4479" t="str">
            <v>Smoke Detector &amp; Heat Detector</v>
          </cell>
          <cell r="D4479" t="str">
            <v>Al Soqoor Primary Model  School</v>
          </cell>
          <cell r="H4479" t="str">
            <v>AD</v>
          </cell>
        </row>
        <row r="4480">
          <cell r="B4480" t="str">
            <v>Smoke Detector &amp; Heat Detector</v>
          </cell>
          <cell r="D4480" t="str">
            <v>Al Soqoor Primary Model  School</v>
          </cell>
          <cell r="H4480" t="str">
            <v>AD</v>
          </cell>
        </row>
        <row r="4481">
          <cell r="B4481" t="str">
            <v>Smoke Detector &amp; Heat Detector</v>
          </cell>
          <cell r="D4481" t="str">
            <v>Al Soqoor Primary Model  School</v>
          </cell>
          <cell r="H4481" t="str">
            <v>AD</v>
          </cell>
        </row>
        <row r="4482">
          <cell r="B4482" t="str">
            <v>Smoke Detector &amp; Heat Detector</v>
          </cell>
          <cell r="D4482" t="str">
            <v>Al Soqoor Primary Model  School</v>
          </cell>
          <cell r="H4482" t="str">
            <v>AD</v>
          </cell>
        </row>
        <row r="4483">
          <cell r="B4483" t="str">
            <v>Smoke Detector &amp; Heat Detector</v>
          </cell>
          <cell r="D4483" t="str">
            <v>Al Soqoor Primary Model  School</v>
          </cell>
          <cell r="H4483" t="str">
            <v>AD</v>
          </cell>
        </row>
        <row r="4484">
          <cell r="B4484" t="str">
            <v>Smoke Detector &amp; Heat Detector</v>
          </cell>
          <cell r="D4484" t="str">
            <v>Al Soqoor Primary Model  School</v>
          </cell>
          <cell r="H4484" t="str">
            <v>AD</v>
          </cell>
        </row>
        <row r="4485">
          <cell r="B4485" t="str">
            <v>Smoke Detector &amp; Heat Detector</v>
          </cell>
          <cell r="D4485" t="str">
            <v>Al Soqoor Primary Model  School</v>
          </cell>
          <cell r="H4485" t="str">
            <v>AD</v>
          </cell>
        </row>
        <row r="4486">
          <cell r="B4486" t="str">
            <v>Smoke Detector &amp; Heat Detector</v>
          </cell>
          <cell r="D4486" t="str">
            <v>Al Soqoor Primary Model  School</v>
          </cell>
          <cell r="H4486" t="str">
            <v>AD</v>
          </cell>
        </row>
        <row r="4487">
          <cell r="B4487" t="str">
            <v>Smoke Detector &amp; Heat Detector</v>
          </cell>
          <cell r="D4487" t="str">
            <v>Al Soqoor Primary Model  School</v>
          </cell>
          <cell r="H4487" t="str">
            <v>AD</v>
          </cell>
        </row>
        <row r="4488">
          <cell r="B4488" t="str">
            <v>Smoke Detector &amp; Heat Detector</v>
          </cell>
          <cell r="D4488" t="str">
            <v>Al Soqoor Primary Model  School</v>
          </cell>
          <cell r="H4488" t="str">
            <v>AD</v>
          </cell>
        </row>
        <row r="4489">
          <cell r="B4489" t="str">
            <v>Smoke Detector &amp; Heat Detector</v>
          </cell>
          <cell r="D4489" t="str">
            <v>Al Soqoor Primary Model  School</v>
          </cell>
          <cell r="H4489" t="str">
            <v>AD</v>
          </cell>
        </row>
        <row r="4490">
          <cell r="B4490" t="str">
            <v>Smoke Detector &amp; Heat Detector</v>
          </cell>
          <cell r="D4490" t="str">
            <v>Al Soqoor Primary Model  School</v>
          </cell>
          <cell r="H4490" t="str">
            <v>AD</v>
          </cell>
        </row>
        <row r="4491">
          <cell r="B4491" t="str">
            <v>Smoke Detector &amp; Heat Detector</v>
          </cell>
          <cell r="D4491" t="str">
            <v>Al Soqoor Primary Model  School</v>
          </cell>
          <cell r="H4491" t="str">
            <v>AD</v>
          </cell>
        </row>
        <row r="4492">
          <cell r="B4492" t="str">
            <v>Smoke Detector &amp; Heat Detector</v>
          </cell>
          <cell r="D4492" t="str">
            <v>Al Soqoor Primary Model  School</v>
          </cell>
          <cell r="H4492" t="str">
            <v>AD</v>
          </cell>
        </row>
        <row r="4493">
          <cell r="B4493" t="str">
            <v>Smoke Detector &amp; Heat Detector</v>
          </cell>
          <cell r="D4493" t="str">
            <v>Al Soqoor Primary Model  School</v>
          </cell>
          <cell r="H4493" t="str">
            <v>AD</v>
          </cell>
        </row>
        <row r="4494">
          <cell r="B4494" t="str">
            <v>Smoke Detector &amp; Heat Detector</v>
          </cell>
          <cell r="D4494" t="str">
            <v>Al Soqoor Primary Model  School</v>
          </cell>
          <cell r="H4494" t="str">
            <v>AD</v>
          </cell>
        </row>
        <row r="4495">
          <cell r="B4495" t="str">
            <v>Smoke Detector &amp; Heat Detector</v>
          </cell>
          <cell r="D4495" t="str">
            <v>Al Soqoor Primary Model  School</v>
          </cell>
          <cell r="H4495" t="str">
            <v>AD</v>
          </cell>
        </row>
        <row r="4496">
          <cell r="B4496" t="str">
            <v>Smoke Detector &amp; Heat Detector</v>
          </cell>
          <cell r="D4496" t="str">
            <v>Al Soqoor Primary Model  School</v>
          </cell>
          <cell r="H4496" t="str">
            <v>AD</v>
          </cell>
        </row>
        <row r="4497">
          <cell r="B4497" t="str">
            <v>Smoke Detector &amp; Heat Detector</v>
          </cell>
          <cell r="D4497" t="str">
            <v>Al Soqoor Primary Model  School</v>
          </cell>
          <cell r="H4497" t="str">
            <v>AD</v>
          </cell>
        </row>
        <row r="4498">
          <cell r="B4498" t="str">
            <v>Smoke Detector &amp; Heat Detector</v>
          </cell>
          <cell r="D4498" t="str">
            <v>Al Soqoor Primary Model  School</v>
          </cell>
          <cell r="H4498" t="str">
            <v>AD</v>
          </cell>
        </row>
        <row r="4499">
          <cell r="B4499" t="str">
            <v>Smoke Detector &amp; Heat Detector</v>
          </cell>
          <cell r="D4499" t="str">
            <v>Al Soqoor Primary Model  School</v>
          </cell>
          <cell r="H4499" t="str">
            <v>AD</v>
          </cell>
        </row>
        <row r="4500">
          <cell r="B4500" t="str">
            <v>Smoke Detector &amp; Heat Detector</v>
          </cell>
          <cell r="D4500" t="str">
            <v>Al Soqoor Primary Model  School</v>
          </cell>
          <cell r="H4500" t="str">
            <v>AD</v>
          </cell>
        </row>
        <row r="4501">
          <cell r="B4501" t="str">
            <v>Smoke Detector &amp; Heat Detector</v>
          </cell>
          <cell r="D4501" t="str">
            <v>Al Soqoor Primary Model  School</v>
          </cell>
          <cell r="H4501" t="str">
            <v>AD</v>
          </cell>
        </row>
        <row r="4502">
          <cell r="B4502" t="str">
            <v>Smoke Detector &amp; Heat Detector</v>
          </cell>
          <cell r="D4502" t="str">
            <v>Al Soqoor Primary Model  School</v>
          </cell>
          <cell r="H4502" t="str">
            <v>AD</v>
          </cell>
        </row>
        <row r="4503">
          <cell r="B4503" t="str">
            <v>Smoke Detector &amp; Heat Detector</v>
          </cell>
          <cell r="D4503" t="str">
            <v>Al Soqoor Primary Model  School</v>
          </cell>
          <cell r="H4503" t="str">
            <v>AD</v>
          </cell>
        </row>
        <row r="4504">
          <cell r="B4504" t="str">
            <v>Smoke Detector &amp; Heat Detector</v>
          </cell>
          <cell r="D4504" t="str">
            <v>Al Soqoor Primary Model  School</v>
          </cell>
          <cell r="H4504" t="str">
            <v>AD</v>
          </cell>
        </row>
        <row r="4505">
          <cell r="B4505" t="str">
            <v>Smoke Detector &amp; Heat Detector</v>
          </cell>
          <cell r="D4505" t="str">
            <v>Al Soqoor Primary Model  School</v>
          </cell>
          <cell r="H4505" t="str">
            <v>AD</v>
          </cell>
        </row>
        <row r="4506">
          <cell r="B4506" t="str">
            <v>Smoke Detector &amp; Heat Detector</v>
          </cell>
          <cell r="D4506" t="str">
            <v>Al Soqoor Primary Model  School</v>
          </cell>
          <cell r="H4506" t="str">
            <v>AD</v>
          </cell>
        </row>
        <row r="4507">
          <cell r="B4507" t="str">
            <v>Smoke Detector &amp; Heat Detector</v>
          </cell>
          <cell r="D4507" t="str">
            <v>Al Soqoor Primary Model  School</v>
          </cell>
          <cell r="H4507" t="str">
            <v>AD</v>
          </cell>
        </row>
        <row r="4508">
          <cell r="B4508" t="str">
            <v>Smoke Detector &amp; Heat Detector</v>
          </cell>
          <cell r="D4508" t="str">
            <v>Al Soqoor Primary Model  School</v>
          </cell>
          <cell r="H4508" t="str">
            <v>AD</v>
          </cell>
        </row>
        <row r="4509">
          <cell r="B4509" t="str">
            <v>Smoke Detector &amp; Heat Detector</v>
          </cell>
          <cell r="D4509" t="str">
            <v>Al Soqoor Primary Model  School</v>
          </cell>
          <cell r="H4509" t="str">
            <v>AD</v>
          </cell>
        </row>
        <row r="4510">
          <cell r="B4510" t="str">
            <v>Smoke Detector &amp; Heat Detector</v>
          </cell>
          <cell r="D4510" t="str">
            <v>Al Soqoor Primary Model  School</v>
          </cell>
          <cell r="H4510" t="str">
            <v>AD</v>
          </cell>
        </row>
        <row r="4511">
          <cell r="B4511" t="str">
            <v>Smoke Detector &amp; Heat Detector</v>
          </cell>
          <cell r="D4511" t="str">
            <v>Al Soqoor Primary Model  School</v>
          </cell>
          <cell r="H4511" t="str">
            <v>AD</v>
          </cell>
        </row>
        <row r="4512">
          <cell r="B4512" t="str">
            <v>Smoke Detector &amp; Heat Detector</v>
          </cell>
          <cell r="D4512" t="str">
            <v>Al Soqoor Primary Model  School</v>
          </cell>
          <cell r="H4512" t="str">
            <v>AD</v>
          </cell>
        </row>
        <row r="4513">
          <cell r="B4513" t="str">
            <v>Smoke Detector &amp; Heat Detector</v>
          </cell>
          <cell r="D4513" t="str">
            <v>Al Soqoor Primary Model  School</v>
          </cell>
          <cell r="H4513" t="str">
            <v>AD</v>
          </cell>
        </row>
        <row r="4514">
          <cell r="B4514" t="str">
            <v>Smoke Detector &amp; Heat Detector</v>
          </cell>
          <cell r="D4514" t="str">
            <v>Al Soqoor Primary Model  School</v>
          </cell>
          <cell r="H4514" t="str">
            <v>AD</v>
          </cell>
        </row>
        <row r="4515">
          <cell r="B4515" t="str">
            <v>Smoke Detector &amp; Heat Detector</v>
          </cell>
          <cell r="D4515" t="str">
            <v>Al Soqoor Primary Model  School</v>
          </cell>
          <cell r="H4515" t="str">
            <v>AD</v>
          </cell>
        </row>
        <row r="4516">
          <cell r="B4516" t="str">
            <v>Smoke Detector &amp; Heat Detector</v>
          </cell>
          <cell r="D4516" t="str">
            <v>Al Soqoor Primary Model  School</v>
          </cell>
          <cell r="H4516" t="str">
            <v>AD</v>
          </cell>
        </row>
        <row r="4517">
          <cell r="B4517" t="str">
            <v>Smoke Detector &amp; Heat Detector</v>
          </cell>
          <cell r="D4517" t="str">
            <v>Al Soqoor Primary Model  School</v>
          </cell>
          <cell r="H4517" t="str">
            <v>AD</v>
          </cell>
        </row>
        <row r="4518">
          <cell r="B4518" t="str">
            <v>Smoke Detector &amp; Heat Detector</v>
          </cell>
          <cell r="D4518" t="str">
            <v>Al Soqoor Primary Model  School</v>
          </cell>
          <cell r="H4518" t="str">
            <v>AD</v>
          </cell>
        </row>
        <row r="4519">
          <cell r="B4519" t="str">
            <v>Smoke Detector &amp; Heat Detector</v>
          </cell>
          <cell r="D4519" t="str">
            <v>Al Soqoor Primary Model  School</v>
          </cell>
          <cell r="H4519" t="str">
            <v>AD</v>
          </cell>
        </row>
        <row r="4520">
          <cell r="B4520" t="str">
            <v>Smoke Detector &amp; Heat Detector</v>
          </cell>
          <cell r="D4520" t="str">
            <v>Al Soqoor Primary Model  School</v>
          </cell>
          <cell r="H4520" t="str">
            <v>AD</v>
          </cell>
        </row>
        <row r="4521">
          <cell r="B4521" t="str">
            <v>Smoke Detector &amp; Heat Detector</v>
          </cell>
          <cell r="D4521" t="str">
            <v>Al Soqoor Primary Model  School</v>
          </cell>
          <cell r="H4521" t="str">
            <v>AD</v>
          </cell>
        </row>
        <row r="4522">
          <cell r="B4522" t="str">
            <v>Smoke Detector &amp; Heat Detector</v>
          </cell>
          <cell r="D4522" t="str">
            <v>Al Soqoor Primary Model  School</v>
          </cell>
          <cell r="H4522" t="str">
            <v>AD</v>
          </cell>
        </row>
        <row r="4523">
          <cell r="B4523" t="str">
            <v>Smoke Detector &amp; Heat Detector</v>
          </cell>
          <cell r="D4523" t="str">
            <v>Al Soqoor Primary Model  School</v>
          </cell>
          <cell r="H4523" t="str">
            <v>AD</v>
          </cell>
        </row>
        <row r="4524">
          <cell r="B4524" t="str">
            <v>Smoke Detector &amp; Heat Detector</v>
          </cell>
          <cell r="D4524" t="str">
            <v>Al Soqoor Primary Model  School</v>
          </cell>
          <cell r="H4524" t="str">
            <v>AD</v>
          </cell>
        </row>
        <row r="4525">
          <cell r="B4525" t="str">
            <v>Smoke Detector &amp; Heat Detector</v>
          </cell>
          <cell r="D4525" t="str">
            <v>Al Soqoor Primary Model  School</v>
          </cell>
          <cell r="H4525" t="str">
            <v>AD</v>
          </cell>
        </row>
        <row r="4526">
          <cell r="B4526" t="str">
            <v>Smoke Detector &amp; Heat Detector</v>
          </cell>
          <cell r="D4526" t="str">
            <v>Al Soqoor Primary Model  School</v>
          </cell>
          <cell r="H4526" t="str">
            <v>AD</v>
          </cell>
        </row>
        <row r="4527">
          <cell r="B4527" t="str">
            <v>Smoke Detector &amp; Heat Detector</v>
          </cell>
          <cell r="D4527" t="str">
            <v>Al Soqoor Primary Model  School</v>
          </cell>
          <cell r="H4527" t="str">
            <v>AD</v>
          </cell>
        </row>
        <row r="4528">
          <cell r="B4528" t="str">
            <v>Smoke Detector &amp; Heat Detector</v>
          </cell>
          <cell r="D4528" t="str">
            <v>Al Soqoor Primary Model  School</v>
          </cell>
          <cell r="H4528" t="str">
            <v>AD</v>
          </cell>
        </row>
        <row r="4529">
          <cell r="B4529" t="str">
            <v>Smoke Detector &amp; Heat Detector</v>
          </cell>
          <cell r="D4529" t="str">
            <v>Al Soqoor Primary Model  School</v>
          </cell>
          <cell r="H4529" t="str">
            <v>AD</v>
          </cell>
        </row>
        <row r="4530">
          <cell r="B4530" t="str">
            <v>Smoke Detector &amp; Heat Detector</v>
          </cell>
          <cell r="D4530" t="str">
            <v>Al Soqoor Primary Model  School</v>
          </cell>
          <cell r="H4530" t="str">
            <v>AD</v>
          </cell>
        </row>
        <row r="4531">
          <cell r="B4531" t="str">
            <v>Smoke Detector &amp; Heat Detector</v>
          </cell>
          <cell r="D4531" t="str">
            <v>Al Soqoor Primary Model  School</v>
          </cell>
          <cell r="H4531" t="str">
            <v>AD</v>
          </cell>
        </row>
        <row r="4532">
          <cell r="B4532" t="str">
            <v>Smoke Detector &amp; Heat Detector</v>
          </cell>
          <cell r="D4532" t="str">
            <v>Al Soqoor Primary Model  School</v>
          </cell>
          <cell r="H4532" t="str">
            <v>AD</v>
          </cell>
        </row>
        <row r="4533">
          <cell r="B4533" t="str">
            <v>Smoke Detector &amp; Heat Detector</v>
          </cell>
          <cell r="D4533" t="str">
            <v>Al Soqoor Primary Model  School</v>
          </cell>
          <cell r="H4533" t="str">
            <v>AD</v>
          </cell>
        </row>
        <row r="4534">
          <cell r="B4534" t="str">
            <v>Smoke Detector &amp; Heat Detector</v>
          </cell>
          <cell r="D4534" t="str">
            <v>Al Soqoor Primary Model  School</v>
          </cell>
          <cell r="H4534" t="str">
            <v>AD</v>
          </cell>
        </row>
        <row r="4535">
          <cell r="B4535" t="str">
            <v>Smoke Detector &amp; Heat Detector</v>
          </cell>
          <cell r="D4535" t="str">
            <v>Al Soqoor Primary Model  School</v>
          </cell>
          <cell r="H4535" t="str">
            <v>AD</v>
          </cell>
        </row>
        <row r="4536">
          <cell r="B4536" t="str">
            <v>Smoke Detector &amp; Heat Detector</v>
          </cell>
          <cell r="D4536" t="str">
            <v>Al Soqoor Primary Model  School</v>
          </cell>
          <cell r="H4536" t="str">
            <v>AD</v>
          </cell>
        </row>
        <row r="4537">
          <cell r="B4537" t="str">
            <v>Smoke Detector &amp; Heat Detector</v>
          </cell>
          <cell r="D4537" t="str">
            <v>Al Soqoor Primary Model  School</v>
          </cell>
          <cell r="H4537" t="str">
            <v>AD</v>
          </cell>
        </row>
        <row r="4538">
          <cell r="B4538" t="str">
            <v>Smoke Detector &amp; Heat Detector</v>
          </cell>
          <cell r="D4538" t="str">
            <v>Al Soqoor Primary Model  School</v>
          </cell>
          <cell r="H4538" t="str">
            <v>AD</v>
          </cell>
        </row>
        <row r="4539">
          <cell r="B4539" t="str">
            <v>Smoke Detector &amp; Heat Detector</v>
          </cell>
          <cell r="D4539" t="str">
            <v>Al Soqoor Primary Model  School</v>
          </cell>
          <cell r="H4539" t="str">
            <v>AD</v>
          </cell>
        </row>
        <row r="4540">
          <cell r="B4540" t="str">
            <v>Smoke Detector &amp; Heat Detector</v>
          </cell>
          <cell r="D4540" t="str">
            <v>Al Soqoor Primary Model  School</v>
          </cell>
          <cell r="H4540" t="str">
            <v>AD</v>
          </cell>
        </row>
        <row r="4541">
          <cell r="B4541" t="str">
            <v>Smoke Detector &amp; Heat Detector</v>
          </cell>
          <cell r="D4541" t="str">
            <v>Al Soqoor Primary Model  School</v>
          </cell>
          <cell r="H4541" t="str">
            <v>AD</v>
          </cell>
        </row>
        <row r="4542">
          <cell r="B4542" t="str">
            <v>Smoke Detector &amp; Heat Detector</v>
          </cell>
          <cell r="D4542" t="str">
            <v>Al Soqoor Primary Model  School</v>
          </cell>
          <cell r="H4542" t="str">
            <v>AD</v>
          </cell>
        </row>
        <row r="4543">
          <cell r="B4543" t="str">
            <v>Smoke Detector &amp; Heat Detector</v>
          </cell>
          <cell r="D4543" t="str">
            <v>Al Soqoor Primary Model  School</v>
          </cell>
          <cell r="H4543" t="str">
            <v>AD</v>
          </cell>
        </row>
        <row r="4544">
          <cell r="B4544" t="str">
            <v>Smoke Detector &amp; Heat Detector</v>
          </cell>
          <cell r="D4544" t="str">
            <v>Al Soqoor Primary Model  School</v>
          </cell>
          <cell r="H4544" t="str">
            <v>AD</v>
          </cell>
        </row>
        <row r="4545">
          <cell r="B4545" t="str">
            <v>Smoke Detector &amp; Heat Detector</v>
          </cell>
          <cell r="D4545" t="str">
            <v>Al Soqoor Primary Model  School</v>
          </cell>
          <cell r="H4545" t="str">
            <v>AD</v>
          </cell>
        </row>
        <row r="4546">
          <cell r="B4546" t="str">
            <v>Water Tank</v>
          </cell>
          <cell r="D4546" t="str">
            <v>Al Soqoor Primary Model  School</v>
          </cell>
          <cell r="H4546" t="str">
            <v>AD</v>
          </cell>
        </row>
        <row r="4547">
          <cell r="B4547" t="str">
            <v>Water Tank</v>
          </cell>
          <cell r="D4547" t="str">
            <v>Al Soqoor Primary Model  School</v>
          </cell>
          <cell r="H4547" t="str">
            <v>AD</v>
          </cell>
        </row>
        <row r="4548">
          <cell r="B4548" t="str">
            <v>Water Tank</v>
          </cell>
          <cell r="D4548" t="str">
            <v>Al Soqoor Primary Model  School</v>
          </cell>
          <cell r="H4548" t="str">
            <v>AD</v>
          </cell>
        </row>
        <row r="4549">
          <cell r="B4549" t="str">
            <v>Fire Alarm Break Glass Call Point</v>
          </cell>
          <cell r="D4549" t="str">
            <v>Al Taawun Primary School</v>
          </cell>
          <cell r="H4549" t="str">
            <v>AD</v>
          </cell>
        </row>
        <row r="4550">
          <cell r="B4550" t="str">
            <v>Fire Alarm Break Glass Call Point</v>
          </cell>
          <cell r="D4550" t="str">
            <v>Al Taawun Primary School</v>
          </cell>
          <cell r="H4550" t="str">
            <v>AD</v>
          </cell>
        </row>
        <row r="4551">
          <cell r="B4551" t="str">
            <v>Fire Alarm Break Glass Call Point</v>
          </cell>
          <cell r="D4551" t="str">
            <v>Al Taawun Primary School</v>
          </cell>
          <cell r="H4551" t="str">
            <v>AD</v>
          </cell>
        </row>
        <row r="4552">
          <cell r="B4552" t="str">
            <v>Fire Alarm Break Glass Call Point</v>
          </cell>
          <cell r="D4552" t="str">
            <v>Al Taawun Primary School</v>
          </cell>
          <cell r="H4552" t="str">
            <v>AD</v>
          </cell>
        </row>
        <row r="4553">
          <cell r="B4553" t="str">
            <v>Fire Alarm Break Glass Call Point</v>
          </cell>
          <cell r="D4553" t="str">
            <v>Al Taawun Primary School</v>
          </cell>
          <cell r="H4553" t="str">
            <v>AD</v>
          </cell>
        </row>
        <row r="4554">
          <cell r="B4554" t="str">
            <v>Fire Alarm Break Glass Call Point</v>
          </cell>
          <cell r="D4554" t="str">
            <v>Al Taawun Primary School</v>
          </cell>
          <cell r="H4554" t="str">
            <v>AD</v>
          </cell>
        </row>
        <row r="4555">
          <cell r="B4555" t="str">
            <v>Fire Alarm Break Glass Call Point</v>
          </cell>
          <cell r="D4555" t="str">
            <v>Al Taawun Primary School</v>
          </cell>
          <cell r="H4555" t="str">
            <v>AD</v>
          </cell>
        </row>
        <row r="4556">
          <cell r="B4556" t="str">
            <v>Fire Alarm Break Glass Call Point</v>
          </cell>
          <cell r="D4556" t="str">
            <v>Al Taawun Primary School</v>
          </cell>
          <cell r="H4556" t="str">
            <v>AD</v>
          </cell>
        </row>
        <row r="4557">
          <cell r="B4557" t="str">
            <v>Fire Alarm Break Glass Call Point</v>
          </cell>
          <cell r="D4557" t="str">
            <v>Al Taawun Primary School</v>
          </cell>
          <cell r="H4557" t="str">
            <v>AD</v>
          </cell>
        </row>
        <row r="4558">
          <cell r="B4558" t="str">
            <v>Fire Alarm Break Glass Call Point</v>
          </cell>
          <cell r="D4558" t="str">
            <v>Al Taawun Primary School</v>
          </cell>
          <cell r="H4558" t="str">
            <v>AD</v>
          </cell>
        </row>
        <row r="4559">
          <cell r="B4559" t="str">
            <v>Fire Alarm Break Glass Call Point</v>
          </cell>
          <cell r="D4559" t="str">
            <v>Al Taawun Primary School</v>
          </cell>
          <cell r="H4559" t="str">
            <v>AD</v>
          </cell>
        </row>
        <row r="4560">
          <cell r="B4560" t="str">
            <v>Fire Alarm Break Glass Call Point</v>
          </cell>
          <cell r="D4560" t="str">
            <v>Al Taawun Primary School</v>
          </cell>
          <cell r="H4560" t="str">
            <v>AD</v>
          </cell>
        </row>
        <row r="4561">
          <cell r="B4561" t="str">
            <v>Fire Alarm Break Glass Call Point</v>
          </cell>
          <cell r="D4561" t="str">
            <v>Al Taawun Primary School</v>
          </cell>
          <cell r="H4561" t="str">
            <v>AD</v>
          </cell>
        </row>
        <row r="4562">
          <cell r="B4562" t="str">
            <v>Fire Alarm Break Glass Call Point</v>
          </cell>
          <cell r="D4562" t="str">
            <v>Al Taawun Primary School</v>
          </cell>
          <cell r="H4562" t="str">
            <v>AD</v>
          </cell>
        </row>
        <row r="4563">
          <cell r="B4563" t="str">
            <v>Fire Alarm Break Glass Call Point</v>
          </cell>
          <cell r="D4563" t="str">
            <v>Al Taawun Primary School</v>
          </cell>
          <cell r="H4563" t="str">
            <v>AD</v>
          </cell>
        </row>
        <row r="4564">
          <cell r="B4564" t="str">
            <v>Fire Alarm Break Glass Call Point</v>
          </cell>
          <cell r="D4564" t="str">
            <v>Al Taawun Primary School</v>
          </cell>
          <cell r="H4564" t="str">
            <v>AD</v>
          </cell>
        </row>
        <row r="4565">
          <cell r="B4565" t="str">
            <v>Fire Alarm Panel</v>
          </cell>
          <cell r="D4565" t="str">
            <v>Al Taawun Primary School</v>
          </cell>
          <cell r="H4565" t="str">
            <v>AD</v>
          </cell>
        </row>
        <row r="4566">
          <cell r="B4566" t="str">
            <v>Fire Alarm Panel</v>
          </cell>
          <cell r="D4566" t="str">
            <v>Al Taawun Primary School</v>
          </cell>
          <cell r="H4566" t="str">
            <v>AD</v>
          </cell>
        </row>
        <row r="4567">
          <cell r="B4567" t="str">
            <v>Fire Alarm Panel</v>
          </cell>
          <cell r="D4567" t="str">
            <v>Al Taawun Primary School</v>
          </cell>
          <cell r="H4567" t="str">
            <v>AD</v>
          </cell>
        </row>
        <row r="4568">
          <cell r="B4568" t="str">
            <v>Fire Alarm Sounder, Bell, Light</v>
          </cell>
          <cell r="D4568" t="str">
            <v>Al Taawun Primary School</v>
          </cell>
          <cell r="H4568" t="str">
            <v>AD</v>
          </cell>
        </row>
        <row r="4569">
          <cell r="B4569" t="str">
            <v>Fire Alarm Sounder, Bell, Light</v>
          </cell>
          <cell r="D4569" t="str">
            <v>Al Taawun Primary School</v>
          </cell>
          <cell r="H4569" t="str">
            <v>AD</v>
          </cell>
        </row>
        <row r="4570">
          <cell r="B4570" t="str">
            <v>Fire Alarm Sounder, Bell, Light</v>
          </cell>
          <cell r="D4570" t="str">
            <v>Al Taawun Primary School</v>
          </cell>
          <cell r="H4570" t="str">
            <v>AD</v>
          </cell>
        </row>
        <row r="4571">
          <cell r="B4571" t="str">
            <v>Fire Alarm Sounder, Bell, Light</v>
          </cell>
          <cell r="D4571" t="str">
            <v>Al Taawun Primary School</v>
          </cell>
          <cell r="H4571" t="str">
            <v>AD</v>
          </cell>
        </row>
        <row r="4572">
          <cell r="B4572" t="str">
            <v>Fire Alarm Sounder, Bell, Light</v>
          </cell>
          <cell r="D4572" t="str">
            <v>Al Taawun Primary School</v>
          </cell>
          <cell r="H4572" t="str">
            <v>AD</v>
          </cell>
        </row>
        <row r="4573">
          <cell r="B4573" t="str">
            <v>Fire Alarm Sounder, Bell, Light</v>
          </cell>
          <cell r="D4573" t="str">
            <v>Al Taawun Primary School</v>
          </cell>
          <cell r="H4573" t="str">
            <v>AD</v>
          </cell>
        </row>
        <row r="4574">
          <cell r="B4574" t="str">
            <v>Fire Alarm Sounder, Bell, Light</v>
          </cell>
          <cell r="D4574" t="str">
            <v>Al Taawun Primary School</v>
          </cell>
          <cell r="H4574" t="str">
            <v>AD</v>
          </cell>
        </row>
        <row r="4575">
          <cell r="B4575" t="str">
            <v>Fire Alarm Sounder, Bell, Light</v>
          </cell>
          <cell r="D4575" t="str">
            <v>Al Taawun Primary School</v>
          </cell>
          <cell r="H4575" t="str">
            <v>AD</v>
          </cell>
        </row>
        <row r="4576">
          <cell r="B4576" t="str">
            <v>Fire Alarm Sounder, Bell, Light</v>
          </cell>
          <cell r="D4576" t="str">
            <v>Al Taawun Primary School</v>
          </cell>
          <cell r="H4576" t="str">
            <v>AD</v>
          </cell>
        </row>
        <row r="4577">
          <cell r="B4577" t="str">
            <v>Fire Alarm Sounder, Bell, Light</v>
          </cell>
          <cell r="D4577" t="str">
            <v>Al Taawun Primary School</v>
          </cell>
          <cell r="H4577" t="str">
            <v>AD</v>
          </cell>
        </row>
        <row r="4578">
          <cell r="B4578" t="str">
            <v>Fire Alarm Sounder, Bell, Light</v>
          </cell>
          <cell r="D4578" t="str">
            <v>Al Taawun Primary School</v>
          </cell>
          <cell r="H4578" t="str">
            <v>AD</v>
          </cell>
        </row>
        <row r="4579">
          <cell r="B4579" t="str">
            <v>Fire Alarm Sounder, Bell, Light</v>
          </cell>
          <cell r="D4579" t="str">
            <v>Al Taawun Primary School</v>
          </cell>
          <cell r="H4579" t="str">
            <v>AD</v>
          </cell>
        </row>
        <row r="4580">
          <cell r="B4580" t="str">
            <v>Fire Alarm Sounder, Bell, Light</v>
          </cell>
          <cell r="D4580" t="str">
            <v>Al Taawun Primary School</v>
          </cell>
          <cell r="H4580" t="str">
            <v>AD</v>
          </cell>
        </row>
        <row r="4581">
          <cell r="B4581" t="str">
            <v>Fire Alarm Sounder, Bell, Light</v>
          </cell>
          <cell r="D4581" t="str">
            <v>Al Taawun Primary School</v>
          </cell>
          <cell r="H4581" t="str">
            <v>AD</v>
          </cell>
        </row>
        <row r="4582">
          <cell r="B4582" t="str">
            <v>Fire Alarm Sounder, Bell, Light</v>
          </cell>
          <cell r="D4582" t="str">
            <v>Al Taawun Primary School</v>
          </cell>
          <cell r="H4582" t="str">
            <v>AD</v>
          </cell>
        </row>
        <row r="4583">
          <cell r="B4583" t="str">
            <v>Fire Alarm Sounder, Bell, Light</v>
          </cell>
          <cell r="D4583" t="str">
            <v>Al Taawun Primary School</v>
          </cell>
          <cell r="H4583" t="str">
            <v>AD</v>
          </cell>
        </row>
        <row r="4584">
          <cell r="B4584" t="str">
            <v>Fire Alarm Sounder, Bell, Light</v>
          </cell>
          <cell r="D4584" t="str">
            <v>Al Taawun Primary School</v>
          </cell>
          <cell r="H4584" t="str">
            <v>AD</v>
          </cell>
        </row>
        <row r="4585">
          <cell r="B4585" t="str">
            <v>Fire Alarm Sounder, Bell, Light</v>
          </cell>
          <cell r="D4585" t="str">
            <v>Al Taawun Primary School</v>
          </cell>
          <cell r="H4585" t="str">
            <v>AD</v>
          </cell>
        </row>
        <row r="4586">
          <cell r="B4586" t="str">
            <v>Fire Alarm Sounder, Bell, Light</v>
          </cell>
          <cell r="D4586" t="str">
            <v>Al Taawun Primary School</v>
          </cell>
          <cell r="H4586" t="str">
            <v>AD</v>
          </cell>
        </row>
        <row r="4587">
          <cell r="B4587" t="str">
            <v>Fire Alarm Sounder, Bell, Light</v>
          </cell>
          <cell r="D4587" t="str">
            <v>Al Taawun Primary School</v>
          </cell>
          <cell r="H4587" t="str">
            <v>AD</v>
          </cell>
        </row>
        <row r="4588">
          <cell r="B4588" t="str">
            <v>Fire Alarm Sounder, Bell, Light</v>
          </cell>
          <cell r="D4588" t="str">
            <v>Al Taawun Primary School</v>
          </cell>
          <cell r="H4588" t="str">
            <v>AD</v>
          </cell>
        </row>
        <row r="4589">
          <cell r="B4589" t="str">
            <v>Fire Alarm Sounder, Bell, Light</v>
          </cell>
          <cell r="D4589" t="str">
            <v>Al Taawun Primary School</v>
          </cell>
          <cell r="H4589" t="str">
            <v>AD</v>
          </cell>
        </row>
        <row r="4590">
          <cell r="B4590" t="str">
            <v>Fire Alarm Sounder, Bell, Light</v>
          </cell>
          <cell r="D4590" t="str">
            <v>Al Taawun Primary School</v>
          </cell>
          <cell r="H4590" t="str">
            <v>AD</v>
          </cell>
        </row>
        <row r="4591">
          <cell r="B4591" t="str">
            <v>Fire Alarm Sounder, Bell, Light</v>
          </cell>
          <cell r="D4591" t="str">
            <v>Al Taawun Primary School</v>
          </cell>
          <cell r="H4591" t="str">
            <v>AD</v>
          </cell>
        </row>
        <row r="4592">
          <cell r="B4592" t="str">
            <v>Fire Alarm Sounder, Bell, Light</v>
          </cell>
          <cell r="D4592" t="str">
            <v>Al Taawun Primary School</v>
          </cell>
          <cell r="H4592" t="str">
            <v>AD</v>
          </cell>
        </row>
        <row r="4593">
          <cell r="B4593" t="str">
            <v>Fire Alarm Sounder, Bell, Light</v>
          </cell>
          <cell r="D4593" t="str">
            <v>Al Taawun Primary School</v>
          </cell>
          <cell r="H4593" t="str">
            <v>AD</v>
          </cell>
        </row>
        <row r="4594">
          <cell r="B4594" t="str">
            <v>Fire Alarm Sounder, Bell, Light</v>
          </cell>
          <cell r="D4594" t="str">
            <v>Al Taawun Primary School</v>
          </cell>
          <cell r="H4594" t="str">
            <v>AD</v>
          </cell>
        </row>
        <row r="4595">
          <cell r="B4595" t="str">
            <v>Fire Alarm Sounder, Bell, Light</v>
          </cell>
          <cell r="D4595" t="str">
            <v>Al Taawun Primary School</v>
          </cell>
          <cell r="H4595" t="str">
            <v>AD</v>
          </cell>
        </row>
        <row r="4596">
          <cell r="B4596" t="str">
            <v>Fire Extinguisher</v>
          </cell>
          <cell r="D4596" t="str">
            <v>Al Taawun Primary School</v>
          </cell>
          <cell r="H4596" t="str">
            <v>AD</v>
          </cell>
        </row>
        <row r="4597">
          <cell r="B4597" t="str">
            <v>Fire Extinguisher</v>
          </cell>
          <cell r="D4597" t="str">
            <v>Al Taawun Primary School</v>
          </cell>
          <cell r="H4597" t="str">
            <v>AD</v>
          </cell>
        </row>
        <row r="4598">
          <cell r="B4598" t="str">
            <v>Fire Extinguisher</v>
          </cell>
          <cell r="D4598" t="str">
            <v>Al Taawun Primary School</v>
          </cell>
          <cell r="H4598" t="str">
            <v>AD</v>
          </cell>
        </row>
        <row r="4599">
          <cell r="B4599" t="str">
            <v>Fire Extinguisher</v>
          </cell>
          <cell r="D4599" t="str">
            <v>Al Taawun Primary School</v>
          </cell>
          <cell r="H4599" t="str">
            <v>AD</v>
          </cell>
        </row>
        <row r="4600">
          <cell r="B4600" t="str">
            <v>Fire Extinguisher</v>
          </cell>
          <cell r="D4600" t="str">
            <v>Al Taawun Primary School</v>
          </cell>
          <cell r="H4600" t="str">
            <v>AD</v>
          </cell>
        </row>
        <row r="4601">
          <cell r="B4601" t="str">
            <v>Fire Extinguisher</v>
          </cell>
          <cell r="D4601" t="str">
            <v>Al Taawun Primary School</v>
          </cell>
          <cell r="H4601" t="str">
            <v>AD</v>
          </cell>
        </row>
        <row r="4602">
          <cell r="B4602" t="str">
            <v>Fire Extinguisher</v>
          </cell>
          <cell r="D4602" t="str">
            <v>Al Taawun Primary School</v>
          </cell>
          <cell r="H4602" t="str">
            <v>AD</v>
          </cell>
        </row>
        <row r="4603">
          <cell r="B4603" t="str">
            <v>Fire Extinguisher</v>
          </cell>
          <cell r="D4603" t="str">
            <v>Al Taawun Primary School</v>
          </cell>
          <cell r="H4603" t="str">
            <v>AD</v>
          </cell>
        </row>
        <row r="4604">
          <cell r="B4604" t="str">
            <v>Fire Extinguisher</v>
          </cell>
          <cell r="D4604" t="str">
            <v>Al Taawun Primary School</v>
          </cell>
          <cell r="H4604" t="str">
            <v>AD</v>
          </cell>
        </row>
        <row r="4605">
          <cell r="B4605" t="str">
            <v>Fire Extinguisher</v>
          </cell>
          <cell r="D4605" t="str">
            <v>Al Taawun Primary School</v>
          </cell>
          <cell r="H4605" t="str">
            <v>AD</v>
          </cell>
        </row>
        <row r="4606">
          <cell r="B4606" t="str">
            <v>Fire Extinguisher</v>
          </cell>
          <cell r="D4606" t="str">
            <v>Al Taawun Primary School</v>
          </cell>
          <cell r="H4606" t="str">
            <v>AD</v>
          </cell>
        </row>
        <row r="4607">
          <cell r="B4607" t="str">
            <v>Fire Extinguisher</v>
          </cell>
          <cell r="D4607" t="str">
            <v>Al Taawun Primary School</v>
          </cell>
          <cell r="H4607" t="str">
            <v>AD</v>
          </cell>
        </row>
        <row r="4608">
          <cell r="B4608" t="str">
            <v>Fire Extinguisher</v>
          </cell>
          <cell r="D4608" t="str">
            <v>Al Taawun Primary School</v>
          </cell>
          <cell r="H4608" t="str">
            <v>AD</v>
          </cell>
        </row>
        <row r="4609">
          <cell r="B4609" t="str">
            <v>Fire Extinguisher</v>
          </cell>
          <cell r="D4609" t="str">
            <v>Al Taawun Primary School</v>
          </cell>
          <cell r="H4609" t="str">
            <v>AD</v>
          </cell>
        </row>
        <row r="4610">
          <cell r="B4610" t="str">
            <v>Fire Extinguisher</v>
          </cell>
          <cell r="D4610" t="str">
            <v>Al Taawun Primary School</v>
          </cell>
          <cell r="H4610" t="str">
            <v>AD</v>
          </cell>
        </row>
        <row r="4611">
          <cell r="B4611" t="str">
            <v>Fire Extinguisher</v>
          </cell>
          <cell r="D4611" t="str">
            <v>Al Taawun Primary School</v>
          </cell>
          <cell r="H4611" t="str">
            <v>AD</v>
          </cell>
        </row>
        <row r="4612">
          <cell r="B4612" t="str">
            <v>Fire Extinguisher</v>
          </cell>
          <cell r="D4612" t="str">
            <v>Al Taawun Primary School</v>
          </cell>
          <cell r="H4612" t="str">
            <v>AD</v>
          </cell>
        </row>
        <row r="4613">
          <cell r="B4613" t="str">
            <v>Fire Extinguisher</v>
          </cell>
          <cell r="D4613" t="str">
            <v>Al Taawun Primary School</v>
          </cell>
          <cell r="H4613" t="str">
            <v>AD</v>
          </cell>
        </row>
        <row r="4614">
          <cell r="B4614" t="str">
            <v>Fire Extinguisher</v>
          </cell>
          <cell r="D4614" t="str">
            <v>Al Taawun Primary School</v>
          </cell>
          <cell r="H4614" t="str">
            <v>AD</v>
          </cell>
        </row>
        <row r="4615">
          <cell r="B4615" t="str">
            <v>Fire Extinguisher</v>
          </cell>
          <cell r="D4615" t="str">
            <v>Al Taawun Primary School</v>
          </cell>
          <cell r="H4615" t="str">
            <v>AD</v>
          </cell>
        </row>
        <row r="4616">
          <cell r="B4616" t="str">
            <v>Fire Extinguisher</v>
          </cell>
          <cell r="D4616" t="str">
            <v>Al Taawun Primary School</v>
          </cell>
          <cell r="H4616" t="str">
            <v>AD</v>
          </cell>
        </row>
        <row r="4617">
          <cell r="B4617" t="str">
            <v>Fire Extinguisher</v>
          </cell>
          <cell r="D4617" t="str">
            <v>Al Taawun Primary School</v>
          </cell>
          <cell r="H4617" t="str">
            <v>AD</v>
          </cell>
        </row>
        <row r="4618">
          <cell r="B4618" t="str">
            <v>Fire Extinguisher</v>
          </cell>
          <cell r="D4618" t="str">
            <v>Al Taawun Primary School</v>
          </cell>
          <cell r="H4618" t="str">
            <v>AD</v>
          </cell>
        </row>
        <row r="4619">
          <cell r="B4619" t="str">
            <v>Fire Extinguisher</v>
          </cell>
          <cell r="D4619" t="str">
            <v>Al Taawun Primary School</v>
          </cell>
          <cell r="H4619" t="str">
            <v>AD</v>
          </cell>
        </row>
        <row r="4620">
          <cell r="B4620" t="str">
            <v>Fire Extinguisher</v>
          </cell>
          <cell r="D4620" t="str">
            <v>Al Taawun Primary School</v>
          </cell>
          <cell r="H4620" t="str">
            <v>AD</v>
          </cell>
        </row>
        <row r="4621">
          <cell r="B4621" t="str">
            <v>Fire Extinguisher</v>
          </cell>
          <cell r="D4621" t="str">
            <v>Al Taawun Primary School</v>
          </cell>
          <cell r="H4621" t="str">
            <v>AD</v>
          </cell>
        </row>
        <row r="4622">
          <cell r="B4622" t="str">
            <v>Fire Extinguisher</v>
          </cell>
          <cell r="D4622" t="str">
            <v>Al Taawun Primary School</v>
          </cell>
          <cell r="H4622" t="str">
            <v>AD</v>
          </cell>
        </row>
        <row r="4623">
          <cell r="B4623" t="str">
            <v>Fire Extinguisher</v>
          </cell>
          <cell r="D4623" t="str">
            <v>Al Taawun Primary School</v>
          </cell>
          <cell r="H4623" t="str">
            <v>AD</v>
          </cell>
        </row>
        <row r="4624">
          <cell r="B4624" t="str">
            <v>Fire Extinguisher</v>
          </cell>
          <cell r="D4624" t="str">
            <v>Al Taawun Primary School</v>
          </cell>
          <cell r="H4624" t="str">
            <v>AD</v>
          </cell>
        </row>
        <row r="4625">
          <cell r="B4625" t="str">
            <v>Fire Extinguisher</v>
          </cell>
          <cell r="D4625" t="str">
            <v>Al Taawun Primary School</v>
          </cell>
          <cell r="H4625" t="str">
            <v>AD</v>
          </cell>
        </row>
        <row r="4626">
          <cell r="B4626" t="str">
            <v>Fire Extinguisher</v>
          </cell>
          <cell r="D4626" t="str">
            <v>Al Taawun Primary School</v>
          </cell>
          <cell r="H4626" t="str">
            <v>AD</v>
          </cell>
        </row>
        <row r="4627">
          <cell r="B4627" t="str">
            <v>Fire Extinguisher</v>
          </cell>
          <cell r="D4627" t="str">
            <v>Al Taawun Primary School</v>
          </cell>
          <cell r="H4627" t="str">
            <v>AD</v>
          </cell>
        </row>
        <row r="4628">
          <cell r="B4628" t="str">
            <v>Fire Extinguisher</v>
          </cell>
          <cell r="D4628" t="str">
            <v>Al Taawun Primary School</v>
          </cell>
          <cell r="H4628" t="str">
            <v>AD</v>
          </cell>
        </row>
        <row r="4629">
          <cell r="B4629" t="str">
            <v>Fire Extinguisher</v>
          </cell>
          <cell r="D4629" t="str">
            <v>Al Taawun Primary School</v>
          </cell>
          <cell r="H4629" t="str">
            <v>AD</v>
          </cell>
        </row>
        <row r="4630">
          <cell r="B4630" t="str">
            <v>Fire Extinguisher</v>
          </cell>
          <cell r="D4630" t="str">
            <v>Al Taawun Primary School</v>
          </cell>
          <cell r="H4630" t="str">
            <v>AD</v>
          </cell>
        </row>
        <row r="4631">
          <cell r="B4631" t="str">
            <v>Fire Hose Reel</v>
          </cell>
          <cell r="D4631" t="str">
            <v>Al Taawun Primary School</v>
          </cell>
          <cell r="H4631" t="str">
            <v>AD</v>
          </cell>
        </row>
        <row r="4632">
          <cell r="B4632" t="str">
            <v>Fire Hose Reel</v>
          </cell>
          <cell r="D4632" t="str">
            <v>Al Taawun Primary School</v>
          </cell>
          <cell r="H4632" t="str">
            <v>AD</v>
          </cell>
        </row>
        <row r="4633">
          <cell r="B4633" t="str">
            <v>Fire Hose Reel</v>
          </cell>
          <cell r="D4633" t="str">
            <v>Al Taawun Primary School</v>
          </cell>
          <cell r="H4633" t="str">
            <v>AD</v>
          </cell>
        </row>
        <row r="4634">
          <cell r="B4634" t="str">
            <v>Fire Hose Reel</v>
          </cell>
          <cell r="D4634" t="str">
            <v>Al Taawun Primary School</v>
          </cell>
          <cell r="H4634" t="str">
            <v>AD</v>
          </cell>
        </row>
        <row r="4635">
          <cell r="B4635" t="str">
            <v>Fire Hose Reel</v>
          </cell>
          <cell r="D4635" t="str">
            <v>Al Taawun Primary School</v>
          </cell>
          <cell r="H4635" t="str">
            <v>AD</v>
          </cell>
        </row>
        <row r="4636">
          <cell r="B4636" t="str">
            <v>Fire Hose Reel</v>
          </cell>
          <cell r="D4636" t="str">
            <v>Al Taawun Primary School</v>
          </cell>
          <cell r="H4636" t="str">
            <v>AD</v>
          </cell>
        </row>
        <row r="4637">
          <cell r="B4637" t="str">
            <v>Fire Hose Reel</v>
          </cell>
          <cell r="D4637" t="str">
            <v>Al Taawun Primary School</v>
          </cell>
          <cell r="H4637" t="str">
            <v>AD</v>
          </cell>
        </row>
        <row r="4638">
          <cell r="B4638" t="str">
            <v>Fire Hose Reel</v>
          </cell>
          <cell r="D4638" t="str">
            <v>Al Taawun Primary School</v>
          </cell>
          <cell r="H4638" t="str">
            <v>AD</v>
          </cell>
        </row>
        <row r="4639">
          <cell r="B4639" t="str">
            <v>Fire Hose Reel</v>
          </cell>
          <cell r="D4639" t="str">
            <v>Al Taawun Primary School</v>
          </cell>
          <cell r="H4639" t="str">
            <v>AD</v>
          </cell>
        </row>
        <row r="4640">
          <cell r="B4640" t="str">
            <v>Fire Hose Reel</v>
          </cell>
          <cell r="D4640" t="str">
            <v>Al Taawun Primary School</v>
          </cell>
          <cell r="H4640" t="str">
            <v>AD</v>
          </cell>
        </row>
        <row r="4641">
          <cell r="B4641" t="str">
            <v>Fire Hose Reel</v>
          </cell>
          <cell r="D4641" t="str">
            <v>Al Taawun Primary School</v>
          </cell>
          <cell r="H4641" t="str">
            <v>AD</v>
          </cell>
        </row>
        <row r="4642">
          <cell r="B4642" t="str">
            <v>Fire Hose Reel</v>
          </cell>
          <cell r="D4642" t="str">
            <v>Al Taawun Primary School</v>
          </cell>
          <cell r="H4642" t="str">
            <v>AD</v>
          </cell>
        </row>
        <row r="4643">
          <cell r="B4643" t="str">
            <v>Fire Hose Reel</v>
          </cell>
          <cell r="D4643" t="str">
            <v>Al Taawun Primary School</v>
          </cell>
          <cell r="H4643" t="str">
            <v>AD</v>
          </cell>
        </row>
        <row r="4644">
          <cell r="B4644" t="str">
            <v>FIRE PUMP - Diesel</v>
          </cell>
          <cell r="D4644" t="str">
            <v>Al Taawun Primary School</v>
          </cell>
          <cell r="H4644" t="str">
            <v>AD</v>
          </cell>
        </row>
        <row r="4645">
          <cell r="B4645" t="str">
            <v>FIRE PUMP - Electric</v>
          </cell>
          <cell r="D4645" t="str">
            <v>Al Taawun Primary School</v>
          </cell>
          <cell r="H4645" t="str">
            <v>AD</v>
          </cell>
        </row>
        <row r="4646">
          <cell r="B4646" t="str">
            <v>Fire Smoke / Heat Detector, Sounder</v>
          </cell>
          <cell r="D4646" t="str">
            <v>Al Taawun Primary School</v>
          </cell>
          <cell r="H4646" t="str">
            <v>AD</v>
          </cell>
        </row>
        <row r="4647">
          <cell r="B4647" t="str">
            <v>Fire Smoke / Heat Detector, Sounder</v>
          </cell>
          <cell r="D4647" t="str">
            <v>Al Taawun Primary School</v>
          </cell>
          <cell r="H4647" t="str">
            <v>AD</v>
          </cell>
        </row>
        <row r="4648">
          <cell r="B4648" t="str">
            <v>Fire Smoke / Heat Detector, Sounder</v>
          </cell>
          <cell r="D4648" t="str">
            <v>Al Taawun Primary School</v>
          </cell>
          <cell r="H4648" t="str">
            <v>AD</v>
          </cell>
        </row>
        <row r="4649">
          <cell r="B4649" t="str">
            <v>Fire Smoke / Heat Detector, Sounder</v>
          </cell>
          <cell r="D4649" t="str">
            <v>Al Taawun Primary School</v>
          </cell>
          <cell r="H4649" t="str">
            <v>AD</v>
          </cell>
        </row>
        <row r="4650">
          <cell r="B4650" t="str">
            <v>Fire Smoke / Heat Detector, Sounder</v>
          </cell>
          <cell r="D4650" t="str">
            <v>Al Taawun Primary School</v>
          </cell>
          <cell r="H4650" t="str">
            <v>AD</v>
          </cell>
        </row>
        <row r="4651">
          <cell r="B4651" t="str">
            <v>Fire Smoke / Heat Detector, Sounder</v>
          </cell>
          <cell r="D4651" t="str">
            <v>Al Taawun Primary School</v>
          </cell>
          <cell r="H4651" t="str">
            <v>AD</v>
          </cell>
        </row>
        <row r="4652">
          <cell r="B4652" t="str">
            <v>Fire Smoke / Heat Detector, Sounder</v>
          </cell>
          <cell r="D4652" t="str">
            <v>Al Taawun Primary School</v>
          </cell>
          <cell r="H4652" t="str">
            <v>AD</v>
          </cell>
        </row>
        <row r="4653">
          <cell r="B4653" t="str">
            <v>Fire Smoke / Heat Detector, Sounder</v>
          </cell>
          <cell r="D4653" t="str">
            <v>Al Taawun Primary School</v>
          </cell>
          <cell r="H4653" t="str">
            <v>AD</v>
          </cell>
        </row>
        <row r="4654">
          <cell r="B4654" t="str">
            <v>Fire Smoke / Heat Detector, Sounder</v>
          </cell>
          <cell r="D4654" t="str">
            <v>Al Taawun Primary School</v>
          </cell>
          <cell r="H4654" t="str">
            <v>AD</v>
          </cell>
        </row>
        <row r="4655">
          <cell r="B4655" t="str">
            <v>Fire Smoke / Heat Detector, Sounder</v>
          </cell>
          <cell r="D4655" t="str">
            <v>Al Taawun Primary School</v>
          </cell>
          <cell r="H4655" t="str">
            <v>AD</v>
          </cell>
        </row>
        <row r="4656">
          <cell r="B4656" t="str">
            <v>Fire Smoke / Heat Detector, Sounder</v>
          </cell>
          <cell r="D4656" t="str">
            <v>Al Taawun Primary School</v>
          </cell>
          <cell r="H4656" t="str">
            <v>AD</v>
          </cell>
        </row>
        <row r="4657">
          <cell r="B4657" t="str">
            <v>Fire Smoke / Heat Detector, Sounder</v>
          </cell>
          <cell r="D4657" t="str">
            <v>Al Taawun Primary School</v>
          </cell>
          <cell r="H4657" t="str">
            <v>AD</v>
          </cell>
        </row>
        <row r="4658">
          <cell r="B4658" t="str">
            <v>Fire Smoke / Heat Detector, Sounder</v>
          </cell>
          <cell r="D4658" t="str">
            <v>Al Taawun Primary School</v>
          </cell>
          <cell r="H4658" t="str">
            <v>AD</v>
          </cell>
        </row>
        <row r="4659">
          <cell r="B4659" t="str">
            <v>Fire Smoke / Heat Detector, Sounder</v>
          </cell>
          <cell r="D4659" t="str">
            <v>Al Taawun Primary School</v>
          </cell>
          <cell r="H4659" t="str">
            <v>AD</v>
          </cell>
        </row>
        <row r="4660">
          <cell r="B4660" t="str">
            <v>Fire Smoke / Heat Detector, Sounder</v>
          </cell>
          <cell r="D4660" t="str">
            <v>Al Taawun Primary School</v>
          </cell>
          <cell r="H4660" t="str">
            <v>AD</v>
          </cell>
        </row>
        <row r="4661">
          <cell r="B4661" t="str">
            <v>Fire Smoke / Heat Detector, Sounder</v>
          </cell>
          <cell r="D4661" t="str">
            <v>Al Taawun Primary School</v>
          </cell>
          <cell r="H4661" t="str">
            <v>AD</v>
          </cell>
        </row>
        <row r="4662">
          <cell r="B4662" t="str">
            <v>Fire Smoke / Heat Detector, Sounder</v>
          </cell>
          <cell r="D4662" t="str">
            <v>Al Taawun Primary School</v>
          </cell>
          <cell r="H4662" t="str">
            <v>AD</v>
          </cell>
        </row>
        <row r="4663">
          <cell r="B4663" t="str">
            <v>Fire Smoke / Heat Detector, Sounder</v>
          </cell>
          <cell r="D4663" t="str">
            <v>Al Taawun Primary School</v>
          </cell>
          <cell r="H4663" t="str">
            <v>AD</v>
          </cell>
        </row>
        <row r="4664">
          <cell r="B4664" t="str">
            <v>Fire Smoke / Heat Detector, Sounder</v>
          </cell>
          <cell r="D4664" t="str">
            <v>Al Taawun Primary School</v>
          </cell>
          <cell r="H4664" t="str">
            <v>AD</v>
          </cell>
        </row>
        <row r="4665">
          <cell r="B4665" t="str">
            <v>Fire Smoke / Heat Detector, Sounder</v>
          </cell>
          <cell r="D4665" t="str">
            <v>Al Taawun Primary School</v>
          </cell>
          <cell r="H4665" t="str">
            <v>AD</v>
          </cell>
        </row>
        <row r="4666">
          <cell r="B4666" t="str">
            <v>Fire Smoke / Heat Detector, Sounder</v>
          </cell>
          <cell r="D4666" t="str">
            <v>Al Taawun Primary School</v>
          </cell>
          <cell r="H4666" t="str">
            <v>AD</v>
          </cell>
        </row>
        <row r="4667">
          <cell r="B4667" t="str">
            <v>Fire Smoke / Heat Detector, Sounder</v>
          </cell>
          <cell r="D4667" t="str">
            <v>Al Taawun Primary School</v>
          </cell>
          <cell r="H4667" t="str">
            <v>AD</v>
          </cell>
        </row>
        <row r="4668">
          <cell r="B4668" t="str">
            <v>Fire Smoke / Heat Detector, Sounder</v>
          </cell>
          <cell r="D4668" t="str">
            <v>Al Taawun Primary School</v>
          </cell>
          <cell r="H4668" t="str">
            <v>AD</v>
          </cell>
        </row>
        <row r="4669">
          <cell r="B4669" t="str">
            <v>Fire Smoke / Heat Detector, Sounder</v>
          </cell>
          <cell r="D4669" t="str">
            <v>Al Taawun Primary School</v>
          </cell>
          <cell r="H4669" t="str">
            <v>AD</v>
          </cell>
        </row>
        <row r="4670">
          <cell r="B4670" t="str">
            <v>Fire Smoke / Heat Detector, Sounder</v>
          </cell>
          <cell r="D4670" t="str">
            <v>Al Taawun Primary School</v>
          </cell>
          <cell r="H4670" t="str">
            <v>AD</v>
          </cell>
        </row>
        <row r="4671">
          <cell r="B4671" t="str">
            <v>Fire Smoke / Heat Detector, Sounder</v>
          </cell>
          <cell r="D4671" t="str">
            <v>Al Taawun Primary School</v>
          </cell>
          <cell r="H4671" t="str">
            <v>AD</v>
          </cell>
        </row>
        <row r="4672">
          <cell r="B4672" t="str">
            <v>Fire Smoke / Heat Detector, Sounder</v>
          </cell>
          <cell r="D4672" t="str">
            <v>Al Taawun Primary School</v>
          </cell>
          <cell r="H4672" t="str">
            <v>AD</v>
          </cell>
        </row>
        <row r="4673">
          <cell r="B4673" t="str">
            <v>Fire Smoke / Heat Detector, Sounder</v>
          </cell>
          <cell r="D4673" t="str">
            <v>Al Taawun Primary School</v>
          </cell>
          <cell r="H4673" t="str">
            <v>AD</v>
          </cell>
        </row>
        <row r="4674">
          <cell r="B4674" t="str">
            <v>Fire Smoke / Heat Detector, Sounder</v>
          </cell>
          <cell r="D4674" t="str">
            <v>Al Taawun Primary School</v>
          </cell>
          <cell r="H4674" t="str">
            <v>AD</v>
          </cell>
        </row>
        <row r="4675">
          <cell r="B4675" t="str">
            <v>Fire Smoke / Heat Detector, Sounder</v>
          </cell>
          <cell r="D4675" t="str">
            <v>Al Taawun Primary School</v>
          </cell>
          <cell r="H4675" t="str">
            <v>AD</v>
          </cell>
        </row>
        <row r="4676">
          <cell r="B4676" t="str">
            <v>Fire Smoke / Heat Detector, Sounder</v>
          </cell>
          <cell r="D4676" t="str">
            <v>Al Taawun Primary School</v>
          </cell>
          <cell r="H4676" t="str">
            <v>AD</v>
          </cell>
        </row>
        <row r="4677">
          <cell r="B4677" t="str">
            <v>Fire Smoke / Heat Detector, Sounder</v>
          </cell>
          <cell r="D4677" t="str">
            <v>Al Taawun Primary School</v>
          </cell>
          <cell r="H4677" t="str">
            <v>AD</v>
          </cell>
        </row>
        <row r="4678">
          <cell r="B4678" t="str">
            <v>Fire Smoke / Heat Detector, Sounder</v>
          </cell>
          <cell r="D4678" t="str">
            <v>Al Taawun Primary School</v>
          </cell>
          <cell r="H4678" t="str">
            <v>AD</v>
          </cell>
        </row>
        <row r="4679">
          <cell r="B4679" t="str">
            <v>Fire Smoke / Heat Detector, Sounder</v>
          </cell>
          <cell r="D4679" t="str">
            <v>Al Taawun Primary School</v>
          </cell>
          <cell r="H4679" t="str">
            <v>AD</v>
          </cell>
        </row>
        <row r="4680">
          <cell r="B4680" t="str">
            <v>Fire Smoke / Heat Detector, Sounder</v>
          </cell>
          <cell r="D4680" t="str">
            <v>Al Taawun Primary School</v>
          </cell>
          <cell r="H4680" t="str">
            <v>AD</v>
          </cell>
        </row>
        <row r="4681">
          <cell r="B4681" t="str">
            <v>Fire Smoke / Heat Detector, Sounder</v>
          </cell>
          <cell r="D4681" t="str">
            <v>Al Taawun Primary School</v>
          </cell>
          <cell r="H4681" t="str">
            <v>AD</v>
          </cell>
        </row>
        <row r="4682">
          <cell r="B4682" t="str">
            <v>Fire Smoke / Heat Detector, Sounder</v>
          </cell>
          <cell r="D4682" t="str">
            <v>Al Taawun Primary School</v>
          </cell>
          <cell r="H4682" t="str">
            <v>AD</v>
          </cell>
        </row>
        <row r="4683">
          <cell r="B4683" t="str">
            <v>Fire Smoke / Heat Detector, Sounder</v>
          </cell>
          <cell r="D4683" t="str">
            <v>Al Taawun Primary School</v>
          </cell>
          <cell r="H4683" t="str">
            <v>AD</v>
          </cell>
        </row>
        <row r="4684">
          <cell r="B4684" t="str">
            <v>Fire Smoke / Heat Detector, Sounder</v>
          </cell>
          <cell r="D4684" t="str">
            <v>Al Taawun Primary School</v>
          </cell>
          <cell r="H4684" t="str">
            <v>AD</v>
          </cell>
        </row>
        <row r="4685">
          <cell r="B4685" t="str">
            <v>Fire Smoke / Heat Detector, Sounder</v>
          </cell>
          <cell r="D4685" t="str">
            <v>Al Taawun Primary School</v>
          </cell>
          <cell r="H4685" t="str">
            <v>AD</v>
          </cell>
        </row>
        <row r="4686">
          <cell r="B4686" t="str">
            <v>Fire Smoke / Heat Detector, Sounder</v>
          </cell>
          <cell r="D4686" t="str">
            <v>Al Taawun Primary School</v>
          </cell>
          <cell r="H4686" t="str">
            <v>AD</v>
          </cell>
        </row>
        <row r="4687">
          <cell r="B4687" t="str">
            <v>Fire Smoke / Heat Detector, Sounder</v>
          </cell>
          <cell r="D4687" t="str">
            <v>Al Taawun Primary School</v>
          </cell>
          <cell r="H4687" t="str">
            <v>AD</v>
          </cell>
        </row>
        <row r="4688">
          <cell r="B4688" t="str">
            <v>Fire Smoke / Heat Detector, Sounder</v>
          </cell>
          <cell r="D4688" t="str">
            <v>Al Taawun Primary School</v>
          </cell>
          <cell r="H4688" t="str">
            <v>AD</v>
          </cell>
        </row>
        <row r="4689">
          <cell r="B4689" t="str">
            <v>Fire Smoke / Heat Detector, Sounder</v>
          </cell>
          <cell r="D4689" t="str">
            <v>Al Taawun Primary School</v>
          </cell>
          <cell r="H4689" t="str">
            <v>AD</v>
          </cell>
        </row>
        <row r="4690">
          <cell r="B4690" t="str">
            <v>Fire Smoke / Heat Detector, Sounder</v>
          </cell>
          <cell r="D4690" t="str">
            <v>Al Taawun Primary School</v>
          </cell>
          <cell r="H4690" t="str">
            <v>AD</v>
          </cell>
        </row>
        <row r="4691">
          <cell r="B4691" t="str">
            <v>Fire Smoke / Heat Detector, Sounder</v>
          </cell>
          <cell r="D4691" t="str">
            <v>Al Taawun Primary School</v>
          </cell>
          <cell r="H4691" t="str">
            <v>AD</v>
          </cell>
        </row>
        <row r="4692">
          <cell r="B4692" t="str">
            <v>Fire Smoke / Heat Detector, Sounder</v>
          </cell>
          <cell r="D4692" t="str">
            <v>Al Taawun Primary School</v>
          </cell>
          <cell r="H4692" t="str">
            <v>AD</v>
          </cell>
        </row>
        <row r="4693">
          <cell r="B4693" t="str">
            <v>Fire Smoke / Heat Detector, Sounder</v>
          </cell>
          <cell r="D4693" t="str">
            <v>Al Taawun Primary School</v>
          </cell>
          <cell r="H4693" t="str">
            <v>AD</v>
          </cell>
        </row>
        <row r="4694">
          <cell r="B4694" t="str">
            <v>Fire Smoke / Heat Detector, Sounder</v>
          </cell>
          <cell r="D4694" t="str">
            <v>Al Taawun Primary School</v>
          </cell>
          <cell r="H4694" t="str">
            <v>AD</v>
          </cell>
        </row>
        <row r="4695">
          <cell r="B4695" t="str">
            <v>Fire Smoke / Heat Detector, Sounder</v>
          </cell>
          <cell r="D4695" t="str">
            <v>Al Taawun Primary School</v>
          </cell>
          <cell r="H4695" t="str">
            <v>AD</v>
          </cell>
        </row>
        <row r="4696">
          <cell r="B4696" t="str">
            <v>Fire Smoke / Heat Detector, Sounder</v>
          </cell>
          <cell r="D4696" t="str">
            <v>Al Taawun Primary School</v>
          </cell>
          <cell r="H4696" t="str">
            <v>AD</v>
          </cell>
        </row>
        <row r="4697">
          <cell r="B4697" t="str">
            <v>Fire Smoke / Heat Detector, Sounder</v>
          </cell>
          <cell r="D4697" t="str">
            <v>Al Taawun Primary School</v>
          </cell>
          <cell r="H4697" t="str">
            <v>AD</v>
          </cell>
        </row>
        <row r="4698">
          <cell r="B4698" t="str">
            <v>Fire Smoke / Heat Detector, Sounder</v>
          </cell>
          <cell r="D4698" t="str">
            <v>Al Taawun Primary School</v>
          </cell>
          <cell r="H4698" t="str">
            <v>AD</v>
          </cell>
        </row>
        <row r="4699">
          <cell r="B4699" t="str">
            <v>Fire Smoke / Heat Detector, Sounder</v>
          </cell>
          <cell r="D4699" t="str">
            <v>Al Taawun Primary School</v>
          </cell>
          <cell r="H4699" t="str">
            <v>AD</v>
          </cell>
        </row>
        <row r="4700">
          <cell r="B4700" t="str">
            <v>Fire Smoke / Heat Detector, Sounder</v>
          </cell>
          <cell r="D4700" t="str">
            <v>Al Taawun Primary School</v>
          </cell>
          <cell r="H4700" t="str">
            <v>AD</v>
          </cell>
        </row>
        <row r="4701">
          <cell r="B4701" t="str">
            <v>Fire Smoke / Heat Detector, Sounder</v>
          </cell>
          <cell r="D4701" t="str">
            <v>Al Taawun Primary School</v>
          </cell>
          <cell r="H4701" t="str">
            <v>AD</v>
          </cell>
        </row>
        <row r="4702">
          <cell r="B4702" t="str">
            <v>Fire Smoke / Heat Detector, Sounder</v>
          </cell>
          <cell r="D4702" t="str">
            <v>Al Taawun Primary School</v>
          </cell>
          <cell r="H4702" t="str">
            <v>AD</v>
          </cell>
        </row>
        <row r="4703">
          <cell r="B4703" t="str">
            <v>Fire Smoke / Heat Detector, Sounder</v>
          </cell>
          <cell r="D4703" t="str">
            <v>Al Taawun Primary School</v>
          </cell>
          <cell r="H4703" t="str">
            <v>AD</v>
          </cell>
        </row>
        <row r="4704">
          <cell r="B4704" t="str">
            <v>Fire Smoke / Heat Detector, Sounder</v>
          </cell>
          <cell r="D4704" t="str">
            <v>Al Taawun Primary School</v>
          </cell>
          <cell r="H4704" t="str">
            <v>AD</v>
          </cell>
        </row>
        <row r="4705">
          <cell r="B4705" t="str">
            <v>Fire Smoke / Heat Detector, Sounder</v>
          </cell>
          <cell r="D4705" t="str">
            <v>Al Taawun Primary School</v>
          </cell>
          <cell r="H4705" t="str">
            <v>AD</v>
          </cell>
        </row>
        <row r="4706">
          <cell r="B4706" t="str">
            <v>Fire Smoke / Heat Detector, Sounder</v>
          </cell>
          <cell r="D4706" t="str">
            <v>Al Taawun Primary School</v>
          </cell>
          <cell r="H4706" t="str">
            <v>AD</v>
          </cell>
        </row>
        <row r="4707">
          <cell r="B4707" t="str">
            <v>Fire Smoke / Heat Detector, Sounder</v>
          </cell>
          <cell r="D4707" t="str">
            <v>Al Taawun Primary School</v>
          </cell>
          <cell r="H4707" t="str">
            <v>AD</v>
          </cell>
        </row>
        <row r="4708">
          <cell r="B4708" t="str">
            <v>Fire Smoke / Heat Detector, Sounder</v>
          </cell>
          <cell r="D4708" t="str">
            <v>Al Taawun Primary School</v>
          </cell>
          <cell r="H4708" t="str">
            <v>AD</v>
          </cell>
        </row>
        <row r="4709">
          <cell r="B4709" t="str">
            <v>Fire Smoke / Heat Detector, Sounder</v>
          </cell>
          <cell r="D4709" t="str">
            <v>Al Taawun Primary School</v>
          </cell>
          <cell r="H4709" t="str">
            <v>AD</v>
          </cell>
        </row>
        <row r="4710">
          <cell r="B4710" t="str">
            <v>Fire Smoke / Heat Detector, Sounder</v>
          </cell>
          <cell r="D4710" t="str">
            <v>Al Taawun Primary School</v>
          </cell>
          <cell r="H4710" t="str">
            <v>AD</v>
          </cell>
        </row>
        <row r="4711">
          <cell r="B4711" t="str">
            <v>Fire Smoke / Heat Detector, Sounder</v>
          </cell>
          <cell r="D4711" t="str">
            <v>Al Taawun Primary School</v>
          </cell>
          <cell r="H4711" t="str">
            <v>AD</v>
          </cell>
        </row>
        <row r="4712">
          <cell r="B4712" t="str">
            <v>Fire Smoke / Heat Detector, Sounder</v>
          </cell>
          <cell r="D4712" t="str">
            <v>Al Taawun Primary School</v>
          </cell>
          <cell r="H4712" t="str">
            <v>AD</v>
          </cell>
        </row>
        <row r="4713">
          <cell r="B4713" t="str">
            <v>Fire Smoke / Heat Detector, Sounder</v>
          </cell>
          <cell r="D4713" t="str">
            <v>Al Taawun Primary School</v>
          </cell>
          <cell r="H4713" t="str">
            <v>AD</v>
          </cell>
        </row>
        <row r="4714">
          <cell r="B4714" t="str">
            <v>Fire Smoke / Heat Detector, Sounder</v>
          </cell>
          <cell r="D4714" t="str">
            <v>Al Taawun Primary School</v>
          </cell>
          <cell r="H4714" t="str">
            <v>AD</v>
          </cell>
        </row>
        <row r="4715">
          <cell r="B4715" t="str">
            <v>Fire Smoke / Heat Detector, Sounder</v>
          </cell>
          <cell r="D4715" t="str">
            <v>Al Taawun Primary School</v>
          </cell>
          <cell r="H4715" t="str">
            <v>AD</v>
          </cell>
        </row>
        <row r="4716">
          <cell r="B4716" t="str">
            <v>Fire Smoke / Heat Detector, Sounder</v>
          </cell>
          <cell r="D4716" t="str">
            <v>Al Taawun Primary School</v>
          </cell>
          <cell r="H4716" t="str">
            <v>AD</v>
          </cell>
        </row>
        <row r="4717">
          <cell r="B4717" t="str">
            <v>Fire Smoke / Heat Detector, Sounder</v>
          </cell>
          <cell r="D4717" t="str">
            <v>Al Taawun Primary School</v>
          </cell>
          <cell r="H4717" t="str">
            <v>AD</v>
          </cell>
        </row>
        <row r="4718">
          <cell r="B4718" t="str">
            <v>Fire Smoke / Heat Detector, Sounder</v>
          </cell>
          <cell r="D4718" t="str">
            <v>Al Taawun Primary School</v>
          </cell>
          <cell r="H4718" t="str">
            <v>AD</v>
          </cell>
        </row>
        <row r="4719">
          <cell r="B4719" t="str">
            <v>Fire Smoke / Heat Detector, Sounder</v>
          </cell>
          <cell r="D4719" t="str">
            <v>Al Taawun Primary School</v>
          </cell>
          <cell r="H4719" t="str">
            <v>AD</v>
          </cell>
        </row>
        <row r="4720">
          <cell r="B4720" t="str">
            <v>Fire Smoke / Heat Detector, Sounder</v>
          </cell>
          <cell r="D4720" t="str">
            <v>Al Taawun Primary School</v>
          </cell>
          <cell r="H4720" t="str">
            <v>AD</v>
          </cell>
        </row>
        <row r="4721">
          <cell r="B4721" t="str">
            <v>Fire Smoke / Heat Detector, Sounder</v>
          </cell>
          <cell r="D4721" t="str">
            <v>Al Taawun Primary School</v>
          </cell>
          <cell r="H4721" t="str">
            <v>AD</v>
          </cell>
        </row>
        <row r="4722">
          <cell r="B4722" t="str">
            <v>Fire Smoke / Heat Detector, Sounder</v>
          </cell>
          <cell r="D4722" t="str">
            <v>Al Taawun Primary School</v>
          </cell>
          <cell r="H4722" t="str">
            <v>AD</v>
          </cell>
        </row>
        <row r="4723">
          <cell r="B4723" t="str">
            <v>Fire Smoke / Heat Detector, Sounder</v>
          </cell>
          <cell r="D4723" t="str">
            <v>Al Taawun Primary School</v>
          </cell>
          <cell r="H4723" t="str">
            <v>AD</v>
          </cell>
        </row>
        <row r="4724">
          <cell r="B4724" t="str">
            <v>Fire Smoke / Heat Detector, Sounder</v>
          </cell>
          <cell r="D4724" t="str">
            <v>Al Taawun Primary School</v>
          </cell>
          <cell r="H4724" t="str">
            <v>AD</v>
          </cell>
        </row>
        <row r="4725">
          <cell r="B4725" t="str">
            <v>Fire Smoke / Heat Detector, Sounder</v>
          </cell>
          <cell r="D4725" t="str">
            <v>Al Taawun Primary School</v>
          </cell>
          <cell r="H4725" t="str">
            <v>AD</v>
          </cell>
        </row>
        <row r="4726">
          <cell r="B4726" t="str">
            <v>Fire Smoke / Heat Detector, Sounder</v>
          </cell>
          <cell r="D4726" t="str">
            <v>Al Taawun Primary School</v>
          </cell>
          <cell r="H4726" t="str">
            <v>AD</v>
          </cell>
        </row>
        <row r="4727">
          <cell r="B4727" t="str">
            <v>Fire Smoke / Heat Detector, Sounder</v>
          </cell>
          <cell r="D4727" t="str">
            <v>Al Taawun Primary School</v>
          </cell>
          <cell r="H4727" t="str">
            <v>AD</v>
          </cell>
        </row>
        <row r="4728">
          <cell r="B4728" t="str">
            <v>Fire Smoke / Heat Detector, Sounder</v>
          </cell>
          <cell r="D4728" t="str">
            <v>Al Taawun Primary School</v>
          </cell>
          <cell r="H4728" t="str">
            <v>AD</v>
          </cell>
        </row>
        <row r="4729">
          <cell r="B4729" t="str">
            <v>Fire Smoke / Heat Detector, Sounder</v>
          </cell>
          <cell r="D4729" t="str">
            <v>Al Taawun Primary School</v>
          </cell>
          <cell r="H4729" t="str">
            <v>AD</v>
          </cell>
        </row>
        <row r="4730">
          <cell r="B4730" t="str">
            <v>Fire Smoke / Heat Detector, Sounder</v>
          </cell>
          <cell r="D4730" t="str">
            <v>Al Taawun Primary School</v>
          </cell>
          <cell r="H4730" t="str">
            <v>AD</v>
          </cell>
        </row>
        <row r="4731">
          <cell r="B4731" t="str">
            <v>Fire Smoke / Heat Detector, Sounder</v>
          </cell>
          <cell r="D4731" t="str">
            <v>Al Taawun Primary School</v>
          </cell>
          <cell r="H4731" t="str">
            <v>AD</v>
          </cell>
        </row>
        <row r="4732">
          <cell r="B4732" t="str">
            <v>Fire Smoke / Heat Detector, Sounder</v>
          </cell>
          <cell r="D4732" t="str">
            <v>Al Taawun Primary School</v>
          </cell>
          <cell r="H4732" t="str">
            <v>AD</v>
          </cell>
        </row>
        <row r="4733">
          <cell r="B4733" t="str">
            <v>Fire Smoke / Heat Detector, Sounder</v>
          </cell>
          <cell r="D4733" t="str">
            <v>Al Taawun Primary School</v>
          </cell>
          <cell r="H4733" t="str">
            <v>AD</v>
          </cell>
        </row>
        <row r="4734">
          <cell r="B4734" t="str">
            <v>Fire Smoke / Heat Detector, Sounder</v>
          </cell>
          <cell r="D4734" t="str">
            <v>Al Taawun Primary School</v>
          </cell>
          <cell r="H4734" t="str">
            <v>AD</v>
          </cell>
        </row>
        <row r="4735">
          <cell r="B4735" t="str">
            <v>Fire Smoke / Heat Detector, Sounder</v>
          </cell>
          <cell r="D4735" t="str">
            <v>Al Taawun Primary School</v>
          </cell>
          <cell r="H4735" t="str">
            <v>AD</v>
          </cell>
        </row>
        <row r="4736">
          <cell r="B4736" t="str">
            <v>Fire Smoke / Heat Detector, Sounder</v>
          </cell>
          <cell r="D4736" t="str">
            <v>Al Taawun Primary School</v>
          </cell>
          <cell r="H4736" t="str">
            <v>AD</v>
          </cell>
        </row>
        <row r="4737">
          <cell r="B4737" t="str">
            <v>Fire Smoke / Heat Detector, Sounder</v>
          </cell>
          <cell r="D4737" t="str">
            <v>Al Taawun Primary School</v>
          </cell>
          <cell r="H4737" t="str">
            <v>AD</v>
          </cell>
        </row>
        <row r="4738">
          <cell r="B4738" t="str">
            <v>Fire Smoke / Heat Detector, Sounder</v>
          </cell>
          <cell r="D4738" t="str">
            <v>Al Taawun Primary School</v>
          </cell>
          <cell r="H4738" t="str">
            <v>AD</v>
          </cell>
        </row>
        <row r="4739">
          <cell r="B4739" t="str">
            <v>Fire Smoke / Heat Detector, Sounder</v>
          </cell>
          <cell r="D4739" t="str">
            <v>Al Taawun Primary School</v>
          </cell>
          <cell r="H4739" t="str">
            <v>AD</v>
          </cell>
        </row>
        <row r="4740">
          <cell r="B4740" t="str">
            <v>Fire Smoke / Heat Detector, Sounder</v>
          </cell>
          <cell r="D4740" t="str">
            <v>Al Taawun Primary School</v>
          </cell>
          <cell r="H4740" t="str">
            <v>AD</v>
          </cell>
        </row>
        <row r="4741">
          <cell r="B4741" t="str">
            <v>Fire Smoke / Heat Detector, Sounder</v>
          </cell>
          <cell r="D4741" t="str">
            <v>Al Taawun Primary School</v>
          </cell>
          <cell r="H4741" t="str">
            <v>AD</v>
          </cell>
        </row>
        <row r="4742">
          <cell r="B4742" t="str">
            <v>Fire Smoke / Heat Detector, Sounder</v>
          </cell>
          <cell r="D4742" t="str">
            <v>Al Taawun Primary School</v>
          </cell>
          <cell r="H4742" t="str">
            <v>AD</v>
          </cell>
        </row>
        <row r="4743">
          <cell r="B4743" t="str">
            <v>Fire Smoke / Heat Detector, Sounder</v>
          </cell>
          <cell r="D4743" t="str">
            <v>Al Taawun Primary School</v>
          </cell>
          <cell r="H4743" t="str">
            <v>AD</v>
          </cell>
        </row>
        <row r="4744">
          <cell r="B4744" t="str">
            <v>Fire Smoke / Heat Detector, Sounder</v>
          </cell>
          <cell r="D4744" t="str">
            <v>Al Taawun Primary School</v>
          </cell>
          <cell r="H4744" t="str">
            <v>AD</v>
          </cell>
        </row>
        <row r="4745">
          <cell r="B4745" t="str">
            <v>Fire Smoke / Heat Detector, Sounder</v>
          </cell>
          <cell r="D4745" t="str">
            <v>Al Taawun Primary School</v>
          </cell>
          <cell r="H4745" t="str">
            <v>AD</v>
          </cell>
        </row>
        <row r="4746">
          <cell r="B4746" t="str">
            <v>Fire Smoke / Heat Detector, Sounder</v>
          </cell>
          <cell r="D4746" t="str">
            <v>Al Taawun Primary School</v>
          </cell>
          <cell r="H4746" t="str">
            <v>AD</v>
          </cell>
        </row>
        <row r="4747">
          <cell r="B4747" t="str">
            <v>Fire Smoke / Heat Detector, Sounder</v>
          </cell>
          <cell r="D4747" t="str">
            <v>Al Taawun Primary School</v>
          </cell>
          <cell r="H4747" t="str">
            <v>AD</v>
          </cell>
        </row>
        <row r="4748">
          <cell r="B4748" t="str">
            <v>Fire Smoke / Heat Detector, Sounder</v>
          </cell>
          <cell r="D4748" t="str">
            <v>Al Taawun Primary School</v>
          </cell>
          <cell r="H4748" t="str">
            <v>AD</v>
          </cell>
        </row>
        <row r="4749">
          <cell r="B4749" t="str">
            <v>Fire Smoke / Heat Detector, Sounder</v>
          </cell>
          <cell r="D4749" t="str">
            <v>Al Taawun Primary School</v>
          </cell>
          <cell r="H4749" t="str">
            <v>AD</v>
          </cell>
        </row>
        <row r="4750">
          <cell r="B4750" t="str">
            <v>Fire Smoke / Heat Detector, Sounder</v>
          </cell>
          <cell r="D4750" t="str">
            <v>Al Taawun Primary School</v>
          </cell>
          <cell r="H4750" t="str">
            <v>AD</v>
          </cell>
        </row>
        <row r="4751">
          <cell r="B4751" t="str">
            <v>Fire Smoke / Heat Detector, Sounder</v>
          </cell>
          <cell r="D4751" t="str">
            <v>Al Taawun Primary School</v>
          </cell>
          <cell r="H4751" t="str">
            <v>AD</v>
          </cell>
        </row>
        <row r="4752">
          <cell r="B4752" t="str">
            <v>Fire Smoke / Heat Detector, Sounder</v>
          </cell>
          <cell r="D4752" t="str">
            <v>Al Taawun Primary School</v>
          </cell>
          <cell r="H4752" t="str">
            <v>AD</v>
          </cell>
        </row>
        <row r="4753">
          <cell r="B4753" t="str">
            <v>Fire Smoke / Heat Detector, Sounder</v>
          </cell>
          <cell r="D4753" t="str">
            <v>Al Taawun Primary School</v>
          </cell>
          <cell r="H4753" t="str">
            <v>AD</v>
          </cell>
        </row>
        <row r="4754">
          <cell r="B4754" t="str">
            <v>Fire Smoke / Heat Detector, Sounder</v>
          </cell>
          <cell r="D4754" t="str">
            <v>Al Taawun Primary School</v>
          </cell>
          <cell r="H4754" t="str">
            <v>AD</v>
          </cell>
        </row>
        <row r="4755">
          <cell r="B4755" t="str">
            <v>Fire Smoke / Heat Detector, Sounder</v>
          </cell>
          <cell r="D4755" t="str">
            <v>Al Taawun Primary School</v>
          </cell>
          <cell r="H4755" t="str">
            <v>AD</v>
          </cell>
        </row>
        <row r="4756">
          <cell r="B4756" t="str">
            <v>Fire Smoke / Heat Detector, Sounder</v>
          </cell>
          <cell r="D4756" t="str">
            <v>Al Taawun Primary School</v>
          </cell>
          <cell r="H4756" t="str">
            <v>AD</v>
          </cell>
        </row>
        <row r="4757">
          <cell r="B4757" t="str">
            <v>Fire Alarm Break Glass Call Point</v>
          </cell>
          <cell r="D4757" t="str">
            <v>Al Tafawwoq Primary School</v>
          </cell>
          <cell r="H4757" t="str">
            <v>AD</v>
          </cell>
        </row>
        <row r="4758">
          <cell r="B4758" t="str">
            <v>Fire Alarm Break Glass Call Point</v>
          </cell>
          <cell r="D4758" t="str">
            <v>Al Tafawwoq Primary School</v>
          </cell>
          <cell r="H4758" t="str">
            <v>AD</v>
          </cell>
        </row>
        <row r="4759">
          <cell r="B4759" t="str">
            <v>Fire Alarm Break Glass Call Point</v>
          </cell>
          <cell r="D4759" t="str">
            <v>Al Tafawwoq Primary School</v>
          </cell>
          <cell r="H4759" t="str">
            <v>AD</v>
          </cell>
        </row>
        <row r="4760">
          <cell r="B4760" t="str">
            <v>Fire Alarm Break Glass Call Point</v>
          </cell>
          <cell r="D4760" t="str">
            <v>Al Tafawwoq Primary School</v>
          </cell>
          <cell r="H4760" t="str">
            <v>AD</v>
          </cell>
        </row>
        <row r="4761">
          <cell r="B4761" t="str">
            <v>Fire Alarm Break Glass Call Point</v>
          </cell>
          <cell r="D4761" t="str">
            <v>Al Tafawwoq Primary School</v>
          </cell>
          <cell r="H4761" t="str">
            <v>AD</v>
          </cell>
        </row>
        <row r="4762">
          <cell r="B4762" t="str">
            <v>Fire Alarm Break Glass Call Point</v>
          </cell>
          <cell r="D4762" t="str">
            <v>Al Tafawwoq Primary School</v>
          </cell>
          <cell r="H4762" t="str">
            <v>AD</v>
          </cell>
        </row>
        <row r="4763">
          <cell r="B4763" t="str">
            <v>Fire Alarm Break Glass Call Point</v>
          </cell>
          <cell r="D4763" t="str">
            <v>Al Tafawwoq Primary School</v>
          </cell>
          <cell r="H4763" t="str">
            <v>AD</v>
          </cell>
        </row>
        <row r="4764">
          <cell r="B4764" t="str">
            <v>Fire Alarm Break Glass Call Point</v>
          </cell>
          <cell r="D4764" t="str">
            <v>Al Tafawwoq Primary School</v>
          </cell>
          <cell r="H4764" t="str">
            <v>AD</v>
          </cell>
        </row>
        <row r="4765">
          <cell r="B4765" t="str">
            <v>Fire Alarm Break Glass Call Point</v>
          </cell>
          <cell r="D4765" t="str">
            <v>Al Tafawwoq Primary School</v>
          </cell>
          <cell r="H4765" t="str">
            <v>AD</v>
          </cell>
        </row>
        <row r="4766">
          <cell r="B4766" t="str">
            <v>Fire Alarm Break Glass Call Point</v>
          </cell>
          <cell r="D4766" t="str">
            <v>Al Tafawwoq Primary School</v>
          </cell>
          <cell r="H4766" t="str">
            <v>AD</v>
          </cell>
        </row>
        <row r="4767">
          <cell r="B4767" t="str">
            <v>Fire Alarm Break Glass Call Point</v>
          </cell>
          <cell r="D4767" t="str">
            <v>Al Tafawwoq Primary School</v>
          </cell>
          <cell r="H4767" t="str">
            <v>AD</v>
          </cell>
        </row>
        <row r="4768">
          <cell r="B4768" t="str">
            <v>Fire Alarm Break Glass Call Point</v>
          </cell>
          <cell r="D4768" t="str">
            <v>Al Tafawwoq Primary School</v>
          </cell>
          <cell r="H4768" t="str">
            <v>AD</v>
          </cell>
        </row>
        <row r="4769">
          <cell r="B4769" t="str">
            <v>Fire Alarm Break Glass Call Point</v>
          </cell>
          <cell r="D4769" t="str">
            <v>Al Tafawwoq Primary School</v>
          </cell>
          <cell r="H4769" t="str">
            <v>AD</v>
          </cell>
        </row>
        <row r="4770">
          <cell r="B4770" t="str">
            <v>Fire Alarm Break Glass Call Point</v>
          </cell>
          <cell r="D4770" t="str">
            <v>Al Tafawwoq Primary School</v>
          </cell>
          <cell r="H4770" t="str">
            <v>AD</v>
          </cell>
        </row>
        <row r="4771">
          <cell r="B4771" t="str">
            <v>Fire Alarm Break Glass Call Point</v>
          </cell>
          <cell r="D4771" t="str">
            <v>Al Tafawwoq Primary School</v>
          </cell>
          <cell r="H4771" t="str">
            <v>AD</v>
          </cell>
        </row>
        <row r="4772">
          <cell r="B4772" t="str">
            <v>Fire Alarm Break Glass Call Point</v>
          </cell>
          <cell r="D4772" t="str">
            <v>Al Tafawwoq Primary School</v>
          </cell>
          <cell r="H4772" t="str">
            <v>AD</v>
          </cell>
        </row>
        <row r="4773">
          <cell r="B4773" t="str">
            <v>Fire Alarm Break Glass Call Point</v>
          </cell>
          <cell r="D4773" t="str">
            <v>Al Tafawwoq Primary School</v>
          </cell>
          <cell r="H4773" t="str">
            <v>AD</v>
          </cell>
        </row>
        <row r="4774">
          <cell r="B4774" t="str">
            <v>Fire Alarm Break Glass Call Point</v>
          </cell>
          <cell r="D4774" t="str">
            <v>Al Tafawwoq Primary School</v>
          </cell>
          <cell r="H4774" t="str">
            <v>AD</v>
          </cell>
        </row>
        <row r="4775">
          <cell r="B4775" t="str">
            <v>Fire Alarm Break Glass Call Point</v>
          </cell>
          <cell r="D4775" t="str">
            <v>Al Tafawwoq Primary School</v>
          </cell>
          <cell r="H4775" t="str">
            <v>AD</v>
          </cell>
        </row>
        <row r="4776">
          <cell r="B4776" t="str">
            <v>Fire Alarm Panel</v>
          </cell>
          <cell r="D4776" t="str">
            <v>Al Tafawwoq Primary School</v>
          </cell>
          <cell r="H4776" t="str">
            <v>AD</v>
          </cell>
        </row>
        <row r="4777">
          <cell r="B4777" t="str">
            <v>Fire Alarm Sounder, Bell, Light</v>
          </cell>
          <cell r="D4777" t="str">
            <v>Al Tafawwoq Primary School</v>
          </cell>
          <cell r="H4777" t="str">
            <v>AD</v>
          </cell>
        </row>
        <row r="4778">
          <cell r="B4778" t="str">
            <v>Fire Alarm Sounder, Bell, Light</v>
          </cell>
          <cell r="D4778" t="str">
            <v>Al Tafawwoq Primary School</v>
          </cell>
          <cell r="H4778" t="str">
            <v>AD</v>
          </cell>
        </row>
        <row r="4779">
          <cell r="B4779" t="str">
            <v>Fire Alarm Sounder, Bell, Light</v>
          </cell>
          <cell r="D4779" t="str">
            <v>Al Tafawwoq Primary School</v>
          </cell>
          <cell r="H4779" t="str">
            <v>AD</v>
          </cell>
        </row>
        <row r="4780">
          <cell r="B4780" t="str">
            <v>Fire Alarm Sounder, Bell, Light</v>
          </cell>
          <cell r="D4780" t="str">
            <v>Al Tafawwoq Primary School</v>
          </cell>
          <cell r="H4780" t="str">
            <v>AD</v>
          </cell>
        </row>
        <row r="4781">
          <cell r="B4781" t="str">
            <v>Fire Alarm Sounder, Bell, Light</v>
          </cell>
          <cell r="D4781" t="str">
            <v>Al Tafawwoq Primary School</v>
          </cell>
          <cell r="H4781" t="str">
            <v>AD</v>
          </cell>
        </row>
        <row r="4782">
          <cell r="B4782" t="str">
            <v>Fire Alarm Sounder, Bell, Light</v>
          </cell>
          <cell r="D4782" t="str">
            <v>Al Tafawwoq Primary School</v>
          </cell>
          <cell r="H4782" t="str">
            <v>AD</v>
          </cell>
        </row>
        <row r="4783">
          <cell r="B4783" t="str">
            <v>Fire Alarm Sounder, Bell, Light</v>
          </cell>
          <cell r="D4783" t="str">
            <v>Al Tafawwoq Primary School</v>
          </cell>
          <cell r="H4783" t="str">
            <v>AD</v>
          </cell>
        </row>
        <row r="4784">
          <cell r="B4784" t="str">
            <v>Fire Alarm Sounder, Bell, Light</v>
          </cell>
          <cell r="D4784" t="str">
            <v>Al Tafawwoq Primary School</v>
          </cell>
          <cell r="H4784" t="str">
            <v>AD</v>
          </cell>
        </row>
        <row r="4785">
          <cell r="B4785" t="str">
            <v>Fire Alarm Sounder, Bell, Light</v>
          </cell>
          <cell r="D4785" t="str">
            <v>Al Tafawwoq Primary School</v>
          </cell>
          <cell r="H4785" t="str">
            <v>AD</v>
          </cell>
        </row>
        <row r="4786">
          <cell r="B4786" t="str">
            <v>Fire Alarm Sounder, Bell, Light</v>
          </cell>
          <cell r="D4786" t="str">
            <v>Al Tafawwoq Primary School</v>
          </cell>
          <cell r="H4786" t="str">
            <v>AD</v>
          </cell>
        </row>
        <row r="4787">
          <cell r="B4787" t="str">
            <v>Fire Alarm Sounder, Bell, Light</v>
          </cell>
          <cell r="D4787" t="str">
            <v>Al Tafawwoq Primary School</v>
          </cell>
          <cell r="H4787" t="str">
            <v>AD</v>
          </cell>
        </row>
        <row r="4788">
          <cell r="B4788" t="str">
            <v>Fire Alarm Sounder, Bell, Light</v>
          </cell>
          <cell r="D4788" t="str">
            <v>Al Tafawwoq Primary School</v>
          </cell>
          <cell r="H4788" t="str">
            <v>AD</v>
          </cell>
        </row>
        <row r="4789">
          <cell r="B4789" t="str">
            <v>Fire Alarm Sounder, Bell, Light</v>
          </cell>
          <cell r="D4789" t="str">
            <v>Al Tafawwoq Primary School</v>
          </cell>
          <cell r="H4789" t="str">
            <v>AD</v>
          </cell>
        </row>
        <row r="4790">
          <cell r="B4790" t="str">
            <v>Fire Alarm Sounder, Bell, Light</v>
          </cell>
          <cell r="D4790" t="str">
            <v>Al Tafawwoq Primary School</v>
          </cell>
          <cell r="H4790" t="str">
            <v>AD</v>
          </cell>
        </row>
        <row r="4791">
          <cell r="B4791" t="str">
            <v>Fire Alarm Sounder, Bell, Light</v>
          </cell>
          <cell r="D4791" t="str">
            <v>Al Tafawwoq Primary School</v>
          </cell>
          <cell r="H4791" t="str">
            <v>AD</v>
          </cell>
        </row>
        <row r="4792">
          <cell r="B4792" t="str">
            <v>Fire Alarm Sounder, Bell, Light</v>
          </cell>
          <cell r="D4792" t="str">
            <v>Al Tafawwoq Primary School</v>
          </cell>
          <cell r="H4792" t="str">
            <v>AD</v>
          </cell>
        </row>
        <row r="4793">
          <cell r="B4793" t="str">
            <v>Fire Alarm Sounder, Bell, Light</v>
          </cell>
          <cell r="D4793" t="str">
            <v>Al Tafawwoq Primary School</v>
          </cell>
          <cell r="H4793" t="str">
            <v>AD</v>
          </cell>
        </row>
        <row r="4794">
          <cell r="B4794" t="str">
            <v>Fire Alarm Sounder, Bell, Light</v>
          </cell>
          <cell r="D4794" t="str">
            <v>Al Tafawwoq Primary School</v>
          </cell>
          <cell r="H4794" t="str">
            <v>AD</v>
          </cell>
        </row>
        <row r="4795">
          <cell r="B4795" t="str">
            <v>Fire Alarm Sounder, Bell, Light</v>
          </cell>
          <cell r="D4795" t="str">
            <v>Al Tafawwoq Primary School</v>
          </cell>
          <cell r="H4795" t="str">
            <v>AD</v>
          </cell>
        </row>
        <row r="4796">
          <cell r="B4796" t="str">
            <v>Fire Alarm Sounder, Bell, Light</v>
          </cell>
          <cell r="D4796" t="str">
            <v>Al Tafawwoq Primary School</v>
          </cell>
          <cell r="H4796" t="str">
            <v>AD</v>
          </cell>
        </row>
        <row r="4797">
          <cell r="B4797" t="str">
            <v>Fire Alarm Sounder, Bell, Light</v>
          </cell>
          <cell r="D4797" t="str">
            <v>Al Tafawwoq Primary School</v>
          </cell>
          <cell r="H4797" t="str">
            <v>AD</v>
          </cell>
        </row>
        <row r="4798">
          <cell r="B4798" t="str">
            <v>Fire Alarm Sounder, Bell, Light</v>
          </cell>
          <cell r="D4798" t="str">
            <v>Al Tafawwoq Primary School</v>
          </cell>
          <cell r="H4798" t="str">
            <v>AD</v>
          </cell>
        </row>
        <row r="4799">
          <cell r="B4799" t="str">
            <v>Fire Alarm Sounder, Bell, Light</v>
          </cell>
          <cell r="D4799" t="str">
            <v>Al Tafawwoq Primary School</v>
          </cell>
          <cell r="H4799" t="str">
            <v>AD</v>
          </cell>
        </row>
        <row r="4800">
          <cell r="B4800" t="str">
            <v>Fire Alarm Sounder, Bell, Light</v>
          </cell>
          <cell r="D4800" t="str">
            <v>Al Tafawwoq Primary School</v>
          </cell>
          <cell r="H4800" t="str">
            <v>AD</v>
          </cell>
        </row>
        <row r="4801">
          <cell r="B4801" t="str">
            <v>Fire Alarm Sounder, Bell, Light</v>
          </cell>
          <cell r="D4801" t="str">
            <v>Al Tafawwoq Primary School</v>
          </cell>
          <cell r="H4801" t="str">
            <v>AD</v>
          </cell>
        </row>
        <row r="4802">
          <cell r="B4802" t="str">
            <v>Fire Alarm Sounder, Bell, Light</v>
          </cell>
          <cell r="D4802" t="str">
            <v>Al Tafawwoq Primary School</v>
          </cell>
          <cell r="H4802" t="str">
            <v>AD</v>
          </cell>
        </row>
        <row r="4803">
          <cell r="B4803" t="str">
            <v>Fire Alarm Sounder, Bell, Light</v>
          </cell>
          <cell r="D4803" t="str">
            <v>Al Tafawwoq Primary School</v>
          </cell>
          <cell r="H4803" t="str">
            <v>AD</v>
          </cell>
        </row>
        <row r="4804">
          <cell r="B4804" t="str">
            <v>Fire Alarm Sounder, Bell, Light</v>
          </cell>
          <cell r="D4804" t="str">
            <v>Al Tafawwoq Primary School</v>
          </cell>
          <cell r="H4804" t="str">
            <v>AD</v>
          </cell>
        </row>
        <row r="4805">
          <cell r="B4805" t="str">
            <v>Fire Alarm Sounder, Bell, Light</v>
          </cell>
          <cell r="D4805" t="str">
            <v>Al Tafawwoq Primary School</v>
          </cell>
          <cell r="H4805" t="str">
            <v>AD</v>
          </cell>
        </row>
        <row r="4806">
          <cell r="B4806" t="str">
            <v>Fire Alarm Sounder, Bell, Light</v>
          </cell>
          <cell r="D4806" t="str">
            <v>Al Tafawwoq Primary School</v>
          </cell>
          <cell r="H4806" t="str">
            <v>AD</v>
          </cell>
        </row>
        <row r="4807">
          <cell r="B4807" t="str">
            <v>Fire Alarm Sounder, Bell, Light</v>
          </cell>
          <cell r="D4807" t="str">
            <v>Al Tafawwoq Primary School</v>
          </cell>
          <cell r="H4807" t="str">
            <v>AD</v>
          </cell>
        </row>
        <row r="4808">
          <cell r="B4808" t="str">
            <v>Fire Alarm Sounder, Bell, Light</v>
          </cell>
          <cell r="D4808" t="str">
            <v>Al Tafawwoq Primary School</v>
          </cell>
          <cell r="H4808" t="str">
            <v>AD</v>
          </cell>
        </row>
        <row r="4809">
          <cell r="B4809" t="str">
            <v>Fire Alarm Sounder, Bell, Light</v>
          </cell>
          <cell r="D4809" t="str">
            <v>Al Tafawwoq Primary School</v>
          </cell>
          <cell r="H4809" t="str">
            <v>AD</v>
          </cell>
        </row>
        <row r="4810">
          <cell r="B4810" t="str">
            <v>Fire Extinguisher</v>
          </cell>
          <cell r="D4810" t="str">
            <v>Al Tafawwoq Primary School</v>
          </cell>
          <cell r="H4810" t="str">
            <v>AD</v>
          </cell>
        </row>
        <row r="4811">
          <cell r="B4811" t="str">
            <v>Fire Extinguisher</v>
          </cell>
          <cell r="D4811" t="str">
            <v>Al Tafawwoq Primary School</v>
          </cell>
          <cell r="H4811" t="str">
            <v>AD</v>
          </cell>
        </row>
        <row r="4812">
          <cell r="B4812" t="str">
            <v>Fire Extinguisher</v>
          </cell>
          <cell r="D4812" t="str">
            <v>Al Tafawwoq Primary School</v>
          </cell>
          <cell r="H4812" t="str">
            <v>AD</v>
          </cell>
        </row>
        <row r="4813">
          <cell r="B4813" t="str">
            <v>Fire Extinguisher</v>
          </cell>
          <cell r="D4813" t="str">
            <v>Al Tafawwoq Primary School</v>
          </cell>
          <cell r="H4813" t="str">
            <v>AD</v>
          </cell>
        </row>
        <row r="4814">
          <cell r="B4814" t="str">
            <v>Fire Extinguisher</v>
          </cell>
          <cell r="D4814" t="str">
            <v>Al Tafawwoq Primary School</v>
          </cell>
          <cell r="H4814" t="str">
            <v>AD</v>
          </cell>
        </row>
        <row r="4815">
          <cell r="B4815" t="str">
            <v>Fire Extinguisher</v>
          </cell>
          <cell r="D4815" t="str">
            <v>Al Tafawwoq Primary School</v>
          </cell>
          <cell r="H4815" t="str">
            <v>AD</v>
          </cell>
        </row>
        <row r="4816">
          <cell r="B4816" t="str">
            <v>Fire Extinguisher</v>
          </cell>
          <cell r="D4816" t="str">
            <v>Al Tafawwoq Primary School</v>
          </cell>
          <cell r="H4816" t="str">
            <v>AD</v>
          </cell>
        </row>
        <row r="4817">
          <cell r="B4817" t="str">
            <v>Fire Extinguisher</v>
          </cell>
          <cell r="D4817" t="str">
            <v>Al Tafawwoq Primary School</v>
          </cell>
          <cell r="H4817" t="str">
            <v>AD</v>
          </cell>
        </row>
        <row r="4818">
          <cell r="B4818" t="str">
            <v>Fire Extinguisher</v>
          </cell>
          <cell r="D4818" t="str">
            <v>Al Tafawwoq Primary School</v>
          </cell>
          <cell r="H4818" t="str">
            <v>AD</v>
          </cell>
        </row>
        <row r="4819">
          <cell r="B4819" t="str">
            <v>Fire Extinguisher</v>
          </cell>
          <cell r="D4819" t="str">
            <v>Al Tafawwoq Primary School</v>
          </cell>
          <cell r="H4819" t="str">
            <v>AD</v>
          </cell>
        </row>
        <row r="4820">
          <cell r="B4820" t="str">
            <v>Fire Extinguisher</v>
          </cell>
          <cell r="D4820" t="str">
            <v>Al Tafawwoq Primary School</v>
          </cell>
          <cell r="H4820" t="str">
            <v>AD</v>
          </cell>
        </row>
        <row r="4821">
          <cell r="B4821" t="str">
            <v>Fire Extinguisher</v>
          </cell>
          <cell r="D4821" t="str">
            <v>Al Tafawwoq Primary School</v>
          </cell>
          <cell r="H4821" t="str">
            <v>AD</v>
          </cell>
        </row>
        <row r="4822">
          <cell r="B4822" t="str">
            <v>Fire Extinguisher</v>
          </cell>
          <cell r="D4822" t="str">
            <v>Al Tafawwoq Primary School</v>
          </cell>
          <cell r="H4822" t="str">
            <v>AD</v>
          </cell>
        </row>
        <row r="4823">
          <cell r="B4823" t="str">
            <v>Fire Extinguisher</v>
          </cell>
          <cell r="D4823" t="str">
            <v>Al Tafawwoq Primary School</v>
          </cell>
          <cell r="H4823" t="str">
            <v>AD</v>
          </cell>
        </row>
        <row r="4824">
          <cell r="B4824" t="str">
            <v>Fire Extinguisher</v>
          </cell>
          <cell r="D4824" t="str">
            <v>Al Tafawwoq Primary School</v>
          </cell>
          <cell r="H4824" t="str">
            <v>AD</v>
          </cell>
        </row>
        <row r="4825">
          <cell r="B4825" t="str">
            <v>Fire Extinguisher</v>
          </cell>
          <cell r="D4825" t="str">
            <v>Al Tafawwoq Primary School</v>
          </cell>
          <cell r="H4825" t="str">
            <v>AD</v>
          </cell>
        </row>
        <row r="4826">
          <cell r="B4826" t="str">
            <v>Fire Extinguisher</v>
          </cell>
          <cell r="D4826" t="str">
            <v>Al Tafawwoq Primary School</v>
          </cell>
          <cell r="H4826" t="str">
            <v>AD</v>
          </cell>
        </row>
        <row r="4827">
          <cell r="B4827" t="str">
            <v>Fire Extinguisher</v>
          </cell>
          <cell r="D4827" t="str">
            <v>Al Tafawwoq Primary School</v>
          </cell>
          <cell r="H4827" t="str">
            <v>AD</v>
          </cell>
        </row>
        <row r="4828">
          <cell r="B4828" t="str">
            <v>Fire Extinguisher</v>
          </cell>
          <cell r="D4828" t="str">
            <v>Al Tafawwoq Primary School</v>
          </cell>
          <cell r="H4828" t="str">
            <v>AD</v>
          </cell>
        </row>
        <row r="4829">
          <cell r="B4829" t="str">
            <v>Fire Extinguisher</v>
          </cell>
          <cell r="D4829" t="str">
            <v>Al Tafawwoq Primary School</v>
          </cell>
          <cell r="H4829" t="str">
            <v>AD</v>
          </cell>
        </row>
        <row r="4830">
          <cell r="B4830" t="str">
            <v>Fire Extinguisher</v>
          </cell>
          <cell r="D4830" t="str">
            <v>Al Tafawwoq Primary School</v>
          </cell>
          <cell r="H4830" t="str">
            <v>AD</v>
          </cell>
        </row>
        <row r="4831">
          <cell r="B4831" t="str">
            <v>Fire Extinguisher</v>
          </cell>
          <cell r="D4831" t="str">
            <v>Al Tafawwoq Primary School</v>
          </cell>
          <cell r="H4831" t="str">
            <v>AD</v>
          </cell>
        </row>
        <row r="4832">
          <cell r="B4832" t="str">
            <v>Fire Extinguisher</v>
          </cell>
          <cell r="D4832" t="str">
            <v>Al Tafawwoq Primary School</v>
          </cell>
          <cell r="H4832" t="str">
            <v>AD</v>
          </cell>
        </row>
        <row r="4833">
          <cell r="B4833" t="str">
            <v>Fire Extinguisher</v>
          </cell>
          <cell r="D4833" t="str">
            <v>Al Tafawwoq Primary School</v>
          </cell>
          <cell r="H4833" t="str">
            <v>AD</v>
          </cell>
        </row>
        <row r="4834">
          <cell r="B4834" t="str">
            <v>Fire Extinguisher</v>
          </cell>
          <cell r="D4834" t="str">
            <v>Al Tafawwoq Primary School</v>
          </cell>
          <cell r="H4834" t="str">
            <v>AD</v>
          </cell>
        </row>
        <row r="4835">
          <cell r="B4835" t="str">
            <v>Fire Extinguisher</v>
          </cell>
          <cell r="D4835" t="str">
            <v>Al Tafawwoq Primary School</v>
          </cell>
          <cell r="H4835" t="str">
            <v>AD</v>
          </cell>
        </row>
        <row r="4836">
          <cell r="B4836" t="str">
            <v>Fire Extinguisher</v>
          </cell>
          <cell r="D4836" t="str">
            <v>Al Tafawwoq Primary School</v>
          </cell>
          <cell r="H4836" t="str">
            <v>AD</v>
          </cell>
        </row>
        <row r="4837">
          <cell r="B4837" t="str">
            <v>Fire Extinguisher</v>
          </cell>
          <cell r="D4837" t="str">
            <v>Al Tafawwoq Primary School</v>
          </cell>
          <cell r="H4837" t="str">
            <v>AD</v>
          </cell>
        </row>
        <row r="4838">
          <cell r="B4838" t="str">
            <v>Fire Extinguisher</v>
          </cell>
          <cell r="D4838" t="str">
            <v>Al Tafawwoq Primary School</v>
          </cell>
          <cell r="H4838" t="str">
            <v>AD</v>
          </cell>
        </row>
        <row r="4839">
          <cell r="B4839" t="str">
            <v>Fire Extinguisher</v>
          </cell>
          <cell r="D4839" t="str">
            <v>Al Tafawwoq Primary School</v>
          </cell>
          <cell r="H4839" t="str">
            <v>AD</v>
          </cell>
        </row>
        <row r="4840">
          <cell r="B4840" t="str">
            <v>Fire Extinguisher</v>
          </cell>
          <cell r="D4840" t="str">
            <v>Al Tafawwoq Primary School</v>
          </cell>
          <cell r="H4840" t="str">
            <v>AD</v>
          </cell>
        </row>
        <row r="4841">
          <cell r="B4841" t="str">
            <v>Fire Extinguisher</v>
          </cell>
          <cell r="D4841" t="str">
            <v>Al Tafawwoq Primary School</v>
          </cell>
          <cell r="H4841" t="str">
            <v>AD</v>
          </cell>
        </row>
        <row r="4842">
          <cell r="B4842" t="str">
            <v>Fire Extinguisher</v>
          </cell>
          <cell r="D4842" t="str">
            <v>Al Tafawwoq Primary School</v>
          </cell>
          <cell r="H4842" t="str">
            <v>AD</v>
          </cell>
        </row>
        <row r="4843">
          <cell r="B4843" t="str">
            <v>Fire Extinguisher</v>
          </cell>
          <cell r="D4843" t="str">
            <v>Al Tafawwoq Primary School</v>
          </cell>
          <cell r="H4843" t="str">
            <v>AD</v>
          </cell>
        </row>
        <row r="4844">
          <cell r="B4844" t="str">
            <v>Fire Extinguisher</v>
          </cell>
          <cell r="D4844" t="str">
            <v>Al Tafawwoq Primary School</v>
          </cell>
          <cell r="H4844" t="str">
            <v>AD</v>
          </cell>
        </row>
        <row r="4845">
          <cell r="B4845" t="str">
            <v>Fire Extinguisher</v>
          </cell>
          <cell r="D4845" t="str">
            <v>Al Tafawwoq Primary School</v>
          </cell>
          <cell r="H4845" t="str">
            <v>AD</v>
          </cell>
        </row>
        <row r="4846">
          <cell r="B4846" t="str">
            <v>Fire Extinguisher</v>
          </cell>
          <cell r="D4846" t="str">
            <v>Al Tafawwoq Primary School</v>
          </cell>
          <cell r="H4846" t="str">
            <v>AD</v>
          </cell>
        </row>
        <row r="4847">
          <cell r="B4847" t="str">
            <v>Fire Extinguisher</v>
          </cell>
          <cell r="D4847" t="str">
            <v>Al Tafawwoq Primary School</v>
          </cell>
          <cell r="H4847" t="str">
            <v>AD</v>
          </cell>
        </row>
        <row r="4848">
          <cell r="B4848" t="str">
            <v>Fire Extinguisher</v>
          </cell>
          <cell r="D4848" t="str">
            <v>Al Tafawwoq Primary School</v>
          </cell>
          <cell r="H4848" t="str">
            <v>AD</v>
          </cell>
        </row>
        <row r="4849">
          <cell r="B4849" t="str">
            <v>Fire Extinguisher</v>
          </cell>
          <cell r="D4849" t="str">
            <v>Al Tafawwoq Primary School</v>
          </cell>
          <cell r="H4849" t="str">
            <v>AD</v>
          </cell>
        </row>
        <row r="4850">
          <cell r="B4850" t="str">
            <v>Fire Extinguisher</v>
          </cell>
          <cell r="D4850" t="str">
            <v>Al Tafawwoq Primary School</v>
          </cell>
          <cell r="H4850" t="str">
            <v>AD</v>
          </cell>
        </row>
        <row r="4851">
          <cell r="B4851" t="str">
            <v>Fire Extinguisher</v>
          </cell>
          <cell r="D4851" t="str">
            <v>Al Tafawwoq Primary School</v>
          </cell>
          <cell r="H4851" t="str">
            <v>AD</v>
          </cell>
        </row>
        <row r="4852">
          <cell r="B4852" t="str">
            <v>Fire Extinguisher</v>
          </cell>
          <cell r="D4852" t="str">
            <v>Al Tafawwoq Primary School</v>
          </cell>
          <cell r="H4852" t="str">
            <v>AD</v>
          </cell>
        </row>
        <row r="4853">
          <cell r="B4853" t="str">
            <v>Fire Extinguisher</v>
          </cell>
          <cell r="D4853" t="str">
            <v>Al Tafawwoq Primary School</v>
          </cell>
          <cell r="H4853" t="str">
            <v>AD</v>
          </cell>
        </row>
        <row r="4854">
          <cell r="B4854" t="str">
            <v>Fire Extinguisher</v>
          </cell>
          <cell r="D4854" t="str">
            <v>Al Tafawwoq Primary School</v>
          </cell>
          <cell r="H4854" t="str">
            <v>AD</v>
          </cell>
        </row>
        <row r="4855">
          <cell r="B4855" t="str">
            <v>Fire Extinguisher</v>
          </cell>
          <cell r="D4855" t="str">
            <v>Al Tafawwoq Primary School</v>
          </cell>
          <cell r="H4855" t="str">
            <v>AD</v>
          </cell>
        </row>
        <row r="4856">
          <cell r="B4856" t="str">
            <v>Fire Extinguisher</v>
          </cell>
          <cell r="D4856" t="str">
            <v>Al Tafawwoq Primary School</v>
          </cell>
          <cell r="H4856" t="str">
            <v>AD</v>
          </cell>
        </row>
        <row r="4857">
          <cell r="B4857" t="str">
            <v>Fire Extinguisher</v>
          </cell>
          <cell r="D4857" t="str">
            <v>Al Tafawwoq Primary School</v>
          </cell>
          <cell r="H4857" t="str">
            <v>AD</v>
          </cell>
        </row>
        <row r="4858">
          <cell r="B4858" t="str">
            <v>Fire Extinguisher</v>
          </cell>
          <cell r="D4858" t="str">
            <v>Al Tafawwoq Primary School</v>
          </cell>
          <cell r="H4858" t="str">
            <v>AD</v>
          </cell>
        </row>
        <row r="4859">
          <cell r="B4859" t="str">
            <v>Fire Extinguisher</v>
          </cell>
          <cell r="D4859" t="str">
            <v>Al Tafawwoq Primary School</v>
          </cell>
          <cell r="H4859" t="str">
            <v>AD</v>
          </cell>
        </row>
        <row r="4860">
          <cell r="B4860" t="str">
            <v>Fire Extinguisher</v>
          </cell>
          <cell r="D4860" t="str">
            <v>Al Tafawwoq Primary School</v>
          </cell>
          <cell r="H4860" t="str">
            <v>AD</v>
          </cell>
        </row>
        <row r="4861">
          <cell r="B4861" t="str">
            <v>Fire Extinguisher</v>
          </cell>
          <cell r="D4861" t="str">
            <v>Al Tafawwoq Primary School</v>
          </cell>
          <cell r="H4861" t="str">
            <v>AD</v>
          </cell>
        </row>
        <row r="4862">
          <cell r="B4862" t="str">
            <v>Fire Extinguisher</v>
          </cell>
          <cell r="D4862" t="str">
            <v>Al Tafawwoq Primary School</v>
          </cell>
          <cell r="H4862" t="str">
            <v>AD</v>
          </cell>
        </row>
        <row r="4863">
          <cell r="B4863" t="str">
            <v>Fire Extinguisher</v>
          </cell>
          <cell r="D4863" t="str">
            <v>Al Tafawwoq Primary School</v>
          </cell>
          <cell r="H4863" t="str">
            <v>AD</v>
          </cell>
        </row>
        <row r="4864">
          <cell r="B4864" t="str">
            <v>Fire Extinguisher</v>
          </cell>
          <cell r="D4864" t="str">
            <v>Al Tafawwoq Primary School</v>
          </cell>
          <cell r="H4864" t="str">
            <v>AD</v>
          </cell>
        </row>
        <row r="4865">
          <cell r="B4865" t="str">
            <v>Fire Extinguisher</v>
          </cell>
          <cell r="D4865" t="str">
            <v>Al Tafawwoq Primary School</v>
          </cell>
          <cell r="H4865" t="str">
            <v>AD</v>
          </cell>
        </row>
        <row r="4866">
          <cell r="B4866" t="str">
            <v>Fire Extinguisher</v>
          </cell>
          <cell r="D4866" t="str">
            <v>Al Tafawwoq Primary School</v>
          </cell>
          <cell r="H4866" t="str">
            <v>AD</v>
          </cell>
        </row>
        <row r="4867">
          <cell r="B4867" t="str">
            <v>Fire Extinguisher</v>
          </cell>
          <cell r="D4867" t="str">
            <v>Al Tafawwoq Primary School</v>
          </cell>
          <cell r="H4867" t="str">
            <v>AD</v>
          </cell>
        </row>
        <row r="4868">
          <cell r="B4868" t="str">
            <v>Fire Extinguisher</v>
          </cell>
          <cell r="D4868" t="str">
            <v>Al Tafawwoq Primary School</v>
          </cell>
          <cell r="H4868" t="str">
            <v>AD</v>
          </cell>
        </row>
        <row r="4869">
          <cell r="B4869" t="str">
            <v>Fire Extinguisher</v>
          </cell>
          <cell r="D4869" t="str">
            <v>Al Tafawwoq Primary School</v>
          </cell>
          <cell r="H4869" t="str">
            <v>AD</v>
          </cell>
        </row>
        <row r="4870">
          <cell r="B4870" t="str">
            <v>Fire Extinguisher</v>
          </cell>
          <cell r="D4870" t="str">
            <v>Al Tafawwoq Primary School</v>
          </cell>
          <cell r="H4870" t="str">
            <v>AD</v>
          </cell>
        </row>
        <row r="4871">
          <cell r="B4871" t="str">
            <v>Fire Extinguisher</v>
          </cell>
          <cell r="D4871" t="str">
            <v>Al Tafawwoq Primary School</v>
          </cell>
          <cell r="H4871" t="str">
            <v>AD</v>
          </cell>
        </row>
        <row r="4872">
          <cell r="B4872" t="str">
            <v>Fire Extinguisher</v>
          </cell>
          <cell r="D4872" t="str">
            <v>Al Tafawwoq Primary School</v>
          </cell>
          <cell r="H4872" t="str">
            <v>AD</v>
          </cell>
        </row>
        <row r="4873">
          <cell r="B4873" t="str">
            <v>Fire Hose Reel</v>
          </cell>
          <cell r="D4873" t="str">
            <v>Al Tafawwoq Primary School</v>
          </cell>
          <cell r="H4873" t="str">
            <v>AD</v>
          </cell>
        </row>
        <row r="4874">
          <cell r="B4874" t="str">
            <v>Fire Hose Reel</v>
          </cell>
          <cell r="D4874" t="str">
            <v>Al Tafawwoq Primary School</v>
          </cell>
          <cell r="H4874" t="str">
            <v>AD</v>
          </cell>
        </row>
        <row r="4875">
          <cell r="B4875" t="str">
            <v>Fire Hose Reel</v>
          </cell>
          <cell r="D4875" t="str">
            <v>Al Tafawwoq Primary School</v>
          </cell>
          <cell r="H4875" t="str">
            <v>AD</v>
          </cell>
        </row>
        <row r="4876">
          <cell r="B4876" t="str">
            <v>Fire Hose Reel</v>
          </cell>
          <cell r="D4876" t="str">
            <v>Al Tafawwoq Primary School</v>
          </cell>
          <cell r="H4876" t="str">
            <v>AD</v>
          </cell>
        </row>
        <row r="4877">
          <cell r="B4877" t="str">
            <v>Fire Hose Reel</v>
          </cell>
          <cell r="D4877" t="str">
            <v>Al Tafawwoq Primary School</v>
          </cell>
          <cell r="H4877" t="str">
            <v>AD</v>
          </cell>
        </row>
        <row r="4878">
          <cell r="B4878" t="str">
            <v>Fire Hose Reel</v>
          </cell>
          <cell r="D4878" t="str">
            <v>Al Tafawwoq Primary School</v>
          </cell>
          <cell r="H4878" t="str">
            <v>AD</v>
          </cell>
        </row>
        <row r="4879">
          <cell r="B4879" t="str">
            <v>Fire Hose Reel</v>
          </cell>
          <cell r="D4879" t="str">
            <v>Al Tafawwoq Primary School</v>
          </cell>
          <cell r="H4879" t="str">
            <v>AD</v>
          </cell>
        </row>
        <row r="4880">
          <cell r="B4880" t="str">
            <v>Fire Hose Reel</v>
          </cell>
          <cell r="D4880" t="str">
            <v>Al Tafawwoq Primary School</v>
          </cell>
          <cell r="H4880" t="str">
            <v>AD</v>
          </cell>
        </row>
        <row r="4881">
          <cell r="B4881" t="str">
            <v>Fire Hose Reel</v>
          </cell>
          <cell r="D4881" t="str">
            <v>Al Tafawwoq Primary School</v>
          </cell>
          <cell r="H4881" t="str">
            <v>AD</v>
          </cell>
        </row>
        <row r="4882">
          <cell r="B4882" t="str">
            <v>Fire Hose Reel</v>
          </cell>
          <cell r="D4882" t="str">
            <v>Al Tafawwoq Primary School</v>
          </cell>
          <cell r="H4882" t="str">
            <v>AD</v>
          </cell>
        </row>
        <row r="4883">
          <cell r="B4883" t="str">
            <v>Fire Hose Reel</v>
          </cell>
          <cell r="D4883" t="str">
            <v>Al Tafawwoq Primary School</v>
          </cell>
          <cell r="H4883" t="str">
            <v>AD</v>
          </cell>
        </row>
        <row r="4884">
          <cell r="B4884" t="str">
            <v>Fire Hose Reel</v>
          </cell>
          <cell r="D4884" t="str">
            <v>Al Tafawwoq Primary School</v>
          </cell>
          <cell r="H4884" t="str">
            <v>AD</v>
          </cell>
        </row>
        <row r="4885">
          <cell r="B4885" t="str">
            <v>Fire Hose Reel</v>
          </cell>
          <cell r="D4885" t="str">
            <v>Al Tafawwoq Primary School</v>
          </cell>
          <cell r="H4885" t="str">
            <v>AD</v>
          </cell>
        </row>
        <row r="4886">
          <cell r="B4886" t="str">
            <v>Fire Hose Reel</v>
          </cell>
          <cell r="D4886" t="str">
            <v>Al Tafawwoq Primary School</v>
          </cell>
          <cell r="H4886" t="str">
            <v>AD</v>
          </cell>
        </row>
        <row r="4887">
          <cell r="B4887" t="str">
            <v>Fire Hose Reel</v>
          </cell>
          <cell r="D4887" t="str">
            <v>Al Tafawwoq Primary School</v>
          </cell>
          <cell r="H4887" t="str">
            <v>AD</v>
          </cell>
        </row>
        <row r="4888">
          <cell r="B4888" t="str">
            <v>Fire Hose Reel</v>
          </cell>
          <cell r="D4888" t="str">
            <v>Al Tafawwoq Primary School</v>
          </cell>
          <cell r="H4888" t="str">
            <v>AD</v>
          </cell>
        </row>
        <row r="4889">
          <cell r="B4889" t="str">
            <v>FIRE PUMP - Diesel</v>
          </cell>
          <cell r="D4889" t="str">
            <v>Al Tafawwoq Primary School</v>
          </cell>
          <cell r="H4889" t="str">
            <v>AD</v>
          </cell>
        </row>
        <row r="4890">
          <cell r="B4890" t="str">
            <v>FIRE PUMP - Electric</v>
          </cell>
          <cell r="D4890" t="str">
            <v>Al Tafawwoq Primary School</v>
          </cell>
          <cell r="H4890" t="str">
            <v>AD</v>
          </cell>
        </row>
        <row r="4891">
          <cell r="B4891" t="str">
            <v>Fire Smoke / Heat Detector, Sounder</v>
          </cell>
          <cell r="D4891" t="str">
            <v>Al Tafawwoq Primary School</v>
          </cell>
          <cell r="H4891" t="str">
            <v>AD</v>
          </cell>
        </row>
        <row r="4892">
          <cell r="B4892" t="str">
            <v>Fire Smoke / Heat Detector, Sounder</v>
          </cell>
          <cell r="D4892" t="str">
            <v>Al Tafawwoq Primary School</v>
          </cell>
          <cell r="H4892" t="str">
            <v>AD</v>
          </cell>
        </row>
        <row r="4893">
          <cell r="B4893" t="str">
            <v>Fire Smoke / Heat Detector, Sounder</v>
          </cell>
          <cell r="D4893" t="str">
            <v>Al Tafawwoq Primary School</v>
          </cell>
          <cell r="H4893" t="str">
            <v>AD</v>
          </cell>
        </row>
        <row r="4894">
          <cell r="B4894" t="str">
            <v>Fire Smoke / Heat Detector, Sounder</v>
          </cell>
          <cell r="D4894" t="str">
            <v>Al Tafawwoq Primary School</v>
          </cell>
          <cell r="H4894" t="str">
            <v>AD</v>
          </cell>
        </row>
        <row r="4895">
          <cell r="B4895" t="str">
            <v>Fire Smoke / Heat Detector, Sounder</v>
          </cell>
          <cell r="D4895" t="str">
            <v>Al Tafawwoq Primary School</v>
          </cell>
          <cell r="H4895" t="str">
            <v>AD</v>
          </cell>
        </row>
        <row r="4896">
          <cell r="B4896" t="str">
            <v>Fire Smoke / Heat Detector, Sounder</v>
          </cell>
          <cell r="D4896" t="str">
            <v>Al Tafawwoq Primary School</v>
          </cell>
          <cell r="H4896" t="str">
            <v>AD</v>
          </cell>
        </row>
        <row r="4897">
          <cell r="B4897" t="str">
            <v>Fire Smoke / Heat Detector, Sounder</v>
          </cell>
          <cell r="D4897" t="str">
            <v>Al Tafawwoq Primary School</v>
          </cell>
          <cell r="H4897" t="str">
            <v>AD</v>
          </cell>
        </row>
        <row r="4898">
          <cell r="B4898" t="str">
            <v>Fire Smoke / Heat Detector, Sounder</v>
          </cell>
          <cell r="D4898" t="str">
            <v>Al Tafawwoq Primary School</v>
          </cell>
          <cell r="H4898" t="str">
            <v>AD</v>
          </cell>
        </row>
        <row r="4899">
          <cell r="B4899" t="str">
            <v>Fire Smoke / Heat Detector, Sounder</v>
          </cell>
          <cell r="D4899" t="str">
            <v>Al Tafawwoq Primary School</v>
          </cell>
          <cell r="H4899" t="str">
            <v>AD</v>
          </cell>
        </row>
        <row r="4900">
          <cell r="B4900" t="str">
            <v>Fire Smoke / Heat Detector, Sounder</v>
          </cell>
          <cell r="D4900" t="str">
            <v>Al Tafawwoq Primary School</v>
          </cell>
          <cell r="H4900" t="str">
            <v>AD</v>
          </cell>
        </row>
        <row r="4901">
          <cell r="B4901" t="str">
            <v>Fire Smoke / Heat Detector, Sounder</v>
          </cell>
          <cell r="D4901" t="str">
            <v>Al Tafawwoq Primary School</v>
          </cell>
          <cell r="H4901" t="str">
            <v>AD</v>
          </cell>
        </row>
        <row r="4902">
          <cell r="B4902" t="str">
            <v>Fire Smoke / Heat Detector, Sounder</v>
          </cell>
          <cell r="D4902" t="str">
            <v>Al Tafawwoq Primary School</v>
          </cell>
          <cell r="H4902" t="str">
            <v>AD</v>
          </cell>
        </row>
        <row r="4903">
          <cell r="B4903" t="str">
            <v>Fire Smoke / Heat Detector, Sounder</v>
          </cell>
          <cell r="D4903" t="str">
            <v>Al Tafawwoq Primary School</v>
          </cell>
          <cell r="H4903" t="str">
            <v>AD</v>
          </cell>
        </row>
        <row r="4904">
          <cell r="B4904" t="str">
            <v>Fire Smoke / Heat Detector, Sounder</v>
          </cell>
          <cell r="D4904" t="str">
            <v>Al Tafawwoq Primary School</v>
          </cell>
          <cell r="H4904" t="str">
            <v>AD</v>
          </cell>
        </row>
        <row r="4905">
          <cell r="B4905" t="str">
            <v>Fire Smoke / Heat Detector, Sounder</v>
          </cell>
          <cell r="D4905" t="str">
            <v>Al Tafawwoq Primary School</v>
          </cell>
          <cell r="H4905" t="str">
            <v>AD</v>
          </cell>
        </row>
        <row r="4906">
          <cell r="B4906" t="str">
            <v>Fire Smoke / Heat Detector, Sounder</v>
          </cell>
          <cell r="D4906" t="str">
            <v>Al Tafawwoq Primary School</v>
          </cell>
          <cell r="H4906" t="str">
            <v>AD</v>
          </cell>
        </row>
        <row r="4907">
          <cell r="B4907" t="str">
            <v>Fire Smoke / Heat Detector, Sounder</v>
          </cell>
          <cell r="D4907" t="str">
            <v>Al Tafawwoq Primary School</v>
          </cell>
          <cell r="H4907" t="str">
            <v>AD</v>
          </cell>
        </row>
        <row r="4908">
          <cell r="B4908" t="str">
            <v>Fire Smoke / Heat Detector, Sounder</v>
          </cell>
          <cell r="D4908" t="str">
            <v>Al Tafawwoq Primary School</v>
          </cell>
          <cell r="H4908" t="str">
            <v>AD</v>
          </cell>
        </row>
        <row r="4909">
          <cell r="B4909" t="str">
            <v>Fire Smoke / Heat Detector, Sounder</v>
          </cell>
          <cell r="D4909" t="str">
            <v>Al Tafawwoq Primary School</v>
          </cell>
          <cell r="H4909" t="str">
            <v>AD</v>
          </cell>
        </row>
        <row r="4910">
          <cell r="B4910" t="str">
            <v>Fire Smoke / Heat Detector, Sounder</v>
          </cell>
          <cell r="D4910" t="str">
            <v>Al Tafawwoq Primary School</v>
          </cell>
          <cell r="H4910" t="str">
            <v>AD</v>
          </cell>
        </row>
        <row r="4911">
          <cell r="B4911" t="str">
            <v>Fire Smoke / Heat Detector, Sounder</v>
          </cell>
          <cell r="D4911" t="str">
            <v>Al Tafawwoq Primary School</v>
          </cell>
          <cell r="H4911" t="str">
            <v>AD</v>
          </cell>
        </row>
        <row r="4912">
          <cell r="B4912" t="str">
            <v>Fire Smoke / Heat Detector, Sounder</v>
          </cell>
          <cell r="D4912" t="str">
            <v>Al Tafawwoq Primary School</v>
          </cell>
          <cell r="H4912" t="str">
            <v>AD</v>
          </cell>
        </row>
        <row r="4913">
          <cell r="B4913" t="str">
            <v>Fire Smoke / Heat Detector, Sounder</v>
          </cell>
          <cell r="D4913" t="str">
            <v>Al Tafawwoq Primary School</v>
          </cell>
          <cell r="H4913" t="str">
            <v>AD</v>
          </cell>
        </row>
        <row r="4914">
          <cell r="B4914" t="str">
            <v>Fire Smoke / Heat Detector, Sounder</v>
          </cell>
          <cell r="D4914" t="str">
            <v>Al Tafawwoq Primary School</v>
          </cell>
          <cell r="H4914" t="str">
            <v>AD</v>
          </cell>
        </row>
        <row r="4915">
          <cell r="B4915" t="str">
            <v>Fire Smoke / Heat Detector, Sounder</v>
          </cell>
          <cell r="D4915" t="str">
            <v>Al Tafawwoq Primary School</v>
          </cell>
          <cell r="H4915" t="str">
            <v>AD</v>
          </cell>
        </row>
        <row r="4916">
          <cell r="B4916" t="str">
            <v>Fire Smoke / Heat Detector, Sounder</v>
          </cell>
          <cell r="D4916" t="str">
            <v>Al Tafawwoq Primary School</v>
          </cell>
          <cell r="H4916" t="str">
            <v>AD</v>
          </cell>
        </row>
        <row r="4917">
          <cell r="B4917" t="str">
            <v>Fire Smoke / Heat Detector, Sounder</v>
          </cell>
          <cell r="D4917" t="str">
            <v>Al Tafawwoq Primary School</v>
          </cell>
          <cell r="H4917" t="str">
            <v>AD</v>
          </cell>
        </row>
        <row r="4918">
          <cell r="B4918" t="str">
            <v>Fire Smoke / Heat Detector, Sounder</v>
          </cell>
          <cell r="D4918" t="str">
            <v>Al Tafawwoq Primary School</v>
          </cell>
          <cell r="H4918" t="str">
            <v>AD</v>
          </cell>
        </row>
        <row r="4919">
          <cell r="B4919" t="str">
            <v>Fire Smoke / Heat Detector, Sounder</v>
          </cell>
          <cell r="D4919" t="str">
            <v>Al Tafawwoq Primary School</v>
          </cell>
          <cell r="H4919" t="str">
            <v>AD</v>
          </cell>
        </row>
        <row r="4920">
          <cell r="B4920" t="str">
            <v>Fire Smoke / Heat Detector, Sounder</v>
          </cell>
          <cell r="D4920" t="str">
            <v>Al Tafawwoq Primary School</v>
          </cell>
          <cell r="H4920" t="str">
            <v>AD</v>
          </cell>
        </row>
        <row r="4921">
          <cell r="B4921" t="str">
            <v>Fire Smoke / Heat Detector, Sounder</v>
          </cell>
          <cell r="D4921" t="str">
            <v>Al Tafawwoq Primary School</v>
          </cell>
          <cell r="H4921" t="str">
            <v>AD</v>
          </cell>
        </row>
        <row r="4922">
          <cell r="B4922" t="str">
            <v>Fire Smoke / Heat Detector, Sounder</v>
          </cell>
          <cell r="D4922" t="str">
            <v>Al Tafawwoq Primary School</v>
          </cell>
          <cell r="H4922" t="str">
            <v>AD</v>
          </cell>
        </row>
        <row r="4923">
          <cell r="B4923" t="str">
            <v>Fire Smoke / Heat Detector, Sounder</v>
          </cell>
          <cell r="D4923" t="str">
            <v>Al Tafawwoq Primary School</v>
          </cell>
          <cell r="H4923" t="str">
            <v>AD</v>
          </cell>
        </row>
        <row r="4924">
          <cell r="B4924" t="str">
            <v>Fire Smoke / Heat Detector, Sounder</v>
          </cell>
          <cell r="D4924" t="str">
            <v>Al Tafawwoq Primary School</v>
          </cell>
          <cell r="H4924" t="str">
            <v>AD</v>
          </cell>
        </row>
        <row r="4925">
          <cell r="B4925" t="str">
            <v>Fire Smoke / Heat Detector, Sounder</v>
          </cell>
          <cell r="D4925" t="str">
            <v>Al Tafawwoq Primary School</v>
          </cell>
          <cell r="H4925" t="str">
            <v>AD</v>
          </cell>
        </row>
        <row r="4926">
          <cell r="B4926" t="str">
            <v>Fire Smoke / Heat Detector, Sounder</v>
          </cell>
          <cell r="D4926" t="str">
            <v>Al Tafawwoq Primary School</v>
          </cell>
          <cell r="H4926" t="str">
            <v>AD</v>
          </cell>
        </row>
        <row r="4927">
          <cell r="B4927" t="str">
            <v>Fire Smoke / Heat Detector, Sounder</v>
          </cell>
          <cell r="D4927" t="str">
            <v>Al Tafawwoq Primary School</v>
          </cell>
          <cell r="H4927" t="str">
            <v>AD</v>
          </cell>
        </row>
        <row r="4928">
          <cell r="B4928" t="str">
            <v>Fire Smoke / Heat Detector, Sounder</v>
          </cell>
          <cell r="D4928" t="str">
            <v>Al Tafawwoq Primary School</v>
          </cell>
          <cell r="H4928" t="str">
            <v>AD</v>
          </cell>
        </row>
        <row r="4929">
          <cell r="B4929" t="str">
            <v>Fire Smoke / Heat Detector, Sounder</v>
          </cell>
          <cell r="D4929" t="str">
            <v>Al Tafawwoq Primary School</v>
          </cell>
          <cell r="H4929" t="str">
            <v>AD</v>
          </cell>
        </row>
        <row r="4930">
          <cell r="B4930" t="str">
            <v>Fire Smoke / Heat Detector, Sounder</v>
          </cell>
          <cell r="D4930" t="str">
            <v>Al Tafawwoq Primary School</v>
          </cell>
          <cell r="H4930" t="str">
            <v>AD</v>
          </cell>
        </row>
        <row r="4931">
          <cell r="B4931" t="str">
            <v>Fire Smoke / Heat Detector, Sounder</v>
          </cell>
          <cell r="D4931" t="str">
            <v>Al Tafawwoq Primary School</v>
          </cell>
          <cell r="H4931" t="str">
            <v>AD</v>
          </cell>
        </row>
        <row r="4932">
          <cell r="B4932" t="str">
            <v>Fire Smoke / Heat Detector, Sounder</v>
          </cell>
          <cell r="D4932" t="str">
            <v>Al Tafawwoq Primary School</v>
          </cell>
          <cell r="H4932" t="str">
            <v>AD</v>
          </cell>
        </row>
        <row r="4933">
          <cell r="B4933" t="str">
            <v>Fire Smoke / Heat Detector, Sounder</v>
          </cell>
          <cell r="D4933" t="str">
            <v>Al Tafawwoq Primary School</v>
          </cell>
          <cell r="H4933" t="str">
            <v>AD</v>
          </cell>
        </row>
        <row r="4934">
          <cell r="B4934" t="str">
            <v>Fire Smoke / Heat Detector, Sounder</v>
          </cell>
          <cell r="D4934" t="str">
            <v>Al Tafawwoq Primary School</v>
          </cell>
          <cell r="H4934" t="str">
            <v>AD</v>
          </cell>
        </row>
        <row r="4935">
          <cell r="B4935" t="str">
            <v>Fire Smoke / Heat Detector, Sounder</v>
          </cell>
          <cell r="D4935" t="str">
            <v>Al Tafawwoq Primary School</v>
          </cell>
          <cell r="H4935" t="str">
            <v>AD</v>
          </cell>
        </row>
        <row r="4936">
          <cell r="B4936" t="str">
            <v>Fire Smoke / Heat Detector, Sounder</v>
          </cell>
          <cell r="D4936" t="str">
            <v>Al Tafawwoq Primary School</v>
          </cell>
          <cell r="H4936" t="str">
            <v>AD</v>
          </cell>
        </row>
        <row r="4937">
          <cell r="B4937" t="str">
            <v>Fire Smoke / Heat Detector, Sounder</v>
          </cell>
          <cell r="D4937" t="str">
            <v>Al Tafawwoq Primary School</v>
          </cell>
          <cell r="H4937" t="str">
            <v>AD</v>
          </cell>
        </row>
        <row r="4938">
          <cell r="B4938" t="str">
            <v>Fire Smoke / Heat Detector, Sounder</v>
          </cell>
          <cell r="D4938" t="str">
            <v>Al Tafawwoq Primary School</v>
          </cell>
          <cell r="H4938" t="str">
            <v>AD</v>
          </cell>
        </row>
        <row r="4939">
          <cell r="B4939" t="str">
            <v>Fire Smoke / Heat Detector, Sounder</v>
          </cell>
          <cell r="D4939" t="str">
            <v>Al Tafawwoq Primary School</v>
          </cell>
          <cell r="H4939" t="str">
            <v>AD</v>
          </cell>
        </row>
        <row r="4940">
          <cell r="B4940" t="str">
            <v>Fire Smoke / Heat Detector, Sounder</v>
          </cell>
          <cell r="D4940" t="str">
            <v>Al Tafawwoq Primary School</v>
          </cell>
          <cell r="H4940" t="str">
            <v>AD</v>
          </cell>
        </row>
        <row r="4941">
          <cell r="B4941" t="str">
            <v>Fire Smoke / Heat Detector, Sounder</v>
          </cell>
          <cell r="D4941" t="str">
            <v>Al Tafawwoq Primary School</v>
          </cell>
          <cell r="H4941" t="str">
            <v>AD</v>
          </cell>
        </row>
        <row r="4942">
          <cell r="B4942" t="str">
            <v>Fire Smoke / Heat Detector, Sounder</v>
          </cell>
          <cell r="D4942" t="str">
            <v>Al Tafawwoq Primary School</v>
          </cell>
          <cell r="H4942" t="str">
            <v>AD</v>
          </cell>
        </row>
        <row r="4943">
          <cell r="B4943" t="str">
            <v>Fire Smoke / Heat Detector, Sounder</v>
          </cell>
          <cell r="D4943" t="str">
            <v>Al Tafawwoq Primary School</v>
          </cell>
          <cell r="H4943" t="str">
            <v>AD</v>
          </cell>
        </row>
        <row r="4944">
          <cell r="B4944" t="str">
            <v>Fire Smoke / Heat Detector, Sounder</v>
          </cell>
          <cell r="D4944" t="str">
            <v>Al Tafawwoq Primary School</v>
          </cell>
          <cell r="H4944" t="str">
            <v>AD</v>
          </cell>
        </row>
        <row r="4945">
          <cell r="B4945" t="str">
            <v>Fire Smoke / Heat Detector, Sounder</v>
          </cell>
          <cell r="D4945" t="str">
            <v>Al Tafawwoq Primary School</v>
          </cell>
          <cell r="H4945" t="str">
            <v>AD</v>
          </cell>
        </row>
        <row r="4946">
          <cell r="B4946" t="str">
            <v>Fire Smoke / Heat Detector, Sounder</v>
          </cell>
          <cell r="D4946" t="str">
            <v>Al Tafawwoq Primary School</v>
          </cell>
          <cell r="H4946" t="str">
            <v>AD</v>
          </cell>
        </row>
        <row r="4947">
          <cell r="B4947" t="str">
            <v>Fire Smoke / Heat Detector, Sounder</v>
          </cell>
          <cell r="D4947" t="str">
            <v>Al Tafawwoq Primary School</v>
          </cell>
          <cell r="H4947" t="str">
            <v>AD</v>
          </cell>
        </row>
        <row r="4948">
          <cell r="B4948" t="str">
            <v>Fire Smoke / Heat Detector, Sounder</v>
          </cell>
          <cell r="D4948" t="str">
            <v>Al Tafawwoq Primary School</v>
          </cell>
          <cell r="H4948" t="str">
            <v>AD</v>
          </cell>
        </row>
        <row r="4949">
          <cell r="B4949" t="str">
            <v>Fire Smoke / Heat Detector, Sounder</v>
          </cell>
          <cell r="D4949" t="str">
            <v>Al Tafawwoq Primary School</v>
          </cell>
          <cell r="H4949" t="str">
            <v>AD</v>
          </cell>
        </row>
        <row r="4950">
          <cell r="B4950" t="str">
            <v>Fire Smoke / Heat Detector, Sounder</v>
          </cell>
          <cell r="D4950" t="str">
            <v>Al Tafawwoq Primary School</v>
          </cell>
          <cell r="H4950" t="str">
            <v>AD</v>
          </cell>
        </row>
        <row r="4951">
          <cell r="B4951" t="str">
            <v>Fire Smoke / Heat Detector, Sounder</v>
          </cell>
          <cell r="D4951" t="str">
            <v>Al Tafawwoq Primary School</v>
          </cell>
          <cell r="H4951" t="str">
            <v>AD</v>
          </cell>
        </row>
        <row r="4952">
          <cell r="B4952" t="str">
            <v>Fire Smoke / Heat Detector, Sounder</v>
          </cell>
          <cell r="D4952" t="str">
            <v>Al Tafawwoq Primary School</v>
          </cell>
          <cell r="H4952" t="str">
            <v>AD</v>
          </cell>
        </row>
        <row r="4953">
          <cell r="B4953" t="str">
            <v>Fire Smoke / Heat Detector, Sounder</v>
          </cell>
          <cell r="D4953" t="str">
            <v>Al Tafawwoq Primary School</v>
          </cell>
          <cell r="H4953" t="str">
            <v>AD</v>
          </cell>
        </row>
        <row r="4954">
          <cell r="B4954" t="str">
            <v>Fire Smoke / Heat Detector, Sounder</v>
          </cell>
          <cell r="D4954" t="str">
            <v>Al Tafawwoq Primary School</v>
          </cell>
          <cell r="H4954" t="str">
            <v>AD</v>
          </cell>
        </row>
        <row r="4955">
          <cell r="B4955" t="str">
            <v>Fire Smoke / Heat Detector, Sounder</v>
          </cell>
          <cell r="D4955" t="str">
            <v>Al Tafawwoq Primary School</v>
          </cell>
          <cell r="H4955" t="str">
            <v>AD</v>
          </cell>
        </row>
        <row r="4956">
          <cell r="B4956" t="str">
            <v>Fire Smoke / Heat Detector, Sounder</v>
          </cell>
          <cell r="D4956" t="str">
            <v>Al Tafawwoq Primary School</v>
          </cell>
          <cell r="H4956" t="str">
            <v>AD</v>
          </cell>
        </row>
        <row r="4957">
          <cell r="B4957" t="str">
            <v>Fire Smoke / Heat Detector, Sounder</v>
          </cell>
          <cell r="D4957" t="str">
            <v>Al Tafawwoq Primary School</v>
          </cell>
          <cell r="H4957" t="str">
            <v>AD</v>
          </cell>
        </row>
        <row r="4958">
          <cell r="B4958" t="str">
            <v>Fire Smoke / Heat Detector, Sounder</v>
          </cell>
          <cell r="D4958" t="str">
            <v>Al Tafawwoq Primary School</v>
          </cell>
          <cell r="H4958" t="str">
            <v>AD</v>
          </cell>
        </row>
        <row r="4959">
          <cell r="B4959" t="str">
            <v>Fire Smoke / Heat Detector, Sounder</v>
          </cell>
          <cell r="D4959" t="str">
            <v>Al Tafawwoq Primary School</v>
          </cell>
          <cell r="H4959" t="str">
            <v>AD</v>
          </cell>
        </row>
        <row r="4960">
          <cell r="B4960" t="str">
            <v>Fire Smoke / Heat Detector, Sounder</v>
          </cell>
          <cell r="D4960" t="str">
            <v>Al Tafawwoq Primary School</v>
          </cell>
          <cell r="H4960" t="str">
            <v>AD</v>
          </cell>
        </row>
        <row r="4961">
          <cell r="B4961" t="str">
            <v>Fire Smoke / Heat Detector, Sounder</v>
          </cell>
          <cell r="D4961" t="str">
            <v>Al Tafawwoq Primary School</v>
          </cell>
          <cell r="H4961" t="str">
            <v>AD</v>
          </cell>
        </row>
        <row r="4962">
          <cell r="B4962" t="str">
            <v>Fire Smoke / Heat Detector, Sounder</v>
          </cell>
          <cell r="D4962" t="str">
            <v>Al Tafawwoq Primary School</v>
          </cell>
          <cell r="H4962" t="str">
            <v>AD</v>
          </cell>
        </row>
        <row r="4963">
          <cell r="B4963" t="str">
            <v>Fire Smoke / Heat Detector, Sounder</v>
          </cell>
          <cell r="D4963" t="str">
            <v>Al Tafawwoq Primary School</v>
          </cell>
          <cell r="H4963" t="str">
            <v>AD</v>
          </cell>
        </row>
        <row r="4964">
          <cell r="B4964" t="str">
            <v>Fire Smoke / Heat Detector, Sounder</v>
          </cell>
          <cell r="D4964" t="str">
            <v>Al Tafawwoq Primary School</v>
          </cell>
          <cell r="H4964" t="str">
            <v>AD</v>
          </cell>
        </row>
        <row r="4965">
          <cell r="B4965" t="str">
            <v>Fire Smoke / Heat Detector, Sounder</v>
          </cell>
          <cell r="D4965" t="str">
            <v>Al Tafawwoq Primary School</v>
          </cell>
          <cell r="H4965" t="str">
            <v>AD</v>
          </cell>
        </row>
        <row r="4966">
          <cell r="B4966" t="str">
            <v>Fire Smoke / Heat Detector, Sounder</v>
          </cell>
          <cell r="D4966" t="str">
            <v>Al Tafawwoq Primary School</v>
          </cell>
          <cell r="H4966" t="str">
            <v>AD</v>
          </cell>
        </row>
        <row r="4967">
          <cell r="B4967" t="str">
            <v>Fire Smoke / Heat Detector, Sounder</v>
          </cell>
          <cell r="D4967" t="str">
            <v>Al Tafawwoq Primary School</v>
          </cell>
          <cell r="H4967" t="str">
            <v>AD</v>
          </cell>
        </row>
        <row r="4968">
          <cell r="B4968" t="str">
            <v>Fire Smoke / Heat Detector, Sounder</v>
          </cell>
          <cell r="D4968" t="str">
            <v>Al Tafawwoq Primary School</v>
          </cell>
          <cell r="H4968" t="str">
            <v>AD</v>
          </cell>
        </row>
        <row r="4969">
          <cell r="B4969" t="str">
            <v>Fire Smoke / Heat Detector, Sounder</v>
          </cell>
          <cell r="D4969" t="str">
            <v>Al Tafawwoq Primary School</v>
          </cell>
          <cell r="H4969" t="str">
            <v>AD</v>
          </cell>
        </row>
        <row r="4970">
          <cell r="B4970" t="str">
            <v>Fire Smoke / Heat Detector, Sounder</v>
          </cell>
          <cell r="D4970" t="str">
            <v>Al Tafawwoq Primary School</v>
          </cell>
          <cell r="H4970" t="str">
            <v>AD</v>
          </cell>
        </row>
        <row r="4971">
          <cell r="B4971" t="str">
            <v>Fire Smoke / Heat Detector, Sounder</v>
          </cell>
          <cell r="D4971" t="str">
            <v>Al Tafawwoq Primary School</v>
          </cell>
          <cell r="H4971" t="str">
            <v>AD</v>
          </cell>
        </row>
        <row r="4972">
          <cell r="B4972" t="str">
            <v>Fire Smoke / Heat Detector, Sounder</v>
          </cell>
          <cell r="D4972" t="str">
            <v>Al Tafawwoq Primary School</v>
          </cell>
          <cell r="H4972" t="str">
            <v>AD</v>
          </cell>
        </row>
        <row r="4973">
          <cell r="B4973" t="str">
            <v>Fire Smoke / Heat Detector, Sounder</v>
          </cell>
          <cell r="D4973" t="str">
            <v>Al Tafawwoq Primary School</v>
          </cell>
          <cell r="H4973" t="str">
            <v>AD</v>
          </cell>
        </row>
        <row r="4974">
          <cell r="B4974" t="str">
            <v>Fire Smoke / Heat Detector, Sounder</v>
          </cell>
          <cell r="D4974" t="str">
            <v>Al Tafawwoq Primary School</v>
          </cell>
          <cell r="H4974" t="str">
            <v>AD</v>
          </cell>
        </row>
        <row r="4975">
          <cell r="B4975" t="str">
            <v>Fire Smoke / Heat Detector, Sounder</v>
          </cell>
          <cell r="D4975" t="str">
            <v>Al Tafawwoq Primary School</v>
          </cell>
          <cell r="H4975" t="str">
            <v>AD</v>
          </cell>
        </row>
        <row r="4976">
          <cell r="B4976" t="str">
            <v>Fire Smoke / Heat Detector, Sounder</v>
          </cell>
          <cell r="D4976" t="str">
            <v>Al Tafawwoq Primary School</v>
          </cell>
          <cell r="H4976" t="str">
            <v>AD</v>
          </cell>
        </row>
        <row r="4977">
          <cell r="B4977" t="str">
            <v>Fire Smoke / Heat Detector, Sounder</v>
          </cell>
          <cell r="D4977" t="str">
            <v>Al Tafawwoq Primary School</v>
          </cell>
          <cell r="H4977" t="str">
            <v>AD</v>
          </cell>
        </row>
        <row r="4978">
          <cell r="B4978" t="str">
            <v>Fire Smoke / Heat Detector, Sounder</v>
          </cell>
          <cell r="D4978" t="str">
            <v>Al Tafawwoq Primary School</v>
          </cell>
          <cell r="H4978" t="str">
            <v>AD</v>
          </cell>
        </row>
        <row r="4979">
          <cell r="B4979" t="str">
            <v>Fire Smoke / Heat Detector, Sounder</v>
          </cell>
          <cell r="D4979" t="str">
            <v>Al Tafawwoq Primary School</v>
          </cell>
          <cell r="H4979" t="str">
            <v>AD</v>
          </cell>
        </row>
        <row r="4980">
          <cell r="B4980" t="str">
            <v>Fire Smoke / Heat Detector, Sounder</v>
          </cell>
          <cell r="D4980" t="str">
            <v>Al Tafawwoq Primary School</v>
          </cell>
          <cell r="H4980" t="str">
            <v>AD</v>
          </cell>
        </row>
        <row r="4981">
          <cell r="B4981" t="str">
            <v>Fire Smoke / Heat Detector, Sounder</v>
          </cell>
          <cell r="D4981" t="str">
            <v>Al Tafawwoq Primary School</v>
          </cell>
          <cell r="H4981" t="str">
            <v>AD</v>
          </cell>
        </row>
        <row r="4982">
          <cell r="B4982" t="str">
            <v>Fire Smoke / Heat Detector, Sounder</v>
          </cell>
          <cell r="D4982" t="str">
            <v>Al Tafawwoq Primary School</v>
          </cell>
          <cell r="H4982" t="str">
            <v>AD</v>
          </cell>
        </row>
        <row r="4983">
          <cell r="B4983" t="str">
            <v>Fire Smoke / Heat Detector, Sounder</v>
          </cell>
          <cell r="D4983" t="str">
            <v>Al Tafawwoq Primary School</v>
          </cell>
          <cell r="H4983" t="str">
            <v>AD</v>
          </cell>
        </row>
        <row r="4984">
          <cell r="B4984" t="str">
            <v>Fire Smoke / Heat Detector, Sounder</v>
          </cell>
          <cell r="D4984" t="str">
            <v>Al Tafawwoq Primary School</v>
          </cell>
          <cell r="H4984" t="str">
            <v>AD</v>
          </cell>
        </row>
        <row r="4985">
          <cell r="B4985" t="str">
            <v>Fire Smoke / Heat Detector, Sounder</v>
          </cell>
          <cell r="D4985" t="str">
            <v>Al Tafawwoq Primary School</v>
          </cell>
          <cell r="H4985" t="str">
            <v>AD</v>
          </cell>
        </row>
        <row r="4986">
          <cell r="B4986" t="str">
            <v>Fire Smoke / Heat Detector, Sounder</v>
          </cell>
          <cell r="D4986" t="str">
            <v>Al Tafawwoq Primary School</v>
          </cell>
          <cell r="H4986" t="str">
            <v>AD</v>
          </cell>
        </row>
        <row r="4987">
          <cell r="B4987" t="str">
            <v>Fire Smoke / Heat Detector, Sounder</v>
          </cell>
          <cell r="D4987" t="str">
            <v>Al Tafawwoq Primary School</v>
          </cell>
          <cell r="H4987" t="str">
            <v>AD</v>
          </cell>
        </row>
        <row r="4988">
          <cell r="B4988" t="str">
            <v>Fire Smoke / Heat Detector, Sounder</v>
          </cell>
          <cell r="D4988" t="str">
            <v>Al Tafawwoq Primary School</v>
          </cell>
          <cell r="H4988" t="str">
            <v>AD</v>
          </cell>
        </row>
        <row r="4989">
          <cell r="B4989" t="str">
            <v>Fire Smoke / Heat Detector, Sounder</v>
          </cell>
          <cell r="D4989" t="str">
            <v>Al Tafawwoq Primary School</v>
          </cell>
          <cell r="H4989" t="str">
            <v>AD</v>
          </cell>
        </row>
        <row r="4990">
          <cell r="B4990" t="str">
            <v>Fire Smoke / Heat Detector, Sounder</v>
          </cell>
          <cell r="D4990" t="str">
            <v>Al Tafawwoq Primary School</v>
          </cell>
          <cell r="H4990" t="str">
            <v>AD</v>
          </cell>
        </row>
        <row r="4991">
          <cell r="B4991" t="str">
            <v>Fire Smoke / Heat Detector, Sounder</v>
          </cell>
          <cell r="D4991" t="str">
            <v>Al Tafawwoq Primary School</v>
          </cell>
          <cell r="H4991" t="str">
            <v>AD</v>
          </cell>
        </row>
        <row r="4992">
          <cell r="B4992" t="str">
            <v>Fire Smoke / Heat Detector, Sounder</v>
          </cell>
          <cell r="D4992" t="str">
            <v>Al Tafawwoq Primary School</v>
          </cell>
          <cell r="H4992" t="str">
            <v>AD</v>
          </cell>
        </row>
        <row r="4993">
          <cell r="B4993" t="str">
            <v>Fire Smoke / Heat Detector, Sounder</v>
          </cell>
          <cell r="D4993" t="str">
            <v>Al Tafawwoq Primary School</v>
          </cell>
          <cell r="H4993" t="str">
            <v>AD</v>
          </cell>
        </row>
        <row r="4994">
          <cell r="B4994" t="str">
            <v>Fire Smoke / Heat Detector, Sounder</v>
          </cell>
          <cell r="D4994" t="str">
            <v>Al Tafawwoq Primary School</v>
          </cell>
          <cell r="H4994" t="str">
            <v>AD</v>
          </cell>
        </row>
        <row r="4995">
          <cell r="B4995" t="str">
            <v>Fire Smoke / Heat Detector, Sounder</v>
          </cell>
          <cell r="D4995" t="str">
            <v>Al Tafawwoq Primary School</v>
          </cell>
          <cell r="H4995" t="str">
            <v>AD</v>
          </cell>
        </row>
        <row r="4996">
          <cell r="B4996" t="str">
            <v>Fire Smoke / Heat Detector, Sounder</v>
          </cell>
          <cell r="D4996" t="str">
            <v>Al Tafawwoq Primary School</v>
          </cell>
          <cell r="H4996" t="str">
            <v>AD</v>
          </cell>
        </row>
        <row r="4997">
          <cell r="B4997" t="str">
            <v>Fire Smoke / Heat Detector, Sounder</v>
          </cell>
          <cell r="D4997" t="str">
            <v>Al Tafawwoq Primary School</v>
          </cell>
          <cell r="H4997" t="str">
            <v>AD</v>
          </cell>
        </row>
        <row r="4998">
          <cell r="B4998" t="str">
            <v>Fire Smoke / Heat Detector, Sounder</v>
          </cell>
          <cell r="D4998" t="str">
            <v>Al Tafawwoq Primary School</v>
          </cell>
          <cell r="H4998" t="str">
            <v>AD</v>
          </cell>
        </row>
        <row r="4999">
          <cell r="B4999" t="str">
            <v>Fire Smoke / Heat Detector, Sounder</v>
          </cell>
          <cell r="D4999" t="str">
            <v>Al Tafawwoq Primary School</v>
          </cell>
          <cell r="H4999" t="str">
            <v>AD</v>
          </cell>
        </row>
        <row r="5000">
          <cell r="B5000" t="str">
            <v>Fire Smoke / Heat Detector, Sounder</v>
          </cell>
          <cell r="D5000" t="str">
            <v>Al Tafawwoq Primary School</v>
          </cell>
          <cell r="H5000" t="str">
            <v>AD</v>
          </cell>
        </row>
        <row r="5001">
          <cell r="B5001" t="str">
            <v>Fire Smoke / Heat Detector, Sounder</v>
          </cell>
          <cell r="D5001" t="str">
            <v>Al Tafawwoq Primary School</v>
          </cell>
          <cell r="H5001" t="str">
            <v>AD</v>
          </cell>
        </row>
        <row r="5002">
          <cell r="B5002" t="str">
            <v>Fire Smoke / Heat Detector, Sounder</v>
          </cell>
          <cell r="D5002" t="str">
            <v>Al Tafawwoq Primary School</v>
          </cell>
          <cell r="H5002" t="str">
            <v>AD</v>
          </cell>
        </row>
        <row r="5003">
          <cell r="B5003" t="str">
            <v>Fire Smoke / Heat Detector, Sounder</v>
          </cell>
          <cell r="D5003" t="str">
            <v>Al Tafawwoq Primary School</v>
          </cell>
          <cell r="H5003" t="str">
            <v>AD</v>
          </cell>
        </row>
        <row r="5004">
          <cell r="B5004" t="str">
            <v>Fire Smoke / Heat Detector, Sounder</v>
          </cell>
          <cell r="D5004" t="str">
            <v>Al Tafawwoq Primary School</v>
          </cell>
          <cell r="H5004" t="str">
            <v>AD</v>
          </cell>
        </row>
        <row r="5005">
          <cell r="B5005" t="str">
            <v>Fire Smoke / Heat Detector, Sounder</v>
          </cell>
          <cell r="D5005" t="str">
            <v>Al Tafawwoq Primary School</v>
          </cell>
          <cell r="H5005" t="str">
            <v>AD</v>
          </cell>
        </row>
        <row r="5006">
          <cell r="B5006" t="str">
            <v>Fire Smoke / Heat Detector, Sounder</v>
          </cell>
          <cell r="D5006" t="str">
            <v>Al Tafawwoq Primary School</v>
          </cell>
          <cell r="H5006" t="str">
            <v>AD</v>
          </cell>
        </row>
        <row r="5007">
          <cell r="B5007" t="str">
            <v>Fire Smoke / Heat Detector, Sounder</v>
          </cell>
          <cell r="D5007" t="str">
            <v>Al Tafawwoq Primary School</v>
          </cell>
          <cell r="H5007" t="str">
            <v>AD</v>
          </cell>
        </row>
        <row r="5008">
          <cell r="B5008" t="str">
            <v>Fire Smoke / Heat Detector, Sounder</v>
          </cell>
          <cell r="D5008" t="str">
            <v>Al Tafawwoq Primary School</v>
          </cell>
          <cell r="H5008" t="str">
            <v>AD</v>
          </cell>
        </row>
        <row r="5009">
          <cell r="B5009" t="str">
            <v>Fire Smoke / Heat Detector, Sounder</v>
          </cell>
          <cell r="D5009" t="str">
            <v>Al Tafawwoq Primary School</v>
          </cell>
          <cell r="H5009" t="str">
            <v>AD</v>
          </cell>
        </row>
        <row r="5010">
          <cell r="B5010" t="str">
            <v>Fire Smoke / Heat Detector, Sounder</v>
          </cell>
          <cell r="D5010" t="str">
            <v>Al Tafawwoq Primary School</v>
          </cell>
          <cell r="H5010" t="str">
            <v>AD</v>
          </cell>
        </row>
        <row r="5011">
          <cell r="B5011" t="str">
            <v>Fire Smoke / Heat Detector, Sounder</v>
          </cell>
          <cell r="D5011" t="str">
            <v>Al Tafawwoq Primary School</v>
          </cell>
          <cell r="H5011" t="str">
            <v>AD</v>
          </cell>
        </row>
        <row r="5012">
          <cell r="B5012" t="str">
            <v>Fire Smoke / Heat Detector, Sounder</v>
          </cell>
          <cell r="D5012" t="str">
            <v>Al Tafawwoq Primary School</v>
          </cell>
          <cell r="H5012" t="str">
            <v>AD</v>
          </cell>
        </row>
        <row r="5013">
          <cell r="B5013" t="str">
            <v>Fire Smoke / Heat Detector, Sounder</v>
          </cell>
          <cell r="D5013" t="str">
            <v>Al Tafawwoq Primary School</v>
          </cell>
          <cell r="H5013" t="str">
            <v>AD</v>
          </cell>
        </row>
        <row r="5014">
          <cell r="B5014" t="str">
            <v>Fire Smoke / Heat Detector, Sounder</v>
          </cell>
          <cell r="D5014" t="str">
            <v>Al Tafawwoq Primary School</v>
          </cell>
          <cell r="H5014" t="str">
            <v>AD</v>
          </cell>
        </row>
        <row r="5015">
          <cell r="B5015" t="str">
            <v>Fire Smoke / Heat Detector, Sounder</v>
          </cell>
          <cell r="D5015" t="str">
            <v>Al Tafawwoq Primary School</v>
          </cell>
          <cell r="H5015" t="str">
            <v>AD</v>
          </cell>
        </row>
        <row r="5016">
          <cell r="B5016" t="str">
            <v>Fire Smoke / Heat Detector, Sounder</v>
          </cell>
          <cell r="D5016" t="str">
            <v>Al Tafawwoq Primary School</v>
          </cell>
          <cell r="H5016" t="str">
            <v>AD</v>
          </cell>
        </row>
        <row r="5017">
          <cell r="B5017" t="str">
            <v>Fire Smoke / Heat Detector, Sounder</v>
          </cell>
          <cell r="D5017" t="str">
            <v>Al Tafawwoq Primary School</v>
          </cell>
          <cell r="H5017" t="str">
            <v>AD</v>
          </cell>
        </row>
        <row r="5018">
          <cell r="B5018" t="str">
            <v>Fire Smoke / Heat Detector, Sounder</v>
          </cell>
          <cell r="D5018" t="str">
            <v>Al Tafawwoq Primary School</v>
          </cell>
          <cell r="H5018" t="str">
            <v>AD</v>
          </cell>
        </row>
        <row r="5019">
          <cell r="B5019" t="str">
            <v>Fire Smoke / Heat Detector, Sounder</v>
          </cell>
          <cell r="D5019" t="str">
            <v>Al Tafawwoq Primary School</v>
          </cell>
          <cell r="H5019" t="str">
            <v>AD</v>
          </cell>
        </row>
        <row r="5020">
          <cell r="B5020" t="str">
            <v>Fire Smoke / Heat Detector, Sounder</v>
          </cell>
          <cell r="D5020" t="str">
            <v>Al Tafawwoq Primary School</v>
          </cell>
          <cell r="H5020" t="str">
            <v>AD</v>
          </cell>
        </row>
        <row r="5021">
          <cell r="B5021" t="str">
            <v>Fire Smoke / Heat Detector, Sounder</v>
          </cell>
          <cell r="D5021" t="str">
            <v>Al Tafawwoq Primary School</v>
          </cell>
          <cell r="H5021" t="str">
            <v>AD</v>
          </cell>
        </row>
        <row r="5022">
          <cell r="B5022" t="str">
            <v>Fire Smoke / Heat Detector, Sounder</v>
          </cell>
          <cell r="D5022" t="str">
            <v>Al Tafawwoq Primary School</v>
          </cell>
          <cell r="H5022" t="str">
            <v>AD</v>
          </cell>
        </row>
        <row r="5023">
          <cell r="B5023" t="str">
            <v>Fire Smoke / Heat Detector, Sounder</v>
          </cell>
          <cell r="D5023" t="str">
            <v>Al Tafawwoq Primary School</v>
          </cell>
          <cell r="H5023" t="str">
            <v>AD</v>
          </cell>
        </row>
        <row r="5024">
          <cell r="B5024" t="str">
            <v>Fire Smoke / Heat Detector, Sounder</v>
          </cell>
          <cell r="D5024" t="str">
            <v>Al Tafawwoq Primary School</v>
          </cell>
          <cell r="H5024" t="str">
            <v>AD</v>
          </cell>
        </row>
        <row r="5025">
          <cell r="B5025" t="str">
            <v>Fire Smoke / Heat Detector, Sounder</v>
          </cell>
          <cell r="D5025" t="str">
            <v>Al Tafawwoq Primary School</v>
          </cell>
          <cell r="H5025" t="str">
            <v>AD</v>
          </cell>
        </row>
        <row r="5026">
          <cell r="B5026" t="str">
            <v>Fire Smoke / Heat Detector, Sounder</v>
          </cell>
          <cell r="D5026" t="str">
            <v>Al Tafawwoq Primary School</v>
          </cell>
          <cell r="H5026" t="str">
            <v>AD</v>
          </cell>
        </row>
        <row r="5027">
          <cell r="B5027" t="str">
            <v>Fire Smoke / Heat Detector, Sounder</v>
          </cell>
          <cell r="D5027" t="str">
            <v>Al Tafawwoq Primary School</v>
          </cell>
          <cell r="H5027" t="str">
            <v>AD</v>
          </cell>
        </row>
        <row r="5028">
          <cell r="B5028" t="str">
            <v>Fire Smoke / Heat Detector, Sounder</v>
          </cell>
          <cell r="D5028" t="str">
            <v>Al Tafawwoq Primary School</v>
          </cell>
          <cell r="H5028" t="str">
            <v>AD</v>
          </cell>
        </row>
        <row r="5029">
          <cell r="B5029" t="str">
            <v>Fire Smoke / Heat Detector, Sounder</v>
          </cell>
          <cell r="D5029" t="str">
            <v>Al Tafawwoq Primary School</v>
          </cell>
          <cell r="H5029" t="str">
            <v>AD</v>
          </cell>
        </row>
        <row r="5030">
          <cell r="B5030" t="str">
            <v>Fire Smoke / Heat Detector, Sounder</v>
          </cell>
          <cell r="D5030" t="str">
            <v>Al Tafawwoq Primary School</v>
          </cell>
          <cell r="H5030" t="str">
            <v>AD</v>
          </cell>
        </row>
        <row r="5031">
          <cell r="B5031" t="str">
            <v>Fire Smoke / Heat Detector, Sounder</v>
          </cell>
          <cell r="D5031" t="str">
            <v>Al Tafawwoq Primary School</v>
          </cell>
          <cell r="H5031" t="str">
            <v>AD</v>
          </cell>
        </row>
        <row r="5032">
          <cell r="B5032" t="str">
            <v>Fire Smoke / Heat Detector, Sounder</v>
          </cell>
          <cell r="D5032" t="str">
            <v>Al Tafawwoq Primary School</v>
          </cell>
          <cell r="H5032" t="str">
            <v>AD</v>
          </cell>
        </row>
        <row r="5033">
          <cell r="B5033" t="str">
            <v>Fire Smoke / Heat Detector, Sounder</v>
          </cell>
          <cell r="D5033" t="str">
            <v>Al Tafawwoq Primary School</v>
          </cell>
          <cell r="H5033" t="str">
            <v>AD</v>
          </cell>
        </row>
        <row r="5034">
          <cell r="B5034" t="str">
            <v>Fire Smoke / Heat Detector, Sounder</v>
          </cell>
          <cell r="D5034" t="str">
            <v>Al Tafawwoq Primary School</v>
          </cell>
          <cell r="H5034" t="str">
            <v>AD</v>
          </cell>
        </row>
        <row r="5035">
          <cell r="B5035" t="str">
            <v>Fire Smoke / Heat Detector, Sounder</v>
          </cell>
          <cell r="D5035" t="str">
            <v>Al Tafawwoq Primary School</v>
          </cell>
          <cell r="H5035" t="str">
            <v>AD</v>
          </cell>
        </row>
        <row r="5036">
          <cell r="B5036" t="str">
            <v>Fire Smoke / Heat Detector, Sounder</v>
          </cell>
          <cell r="D5036" t="str">
            <v>Al Tafawwoq Primary School</v>
          </cell>
          <cell r="H5036" t="str">
            <v>AD</v>
          </cell>
        </row>
        <row r="5037">
          <cell r="B5037" t="str">
            <v>Fire Smoke / Heat Detector, Sounder</v>
          </cell>
          <cell r="D5037" t="str">
            <v>Al Tafawwoq Primary School</v>
          </cell>
          <cell r="H5037" t="str">
            <v>AD</v>
          </cell>
        </row>
        <row r="5038">
          <cell r="B5038" t="str">
            <v>Fire Smoke / Heat Detector, Sounder</v>
          </cell>
          <cell r="D5038" t="str">
            <v>Al Tafawwoq Primary School</v>
          </cell>
          <cell r="H5038" t="str">
            <v>AD</v>
          </cell>
        </row>
        <row r="5039">
          <cell r="B5039" t="str">
            <v>Fire Smoke / Heat Detector, Sounder</v>
          </cell>
          <cell r="D5039" t="str">
            <v>Al Tafawwoq Primary School</v>
          </cell>
          <cell r="H5039" t="str">
            <v>AD</v>
          </cell>
        </row>
        <row r="5040">
          <cell r="B5040" t="str">
            <v>Fire Smoke / Heat Detector, Sounder</v>
          </cell>
          <cell r="D5040" t="str">
            <v>Al Tafawwoq Primary School</v>
          </cell>
          <cell r="H5040" t="str">
            <v>AD</v>
          </cell>
        </row>
        <row r="5041">
          <cell r="B5041" t="str">
            <v>Fire Smoke / Heat Detector, Sounder</v>
          </cell>
          <cell r="D5041" t="str">
            <v>Al Tafawwoq Primary School</v>
          </cell>
          <cell r="H5041" t="str">
            <v>AD</v>
          </cell>
        </row>
        <row r="5042">
          <cell r="B5042" t="str">
            <v>Generator Set</v>
          </cell>
          <cell r="D5042" t="str">
            <v>Al Tafawwoq Primary School</v>
          </cell>
          <cell r="H5042" t="str">
            <v>AD</v>
          </cell>
        </row>
        <row r="5043">
          <cell r="B5043" t="str">
            <v>Irrigation System</v>
          </cell>
          <cell r="D5043" t="str">
            <v>Al Tafawwoq Primary School</v>
          </cell>
          <cell r="H5043" t="str">
            <v>AD</v>
          </cell>
        </row>
        <row r="5044">
          <cell r="B5044" t="str">
            <v>DX chiller unit</v>
          </cell>
          <cell r="D5044" t="str">
            <v>Al Taleaa Secondary School</v>
          </cell>
          <cell r="H5044" t="str">
            <v>AD</v>
          </cell>
        </row>
        <row r="5045">
          <cell r="B5045" t="str">
            <v>DX chiller unit</v>
          </cell>
          <cell r="D5045" t="str">
            <v>Al Taleaa Secondary School</v>
          </cell>
          <cell r="H5045" t="str">
            <v>AD</v>
          </cell>
        </row>
        <row r="5046">
          <cell r="B5046" t="str">
            <v>Fire Alarm Break Glass Call Point</v>
          </cell>
          <cell r="D5046" t="str">
            <v>Al Taleaa Secondary School</v>
          </cell>
          <cell r="H5046" t="str">
            <v>AD</v>
          </cell>
        </row>
        <row r="5047">
          <cell r="B5047" t="str">
            <v>Fire Alarm Break Glass Call Point</v>
          </cell>
          <cell r="D5047" t="str">
            <v>Al Taleaa Secondary School</v>
          </cell>
          <cell r="H5047" t="str">
            <v>AD</v>
          </cell>
        </row>
        <row r="5048">
          <cell r="B5048" t="str">
            <v>Fire Alarm Break Glass Call Point</v>
          </cell>
          <cell r="D5048" t="str">
            <v>Al Taleaa Secondary School</v>
          </cell>
          <cell r="H5048" t="str">
            <v>AD</v>
          </cell>
        </row>
        <row r="5049">
          <cell r="B5049" t="str">
            <v>Fire Alarm Break Glass Call Point</v>
          </cell>
          <cell r="D5049" t="str">
            <v>Al Taleaa Secondary School</v>
          </cell>
          <cell r="H5049" t="str">
            <v>AD</v>
          </cell>
        </row>
        <row r="5050">
          <cell r="B5050" t="str">
            <v>Fire Alarm Break Glass Call Point</v>
          </cell>
          <cell r="D5050" t="str">
            <v>Al Taleaa Secondary School</v>
          </cell>
          <cell r="H5050" t="str">
            <v>AD</v>
          </cell>
        </row>
        <row r="5051">
          <cell r="B5051" t="str">
            <v>Fire Alarm Break Glass Call Point</v>
          </cell>
          <cell r="D5051" t="str">
            <v>Al Taleaa Secondary School</v>
          </cell>
          <cell r="H5051" t="str">
            <v>AD</v>
          </cell>
        </row>
        <row r="5052">
          <cell r="B5052" t="str">
            <v>Fire Alarm Break Glass Call Point</v>
          </cell>
          <cell r="D5052" t="str">
            <v>Al Taleaa Secondary School</v>
          </cell>
          <cell r="H5052" t="str">
            <v>AD</v>
          </cell>
        </row>
        <row r="5053">
          <cell r="B5053" t="str">
            <v>Fire Alarm Break Glass Call Point</v>
          </cell>
          <cell r="D5053" t="str">
            <v>Al Taleaa Secondary School</v>
          </cell>
          <cell r="H5053" t="str">
            <v>AD</v>
          </cell>
        </row>
        <row r="5054">
          <cell r="B5054" t="str">
            <v>Fire Alarm Break Glass Call Point</v>
          </cell>
          <cell r="D5054" t="str">
            <v>Al Taleaa Secondary School</v>
          </cell>
          <cell r="H5054" t="str">
            <v>AD</v>
          </cell>
        </row>
        <row r="5055">
          <cell r="B5055" t="str">
            <v>Fire Alarm Break Glass Call Point</v>
          </cell>
          <cell r="D5055" t="str">
            <v>Al Taleaa Secondary School</v>
          </cell>
          <cell r="H5055" t="str">
            <v>AD</v>
          </cell>
        </row>
        <row r="5056">
          <cell r="B5056" t="str">
            <v>Fire Alarm Break Glass Call Point</v>
          </cell>
          <cell r="D5056" t="str">
            <v>Al Taleaa Secondary School</v>
          </cell>
          <cell r="H5056" t="str">
            <v>AD</v>
          </cell>
        </row>
        <row r="5057">
          <cell r="B5057" t="str">
            <v>Fire Alarm Break Glass Call Point</v>
          </cell>
          <cell r="D5057" t="str">
            <v>Al Taleaa Secondary School</v>
          </cell>
          <cell r="H5057" t="str">
            <v>AD</v>
          </cell>
        </row>
        <row r="5058">
          <cell r="B5058" t="str">
            <v>Fire Alarm Break Glass Call Point</v>
          </cell>
          <cell r="D5058" t="str">
            <v>Al Taleaa Secondary School</v>
          </cell>
          <cell r="H5058" t="str">
            <v>AD</v>
          </cell>
        </row>
        <row r="5059">
          <cell r="B5059" t="str">
            <v>Fire Alarm Break Glass Call Point</v>
          </cell>
          <cell r="D5059" t="str">
            <v>Al Taleaa Secondary School</v>
          </cell>
          <cell r="H5059" t="str">
            <v>AD</v>
          </cell>
        </row>
        <row r="5060">
          <cell r="B5060" t="str">
            <v>Fire Alarm Break Glass Call Point</v>
          </cell>
          <cell r="D5060" t="str">
            <v>Al Taleaa Secondary School</v>
          </cell>
          <cell r="H5060" t="str">
            <v>AD</v>
          </cell>
        </row>
        <row r="5061">
          <cell r="B5061" t="str">
            <v>Fire Alarm Break Glass Call Point</v>
          </cell>
          <cell r="D5061" t="str">
            <v>Al Taleaa Secondary School</v>
          </cell>
          <cell r="H5061" t="str">
            <v>AD</v>
          </cell>
        </row>
        <row r="5062">
          <cell r="B5062" t="str">
            <v>Fire Alarm Break Glass Call Point</v>
          </cell>
          <cell r="D5062" t="str">
            <v>Al Taleaa Secondary School</v>
          </cell>
          <cell r="H5062" t="str">
            <v>AD</v>
          </cell>
        </row>
        <row r="5063">
          <cell r="B5063" t="str">
            <v>Fire Alarm Break Glass Call Point</v>
          </cell>
          <cell r="D5063" t="str">
            <v>Al Taleaa Secondary School</v>
          </cell>
          <cell r="H5063" t="str">
            <v>AD</v>
          </cell>
        </row>
        <row r="5064">
          <cell r="B5064" t="str">
            <v>Fire Alarm Panel</v>
          </cell>
          <cell r="D5064" t="str">
            <v>Al Taleaa Secondary School</v>
          </cell>
          <cell r="H5064" t="str">
            <v>AD</v>
          </cell>
        </row>
        <row r="5065">
          <cell r="B5065" t="str">
            <v>Fire Alarm Panel</v>
          </cell>
          <cell r="D5065" t="str">
            <v>Al Taleaa Secondary School</v>
          </cell>
          <cell r="H5065" t="str">
            <v>AD</v>
          </cell>
        </row>
        <row r="5066">
          <cell r="B5066" t="str">
            <v>Fire Alarm Sounder, Bell, Light</v>
          </cell>
          <cell r="D5066" t="str">
            <v>Al Taleaa Secondary School</v>
          </cell>
          <cell r="H5066" t="str">
            <v>AD</v>
          </cell>
        </row>
        <row r="5067">
          <cell r="B5067" t="str">
            <v>Fire Alarm Sounder, Bell, Light</v>
          </cell>
          <cell r="D5067" t="str">
            <v>Al Taleaa Secondary School</v>
          </cell>
          <cell r="H5067" t="str">
            <v>AD</v>
          </cell>
        </row>
        <row r="5068">
          <cell r="B5068" t="str">
            <v>Fire Alarm Sounder, Bell, Light</v>
          </cell>
          <cell r="D5068" t="str">
            <v>Al Taleaa Secondary School</v>
          </cell>
          <cell r="H5068" t="str">
            <v>AD</v>
          </cell>
        </row>
        <row r="5069">
          <cell r="B5069" t="str">
            <v>Fire Alarm Sounder, Bell, Light</v>
          </cell>
          <cell r="D5069" t="str">
            <v>Al Taleaa Secondary School</v>
          </cell>
          <cell r="H5069" t="str">
            <v>AD</v>
          </cell>
        </row>
        <row r="5070">
          <cell r="B5070" t="str">
            <v>Fire Alarm Sounder, Bell, Light</v>
          </cell>
          <cell r="D5070" t="str">
            <v>Al Taleaa Secondary School</v>
          </cell>
          <cell r="H5070" t="str">
            <v>AD</v>
          </cell>
        </row>
        <row r="5071">
          <cell r="B5071" t="str">
            <v>Fire Alarm Sounder, Bell, Light</v>
          </cell>
          <cell r="D5071" t="str">
            <v>Al Taleaa Secondary School</v>
          </cell>
          <cell r="H5071" t="str">
            <v>AD</v>
          </cell>
        </row>
        <row r="5072">
          <cell r="B5072" t="str">
            <v>Fire Alarm Sounder, Bell, Light</v>
          </cell>
          <cell r="D5072" t="str">
            <v>Al Taleaa Secondary School</v>
          </cell>
          <cell r="H5072" t="str">
            <v>AD</v>
          </cell>
        </row>
        <row r="5073">
          <cell r="B5073" t="str">
            <v>Fire Alarm Sounder, Bell, Light</v>
          </cell>
          <cell r="D5073" t="str">
            <v>Al Taleaa Secondary School</v>
          </cell>
          <cell r="H5073" t="str">
            <v>AD</v>
          </cell>
        </row>
        <row r="5074">
          <cell r="B5074" t="str">
            <v>Fire Alarm Sounder, Bell, Light</v>
          </cell>
          <cell r="D5074" t="str">
            <v>Al Taleaa Secondary School</v>
          </cell>
          <cell r="H5074" t="str">
            <v>AD</v>
          </cell>
        </row>
        <row r="5075">
          <cell r="B5075" t="str">
            <v>Fire Alarm Sounder, Bell, Light</v>
          </cell>
          <cell r="D5075" t="str">
            <v>Al Taleaa Secondary School</v>
          </cell>
          <cell r="H5075" t="str">
            <v>AD</v>
          </cell>
        </row>
        <row r="5076">
          <cell r="B5076" t="str">
            <v>Fire Alarm Sounder, Bell, Light</v>
          </cell>
          <cell r="D5076" t="str">
            <v>Al Taleaa Secondary School</v>
          </cell>
          <cell r="H5076" t="str">
            <v>AD</v>
          </cell>
        </row>
        <row r="5077">
          <cell r="B5077" t="str">
            <v>Fire Alarm Sounder, Bell, Light</v>
          </cell>
          <cell r="D5077" t="str">
            <v>Al Taleaa Secondary School</v>
          </cell>
          <cell r="H5077" t="str">
            <v>AD</v>
          </cell>
        </row>
        <row r="5078">
          <cell r="B5078" t="str">
            <v>Fire Alarm Sounder, Bell, Light</v>
          </cell>
          <cell r="D5078" t="str">
            <v>Al Taleaa Secondary School</v>
          </cell>
          <cell r="H5078" t="str">
            <v>AD</v>
          </cell>
        </row>
        <row r="5079">
          <cell r="B5079" t="str">
            <v>Fire Alarm Sounder, Bell, Light</v>
          </cell>
          <cell r="D5079" t="str">
            <v>Al Taleaa Secondary School</v>
          </cell>
          <cell r="H5079" t="str">
            <v>AD</v>
          </cell>
        </row>
        <row r="5080">
          <cell r="B5080" t="str">
            <v>Fire Alarm Sounder, Bell, Light</v>
          </cell>
          <cell r="D5080" t="str">
            <v>Al Taleaa Secondary School</v>
          </cell>
          <cell r="H5080" t="str">
            <v>AD</v>
          </cell>
        </row>
        <row r="5081">
          <cell r="B5081" t="str">
            <v>Fire Alarm Sounder, Bell, Light</v>
          </cell>
          <cell r="D5081" t="str">
            <v>Al Taleaa Secondary School</v>
          </cell>
          <cell r="H5081" t="str">
            <v>AD</v>
          </cell>
        </row>
        <row r="5082">
          <cell r="B5082" t="str">
            <v>Fire Alarm Sounder, Bell, Light</v>
          </cell>
          <cell r="D5082" t="str">
            <v>Al Taleaa Secondary School</v>
          </cell>
          <cell r="H5082" t="str">
            <v>AD</v>
          </cell>
        </row>
        <row r="5083">
          <cell r="B5083" t="str">
            <v>Fire Alarm Sounder, Bell, Light</v>
          </cell>
          <cell r="D5083" t="str">
            <v>Al Taleaa Secondary School</v>
          </cell>
          <cell r="H5083" t="str">
            <v>AD</v>
          </cell>
        </row>
        <row r="5084">
          <cell r="B5084" t="str">
            <v>Fire Alarm Sounder, Bell, Light</v>
          </cell>
          <cell r="D5084" t="str">
            <v>Al Taleaa Secondary School</v>
          </cell>
          <cell r="H5084" t="str">
            <v>AD</v>
          </cell>
        </row>
        <row r="5085">
          <cell r="B5085" t="str">
            <v>Fire Alarm Sounder, Bell, Light</v>
          </cell>
          <cell r="D5085" t="str">
            <v>Al Taleaa Secondary School</v>
          </cell>
          <cell r="H5085" t="str">
            <v>AD</v>
          </cell>
        </row>
        <row r="5086">
          <cell r="B5086" t="str">
            <v>Fire Alarm Sounder, Bell, Light</v>
          </cell>
          <cell r="D5086" t="str">
            <v>Al Taleaa Secondary School</v>
          </cell>
          <cell r="H5086" t="str">
            <v>AD</v>
          </cell>
        </row>
        <row r="5087">
          <cell r="B5087" t="str">
            <v>Fire Alarm Sounder, Bell, Light</v>
          </cell>
          <cell r="D5087" t="str">
            <v>Al Taleaa Secondary School</v>
          </cell>
          <cell r="H5087" t="str">
            <v>AD</v>
          </cell>
        </row>
        <row r="5088">
          <cell r="B5088" t="str">
            <v>Fire Alarm Sounder, Bell, Light</v>
          </cell>
          <cell r="D5088" t="str">
            <v>Al Taleaa Secondary School</v>
          </cell>
          <cell r="H5088" t="str">
            <v>AD</v>
          </cell>
        </row>
        <row r="5089">
          <cell r="B5089" t="str">
            <v>Fire Alarm Sounder, Bell, Light</v>
          </cell>
          <cell r="D5089" t="str">
            <v>Al Taleaa Secondary School</v>
          </cell>
          <cell r="H5089" t="str">
            <v>AD</v>
          </cell>
        </row>
        <row r="5090">
          <cell r="B5090" t="str">
            <v>Fire Alarm Sounder, Bell, Light</v>
          </cell>
          <cell r="D5090" t="str">
            <v>Al Taleaa Secondary School</v>
          </cell>
          <cell r="H5090" t="str">
            <v>AD</v>
          </cell>
        </row>
        <row r="5091">
          <cell r="B5091" t="str">
            <v>Fire Alarm Sounder, Bell, Light</v>
          </cell>
          <cell r="D5091" t="str">
            <v>Al Taleaa Secondary School</v>
          </cell>
          <cell r="H5091" t="str">
            <v>AD</v>
          </cell>
        </row>
        <row r="5092">
          <cell r="B5092" t="str">
            <v>Fire Alarm Sounder, Bell, Light</v>
          </cell>
          <cell r="D5092" t="str">
            <v>Al Taleaa Secondary School</v>
          </cell>
          <cell r="H5092" t="str">
            <v>AD</v>
          </cell>
        </row>
        <row r="5093">
          <cell r="B5093" t="str">
            <v>Fire Alarm Sounder, Bell, Light</v>
          </cell>
          <cell r="D5093" t="str">
            <v>Al Taleaa Secondary School</v>
          </cell>
          <cell r="H5093" t="str">
            <v>AD</v>
          </cell>
        </row>
        <row r="5094">
          <cell r="B5094" t="str">
            <v>Fire Blanket</v>
          </cell>
          <cell r="D5094" t="str">
            <v>Al Taleaa Secondary School</v>
          </cell>
          <cell r="H5094" t="str">
            <v>AD</v>
          </cell>
        </row>
        <row r="5095">
          <cell r="B5095" t="str">
            <v>Fire Extinguisher</v>
          </cell>
          <cell r="D5095" t="str">
            <v>Al Taleaa Secondary School</v>
          </cell>
          <cell r="H5095" t="str">
            <v>AD</v>
          </cell>
        </row>
        <row r="5096">
          <cell r="B5096" t="str">
            <v>Fire Extinguisher</v>
          </cell>
          <cell r="D5096" t="str">
            <v>Al Taleaa Secondary School</v>
          </cell>
          <cell r="H5096" t="str">
            <v>AD</v>
          </cell>
        </row>
        <row r="5097">
          <cell r="B5097" t="str">
            <v>Fire Extinguisher</v>
          </cell>
          <cell r="D5097" t="str">
            <v>Al Taleaa Secondary School</v>
          </cell>
          <cell r="H5097" t="str">
            <v>AD</v>
          </cell>
        </row>
        <row r="5098">
          <cell r="B5098" t="str">
            <v>Fire Extinguisher</v>
          </cell>
          <cell r="D5098" t="str">
            <v>Al Taleaa Secondary School</v>
          </cell>
          <cell r="H5098" t="str">
            <v>AD</v>
          </cell>
        </row>
        <row r="5099">
          <cell r="B5099" t="str">
            <v>Fire Extinguisher</v>
          </cell>
          <cell r="D5099" t="str">
            <v>Al Taleaa Secondary School</v>
          </cell>
          <cell r="H5099" t="str">
            <v>AD</v>
          </cell>
        </row>
        <row r="5100">
          <cell r="B5100" t="str">
            <v>Fire Extinguisher</v>
          </cell>
          <cell r="D5100" t="str">
            <v>Al Taleaa Secondary School</v>
          </cell>
          <cell r="H5100" t="str">
            <v>AD</v>
          </cell>
        </row>
        <row r="5101">
          <cell r="B5101" t="str">
            <v>Fire Extinguisher</v>
          </cell>
          <cell r="D5101" t="str">
            <v>Al Taleaa Secondary School</v>
          </cell>
          <cell r="H5101" t="str">
            <v>AD</v>
          </cell>
        </row>
        <row r="5102">
          <cell r="B5102" t="str">
            <v>Fire Extinguisher</v>
          </cell>
          <cell r="D5102" t="str">
            <v>Al Taleaa Secondary School</v>
          </cell>
          <cell r="H5102" t="str">
            <v>AD</v>
          </cell>
        </row>
        <row r="5103">
          <cell r="B5103" t="str">
            <v>Fire Extinguisher</v>
          </cell>
          <cell r="D5103" t="str">
            <v>Al Taleaa Secondary School</v>
          </cell>
          <cell r="H5103" t="str">
            <v>AD</v>
          </cell>
        </row>
        <row r="5104">
          <cell r="B5104" t="str">
            <v>Fire Extinguisher</v>
          </cell>
          <cell r="D5104" t="str">
            <v>Al Taleaa Secondary School</v>
          </cell>
          <cell r="H5104" t="str">
            <v>AD</v>
          </cell>
        </row>
        <row r="5105">
          <cell r="B5105" t="str">
            <v>Fire Extinguisher</v>
          </cell>
          <cell r="D5105" t="str">
            <v>Al Taleaa Secondary School</v>
          </cell>
          <cell r="H5105" t="str">
            <v>AD</v>
          </cell>
        </row>
        <row r="5106">
          <cell r="B5106" t="str">
            <v>Fire Extinguisher</v>
          </cell>
          <cell r="D5106" t="str">
            <v>Al Taleaa Secondary School</v>
          </cell>
          <cell r="H5106" t="str">
            <v>AD</v>
          </cell>
        </row>
        <row r="5107">
          <cell r="B5107" t="str">
            <v>Fire Extinguisher</v>
          </cell>
          <cell r="D5107" t="str">
            <v>Al Taleaa Secondary School</v>
          </cell>
          <cell r="H5107" t="str">
            <v>AD</v>
          </cell>
        </row>
        <row r="5108">
          <cell r="B5108" t="str">
            <v>Fire Extinguisher</v>
          </cell>
          <cell r="D5108" t="str">
            <v>Al Taleaa Secondary School</v>
          </cell>
          <cell r="H5108" t="str">
            <v>AD</v>
          </cell>
        </row>
        <row r="5109">
          <cell r="B5109" t="str">
            <v>Fire Extinguisher</v>
          </cell>
          <cell r="D5109" t="str">
            <v>Al Taleaa Secondary School</v>
          </cell>
          <cell r="H5109" t="str">
            <v>AD</v>
          </cell>
        </row>
        <row r="5110">
          <cell r="B5110" t="str">
            <v>Fire Extinguisher</v>
          </cell>
          <cell r="D5110" t="str">
            <v>Al Taleaa Secondary School</v>
          </cell>
          <cell r="H5110" t="str">
            <v>AD</v>
          </cell>
        </row>
        <row r="5111">
          <cell r="B5111" t="str">
            <v>Fire Extinguisher</v>
          </cell>
          <cell r="D5111" t="str">
            <v>Al Taleaa Secondary School</v>
          </cell>
          <cell r="H5111" t="str">
            <v>AD</v>
          </cell>
        </row>
        <row r="5112">
          <cell r="B5112" t="str">
            <v>Fire Extinguisher</v>
          </cell>
          <cell r="D5112" t="str">
            <v>Al Taleaa Secondary School</v>
          </cell>
          <cell r="H5112" t="str">
            <v>AD</v>
          </cell>
        </row>
        <row r="5113">
          <cell r="B5113" t="str">
            <v>Fire Extinguisher</v>
          </cell>
          <cell r="D5113" t="str">
            <v>Al Taleaa Secondary School</v>
          </cell>
          <cell r="H5113" t="str">
            <v>AD</v>
          </cell>
        </row>
        <row r="5114">
          <cell r="B5114" t="str">
            <v>Fire Extinguisher</v>
          </cell>
          <cell r="D5114" t="str">
            <v>Al Taleaa Secondary School</v>
          </cell>
          <cell r="H5114" t="str">
            <v>AD</v>
          </cell>
        </row>
        <row r="5115">
          <cell r="B5115" t="str">
            <v>Fire Extinguisher</v>
          </cell>
          <cell r="D5115" t="str">
            <v>Al Taleaa Secondary School</v>
          </cell>
          <cell r="H5115" t="str">
            <v>AD</v>
          </cell>
        </row>
        <row r="5116">
          <cell r="B5116" t="str">
            <v>Fire Extinguisher</v>
          </cell>
          <cell r="D5116" t="str">
            <v>Al Taleaa Secondary School</v>
          </cell>
          <cell r="H5116" t="str">
            <v>AD</v>
          </cell>
        </row>
        <row r="5117">
          <cell r="B5117" t="str">
            <v>Fire Extinguisher</v>
          </cell>
          <cell r="D5117" t="str">
            <v>Al Taleaa Secondary School</v>
          </cell>
          <cell r="H5117" t="str">
            <v>AD</v>
          </cell>
        </row>
        <row r="5118">
          <cell r="B5118" t="str">
            <v>Fire Extinguisher</v>
          </cell>
          <cell r="D5118" t="str">
            <v>Al Taleaa Secondary School</v>
          </cell>
          <cell r="H5118" t="str">
            <v>AD</v>
          </cell>
        </row>
        <row r="5119">
          <cell r="B5119" t="str">
            <v>Fire Extinguisher</v>
          </cell>
          <cell r="D5119" t="str">
            <v>Al Taleaa Secondary School</v>
          </cell>
          <cell r="H5119" t="str">
            <v>AD</v>
          </cell>
        </row>
        <row r="5120">
          <cell r="B5120" t="str">
            <v>Fire Extinguisher</v>
          </cell>
          <cell r="D5120" t="str">
            <v>Al Taleaa Secondary School</v>
          </cell>
          <cell r="H5120" t="str">
            <v>AD</v>
          </cell>
        </row>
        <row r="5121">
          <cell r="B5121" t="str">
            <v>Fire Extinguisher</v>
          </cell>
          <cell r="D5121" t="str">
            <v>Al Taleaa Secondary School</v>
          </cell>
          <cell r="H5121" t="str">
            <v>AD</v>
          </cell>
        </row>
        <row r="5122">
          <cell r="B5122" t="str">
            <v>Fire Hose Reel</v>
          </cell>
          <cell r="D5122" t="str">
            <v>Al Taleaa Secondary School</v>
          </cell>
          <cell r="H5122" t="str">
            <v>AD</v>
          </cell>
        </row>
        <row r="5123">
          <cell r="B5123" t="str">
            <v>Fire Hose Reel</v>
          </cell>
          <cell r="D5123" t="str">
            <v>Al Taleaa Secondary School</v>
          </cell>
          <cell r="H5123" t="str">
            <v>AD</v>
          </cell>
        </row>
        <row r="5124">
          <cell r="B5124" t="str">
            <v>Fire Hose Reel</v>
          </cell>
          <cell r="D5124" t="str">
            <v>Al Taleaa Secondary School</v>
          </cell>
          <cell r="H5124" t="str">
            <v>AD</v>
          </cell>
        </row>
        <row r="5125">
          <cell r="B5125" t="str">
            <v>Fire Hose Reel</v>
          </cell>
          <cell r="D5125" t="str">
            <v>Al Taleaa Secondary School</v>
          </cell>
          <cell r="H5125" t="str">
            <v>AD</v>
          </cell>
        </row>
        <row r="5126">
          <cell r="B5126" t="str">
            <v>Fire Hose Reel</v>
          </cell>
          <cell r="D5126" t="str">
            <v>Al Taleaa Secondary School</v>
          </cell>
          <cell r="H5126" t="str">
            <v>AD</v>
          </cell>
        </row>
        <row r="5127">
          <cell r="B5127" t="str">
            <v>Fire Hose Reel</v>
          </cell>
          <cell r="D5127" t="str">
            <v>Al Taleaa Secondary School</v>
          </cell>
          <cell r="H5127" t="str">
            <v>AD</v>
          </cell>
        </row>
        <row r="5128">
          <cell r="B5128" t="str">
            <v>Fire Hose Reel</v>
          </cell>
          <cell r="D5128" t="str">
            <v>Al Taleaa Secondary School</v>
          </cell>
          <cell r="H5128" t="str">
            <v>AD</v>
          </cell>
        </row>
        <row r="5129">
          <cell r="B5129" t="str">
            <v>Fire Hose Reel</v>
          </cell>
          <cell r="D5129" t="str">
            <v>Al Taleaa Secondary School</v>
          </cell>
          <cell r="H5129" t="str">
            <v>AD</v>
          </cell>
        </row>
        <row r="5130">
          <cell r="B5130" t="str">
            <v>Fire Hose Reel</v>
          </cell>
          <cell r="D5130" t="str">
            <v>Al Taleaa Secondary School</v>
          </cell>
          <cell r="H5130" t="str">
            <v>AD</v>
          </cell>
        </row>
        <row r="5131">
          <cell r="B5131" t="str">
            <v>Fire Hose Reel</v>
          </cell>
          <cell r="D5131" t="str">
            <v>Al Taleaa Secondary School</v>
          </cell>
          <cell r="H5131" t="str">
            <v>AD</v>
          </cell>
        </row>
        <row r="5132">
          <cell r="B5132" t="str">
            <v>Fire Hose Reel</v>
          </cell>
          <cell r="D5132" t="str">
            <v>Al Taleaa Secondary School</v>
          </cell>
          <cell r="H5132" t="str">
            <v>AD</v>
          </cell>
        </row>
        <row r="5133">
          <cell r="B5133" t="str">
            <v>Fire Hose Reel</v>
          </cell>
          <cell r="D5133" t="str">
            <v>Al Taleaa Secondary School</v>
          </cell>
          <cell r="H5133" t="str">
            <v>AD</v>
          </cell>
        </row>
        <row r="5134">
          <cell r="B5134" t="str">
            <v>FIRE PUMP - Diesel</v>
          </cell>
          <cell r="D5134" t="str">
            <v>Al Taleaa Secondary School</v>
          </cell>
          <cell r="H5134" t="str">
            <v>AD</v>
          </cell>
        </row>
        <row r="5135">
          <cell r="B5135" t="str">
            <v>FIRE PUMP - Electric</v>
          </cell>
          <cell r="D5135" t="str">
            <v>Al Taleaa Secondary School</v>
          </cell>
          <cell r="H5135" t="str">
            <v>AD</v>
          </cell>
        </row>
        <row r="5136">
          <cell r="B5136" t="str">
            <v>Fire Smoke / Heat Detector, Sounder</v>
          </cell>
          <cell r="D5136" t="str">
            <v>Al Taleaa Secondary School</v>
          </cell>
          <cell r="H5136" t="str">
            <v>AD</v>
          </cell>
        </row>
        <row r="5137">
          <cell r="B5137" t="str">
            <v>Fire Smoke / Heat Detector, Sounder</v>
          </cell>
          <cell r="D5137" t="str">
            <v>Al Taleaa Secondary School</v>
          </cell>
          <cell r="H5137" t="str">
            <v>AD</v>
          </cell>
        </row>
        <row r="5138">
          <cell r="B5138" t="str">
            <v>Fire Smoke / Heat Detector, Sounder</v>
          </cell>
          <cell r="D5138" t="str">
            <v>Al Taleaa Secondary School</v>
          </cell>
          <cell r="H5138" t="str">
            <v>AD</v>
          </cell>
        </row>
        <row r="5139">
          <cell r="B5139" t="str">
            <v>Fire Smoke / Heat Detector, Sounder</v>
          </cell>
          <cell r="D5139" t="str">
            <v>Al Taleaa Secondary School</v>
          </cell>
          <cell r="H5139" t="str">
            <v>AD</v>
          </cell>
        </row>
        <row r="5140">
          <cell r="B5140" t="str">
            <v>Fire Smoke / Heat Detector, Sounder</v>
          </cell>
          <cell r="D5140" t="str">
            <v>Al Taleaa Secondary School</v>
          </cell>
          <cell r="H5140" t="str">
            <v>AD</v>
          </cell>
        </row>
        <row r="5141">
          <cell r="B5141" t="str">
            <v>Fire Smoke / Heat Detector, Sounder</v>
          </cell>
          <cell r="D5141" t="str">
            <v>Al Taleaa Secondary School</v>
          </cell>
          <cell r="H5141" t="str">
            <v>AD</v>
          </cell>
        </row>
        <row r="5142">
          <cell r="B5142" t="str">
            <v>Fire Smoke / Heat Detector, Sounder</v>
          </cell>
          <cell r="D5142" t="str">
            <v>Al Taleaa Secondary School</v>
          </cell>
          <cell r="H5142" t="str">
            <v>AD</v>
          </cell>
        </row>
        <row r="5143">
          <cell r="B5143" t="str">
            <v>Fire Smoke / Heat Detector, Sounder</v>
          </cell>
          <cell r="D5143" t="str">
            <v>Al Taleaa Secondary School</v>
          </cell>
          <cell r="H5143" t="str">
            <v>AD</v>
          </cell>
        </row>
        <row r="5144">
          <cell r="B5144" t="str">
            <v>Fire Smoke / Heat Detector, Sounder</v>
          </cell>
          <cell r="D5144" t="str">
            <v>Al Taleaa Secondary School</v>
          </cell>
          <cell r="H5144" t="str">
            <v>AD</v>
          </cell>
        </row>
        <row r="5145">
          <cell r="B5145" t="str">
            <v>Fire Smoke / Heat Detector, Sounder</v>
          </cell>
          <cell r="D5145" t="str">
            <v>Al Taleaa Secondary School</v>
          </cell>
          <cell r="H5145" t="str">
            <v>AD</v>
          </cell>
        </row>
        <row r="5146">
          <cell r="B5146" t="str">
            <v>Fire Smoke / Heat Detector, Sounder</v>
          </cell>
          <cell r="D5146" t="str">
            <v>Al Taleaa Secondary School</v>
          </cell>
          <cell r="H5146" t="str">
            <v>AD</v>
          </cell>
        </row>
        <row r="5147">
          <cell r="B5147" t="str">
            <v>Fire Smoke / Heat Detector, Sounder</v>
          </cell>
          <cell r="D5147" t="str">
            <v>Al Taleaa Secondary School</v>
          </cell>
          <cell r="H5147" t="str">
            <v>AD</v>
          </cell>
        </row>
        <row r="5148">
          <cell r="B5148" t="str">
            <v>Fire Smoke / Heat Detector, Sounder</v>
          </cell>
          <cell r="D5148" t="str">
            <v>Al Taleaa Secondary School</v>
          </cell>
          <cell r="H5148" t="str">
            <v>AD</v>
          </cell>
        </row>
        <row r="5149">
          <cell r="B5149" t="str">
            <v>Fire Smoke / Heat Detector, Sounder</v>
          </cell>
          <cell r="D5149" t="str">
            <v>Al Taleaa Secondary School</v>
          </cell>
          <cell r="H5149" t="str">
            <v>AD</v>
          </cell>
        </row>
        <row r="5150">
          <cell r="B5150" t="str">
            <v>Fire Smoke / Heat Detector, Sounder</v>
          </cell>
          <cell r="D5150" t="str">
            <v>Al Taleaa Secondary School</v>
          </cell>
          <cell r="H5150" t="str">
            <v>AD</v>
          </cell>
        </row>
        <row r="5151">
          <cell r="B5151" t="str">
            <v>Fire Smoke / Heat Detector, Sounder</v>
          </cell>
          <cell r="D5151" t="str">
            <v>Al Taleaa Secondary School</v>
          </cell>
          <cell r="H5151" t="str">
            <v>AD</v>
          </cell>
        </row>
        <row r="5152">
          <cell r="B5152" t="str">
            <v>Fire Smoke / Heat Detector, Sounder</v>
          </cell>
          <cell r="D5152" t="str">
            <v>Al Taleaa Secondary School</v>
          </cell>
          <cell r="H5152" t="str">
            <v>AD</v>
          </cell>
        </row>
        <row r="5153">
          <cell r="B5153" t="str">
            <v>Fire Smoke / Heat Detector, Sounder</v>
          </cell>
          <cell r="D5153" t="str">
            <v>Al Taleaa Secondary School</v>
          </cell>
          <cell r="H5153" t="str">
            <v>AD</v>
          </cell>
        </row>
        <row r="5154">
          <cell r="B5154" t="str">
            <v>Fire Smoke / Heat Detector, Sounder</v>
          </cell>
          <cell r="D5154" t="str">
            <v>Al Taleaa Secondary School</v>
          </cell>
          <cell r="H5154" t="str">
            <v>AD</v>
          </cell>
        </row>
        <row r="5155">
          <cell r="B5155" t="str">
            <v>Fire Smoke / Heat Detector, Sounder</v>
          </cell>
          <cell r="D5155" t="str">
            <v>Al Taleaa Secondary School</v>
          </cell>
          <cell r="H5155" t="str">
            <v>AD</v>
          </cell>
        </row>
        <row r="5156">
          <cell r="B5156" t="str">
            <v>Fire Smoke / Heat Detector, Sounder</v>
          </cell>
          <cell r="D5156" t="str">
            <v>Al Taleaa Secondary School</v>
          </cell>
          <cell r="H5156" t="str">
            <v>AD</v>
          </cell>
        </row>
        <row r="5157">
          <cell r="B5157" t="str">
            <v>Fire Smoke / Heat Detector, Sounder</v>
          </cell>
          <cell r="D5157" t="str">
            <v>Al Taleaa Secondary School</v>
          </cell>
          <cell r="H5157" t="str">
            <v>AD</v>
          </cell>
        </row>
        <row r="5158">
          <cell r="B5158" t="str">
            <v>Fire Smoke / Heat Detector, Sounder</v>
          </cell>
          <cell r="D5158" t="str">
            <v>Al Taleaa Secondary School</v>
          </cell>
          <cell r="H5158" t="str">
            <v>AD</v>
          </cell>
        </row>
        <row r="5159">
          <cell r="B5159" t="str">
            <v>Fire Smoke / Heat Detector, Sounder</v>
          </cell>
          <cell r="D5159" t="str">
            <v>Al Taleaa Secondary School</v>
          </cell>
          <cell r="H5159" t="str">
            <v>AD</v>
          </cell>
        </row>
        <row r="5160">
          <cell r="B5160" t="str">
            <v>Fire Smoke / Heat Detector, Sounder</v>
          </cell>
          <cell r="D5160" t="str">
            <v>Al Taleaa Secondary School</v>
          </cell>
          <cell r="H5160" t="str">
            <v>AD</v>
          </cell>
        </row>
        <row r="5161">
          <cell r="B5161" t="str">
            <v>Fire Smoke / Heat Detector, Sounder</v>
          </cell>
          <cell r="D5161" t="str">
            <v>Al Taleaa Secondary School</v>
          </cell>
          <cell r="H5161" t="str">
            <v>AD</v>
          </cell>
        </row>
        <row r="5162">
          <cell r="B5162" t="str">
            <v>Fire Smoke / Heat Detector, Sounder</v>
          </cell>
          <cell r="D5162" t="str">
            <v>Al Taleaa Secondary School</v>
          </cell>
          <cell r="H5162" t="str">
            <v>AD</v>
          </cell>
        </row>
        <row r="5163">
          <cell r="B5163" t="str">
            <v>Fire Smoke / Heat Detector, Sounder</v>
          </cell>
          <cell r="D5163" t="str">
            <v>Al Taleaa Secondary School</v>
          </cell>
          <cell r="H5163" t="str">
            <v>AD</v>
          </cell>
        </row>
        <row r="5164">
          <cell r="B5164" t="str">
            <v>Fire Smoke / Heat Detector, Sounder</v>
          </cell>
          <cell r="D5164" t="str">
            <v>Al Taleaa Secondary School</v>
          </cell>
          <cell r="H5164" t="str">
            <v>AD</v>
          </cell>
        </row>
        <row r="5165">
          <cell r="B5165" t="str">
            <v>Fire Smoke / Heat Detector, Sounder</v>
          </cell>
          <cell r="D5165" t="str">
            <v>Al Taleaa Secondary School</v>
          </cell>
          <cell r="H5165" t="str">
            <v>AD</v>
          </cell>
        </row>
        <row r="5166">
          <cell r="B5166" t="str">
            <v>Fire Smoke / Heat Detector, Sounder</v>
          </cell>
          <cell r="D5166" t="str">
            <v>Al Taleaa Secondary School</v>
          </cell>
          <cell r="H5166" t="str">
            <v>AD</v>
          </cell>
        </row>
        <row r="5167">
          <cell r="B5167" t="str">
            <v>Fire Smoke / Heat Detector, Sounder</v>
          </cell>
          <cell r="D5167" t="str">
            <v>Al Taleaa Secondary School</v>
          </cell>
          <cell r="H5167" t="str">
            <v>AD</v>
          </cell>
        </row>
        <row r="5168">
          <cell r="B5168" t="str">
            <v>Fire Smoke / Heat Detector, Sounder</v>
          </cell>
          <cell r="D5168" t="str">
            <v>Al Taleaa Secondary School</v>
          </cell>
          <cell r="H5168" t="str">
            <v>AD</v>
          </cell>
        </row>
        <row r="5169">
          <cell r="B5169" t="str">
            <v>Fire Smoke / Heat Detector, Sounder</v>
          </cell>
          <cell r="D5169" t="str">
            <v>Al Taleaa Secondary School</v>
          </cell>
          <cell r="H5169" t="str">
            <v>AD</v>
          </cell>
        </row>
        <row r="5170">
          <cell r="B5170" t="str">
            <v>Fire Smoke / Heat Detector, Sounder</v>
          </cell>
          <cell r="D5170" t="str">
            <v>Al Taleaa Secondary School</v>
          </cell>
          <cell r="H5170" t="str">
            <v>AD</v>
          </cell>
        </row>
        <row r="5171">
          <cell r="B5171" t="str">
            <v>Fire Smoke / Heat Detector, Sounder</v>
          </cell>
          <cell r="D5171" t="str">
            <v>Al Taleaa Secondary School</v>
          </cell>
          <cell r="H5171" t="str">
            <v>AD</v>
          </cell>
        </row>
        <row r="5172">
          <cell r="B5172" t="str">
            <v>Fire Smoke / Heat Detector, Sounder</v>
          </cell>
          <cell r="D5172" t="str">
            <v>Al Taleaa Secondary School</v>
          </cell>
          <cell r="H5172" t="str">
            <v>AD</v>
          </cell>
        </row>
        <row r="5173">
          <cell r="B5173" t="str">
            <v>Fire Smoke / Heat Detector, Sounder</v>
          </cell>
          <cell r="D5173" t="str">
            <v>Al Taleaa Secondary School</v>
          </cell>
          <cell r="H5173" t="str">
            <v>AD</v>
          </cell>
        </row>
        <row r="5174">
          <cell r="B5174" t="str">
            <v>Fire Smoke / Heat Detector, Sounder</v>
          </cell>
          <cell r="D5174" t="str">
            <v>Al Taleaa Secondary School</v>
          </cell>
          <cell r="H5174" t="str">
            <v>AD</v>
          </cell>
        </row>
        <row r="5175">
          <cell r="B5175" t="str">
            <v>Fire Smoke / Heat Detector, Sounder</v>
          </cell>
          <cell r="D5175" t="str">
            <v>Al Taleaa Secondary School</v>
          </cell>
          <cell r="H5175" t="str">
            <v>AD</v>
          </cell>
        </row>
        <row r="5176">
          <cell r="B5176" t="str">
            <v>Fire Smoke / Heat Detector, Sounder</v>
          </cell>
          <cell r="D5176" t="str">
            <v>Al Taleaa Secondary School</v>
          </cell>
          <cell r="H5176" t="str">
            <v>AD</v>
          </cell>
        </row>
        <row r="5177">
          <cell r="B5177" t="str">
            <v>Fire Smoke / Heat Detector, Sounder</v>
          </cell>
          <cell r="D5177" t="str">
            <v>Al Taleaa Secondary School</v>
          </cell>
          <cell r="H5177" t="str">
            <v>AD</v>
          </cell>
        </row>
        <row r="5178">
          <cell r="B5178" t="str">
            <v>Fire Smoke / Heat Detector, Sounder</v>
          </cell>
          <cell r="D5178" t="str">
            <v>Al Taleaa Secondary School</v>
          </cell>
          <cell r="H5178" t="str">
            <v>AD</v>
          </cell>
        </row>
        <row r="5179">
          <cell r="B5179" t="str">
            <v>Fire Smoke / Heat Detector, Sounder</v>
          </cell>
          <cell r="D5179" t="str">
            <v>Al Taleaa Secondary School</v>
          </cell>
          <cell r="H5179" t="str">
            <v>AD</v>
          </cell>
        </row>
        <row r="5180">
          <cell r="B5180" t="str">
            <v>Fire Smoke / Heat Detector, Sounder</v>
          </cell>
          <cell r="D5180" t="str">
            <v>Al Taleaa Secondary School</v>
          </cell>
          <cell r="H5180" t="str">
            <v>AD</v>
          </cell>
        </row>
        <row r="5181">
          <cell r="B5181" t="str">
            <v>Fire Smoke / Heat Detector, Sounder</v>
          </cell>
          <cell r="D5181" t="str">
            <v>Al Taleaa Secondary School</v>
          </cell>
          <cell r="H5181" t="str">
            <v>AD</v>
          </cell>
        </row>
        <row r="5182">
          <cell r="B5182" t="str">
            <v>Fire Smoke / Heat Detector, Sounder</v>
          </cell>
          <cell r="D5182" t="str">
            <v>Al Taleaa Secondary School</v>
          </cell>
          <cell r="H5182" t="str">
            <v>AD</v>
          </cell>
        </row>
        <row r="5183">
          <cell r="B5183" t="str">
            <v>Fire Smoke / Heat Detector, Sounder</v>
          </cell>
          <cell r="D5183" t="str">
            <v>Al Taleaa Secondary School</v>
          </cell>
          <cell r="H5183" t="str">
            <v>AD</v>
          </cell>
        </row>
        <row r="5184">
          <cell r="B5184" t="str">
            <v>Fire Smoke / Heat Detector, Sounder</v>
          </cell>
          <cell r="D5184" t="str">
            <v>Al Taleaa Secondary School</v>
          </cell>
          <cell r="H5184" t="str">
            <v>AD</v>
          </cell>
        </row>
        <row r="5185">
          <cell r="B5185" t="str">
            <v>Fire Smoke / Heat Detector, Sounder</v>
          </cell>
          <cell r="D5185" t="str">
            <v>Al Taleaa Secondary School</v>
          </cell>
          <cell r="H5185" t="str">
            <v>AD</v>
          </cell>
        </row>
        <row r="5186">
          <cell r="B5186" t="str">
            <v>Fire Smoke / Heat Detector, Sounder</v>
          </cell>
          <cell r="D5186" t="str">
            <v>Al Taleaa Secondary School</v>
          </cell>
          <cell r="H5186" t="str">
            <v>AD</v>
          </cell>
        </row>
        <row r="5187">
          <cell r="B5187" t="str">
            <v>Fire Smoke / Heat Detector, Sounder</v>
          </cell>
          <cell r="D5187" t="str">
            <v>Al Taleaa Secondary School</v>
          </cell>
          <cell r="H5187" t="str">
            <v>AD</v>
          </cell>
        </row>
        <row r="5188">
          <cell r="B5188" t="str">
            <v>Fire Smoke / Heat Detector, Sounder</v>
          </cell>
          <cell r="D5188" t="str">
            <v>Al Taleaa Secondary School</v>
          </cell>
          <cell r="H5188" t="str">
            <v>AD</v>
          </cell>
        </row>
        <row r="5189">
          <cell r="B5189" t="str">
            <v>Fire Smoke / Heat Detector, Sounder</v>
          </cell>
          <cell r="D5189" t="str">
            <v>Al Taleaa Secondary School</v>
          </cell>
          <cell r="H5189" t="str">
            <v>AD</v>
          </cell>
        </row>
        <row r="5190">
          <cell r="B5190" t="str">
            <v>Fire Smoke / Heat Detector, Sounder</v>
          </cell>
          <cell r="D5190" t="str">
            <v>Al Taleaa Secondary School</v>
          </cell>
          <cell r="H5190" t="str">
            <v>AD</v>
          </cell>
        </row>
        <row r="5191">
          <cell r="B5191" t="str">
            <v>Fire Smoke / Heat Detector, Sounder</v>
          </cell>
          <cell r="D5191" t="str">
            <v>Al Taleaa Secondary School</v>
          </cell>
          <cell r="H5191" t="str">
            <v>AD</v>
          </cell>
        </row>
        <row r="5192">
          <cell r="B5192" t="str">
            <v>Fire Smoke / Heat Detector, Sounder</v>
          </cell>
          <cell r="D5192" t="str">
            <v>Al Taleaa Secondary School</v>
          </cell>
          <cell r="H5192" t="str">
            <v>AD</v>
          </cell>
        </row>
        <row r="5193">
          <cell r="B5193" t="str">
            <v>Fire Smoke / Heat Detector, Sounder</v>
          </cell>
          <cell r="D5193" t="str">
            <v>Al Taleaa Secondary School</v>
          </cell>
          <cell r="H5193" t="str">
            <v>AD</v>
          </cell>
        </row>
        <row r="5194">
          <cell r="B5194" t="str">
            <v>Fire Smoke / Heat Detector, Sounder</v>
          </cell>
          <cell r="D5194" t="str">
            <v>Al Taleaa Secondary School</v>
          </cell>
          <cell r="H5194" t="str">
            <v>AD</v>
          </cell>
        </row>
        <row r="5195">
          <cell r="B5195" t="str">
            <v>Fire Smoke / Heat Detector, Sounder</v>
          </cell>
          <cell r="D5195" t="str">
            <v>Al Taleaa Secondary School</v>
          </cell>
          <cell r="H5195" t="str">
            <v>AD</v>
          </cell>
        </row>
        <row r="5196">
          <cell r="B5196" t="str">
            <v>Fire Smoke / Heat Detector, Sounder</v>
          </cell>
          <cell r="D5196" t="str">
            <v>Al Taleaa Secondary School</v>
          </cell>
          <cell r="H5196" t="str">
            <v>AD</v>
          </cell>
        </row>
        <row r="5197">
          <cell r="B5197" t="str">
            <v>Fire Smoke / Heat Detector, Sounder</v>
          </cell>
          <cell r="D5197" t="str">
            <v>Al Taleaa Secondary School</v>
          </cell>
          <cell r="H5197" t="str">
            <v>AD</v>
          </cell>
        </row>
        <row r="5198">
          <cell r="B5198" t="str">
            <v>Fire Smoke / Heat Detector, Sounder</v>
          </cell>
          <cell r="D5198" t="str">
            <v>Al Taleaa Secondary School</v>
          </cell>
          <cell r="H5198" t="str">
            <v>AD</v>
          </cell>
        </row>
        <row r="5199">
          <cell r="B5199" t="str">
            <v>Fire Smoke / Heat Detector, Sounder</v>
          </cell>
          <cell r="D5199" t="str">
            <v>Al Taleaa Secondary School</v>
          </cell>
          <cell r="H5199" t="str">
            <v>AD</v>
          </cell>
        </row>
        <row r="5200">
          <cell r="B5200" t="str">
            <v>Fire Smoke / Heat Detector, Sounder</v>
          </cell>
          <cell r="D5200" t="str">
            <v>Al Taleaa Secondary School</v>
          </cell>
          <cell r="H5200" t="str">
            <v>AD</v>
          </cell>
        </row>
        <row r="5201">
          <cell r="B5201" t="str">
            <v>Fire Smoke / Heat Detector, Sounder</v>
          </cell>
          <cell r="D5201" t="str">
            <v>Al Taleaa Secondary School</v>
          </cell>
          <cell r="H5201" t="str">
            <v>AD</v>
          </cell>
        </row>
        <row r="5202">
          <cell r="B5202" t="str">
            <v>Fire Smoke / Heat Detector, Sounder</v>
          </cell>
          <cell r="D5202" t="str">
            <v>Al Taleaa Secondary School</v>
          </cell>
          <cell r="H5202" t="str">
            <v>AD</v>
          </cell>
        </row>
        <row r="5203">
          <cell r="B5203" t="str">
            <v>Fire Smoke / Heat Detector, Sounder</v>
          </cell>
          <cell r="D5203" t="str">
            <v>Al Taleaa Secondary School</v>
          </cell>
          <cell r="H5203" t="str">
            <v>AD</v>
          </cell>
        </row>
        <row r="5204">
          <cell r="B5204" t="str">
            <v>Fire Smoke / Heat Detector, Sounder</v>
          </cell>
          <cell r="D5204" t="str">
            <v>Al Taleaa Secondary School</v>
          </cell>
          <cell r="H5204" t="str">
            <v>AD</v>
          </cell>
        </row>
        <row r="5205">
          <cell r="B5205" t="str">
            <v>Fire Smoke / Heat Detector, Sounder</v>
          </cell>
          <cell r="D5205" t="str">
            <v>Al Taleaa Secondary School</v>
          </cell>
          <cell r="H5205" t="str">
            <v>AD</v>
          </cell>
        </row>
        <row r="5206">
          <cell r="B5206" t="str">
            <v>Fire Smoke / Heat Detector, Sounder</v>
          </cell>
          <cell r="D5206" t="str">
            <v>Al Taleaa Secondary School</v>
          </cell>
          <cell r="H5206" t="str">
            <v>AD</v>
          </cell>
        </row>
        <row r="5207">
          <cell r="B5207" t="str">
            <v>Fire Smoke / Heat Detector, Sounder</v>
          </cell>
          <cell r="D5207" t="str">
            <v>Al Taleaa Secondary School</v>
          </cell>
          <cell r="H5207" t="str">
            <v>AD</v>
          </cell>
        </row>
        <row r="5208">
          <cell r="B5208" t="str">
            <v>Fire Smoke / Heat Detector, Sounder</v>
          </cell>
          <cell r="D5208" t="str">
            <v>Al Taleaa Secondary School</v>
          </cell>
          <cell r="H5208" t="str">
            <v>AD</v>
          </cell>
        </row>
        <row r="5209">
          <cell r="B5209" t="str">
            <v>Fire Smoke / Heat Detector, Sounder</v>
          </cell>
          <cell r="D5209" t="str">
            <v>Al Taleaa Secondary School</v>
          </cell>
          <cell r="H5209" t="str">
            <v>AD</v>
          </cell>
        </row>
        <row r="5210">
          <cell r="B5210" t="str">
            <v>Fire Smoke / Heat Detector, Sounder</v>
          </cell>
          <cell r="D5210" t="str">
            <v>Al Taleaa Secondary School</v>
          </cell>
          <cell r="H5210" t="str">
            <v>AD</v>
          </cell>
        </row>
        <row r="5211">
          <cell r="B5211" t="str">
            <v>Fire Smoke / Heat Detector, Sounder</v>
          </cell>
          <cell r="D5211" t="str">
            <v>Al Taleaa Secondary School</v>
          </cell>
          <cell r="H5211" t="str">
            <v>AD</v>
          </cell>
        </row>
        <row r="5212">
          <cell r="B5212" t="str">
            <v>Fire Smoke / Heat Detector, Sounder</v>
          </cell>
          <cell r="D5212" t="str">
            <v>Al Taleaa Secondary School</v>
          </cell>
          <cell r="H5212" t="str">
            <v>AD</v>
          </cell>
        </row>
        <row r="5213">
          <cell r="B5213" t="str">
            <v>Fire Smoke / Heat Detector, Sounder</v>
          </cell>
          <cell r="D5213" t="str">
            <v>Al Taleaa Secondary School</v>
          </cell>
          <cell r="H5213" t="str">
            <v>AD</v>
          </cell>
        </row>
        <row r="5214">
          <cell r="B5214" t="str">
            <v>Fire Smoke / Heat Detector, Sounder</v>
          </cell>
          <cell r="D5214" t="str">
            <v>Al Taleaa Secondary School</v>
          </cell>
          <cell r="H5214" t="str">
            <v>AD</v>
          </cell>
        </row>
        <row r="5215">
          <cell r="B5215" t="str">
            <v>Fire Smoke / Heat Detector, Sounder</v>
          </cell>
          <cell r="D5215" t="str">
            <v>Al Taleaa Secondary School</v>
          </cell>
          <cell r="H5215" t="str">
            <v>AD</v>
          </cell>
        </row>
        <row r="5216">
          <cell r="B5216" t="str">
            <v>Fire Smoke / Heat Detector, Sounder</v>
          </cell>
          <cell r="D5216" t="str">
            <v>Al Taleaa Secondary School</v>
          </cell>
          <cell r="H5216" t="str">
            <v>AD</v>
          </cell>
        </row>
        <row r="5217">
          <cell r="B5217" t="str">
            <v>Fire Smoke / Heat Detector, Sounder</v>
          </cell>
          <cell r="D5217" t="str">
            <v>Al Taleaa Secondary School</v>
          </cell>
          <cell r="H5217" t="str">
            <v>AD</v>
          </cell>
        </row>
        <row r="5218">
          <cell r="B5218" t="str">
            <v>Fire Smoke / Heat Detector, Sounder</v>
          </cell>
          <cell r="D5218" t="str">
            <v>Al Taleaa Secondary School</v>
          </cell>
          <cell r="H5218" t="str">
            <v>AD</v>
          </cell>
        </row>
        <row r="5219">
          <cell r="B5219" t="str">
            <v>Fire Smoke / Heat Detector, Sounder</v>
          </cell>
          <cell r="D5219" t="str">
            <v>Al Taleaa Secondary School</v>
          </cell>
          <cell r="H5219" t="str">
            <v>AD</v>
          </cell>
        </row>
        <row r="5220">
          <cell r="B5220" t="str">
            <v>Fire Smoke / Heat Detector, Sounder</v>
          </cell>
          <cell r="D5220" t="str">
            <v>Al Taleaa Secondary School</v>
          </cell>
          <cell r="H5220" t="str">
            <v>AD</v>
          </cell>
        </row>
        <row r="5221">
          <cell r="B5221" t="str">
            <v>Fire Smoke / Heat Detector, Sounder</v>
          </cell>
          <cell r="D5221" t="str">
            <v>Al Taleaa Secondary School</v>
          </cell>
          <cell r="H5221" t="str">
            <v>AD</v>
          </cell>
        </row>
        <row r="5222">
          <cell r="B5222" t="str">
            <v>Fire Smoke / Heat Detector, Sounder</v>
          </cell>
          <cell r="D5222" t="str">
            <v>Al Taleaa Secondary School</v>
          </cell>
          <cell r="H5222" t="str">
            <v>AD</v>
          </cell>
        </row>
        <row r="5223">
          <cell r="B5223" t="str">
            <v>Fire Smoke / Heat Detector, Sounder</v>
          </cell>
          <cell r="D5223" t="str">
            <v>Al Taleaa Secondary School</v>
          </cell>
          <cell r="H5223" t="str">
            <v>AD</v>
          </cell>
        </row>
        <row r="5224">
          <cell r="B5224" t="str">
            <v>Fire Smoke / Heat Detector, Sounder</v>
          </cell>
          <cell r="D5224" t="str">
            <v>Al Taleaa Secondary School</v>
          </cell>
          <cell r="H5224" t="str">
            <v>AD</v>
          </cell>
        </row>
        <row r="5225">
          <cell r="B5225" t="str">
            <v>Fire Smoke / Heat Detector, Sounder</v>
          </cell>
          <cell r="D5225" t="str">
            <v>Al Taleaa Secondary School</v>
          </cell>
          <cell r="H5225" t="str">
            <v>AD</v>
          </cell>
        </row>
        <row r="5226">
          <cell r="B5226" t="str">
            <v>Fire Smoke / Heat Detector, Sounder</v>
          </cell>
          <cell r="D5226" t="str">
            <v>Al Taleaa Secondary School</v>
          </cell>
          <cell r="H5226" t="str">
            <v>AD</v>
          </cell>
        </row>
        <row r="5227">
          <cell r="B5227" t="str">
            <v>Fire Smoke / Heat Detector, Sounder</v>
          </cell>
          <cell r="D5227" t="str">
            <v>Al Taleaa Secondary School</v>
          </cell>
          <cell r="H5227" t="str">
            <v>AD</v>
          </cell>
        </row>
        <row r="5228">
          <cell r="B5228" t="str">
            <v>Fire Smoke / Heat Detector, Sounder</v>
          </cell>
          <cell r="D5228" t="str">
            <v>Al Taleaa Secondary School</v>
          </cell>
          <cell r="H5228" t="str">
            <v>AD</v>
          </cell>
        </row>
        <row r="5229">
          <cell r="B5229" t="str">
            <v>Irrigation System</v>
          </cell>
          <cell r="D5229" t="str">
            <v>Al Taleaa Secondary School</v>
          </cell>
          <cell r="H5229" t="str">
            <v>AD</v>
          </cell>
        </row>
        <row r="5230">
          <cell r="B5230" t="str">
            <v>Irrigation System</v>
          </cell>
          <cell r="D5230" t="str">
            <v>Al Taleaa Secondary School</v>
          </cell>
          <cell r="H5230" t="str">
            <v>AD</v>
          </cell>
        </row>
        <row r="5231">
          <cell r="B5231" t="str">
            <v>Irrigation System</v>
          </cell>
          <cell r="D5231" t="str">
            <v>Al Taleaa Secondary School</v>
          </cell>
          <cell r="H5231" t="str">
            <v>AD</v>
          </cell>
        </row>
        <row r="5232">
          <cell r="B5232" t="str">
            <v>UPS</v>
          </cell>
          <cell r="D5232" t="str">
            <v>Al Taleaa Secondary School</v>
          </cell>
          <cell r="H5232" t="str">
            <v>AD</v>
          </cell>
        </row>
        <row r="5233">
          <cell r="B5233" t="str">
            <v>Fire Alarm Break Glass Call Point</v>
          </cell>
          <cell r="D5233" t="str">
            <v>Al Taqaddom Primary School</v>
          </cell>
          <cell r="H5233" t="str">
            <v>AD</v>
          </cell>
        </row>
        <row r="5234">
          <cell r="B5234" t="str">
            <v>Fire Alarm Break Glass Call Point</v>
          </cell>
          <cell r="D5234" t="str">
            <v>Al Taqaddom Primary School</v>
          </cell>
          <cell r="H5234" t="str">
            <v>AD</v>
          </cell>
        </row>
        <row r="5235">
          <cell r="B5235" t="str">
            <v>Fire Alarm Break Glass Call Point</v>
          </cell>
          <cell r="D5235" t="str">
            <v>Al Taqaddom Primary School</v>
          </cell>
          <cell r="H5235" t="str">
            <v>AD</v>
          </cell>
        </row>
        <row r="5236">
          <cell r="B5236" t="str">
            <v>Fire Alarm Break Glass Call Point</v>
          </cell>
          <cell r="D5236" t="str">
            <v>Al Taqaddom Primary School</v>
          </cell>
          <cell r="H5236" t="str">
            <v>AD</v>
          </cell>
        </row>
        <row r="5237">
          <cell r="B5237" t="str">
            <v>Fire Alarm Break Glass Call Point</v>
          </cell>
          <cell r="D5237" t="str">
            <v>Al Taqaddom Primary School</v>
          </cell>
          <cell r="H5237" t="str">
            <v>AD</v>
          </cell>
        </row>
        <row r="5238">
          <cell r="B5238" t="str">
            <v>Fire Alarm Break Glass Call Point</v>
          </cell>
          <cell r="D5238" t="str">
            <v>Al Taqaddom Primary School</v>
          </cell>
          <cell r="H5238" t="str">
            <v>AD</v>
          </cell>
        </row>
        <row r="5239">
          <cell r="B5239" t="str">
            <v>Fire Alarm Break Glass Call Point</v>
          </cell>
          <cell r="D5239" t="str">
            <v>Al Taqaddom Primary School</v>
          </cell>
          <cell r="H5239" t="str">
            <v>AD</v>
          </cell>
        </row>
        <row r="5240">
          <cell r="B5240" t="str">
            <v>Fire Alarm Break Glass Call Point</v>
          </cell>
          <cell r="D5240" t="str">
            <v>Al Taqaddom Primary School</v>
          </cell>
          <cell r="H5240" t="str">
            <v>AD</v>
          </cell>
        </row>
        <row r="5241">
          <cell r="B5241" t="str">
            <v>Fire Alarm Break Glass Call Point</v>
          </cell>
          <cell r="D5241" t="str">
            <v>Al Taqaddom Primary School</v>
          </cell>
          <cell r="H5241" t="str">
            <v>AD</v>
          </cell>
        </row>
        <row r="5242">
          <cell r="B5242" t="str">
            <v>Fire Alarm Break Glass Call Point</v>
          </cell>
          <cell r="D5242" t="str">
            <v>Al Taqaddom Primary School</v>
          </cell>
          <cell r="H5242" t="str">
            <v>AD</v>
          </cell>
        </row>
        <row r="5243">
          <cell r="B5243" t="str">
            <v>Fire Alarm Break Glass Call Point</v>
          </cell>
          <cell r="D5243" t="str">
            <v>Al Taqaddom Primary School</v>
          </cell>
          <cell r="H5243" t="str">
            <v>AD</v>
          </cell>
        </row>
        <row r="5244">
          <cell r="B5244" t="str">
            <v>Fire Alarm Break Glass Call Point</v>
          </cell>
          <cell r="D5244" t="str">
            <v>Al Taqaddom Primary School</v>
          </cell>
          <cell r="H5244" t="str">
            <v>AD</v>
          </cell>
        </row>
        <row r="5245">
          <cell r="B5245" t="str">
            <v>Fire Alarm Break Glass Call Point</v>
          </cell>
          <cell r="D5245" t="str">
            <v>Al Taqaddom Primary School</v>
          </cell>
          <cell r="H5245" t="str">
            <v>AD</v>
          </cell>
        </row>
        <row r="5246">
          <cell r="B5246" t="str">
            <v>Fire Alarm Break Glass Call Point</v>
          </cell>
          <cell r="D5246" t="str">
            <v>Al Taqaddom Primary School</v>
          </cell>
          <cell r="H5246" t="str">
            <v>AD</v>
          </cell>
        </row>
        <row r="5247">
          <cell r="B5247" t="str">
            <v>Fire Alarm Break Glass Call Point</v>
          </cell>
          <cell r="D5247" t="str">
            <v>Al Taqaddom Primary School</v>
          </cell>
          <cell r="H5247" t="str">
            <v>AD</v>
          </cell>
        </row>
        <row r="5248">
          <cell r="B5248" t="str">
            <v>Fire Alarm Break Glass Call Point</v>
          </cell>
          <cell r="D5248" t="str">
            <v>Al Taqaddom Primary School</v>
          </cell>
          <cell r="H5248" t="str">
            <v>AD</v>
          </cell>
        </row>
        <row r="5249">
          <cell r="B5249" t="str">
            <v>Fire Alarm Break Glass Call Point</v>
          </cell>
          <cell r="D5249" t="str">
            <v>Al Taqaddom Primary School</v>
          </cell>
          <cell r="H5249" t="str">
            <v>AD</v>
          </cell>
        </row>
        <row r="5250">
          <cell r="B5250" t="str">
            <v>Fire Alarm Break Glass Call Point</v>
          </cell>
          <cell r="D5250" t="str">
            <v>Al Taqaddom Primary School</v>
          </cell>
          <cell r="H5250" t="str">
            <v>AD</v>
          </cell>
        </row>
        <row r="5251">
          <cell r="B5251" t="str">
            <v>Fire Alarm Break Glass Call Point</v>
          </cell>
          <cell r="D5251" t="str">
            <v>Al Taqaddom Primary School</v>
          </cell>
          <cell r="H5251" t="str">
            <v>AD</v>
          </cell>
        </row>
        <row r="5252">
          <cell r="B5252" t="str">
            <v>Fire Alarm Panel</v>
          </cell>
          <cell r="D5252" t="str">
            <v>Al Taqaddom Primary School</v>
          </cell>
          <cell r="H5252" t="str">
            <v>AD</v>
          </cell>
        </row>
        <row r="5253">
          <cell r="B5253" t="str">
            <v>Fire Alarm Panel</v>
          </cell>
          <cell r="D5253" t="str">
            <v>Al Taqaddom Primary School</v>
          </cell>
          <cell r="H5253" t="str">
            <v>AD</v>
          </cell>
        </row>
        <row r="5254">
          <cell r="B5254" t="str">
            <v>Fire Alarm Panel</v>
          </cell>
          <cell r="D5254" t="str">
            <v>Al Taqaddom Primary School</v>
          </cell>
          <cell r="H5254" t="str">
            <v>AD</v>
          </cell>
        </row>
        <row r="5255">
          <cell r="B5255" t="str">
            <v>Fire Alarm Sounder, Bell, Light</v>
          </cell>
          <cell r="D5255" t="str">
            <v>Al Taqaddom Primary School</v>
          </cell>
          <cell r="H5255" t="str">
            <v>AD</v>
          </cell>
        </row>
        <row r="5256">
          <cell r="B5256" t="str">
            <v>Fire Alarm Sounder, Bell, Light</v>
          </cell>
          <cell r="D5256" t="str">
            <v>Al Taqaddom Primary School</v>
          </cell>
          <cell r="H5256" t="str">
            <v>AD</v>
          </cell>
        </row>
        <row r="5257">
          <cell r="B5257" t="str">
            <v>Fire Alarm Sounder, Bell, Light</v>
          </cell>
          <cell r="D5257" t="str">
            <v>Al Taqaddom Primary School</v>
          </cell>
          <cell r="H5257" t="str">
            <v>AD</v>
          </cell>
        </row>
        <row r="5258">
          <cell r="B5258" t="str">
            <v>Fire Alarm Sounder, Bell, Light</v>
          </cell>
          <cell r="D5258" t="str">
            <v>Al Taqaddom Primary School</v>
          </cell>
          <cell r="H5258" t="str">
            <v>AD</v>
          </cell>
        </row>
        <row r="5259">
          <cell r="B5259" t="str">
            <v>Fire Alarm Sounder, Bell, Light</v>
          </cell>
          <cell r="D5259" t="str">
            <v>Al Taqaddom Primary School</v>
          </cell>
          <cell r="H5259" t="str">
            <v>AD</v>
          </cell>
        </row>
        <row r="5260">
          <cell r="B5260" t="str">
            <v>Fire Alarm Sounder, Bell, Light</v>
          </cell>
          <cell r="D5260" t="str">
            <v>Al Taqaddom Primary School</v>
          </cell>
          <cell r="H5260" t="str">
            <v>AD</v>
          </cell>
        </row>
        <row r="5261">
          <cell r="B5261" t="str">
            <v>Fire Alarm Sounder, Bell, Light</v>
          </cell>
          <cell r="D5261" t="str">
            <v>Al Taqaddom Primary School</v>
          </cell>
          <cell r="H5261" t="str">
            <v>AD</v>
          </cell>
        </row>
        <row r="5262">
          <cell r="B5262" t="str">
            <v>Fire Alarm Sounder, Bell, Light</v>
          </cell>
          <cell r="D5262" t="str">
            <v>Al Taqaddom Primary School</v>
          </cell>
          <cell r="H5262" t="str">
            <v>AD</v>
          </cell>
        </row>
        <row r="5263">
          <cell r="B5263" t="str">
            <v>Fire Alarm Sounder, Bell, Light</v>
          </cell>
          <cell r="D5263" t="str">
            <v>Al Taqaddom Primary School</v>
          </cell>
          <cell r="H5263" t="str">
            <v>AD</v>
          </cell>
        </row>
        <row r="5264">
          <cell r="B5264" t="str">
            <v>Fire Alarm Sounder, Bell, Light</v>
          </cell>
          <cell r="D5264" t="str">
            <v>Al Taqaddom Primary School</v>
          </cell>
          <cell r="H5264" t="str">
            <v>AD</v>
          </cell>
        </row>
        <row r="5265">
          <cell r="B5265" t="str">
            <v>Fire Alarm Sounder, Bell, Light</v>
          </cell>
          <cell r="D5265" t="str">
            <v>Al Taqaddom Primary School</v>
          </cell>
          <cell r="H5265" t="str">
            <v>AD</v>
          </cell>
        </row>
        <row r="5266">
          <cell r="B5266" t="str">
            <v>Fire Alarm Sounder, Bell, Light</v>
          </cell>
          <cell r="D5266" t="str">
            <v>Al Taqaddom Primary School</v>
          </cell>
          <cell r="H5266" t="str">
            <v>AD</v>
          </cell>
        </row>
        <row r="5267">
          <cell r="B5267" t="str">
            <v>Fire Alarm Sounder, Bell, Light</v>
          </cell>
          <cell r="D5267" t="str">
            <v>Al Taqaddom Primary School</v>
          </cell>
          <cell r="H5267" t="str">
            <v>AD</v>
          </cell>
        </row>
        <row r="5268">
          <cell r="B5268" t="str">
            <v>Fire Alarm Sounder, Bell, Light</v>
          </cell>
          <cell r="D5268" t="str">
            <v>Al Taqaddom Primary School</v>
          </cell>
          <cell r="H5268" t="str">
            <v>AD</v>
          </cell>
        </row>
        <row r="5269">
          <cell r="B5269" t="str">
            <v>Fire Alarm Sounder, Bell, Light</v>
          </cell>
          <cell r="D5269" t="str">
            <v>Al Taqaddom Primary School</v>
          </cell>
          <cell r="H5269" t="str">
            <v>AD</v>
          </cell>
        </row>
        <row r="5270">
          <cell r="B5270" t="str">
            <v>Fire Alarm Sounder, Bell, Light</v>
          </cell>
          <cell r="D5270" t="str">
            <v>Al Taqaddom Primary School</v>
          </cell>
          <cell r="H5270" t="str">
            <v>AD</v>
          </cell>
        </row>
        <row r="5271">
          <cell r="B5271" t="str">
            <v>Fire Alarm Sounder, Bell, Light</v>
          </cell>
          <cell r="D5271" t="str">
            <v>Al Taqaddom Primary School</v>
          </cell>
          <cell r="H5271" t="str">
            <v>AD</v>
          </cell>
        </row>
        <row r="5272">
          <cell r="B5272" t="str">
            <v>Fire Alarm Sounder, Bell, Light</v>
          </cell>
          <cell r="D5272" t="str">
            <v>Al Taqaddom Primary School</v>
          </cell>
          <cell r="H5272" t="str">
            <v>AD</v>
          </cell>
        </row>
        <row r="5273">
          <cell r="B5273" t="str">
            <v>Fire Alarm Sounder, Bell, Light</v>
          </cell>
          <cell r="D5273" t="str">
            <v>Al Taqaddom Primary School</v>
          </cell>
          <cell r="H5273" t="str">
            <v>AD</v>
          </cell>
        </row>
        <row r="5274">
          <cell r="B5274" t="str">
            <v>Fire Alarm Sounder, Bell, Light</v>
          </cell>
          <cell r="D5274" t="str">
            <v>Al Taqaddom Primary School</v>
          </cell>
          <cell r="H5274" t="str">
            <v>AD</v>
          </cell>
        </row>
        <row r="5275">
          <cell r="B5275" t="str">
            <v>Fire Alarm Sounder, Bell, Light</v>
          </cell>
          <cell r="D5275" t="str">
            <v>Al Taqaddom Primary School</v>
          </cell>
          <cell r="H5275" t="str">
            <v>AD</v>
          </cell>
        </row>
        <row r="5276">
          <cell r="B5276" t="str">
            <v>Fire Alarm Sounder, Bell, Light</v>
          </cell>
          <cell r="D5276" t="str">
            <v>Al Taqaddom Primary School</v>
          </cell>
          <cell r="H5276" t="str">
            <v>AD</v>
          </cell>
        </row>
        <row r="5277">
          <cell r="B5277" t="str">
            <v>Fire Alarm Sounder, Bell, Light</v>
          </cell>
          <cell r="D5277" t="str">
            <v>Al Taqaddom Primary School</v>
          </cell>
          <cell r="H5277" t="str">
            <v>AD</v>
          </cell>
        </row>
        <row r="5278">
          <cell r="B5278" t="str">
            <v>Fire Alarm Sounder, Bell, Light</v>
          </cell>
          <cell r="D5278" t="str">
            <v>Al Taqaddom Primary School</v>
          </cell>
          <cell r="H5278" t="str">
            <v>AD</v>
          </cell>
        </row>
        <row r="5279">
          <cell r="B5279" t="str">
            <v>Fire Alarm Sounder, Bell, Light</v>
          </cell>
          <cell r="D5279" t="str">
            <v>Al Taqaddom Primary School</v>
          </cell>
          <cell r="H5279" t="str">
            <v>AD</v>
          </cell>
        </row>
        <row r="5280">
          <cell r="B5280" t="str">
            <v>Fire Alarm Sounder, Bell, Light</v>
          </cell>
          <cell r="D5280" t="str">
            <v>Al Taqaddom Primary School</v>
          </cell>
          <cell r="H5280" t="str">
            <v>AD</v>
          </cell>
        </row>
        <row r="5281">
          <cell r="B5281" t="str">
            <v>Fire Alarm Sounder, Bell, Light</v>
          </cell>
          <cell r="D5281" t="str">
            <v>Al Taqaddom Primary School</v>
          </cell>
          <cell r="H5281" t="str">
            <v>AD</v>
          </cell>
        </row>
        <row r="5282">
          <cell r="B5282" t="str">
            <v>Fire Alarm Sounder, Bell, Light</v>
          </cell>
          <cell r="D5282" t="str">
            <v>Al Taqaddom Primary School</v>
          </cell>
          <cell r="H5282" t="str">
            <v>AD</v>
          </cell>
        </row>
        <row r="5283">
          <cell r="B5283" t="str">
            <v>Fire Alarm Sounder, Bell, Light</v>
          </cell>
          <cell r="D5283" t="str">
            <v>Al Taqaddom Primary School</v>
          </cell>
          <cell r="H5283" t="str">
            <v>AD</v>
          </cell>
        </row>
        <row r="5284">
          <cell r="B5284" t="str">
            <v>Fire Alarm Sounder, Bell, Light</v>
          </cell>
          <cell r="D5284" t="str">
            <v>Al Taqaddom Primary School</v>
          </cell>
          <cell r="H5284" t="str">
            <v>AD</v>
          </cell>
        </row>
        <row r="5285">
          <cell r="B5285" t="str">
            <v>Fire Alarm Sounder, Bell, Light</v>
          </cell>
          <cell r="D5285" t="str">
            <v>Al Taqaddom Primary School</v>
          </cell>
          <cell r="H5285" t="str">
            <v>AD</v>
          </cell>
        </row>
        <row r="5286">
          <cell r="B5286" t="str">
            <v>Fire Alarm Sounder, Bell, Light</v>
          </cell>
          <cell r="D5286" t="str">
            <v>Al Taqaddom Primary School</v>
          </cell>
          <cell r="H5286" t="str">
            <v>AD</v>
          </cell>
        </row>
        <row r="5287">
          <cell r="B5287" t="str">
            <v>Fire Alarm Sounder, Bell, Light</v>
          </cell>
          <cell r="D5287" t="str">
            <v>Al Taqaddom Primary School</v>
          </cell>
          <cell r="H5287" t="str">
            <v>AD</v>
          </cell>
        </row>
        <row r="5288">
          <cell r="B5288" t="str">
            <v>Fire Alarm Sounder, Bell, Light</v>
          </cell>
          <cell r="D5288" t="str">
            <v>Al Taqaddom Primary School</v>
          </cell>
          <cell r="H5288" t="str">
            <v>AD</v>
          </cell>
        </row>
        <row r="5289">
          <cell r="B5289" t="str">
            <v>Fire Extinguisher</v>
          </cell>
          <cell r="D5289" t="str">
            <v>Al Taqaddom Primary School</v>
          </cell>
          <cell r="H5289" t="str">
            <v>AD</v>
          </cell>
        </row>
        <row r="5290">
          <cell r="B5290" t="str">
            <v>Fire Extinguisher</v>
          </cell>
          <cell r="D5290" t="str">
            <v>Al Taqaddom Primary School</v>
          </cell>
          <cell r="H5290" t="str">
            <v>AD</v>
          </cell>
        </row>
        <row r="5291">
          <cell r="B5291" t="str">
            <v>Fire Extinguisher</v>
          </cell>
          <cell r="D5291" t="str">
            <v>Al Taqaddom Primary School</v>
          </cell>
          <cell r="H5291" t="str">
            <v>AD</v>
          </cell>
        </row>
        <row r="5292">
          <cell r="B5292" t="str">
            <v>Fire Extinguisher</v>
          </cell>
          <cell r="D5292" t="str">
            <v>Al Taqaddom Primary School</v>
          </cell>
          <cell r="H5292" t="str">
            <v>AD</v>
          </cell>
        </row>
        <row r="5293">
          <cell r="B5293" t="str">
            <v>Fire Extinguisher</v>
          </cell>
          <cell r="D5293" t="str">
            <v>Al Taqaddom Primary School</v>
          </cell>
          <cell r="H5293" t="str">
            <v>AD</v>
          </cell>
        </row>
        <row r="5294">
          <cell r="B5294" t="str">
            <v>Fire Extinguisher</v>
          </cell>
          <cell r="D5294" t="str">
            <v>Al Taqaddom Primary School</v>
          </cell>
          <cell r="H5294" t="str">
            <v>AD</v>
          </cell>
        </row>
        <row r="5295">
          <cell r="B5295" t="str">
            <v>Fire Extinguisher</v>
          </cell>
          <cell r="D5295" t="str">
            <v>Al Taqaddom Primary School</v>
          </cell>
          <cell r="H5295" t="str">
            <v>AD</v>
          </cell>
        </row>
        <row r="5296">
          <cell r="B5296" t="str">
            <v>Fire Extinguisher</v>
          </cell>
          <cell r="D5296" t="str">
            <v>Al Taqaddom Primary School</v>
          </cell>
          <cell r="H5296" t="str">
            <v>AD</v>
          </cell>
        </row>
        <row r="5297">
          <cell r="B5297" t="str">
            <v>Fire Extinguisher</v>
          </cell>
          <cell r="D5297" t="str">
            <v>Al Taqaddom Primary School</v>
          </cell>
          <cell r="H5297" t="str">
            <v>AD</v>
          </cell>
        </row>
        <row r="5298">
          <cell r="B5298" t="str">
            <v>Fire Extinguisher</v>
          </cell>
          <cell r="D5298" t="str">
            <v>Al Taqaddom Primary School</v>
          </cell>
          <cell r="H5298" t="str">
            <v>AD</v>
          </cell>
        </row>
        <row r="5299">
          <cell r="B5299" t="str">
            <v>Fire Extinguisher</v>
          </cell>
          <cell r="D5299" t="str">
            <v>Al Taqaddom Primary School</v>
          </cell>
          <cell r="H5299" t="str">
            <v>AD</v>
          </cell>
        </row>
        <row r="5300">
          <cell r="B5300" t="str">
            <v>Fire Extinguisher</v>
          </cell>
          <cell r="D5300" t="str">
            <v>Al Taqaddom Primary School</v>
          </cell>
          <cell r="H5300" t="str">
            <v>AD</v>
          </cell>
        </row>
        <row r="5301">
          <cell r="B5301" t="str">
            <v>Fire Extinguisher</v>
          </cell>
          <cell r="D5301" t="str">
            <v>Al Taqaddom Primary School</v>
          </cell>
          <cell r="H5301" t="str">
            <v>AD</v>
          </cell>
        </row>
        <row r="5302">
          <cell r="B5302" t="str">
            <v>Fire Extinguisher</v>
          </cell>
          <cell r="D5302" t="str">
            <v>Al Taqaddom Primary School</v>
          </cell>
          <cell r="H5302" t="str">
            <v>AD</v>
          </cell>
        </row>
        <row r="5303">
          <cell r="B5303" t="str">
            <v>Fire Extinguisher</v>
          </cell>
          <cell r="D5303" t="str">
            <v>Al Taqaddom Primary School</v>
          </cell>
          <cell r="H5303" t="str">
            <v>AD</v>
          </cell>
        </row>
        <row r="5304">
          <cell r="B5304" t="str">
            <v>Fire Extinguisher</v>
          </cell>
          <cell r="D5304" t="str">
            <v>Al Taqaddom Primary School</v>
          </cell>
          <cell r="H5304" t="str">
            <v>AD</v>
          </cell>
        </row>
        <row r="5305">
          <cell r="B5305" t="str">
            <v>Fire Extinguisher</v>
          </cell>
          <cell r="D5305" t="str">
            <v>Al Taqaddom Primary School</v>
          </cell>
          <cell r="H5305" t="str">
            <v>AD</v>
          </cell>
        </row>
        <row r="5306">
          <cell r="B5306" t="str">
            <v>Fire Extinguisher</v>
          </cell>
          <cell r="D5306" t="str">
            <v>Al Taqaddom Primary School</v>
          </cell>
          <cell r="H5306" t="str">
            <v>AD</v>
          </cell>
        </row>
        <row r="5307">
          <cell r="B5307" t="str">
            <v>Fire Extinguisher</v>
          </cell>
          <cell r="D5307" t="str">
            <v>Al Taqaddom Primary School</v>
          </cell>
          <cell r="H5307" t="str">
            <v>AD</v>
          </cell>
        </row>
        <row r="5308">
          <cell r="B5308" t="str">
            <v>Fire Extinguisher</v>
          </cell>
          <cell r="D5308" t="str">
            <v>Al Taqaddom Primary School</v>
          </cell>
          <cell r="H5308" t="str">
            <v>AD</v>
          </cell>
        </row>
        <row r="5309">
          <cell r="B5309" t="str">
            <v>Fire Extinguisher</v>
          </cell>
          <cell r="D5309" t="str">
            <v>Al Taqaddom Primary School</v>
          </cell>
          <cell r="H5309" t="str">
            <v>AD</v>
          </cell>
        </row>
        <row r="5310">
          <cell r="B5310" t="str">
            <v>Fire Extinguisher</v>
          </cell>
          <cell r="D5310" t="str">
            <v>Al Taqaddom Primary School</v>
          </cell>
          <cell r="H5310" t="str">
            <v>AD</v>
          </cell>
        </row>
        <row r="5311">
          <cell r="B5311" t="str">
            <v>Fire Extinguisher</v>
          </cell>
          <cell r="D5311" t="str">
            <v>Al Taqaddom Primary School</v>
          </cell>
          <cell r="H5311" t="str">
            <v>AD</v>
          </cell>
        </row>
        <row r="5312">
          <cell r="B5312" t="str">
            <v>Fire Extinguisher</v>
          </cell>
          <cell r="D5312" t="str">
            <v>Al Taqaddom Primary School</v>
          </cell>
          <cell r="H5312" t="str">
            <v>AD</v>
          </cell>
        </row>
        <row r="5313">
          <cell r="B5313" t="str">
            <v>Fire Extinguisher</v>
          </cell>
          <cell r="D5313" t="str">
            <v>Al Taqaddom Primary School</v>
          </cell>
          <cell r="H5313" t="str">
            <v>AD</v>
          </cell>
        </row>
        <row r="5314">
          <cell r="B5314" t="str">
            <v>Fire Extinguisher</v>
          </cell>
          <cell r="D5314" t="str">
            <v>Al Taqaddom Primary School</v>
          </cell>
          <cell r="H5314" t="str">
            <v>AD</v>
          </cell>
        </row>
        <row r="5315">
          <cell r="B5315" t="str">
            <v>Fire Extinguisher</v>
          </cell>
          <cell r="D5315" t="str">
            <v>Al Taqaddom Primary School</v>
          </cell>
          <cell r="H5315" t="str">
            <v>AD</v>
          </cell>
        </row>
        <row r="5316">
          <cell r="B5316" t="str">
            <v>Fire Extinguisher</v>
          </cell>
          <cell r="D5316" t="str">
            <v>Al Taqaddom Primary School</v>
          </cell>
          <cell r="H5316" t="str">
            <v>AD</v>
          </cell>
        </row>
        <row r="5317">
          <cell r="B5317" t="str">
            <v>Fire Extinguisher</v>
          </cell>
          <cell r="D5317" t="str">
            <v>Al Taqaddom Primary School</v>
          </cell>
          <cell r="H5317" t="str">
            <v>AD</v>
          </cell>
        </row>
        <row r="5318">
          <cell r="B5318" t="str">
            <v>Fire Extinguisher</v>
          </cell>
          <cell r="D5318" t="str">
            <v>Al Taqaddom Primary School</v>
          </cell>
          <cell r="H5318" t="str">
            <v>AD</v>
          </cell>
        </row>
        <row r="5319">
          <cell r="B5319" t="str">
            <v>Fire Extinguisher</v>
          </cell>
          <cell r="D5319" t="str">
            <v>Al Taqaddom Primary School</v>
          </cell>
          <cell r="H5319" t="str">
            <v>AD</v>
          </cell>
        </row>
        <row r="5320">
          <cell r="B5320" t="str">
            <v>Fire Extinguisher</v>
          </cell>
          <cell r="D5320" t="str">
            <v>Al Taqaddom Primary School</v>
          </cell>
          <cell r="H5320" t="str">
            <v>AD</v>
          </cell>
        </row>
        <row r="5321">
          <cell r="B5321" t="str">
            <v>Fire Extinguisher</v>
          </cell>
          <cell r="D5321" t="str">
            <v>Al Taqaddom Primary School</v>
          </cell>
          <cell r="H5321" t="str">
            <v>AD</v>
          </cell>
        </row>
        <row r="5322">
          <cell r="B5322" t="str">
            <v>Fire Extinguisher</v>
          </cell>
          <cell r="D5322" t="str">
            <v>Al Taqaddom Primary School</v>
          </cell>
          <cell r="H5322" t="str">
            <v>AD</v>
          </cell>
        </row>
        <row r="5323">
          <cell r="B5323" t="str">
            <v>Fire Extinguisher</v>
          </cell>
          <cell r="D5323" t="str">
            <v>Al Taqaddom Primary School</v>
          </cell>
          <cell r="H5323" t="str">
            <v>AD</v>
          </cell>
        </row>
        <row r="5324">
          <cell r="B5324" t="str">
            <v>Fire Extinguisher</v>
          </cell>
          <cell r="D5324" t="str">
            <v>Al Taqaddom Primary School</v>
          </cell>
          <cell r="H5324" t="str">
            <v>AD</v>
          </cell>
        </row>
        <row r="5325">
          <cell r="B5325" t="str">
            <v>Fire Extinguisher</v>
          </cell>
          <cell r="D5325" t="str">
            <v>Al Taqaddom Primary School</v>
          </cell>
          <cell r="H5325" t="str">
            <v>AD</v>
          </cell>
        </row>
        <row r="5326">
          <cell r="B5326" t="str">
            <v>Fire Extinguisher</v>
          </cell>
          <cell r="D5326" t="str">
            <v>Al Taqaddom Primary School</v>
          </cell>
          <cell r="H5326" t="str">
            <v>AD</v>
          </cell>
        </row>
        <row r="5327">
          <cell r="B5327" t="str">
            <v>Fire Extinguisher</v>
          </cell>
          <cell r="D5327" t="str">
            <v>Al Taqaddom Primary School</v>
          </cell>
          <cell r="H5327" t="str">
            <v>AD</v>
          </cell>
        </row>
        <row r="5328">
          <cell r="B5328" t="str">
            <v>Fire Extinguisher</v>
          </cell>
          <cell r="D5328" t="str">
            <v>Al Taqaddom Primary School</v>
          </cell>
          <cell r="H5328" t="str">
            <v>AD</v>
          </cell>
        </row>
        <row r="5329">
          <cell r="B5329" t="str">
            <v>Fire Extinguisher</v>
          </cell>
          <cell r="D5329" t="str">
            <v>Al Taqaddom Primary School</v>
          </cell>
          <cell r="H5329" t="str">
            <v>AD</v>
          </cell>
        </row>
        <row r="5330">
          <cell r="B5330" t="str">
            <v>Fire Extinguisher</v>
          </cell>
          <cell r="D5330" t="str">
            <v>Al Taqaddom Primary School</v>
          </cell>
          <cell r="H5330" t="str">
            <v>AD</v>
          </cell>
        </row>
        <row r="5331">
          <cell r="B5331" t="str">
            <v>Fire Extinguisher</v>
          </cell>
          <cell r="D5331" t="str">
            <v>Al Taqaddom Primary School</v>
          </cell>
          <cell r="H5331" t="str">
            <v>AD</v>
          </cell>
        </row>
        <row r="5332">
          <cell r="B5332" t="str">
            <v>Fire Extinguisher</v>
          </cell>
          <cell r="D5332" t="str">
            <v>Al Taqaddom Primary School</v>
          </cell>
          <cell r="H5332" t="str">
            <v>AD</v>
          </cell>
        </row>
        <row r="5333">
          <cell r="B5333" t="str">
            <v>Fire Extinguisher</v>
          </cell>
          <cell r="D5333" t="str">
            <v>Al Taqaddom Primary School</v>
          </cell>
          <cell r="H5333" t="str">
            <v>AD</v>
          </cell>
        </row>
        <row r="5334">
          <cell r="B5334" t="str">
            <v>Fire Extinguisher</v>
          </cell>
          <cell r="D5334" t="str">
            <v>Al Taqaddom Primary School</v>
          </cell>
          <cell r="H5334" t="str">
            <v>AD</v>
          </cell>
        </row>
        <row r="5335">
          <cell r="B5335" t="str">
            <v>Fire Extinguisher</v>
          </cell>
          <cell r="D5335" t="str">
            <v>Al Taqaddom Primary School</v>
          </cell>
          <cell r="H5335" t="str">
            <v>AD</v>
          </cell>
        </row>
        <row r="5336">
          <cell r="B5336" t="str">
            <v>Fire Extinguisher</v>
          </cell>
          <cell r="D5336" t="str">
            <v>Al Taqaddom Primary School</v>
          </cell>
          <cell r="H5336" t="str">
            <v>AD</v>
          </cell>
        </row>
        <row r="5337">
          <cell r="B5337" t="str">
            <v>Fire Extinguisher</v>
          </cell>
          <cell r="D5337" t="str">
            <v>Al Taqaddom Primary School</v>
          </cell>
          <cell r="H5337" t="str">
            <v>AD</v>
          </cell>
        </row>
        <row r="5338">
          <cell r="B5338" t="str">
            <v>Fire Extinguisher</v>
          </cell>
          <cell r="D5338" t="str">
            <v>Al Taqaddom Primary School</v>
          </cell>
          <cell r="H5338" t="str">
            <v>AD</v>
          </cell>
        </row>
        <row r="5339">
          <cell r="B5339" t="str">
            <v>Fire Extinguisher</v>
          </cell>
          <cell r="D5339" t="str">
            <v>Al Taqaddom Primary School</v>
          </cell>
          <cell r="H5339" t="str">
            <v>AD</v>
          </cell>
        </row>
        <row r="5340">
          <cell r="B5340" t="str">
            <v>Fire Extinguisher</v>
          </cell>
          <cell r="D5340" t="str">
            <v>Al Taqaddom Primary School</v>
          </cell>
          <cell r="H5340" t="str">
            <v>AD</v>
          </cell>
        </row>
        <row r="5341">
          <cell r="B5341" t="str">
            <v>Fire Extinguisher</v>
          </cell>
          <cell r="D5341" t="str">
            <v>Al Taqaddom Primary School</v>
          </cell>
          <cell r="H5341" t="str">
            <v>AD</v>
          </cell>
        </row>
        <row r="5342">
          <cell r="B5342" t="str">
            <v>Fire Extinguisher</v>
          </cell>
          <cell r="D5342" t="str">
            <v>Al Taqaddom Primary School</v>
          </cell>
          <cell r="H5342" t="str">
            <v>AD</v>
          </cell>
        </row>
        <row r="5343">
          <cell r="B5343" t="str">
            <v>Fire Extinguisher</v>
          </cell>
          <cell r="D5343" t="str">
            <v>Al Taqaddom Primary School</v>
          </cell>
          <cell r="H5343" t="str">
            <v>AD</v>
          </cell>
        </row>
        <row r="5344">
          <cell r="B5344" t="str">
            <v>Fire Extinguisher</v>
          </cell>
          <cell r="D5344" t="str">
            <v>Al Taqaddom Primary School</v>
          </cell>
          <cell r="H5344" t="str">
            <v>AD</v>
          </cell>
        </row>
        <row r="5345">
          <cell r="B5345" t="str">
            <v>Fire Extinguisher</v>
          </cell>
          <cell r="D5345" t="str">
            <v>Al Taqaddom Primary School</v>
          </cell>
          <cell r="H5345" t="str">
            <v>AD</v>
          </cell>
        </row>
        <row r="5346">
          <cell r="B5346" t="str">
            <v>Fire Extinguisher</v>
          </cell>
          <cell r="D5346" t="str">
            <v>Al Taqaddom Primary School</v>
          </cell>
          <cell r="H5346" t="str">
            <v>AD</v>
          </cell>
        </row>
        <row r="5347">
          <cell r="B5347" t="str">
            <v>Fire Extinguisher</v>
          </cell>
          <cell r="D5347" t="str">
            <v>Al Taqaddom Primary School</v>
          </cell>
          <cell r="H5347" t="str">
            <v>AD</v>
          </cell>
        </row>
        <row r="5348">
          <cell r="B5348" t="str">
            <v>Fire Extinguisher</v>
          </cell>
          <cell r="D5348" t="str">
            <v>Al Taqaddom Primary School</v>
          </cell>
          <cell r="H5348" t="str">
            <v>AD</v>
          </cell>
        </row>
        <row r="5349">
          <cell r="B5349" t="str">
            <v>Fire Extinguisher</v>
          </cell>
          <cell r="D5349" t="str">
            <v>Al Taqaddom Primary School</v>
          </cell>
          <cell r="H5349" t="str">
            <v>AD</v>
          </cell>
        </row>
        <row r="5350">
          <cell r="B5350" t="str">
            <v>Fire Extinguisher</v>
          </cell>
          <cell r="D5350" t="str">
            <v>Al Taqaddom Primary School</v>
          </cell>
          <cell r="H5350" t="str">
            <v>AD</v>
          </cell>
        </row>
        <row r="5351">
          <cell r="B5351" t="str">
            <v>Fire Extinguisher</v>
          </cell>
          <cell r="D5351" t="str">
            <v>Al Taqaddom Primary School</v>
          </cell>
          <cell r="H5351" t="str">
            <v>AD</v>
          </cell>
        </row>
        <row r="5352">
          <cell r="B5352" t="str">
            <v>Fire Extinguisher</v>
          </cell>
          <cell r="D5352" t="str">
            <v>Al Taqaddom Primary School</v>
          </cell>
          <cell r="H5352" t="str">
            <v>AD</v>
          </cell>
        </row>
        <row r="5353">
          <cell r="B5353" t="str">
            <v>Fire Extinguisher</v>
          </cell>
          <cell r="D5353" t="str">
            <v>Al Taqaddom Primary School</v>
          </cell>
          <cell r="H5353" t="str">
            <v>AD</v>
          </cell>
        </row>
        <row r="5354">
          <cell r="B5354" t="str">
            <v>Fire Extinguisher</v>
          </cell>
          <cell r="D5354" t="str">
            <v>Al Taqaddom Primary School</v>
          </cell>
          <cell r="H5354" t="str">
            <v>AD</v>
          </cell>
        </row>
        <row r="5355">
          <cell r="B5355" t="str">
            <v>Fire Extinguisher</v>
          </cell>
          <cell r="D5355" t="str">
            <v>Al Taqaddom Primary School</v>
          </cell>
          <cell r="H5355" t="str">
            <v>AD</v>
          </cell>
        </row>
        <row r="5356">
          <cell r="B5356" t="str">
            <v>Fire Extinguisher</v>
          </cell>
          <cell r="D5356" t="str">
            <v>Al Taqaddom Primary School</v>
          </cell>
          <cell r="H5356" t="str">
            <v>AD</v>
          </cell>
        </row>
        <row r="5357">
          <cell r="B5357" t="str">
            <v>Fire Hose Reel</v>
          </cell>
          <cell r="D5357" t="str">
            <v>Al Taqaddom Primary School</v>
          </cell>
          <cell r="H5357" t="str">
            <v>AD</v>
          </cell>
        </row>
        <row r="5358">
          <cell r="B5358" t="str">
            <v>Fire Hose Reel</v>
          </cell>
          <cell r="D5358" t="str">
            <v>Al Taqaddom Primary School</v>
          </cell>
          <cell r="H5358" t="str">
            <v>AD</v>
          </cell>
        </row>
        <row r="5359">
          <cell r="B5359" t="str">
            <v>Fire Hose Reel</v>
          </cell>
          <cell r="D5359" t="str">
            <v>Al Taqaddom Primary School</v>
          </cell>
          <cell r="H5359" t="str">
            <v>AD</v>
          </cell>
        </row>
        <row r="5360">
          <cell r="B5360" t="str">
            <v>Fire Hose Reel</v>
          </cell>
          <cell r="D5360" t="str">
            <v>Al Taqaddom Primary School</v>
          </cell>
          <cell r="H5360" t="str">
            <v>AD</v>
          </cell>
        </row>
        <row r="5361">
          <cell r="B5361" t="str">
            <v>Fire Hose Reel</v>
          </cell>
          <cell r="D5361" t="str">
            <v>Al Taqaddom Primary School</v>
          </cell>
          <cell r="H5361" t="str">
            <v>AD</v>
          </cell>
        </row>
        <row r="5362">
          <cell r="B5362" t="str">
            <v>Fire Hose Reel</v>
          </cell>
          <cell r="D5362" t="str">
            <v>Al Taqaddom Primary School</v>
          </cell>
          <cell r="H5362" t="str">
            <v>AD</v>
          </cell>
        </row>
        <row r="5363">
          <cell r="B5363" t="str">
            <v>Fire Hose Reel</v>
          </cell>
          <cell r="D5363" t="str">
            <v>Al Taqaddom Primary School</v>
          </cell>
          <cell r="H5363" t="str">
            <v>AD</v>
          </cell>
        </row>
        <row r="5364">
          <cell r="B5364" t="str">
            <v>Fire Hose Reel</v>
          </cell>
          <cell r="D5364" t="str">
            <v>Al Taqaddom Primary School</v>
          </cell>
          <cell r="H5364" t="str">
            <v>AD</v>
          </cell>
        </row>
        <row r="5365">
          <cell r="B5365" t="str">
            <v>Fire Hose Reel</v>
          </cell>
          <cell r="D5365" t="str">
            <v>Al Taqaddom Primary School</v>
          </cell>
          <cell r="H5365" t="str">
            <v>AD</v>
          </cell>
        </row>
        <row r="5366">
          <cell r="B5366" t="str">
            <v>Fire Hose Reel</v>
          </cell>
          <cell r="D5366" t="str">
            <v>Al Taqaddom Primary School</v>
          </cell>
          <cell r="H5366" t="str">
            <v>AD</v>
          </cell>
        </row>
        <row r="5367">
          <cell r="B5367" t="str">
            <v>Fire Hose Reel</v>
          </cell>
          <cell r="D5367" t="str">
            <v>Al Taqaddom Primary School</v>
          </cell>
          <cell r="H5367" t="str">
            <v>AD</v>
          </cell>
        </row>
        <row r="5368">
          <cell r="B5368" t="str">
            <v>Fire Hose Reel</v>
          </cell>
          <cell r="D5368" t="str">
            <v>Al Taqaddom Primary School</v>
          </cell>
          <cell r="H5368" t="str">
            <v>AD</v>
          </cell>
        </row>
        <row r="5369">
          <cell r="B5369" t="str">
            <v>Fire Hose Reel</v>
          </cell>
          <cell r="D5369" t="str">
            <v>Al Taqaddom Primary School</v>
          </cell>
          <cell r="H5369" t="str">
            <v>AD</v>
          </cell>
        </row>
        <row r="5370">
          <cell r="B5370" t="str">
            <v>Fire Hose Reel</v>
          </cell>
          <cell r="D5370" t="str">
            <v>Al Taqaddom Primary School</v>
          </cell>
          <cell r="H5370" t="str">
            <v>AD</v>
          </cell>
        </row>
        <row r="5371">
          <cell r="B5371" t="str">
            <v>Fire Hose Reel</v>
          </cell>
          <cell r="D5371" t="str">
            <v>Al Taqaddom Primary School</v>
          </cell>
          <cell r="H5371" t="str">
            <v>AD</v>
          </cell>
        </row>
        <row r="5372">
          <cell r="B5372" t="str">
            <v>FIRE PUMP - Diesel</v>
          </cell>
          <cell r="D5372" t="str">
            <v>Al Taqaddom Primary School</v>
          </cell>
          <cell r="H5372" t="str">
            <v>AD</v>
          </cell>
        </row>
        <row r="5373">
          <cell r="B5373" t="str">
            <v>FIRE PUMP - Electric</v>
          </cell>
          <cell r="D5373" t="str">
            <v>Al Taqaddom Primary School</v>
          </cell>
          <cell r="H5373" t="str">
            <v>AD</v>
          </cell>
        </row>
        <row r="5374">
          <cell r="B5374" t="str">
            <v>Fire Smoke / Heat Detector, Sounder</v>
          </cell>
          <cell r="D5374" t="str">
            <v>Al Taqaddom Primary School</v>
          </cell>
          <cell r="H5374" t="str">
            <v>AD</v>
          </cell>
        </row>
        <row r="5375">
          <cell r="B5375" t="str">
            <v>Fire Smoke / Heat Detector, Sounder</v>
          </cell>
          <cell r="D5375" t="str">
            <v>Al Taqaddom Primary School</v>
          </cell>
          <cell r="H5375" t="str">
            <v>AD</v>
          </cell>
        </row>
        <row r="5376">
          <cell r="B5376" t="str">
            <v>Fire Smoke / Heat Detector, Sounder</v>
          </cell>
          <cell r="D5376" t="str">
            <v>Al Taqaddom Primary School</v>
          </cell>
          <cell r="H5376" t="str">
            <v>AD</v>
          </cell>
        </row>
        <row r="5377">
          <cell r="B5377" t="str">
            <v>Fire Smoke / Heat Detector, Sounder</v>
          </cell>
          <cell r="D5377" t="str">
            <v>Al Taqaddom Primary School</v>
          </cell>
          <cell r="H5377" t="str">
            <v>AD</v>
          </cell>
        </row>
        <row r="5378">
          <cell r="B5378" t="str">
            <v>Fire Smoke / Heat Detector, Sounder</v>
          </cell>
          <cell r="D5378" t="str">
            <v>Al Taqaddom Primary School</v>
          </cell>
          <cell r="H5378" t="str">
            <v>AD</v>
          </cell>
        </row>
        <row r="5379">
          <cell r="B5379" t="str">
            <v>Fire Smoke / Heat Detector, Sounder</v>
          </cell>
          <cell r="D5379" t="str">
            <v>Al Taqaddom Primary School</v>
          </cell>
          <cell r="H5379" t="str">
            <v>AD</v>
          </cell>
        </row>
        <row r="5380">
          <cell r="B5380" t="str">
            <v>Fire Smoke / Heat Detector, Sounder</v>
          </cell>
          <cell r="D5380" t="str">
            <v>Al Taqaddom Primary School</v>
          </cell>
          <cell r="H5380" t="str">
            <v>AD</v>
          </cell>
        </row>
        <row r="5381">
          <cell r="B5381" t="str">
            <v>Fire Smoke / Heat Detector, Sounder</v>
          </cell>
          <cell r="D5381" t="str">
            <v>Al Taqaddom Primary School</v>
          </cell>
          <cell r="H5381" t="str">
            <v>AD</v>
          </cell>
        </row>
        <row r="5382">
          <cell r="B5382" t="str">
            <v>Fire Smoke / Heat Detector, Sounder</v>
          </cell>
          <cell r="D5382" t="str">
            <v>Al Taqaddom Primary School</v>
          </cell>
          <cell r="H5382" t="str">
            <v>AD</v>
          </cell>
        </row>
        <row r="5383">
          <cell r="B5383" t="str">
            <v>Fire Smoke / Heat Detector, Sounder</v>
          </cell>
          <cell r="D5383" t="str">
            <v>Al Taqaddom Primary School</v>
          </cell>
          <cell r="H5383" t="str">
            <v>AD</v>
          </cell>
        </row>
        <row r="5384">
          <cell r="B5384" t="str">
            <v>Fire Smoke / Heat Detector, Sounder</v>
          </cell>
          <cell r="D5384" t="str">
            <v>Al Taqaddom Primary School</v>
          </cell>
          <cell r="H5384" t="str">
            <v>AD</v>
          </cell>
        </row>
        <row r="5385">
          <cell r="B5385" t="str">
            <v>Fire Smoke / Heat Detector, Sounder</v>
          </cell>
          <cell r="D5385" t="str">
            <v>Al Taqaddom Primary School</v>
          </cell>
          <cell r="H5385" t="str">
            <v>AD</v>
          </cell>
        </row>
        <row r="5386">
          <cell r="B5386" t="str">
            <v>Fire Smoke / Heat Detector, Sounder</v>
          </cell>
          <cell r="D5386" t="str">
            <v>Al Taqaddom Primary School</v>
          </cell>
          <cell r="H5386" t="str">
            <v>AD</v>
          </cell>
        </row>
        <row r="5387">
          <cell r="B5387" t="str">
            <v>Fire Smoke / Heat Detector, Sounder</v>
          </cell>
          <cell r="D5387" t="str">
            <v>Al Taqaddom Primary School</v>
          </cell>
          <cell r="H5387" t="str">
            <v>AD</v>
          </cell>
        </row>
        <row r="5388">
          <cell r="B5388" t="str">
            <v>Fire Smoke / Heat Detector, Sounder</v>
          </cell>
          <cell r="D5388" t="str">
            <v>Al Taqaddom Primary School</v>
          </cell>
          <cell r="H5388" t="str">
            <v>AD</v>
          </cell>
        </row>
        <row r="5389">
          <cell r="B5389" t="str">
            <v>Fire Smoke / Heat Detector, Sounder</v>
          </cell>
          <cell r="D5389" t="str">
            <v>Al Taqaddom Primary School</v>
          </cell>
          <cell r="H5389" t="str">
            <v>AD</v>
          </cell>
        </row>
        <row r="5390">
          <cell r="B5390" t="str">
            <v>Fire Smoke / Heat Detector, Sounder</v>
          </cell>
          <cell r="D5390" t="str">
            <v>Al Taqaddom Primary School</v>
          </cell>
          <cell r="H5390" t="str">
            <v>AD</v>
          </cell>
        </row>
        <row r="5391">
          <cell r="B5391" t="str">
            <v>Fire Smoke / Heat Detector, Sounder</v>
          </cell>
          <cell r="D5391" t="str">
            <v>Al Taqaddom Primary School</v>
          </cell>
          <cell r="H5391" t="str">
            <v>AD</v>
          </cell>
        </row>
        <row r="5392">
          <cell r="B5392" t="str">
            <v>Fire Smoke / Heat Detector, Sounder</v>
          </cell>
          <cell r="D5392" t="str">
            <v>Al Taqaddom Primary School</v>
          </cell>
          <cell r="H5392" t="str">
            <v>AD</v>
          </cell>
        </row>
        <row r="5393">
          <cell r="B5393" t="str">
            <v>Fire Smoke / Heat Detector, Sounder</v>
          </cell>
          <cell r="D5393" t="str">
            <v>Al Taqaddom Primary School</v>
          </cell>
          <cell r="H5393" t="str">
            <v>AD</v>
          </cell>
        </row>
        <row r="5394">
          <cell r="B5394" t="str">
            <v>Fire Smoke / Heat Detector, Sounder</v>
          </cell>
          <cell r="D5394" t="str">
            <v>Al Taqaddom Primary School</v>
          </cell>
          <cell r="H5394" t="str">
            <v>AD</v>
          </cell>
        </row>
        <row r="5395">
          <cell r="B5395" t="str">
            <v>Fire Smoke / Heat Detector, Sounder</v>
          </cell>
          <cell r="D5395" t="str">
            <v>Al Taqaddom Primary School</v>
          </cell>
          <cell r="H5395" t="str">
            <v>AD</v>
          </cell>
        </row>
        <row r="5396">
          <cell r="B5396" t="str">
            <v>Fire Smoke / Heat Detector, Sounder</v>
          </cell>
          <cell r="D5396" t="str">
            <v>Al Taqaddom Primary School</v>
          </cell>
          <cell r="H5396" t="str">
            <v>AD</v>
          </cell>
        </row>
        <row r="5397">
          <cell r="B5397" t="str">
            <v>Fire Smoke / Heat Detector, Sounder</v>
          </cell>
          <cell r="D5397" t="str">
            <v>Al Taqaddom Primary School</v>
          </cell>
          <cell r="H5397" t="str">
            <v>AD</v>
          </cell>
        </row>
        <row r="5398">
          <cell r="B5398" t="str">
            <v>Fire Smoke / Heat Detector, Sounder</v>
          </cell>
          <cell r="D5398" t="str">
            <v>Al Taqaddom Primary School</v>
          </cell>
          <cell r="H5398" t="str">
            <v>AD</v>
          </cell>
        </row>
        <row r="5399">
          <cell r="B5399" t="str">
            <v>Fire Smoke / Heat Detector, Sounder</v>
          </cell>
          <cell r="D5399" t="str">
            <v>Al Taqaddom Primary School</v>
          </cell>
          <cell r="H5399" t="str">
            <v>AD</v>
          </cell>
        </row>
        <row r="5400">
          <cell r="B5400" t="str">
            <v>Fire Smoke / Heat Detector, Sounder</v>
          </cell>
          <cell r="D5400" t="str">
            <v>Al Taqaddom Primary School</v>
          </cell>
          <cell r="H5400" t="str">
            <v>AD</v>
          </cell>
        </row>
        <row r="5401">
          <cell r="B5401" t="str">
            <v>Fire Smoke / Heat Detector, Sounder</v>
          </cell>
          <cell r="D5401" t="str">
            <v>Al Taqaddom Primary School</v>
          </cell>
          <cell r="H5401" t="str">
            <v>AD</v>
          </cell>
        </row>
        <row r="5402">
          <cell r="B5402" t="str">
            <v>Fire Smoke / Heat Detector, Sounder</v>
          </cell>
          <cell r="D5402" t="str">
            <v>Al Taqaddom Primary School</v>
          </cell>
          <cell r="H5402" t="str">
            <v>AD</v>
          </cell>
        </row>
        <row r="5403">
          <cell r="B5403" t="str">
            <v>Fire Smoke / Heat Detector, Sounder</v>
          </cell>
          <cell r="D5403" t="str">
            <v>Al Taqaddom Primary School</v>
          </cell>
          <cell r="H5403" t="str">
            <v>AD</v>
          </cell>
        </row>
        <row r="5404">
          <cell r="B5404" t="str">
            <v>Fire Smoke / Heat Detector, Sounder</v>
          </cell>
          <cell r="D5404" t="str">
            <v>Al Taqaddom Primary School</v>
          </cell>
          <cell r="H5404" t="str">
            <v>AD</v>
          </cell>
        </row>
        <row r="5405">
          <cell r="B5405" t="str">
            <v>Fire Smoke / Heat Detector, Sounder</v>
          </cell>
          <cell r="D5405" t="str">
            <v>Al Taqaddom Primary School</v>
          </cell>
          <cell r="H5405" t="str">
            <v>AD</v>
          </cell>
        </row>
        <row r="5406">
          <cell r="B5406" t="str">
            <v>Fire Smoke / Heat Detector, Sounder</v>
          </cell>
          <cell r="D5406" t="str">
            <v>Al Taqaddom Primary School</v>
          </cell>
          <cell r="H5406" t="str">
            <v>AD</v>
          </cell>
        </row>
        <row r="5407">
          <cell r="B5407" t="str">
            <v>Fire Smoke / Heat Detector, Sounder</v>
          </cell>
          <cell r="D5407" t="str">
            <v>Al Taqaddom Primary School</v>
          </cell>
          <cell r="H5407" t="str">
            <v>AD</v>
          </cell>
        </row>
        <row r="5408">
          <cell r="B5408" t="str">
            <v>Fire Smoke / Heat Detector, Sounder</v>
          </cell>
          <cell r="D5408" t="str">
            <v>Al Taqaddom Primary School</v>
          </cell>
          <cell r="H5408" t="str">
            <v>AD</v>
          </cell>
        </row>
        <row r="5409">
          <cell r="B5409" t="str">
            <v>Fire Smoke / Heat Detector, Sounder</v>
          </cell>
          <cell r="D5409" t="str">
            <v>Al Taqaddom Primary School</v>
          </cell>
          <cell r="H5409" t="str">
            <v>AD</v>
          </cell>
        </row>
        <row r="5410">
          <cell r="B5410" t="str">
            <v>Fire Smoke / Heat Detector, Sounder</v>
          </cell>
          <cell r="D5410" t="str">
            <v>Al Taqaddom Primary School</v>
          </cell>
          <cell r="H5410" t="str">
            <v>AD</v>
          </cell>
        </row>
        <row r="5411">
          <cell r="B5411" t="str">
            <v>Fire Smoke / Heat Detector, Sounder</v>
          </cell>
          <cell r="D5411" t="str">
            <v>Al Taqaddom Primary School</v>
          </cell>
          <cell r="H5411" t="str">
            <v>AD</v>
          </cell>
        </row>
        <row r="5412">
          <cell r="B5412" t="str">
            <v>Fire Smoke / Heat Detector, Sounder</v>
          </cell>
          <cell r="D5412" t="str">
            <v>Al Taqaddom Primary School</v>
          </cell>
          <cell r="H5412" t="str">
            <v>AD</v>
          </cell>
        </row>
        <row r="5413">
          <cell r="B5413" t="str">
            <v>Fire Smoke / Heat Detector, Sounder</v>
          </cell>
          <cell r="D5413" t="str">
            <v>Al Taqaddom Primary School</v>
          </cell>
          <cell r="H5413" t="str">
            <v>AD</v>
          </cell>
        </row>
        <row r="5414">
          <cell r="B5414" t="str">
            <v>Fire Smoke / Heat Detector, Sounder</v>
          </cell>
          <cell r="D5414" t="str">
            <v>Al Taqaddom Primary School</v>
          </cell>
          <cell r="H5414" t="str">
            <v>AD</v>
          </cell>
        </row>
        <row r="5415">
          <cell r="B5415" t="str">
            <v>Fire Smoke / Heat Detector, Sounder</v>
          </cell>
          <cell r="D5415" t="str">
            <v>Al Taqaddom Primary School</v>
          </cell>
          <cell r="H5415" t="str">
            <v>AD</v>
          </cell>
        </row>
        <row r="5416">
          <cell r="B5416" t="str">
            <v>Fire Smoke / Heat Detector, Sounder</v>
          </cell>
          <cell r="D5416" t="str">
            <v>Al Taqaddom Primary School</v>
          </cell>
          <cell r="H5416" t="str">
            <v>AD</v>
          </cell>
        </row>
        <row r="5417">
          <cell r="B5417" t="str">
            <v>Fire Smoke / Heat Detector, Sounder</v>
          </cell>
          <cell r="D5417" t="str">
            <v>Al Taqaddom Primary School</v>
          </cell>
          <cell r="H5417" t="str">
            <v>AD</v>
          </cell>
        </row>
        <row r="5418">
          <cell r="B5418" t="str">
            <v>Fire Smoke / Heat Detector, Sounder</v>
          </cell>
          <cell r="D5418" t="str">
            <v>Al Taqaddom Primary School</v>
          </cell>
          <cell r="H5418" t="str">
            <v>AD</v>
          </cell>
        </row>
        <row r="5419">
          <cell r="B5419" t="str">
            <v>Fire Smoke / Heat Detector, Sounder</v>
          </cell>
          <cell r="D5419" t="str">
            <v>Al Taqaddom Primary School</v>
          </cell>
          <cell r="H5419" t="str">
            <v>AD</v>
          </cell>
        </row>
        <row r="5420">
          <cell r="B5420" t="str">
            <v>Fire Smoke / Heat Detector, Sounder</v>
          </cell>
          <cell r="D5420" t="str">
            <v>Al Taqaddom Primary School</v>
          </cell>
          <cell r="H5420" t="str">
            <v>AD</v>
          </cell>
        </row>
        <row r="5421">
          <cell r="B5421" t="str">
            <v>Fire Smoke / Heat Detector, Sounder</v>
          </cell>
          <cell r="D5421" t="str">
            <v>Al Taqaddom Primary School</v>
          </cell>
          <cell r="H5421" t="str">
            <v>AD</v>
          </cell>
        </row>
        <row r="5422">
          <cell r="B5422" t="str">
            <v>Fire Smoke / Heat Detector, Sounder</v>
          </cell>
          <cell r="D5422" t="str">
            <v>Al Taqaddom Primary School</v>
          </cell>
          <cell r="H5422" t="str">
            <v>AD</v>
          </cell>
        </row>
        <row r="5423">
          <cell r="B5423" t="str">
            <v>Fire Smoke / Heat Detector, Sounder</v>
          </cell>
          <cell r="D5423" t="str">
            <v>Al Taqaddom Primary School</v>
          </cell>
          <cell r="H5423" t="str">
            <v>AD</v>
          </cell>
        </row>
        <row r="5424">
          <cell r="B5424" t="str">
            <v>Fire Smoke / Heat Detector, Sounder</v>
          </cell>
          <cell r="D5424" t="str">
            <v>Al Taqaddom Primary School</v>
          </cell>
          <cell r="H5424" t="str">
            <v>AD</v>
          </cell>
        </row>
        <row r="5425">
          <cell r="B5425" t="str">
            <v>Fire Smoke / Heat Detector, Sounder</v>
          </cell>
          <cell r="D5425" t="str">
            <v>Al Taqaddom Primary School</v>
          </cell>
          <cell r="H5425" t="str">
            <v>AD</v>
          </cell>
        </row>
        <row r="5426">
          <cell r="B5426" t="str">
            <v>Fire Smoke / Heat Detector, Sounder</v>
          </cell>
          <cell r="D5426" t="str">
            <v>Al Taqaddom Primary School</v>
          </cell>
          <cell r="H5426" t="str">
            <v>AD</v>
          </cell>
        </row>
        <row r="5427">
          <cell r="B5427" t="str">
            <v>Fire Smoke / Heat Detector, Sounder</v>
          </cell>
          <cell r="D5427" t="str">
            <v>Al Taqaddom Primary School</v>
          </cell>
          <cell r="H5427" t="str">
            <v>AD</v>
          </cell>
        </row>
        <row r="5428">
          <cell r="B5428" t="str">
            <v>Fire Smoke / Heat Detector, Sounder</v>
          </cell>
          <cell r="D5428" t="str">
            <v>Al Taqaddom Primary School</v>
          </cell>
          <cell r="H5428" t="str">
            <v>AD</v>
          </cell>
        </row>
        <row r="5429">
          <cell r="B5429" t="str">
            <v>Fire Smoke / Heat Detector, Sounder</v>
          </cell>
          <cell r="D5429" t="str">
            <v>Al Taqaddom Primary School</v>
          </cell>
          <cell r="H5429" t="str">
            <v>AD</v>
          </cell>
        </row>
        <row r="5430">
          <cell r="B5430" t="str">
            <v>Fire Smoke / Heat Detector, Sounder</v>
          </cell>
          <cell r="D5430" t="str">
            <v>Al Taqaddom Primary School</v>
          </cell>
          <cell r="H5430" t="str">
            <v>AD</v>
          </cell>
        </row>
        <row r="5431">
          <cell r="B5431" t="str">
            <v>Fire Smoke / Heat Detector, Sounder</v>
          </cell>
          <cell r="D5431" t="str">
            <v>Al Taqaddom Primary School</v>
          </cell>
          <cell r="H5431" t="str">
            <v>AD</v>
          </cell>
        </row>
        <row r="5432">
          <cell r="B5432" t="str">
            <v>Fire Smoke / Heat Detector, Sounder</v>
          </cell>
          <cell r="D5432" t="str">
            <v>Al Taqaddom Primary School</v>
          </cell>
          <cell r="H5432" t="str">
            <v>AD</v>
          </cell>
        </row>
        <row r="5433">
          <cell r="B5433" t="str">
            <v>Fire Smoke / Heat Detector, Sounder</v>
          </cell>
          <cell r="D5433" t="str">
            <v>Al Taqaddom Primary School</v>
          </cell>
          <cell r="H5433" t="str">
            <v>AD</v>
          </cell>
        </row>
        <row r="5434">
          <cell r="B5434" t="str">
            <v>Fire Smoke / Heat Detector, Sounder</v>
          </cell>
          <cell r="D5434" t="str">
            <v>Al Taqaddom Primary School</v>
          </cell>
          <cell r="H5434" t="str">
            <v>AD</v>
          </cell>
        </row>
        <row r="5435">
          <cell r="B5435" t="str">
            <v>Fire Smoke / Heat Detector, Sounder</v>
          </cell>
          <cell r="D5435" t="str">
            <v>Al Taqaddom Primary School</v>
          </cell>
          <cell r="H5435" t="str">
            <v>AD</v>
          </cell>
        </row>
        <row r="5436">
          <cell r="B5436" t="str">
            <v>Fire Smoke / Heat Detector, Sounder</v>
          </cell>
          <cell r="D5436" t="str">
            <v>Al Taqaddom Primary School</v>
          </cell>
          <cell r="H5436" t="str">
            <v>AD</v>
          </cell>
        </row>
        <row r="5437">
          <cell r="B5437" t="str">
            <v>Fire Smoke / Heat Detector, Sounder</v>
          </cell>
          <cell r="D5437" t="str">
            <v>Al Taqaddom Primary School</v>
          </cell>
          <cell r="H5437" t="str">
            <v>AD</v>
          </cell>
        </row>
        <row r="5438">
          <cell r="B5438" t="str">
            <v>Fire Smoke / Heat Detector, Sounder</v>
          </cell>
          <cell r="D5438" t="str">
            <v>Al Taqaddom Primary School</v>
          </cell>
          <cell r="H5438" t="str">
            <v>AD</v>
          </cell>
        </row>
        <row r="5439">
          <cell r="B5439" t="str">
            <v>Fire Smoke / Heat Detector, Sounder</v>
          </cell>
          <cell r="D5439" t="str">
            <v>Al Taqaddom Primary School</v>
          </cell>
          <cell r="H5439" t="str">
            <v>AD</v>
          </cell>
        </row>
        <row r="5440">
          <cell r="B5440" t="str">
            <v>Fire Smoke / Heat Detector, Sounder</v>
          </cell>
          <cell r="D5440" t="str">
            <v>Al Taqaddom Primary School</v>
          </cell>
          <cell r="H5440" t="str">
            <v>AD</v>
          </cell>
        </row>
        <row r="5441">
          <cell r="B5441" t="str">
            <v>Fire Smoke / Heat Detector, Sounder</v>
          </cell>
          <cell r="D5441" t="str">
            <v>Al Taqaddom Primary School</v>
          </cell>
          <cell r="H5441" t="str">
            <v>AD</v>
          </cell>
        </row>
        <row r="5442">
          <cell r="B5442" t="str">
            <v>Fire Smoke / Heat Detector, Sounder</v>
          </cell>
          <cell r="D5442" t="str">
            <v>Al Taqaddom Primary School</v>
          </cell>
          <cell r="H5442" t="str">
            <v>AD</v>
          </cell>
        </row>
        <row r="5443">
          <cell r="B5443" t="str">
            <v>Fire Smoke / Heat Detector, Sounder</v>
          </cell>
          <cell r="D5443" t="str">
            <v>Al Taqaddom Primary School</v>
          </cell>
          <cell r="H5443" t="str">
            <v>AD</v>
          </cell>
        </row>
        <row r="5444">
          <cell r="B5444" t="str">
            <v>Fire Smoke / Heat Detector, Sounder</v>
          </cell>
          <cell r="D5444" t="str">
            <v>Al Taqaddom Primary School</v>
          </cell>
          <cell r="H5444" t="str">
            <v>AD</v>
          </cell>
        </row>
        <row r="5445">
          <cell r="B5445" t="str">
            <v>Fire Smoke / Heat Detector, Sounder</v>
          </cell>
          <cell r="D5445" t="str">
            <v>Al Taqaddom Primary School</v>
          </cell>
          <cell r="H5445" t="str">
            <v>AD</v>
          </cell>
        </row>
        <row r="5446">
          <cell r="B5446" t="str">
            <v>Fire Smoke / Heat Detector, Sounder</v>
          </cell>
          <cell r="D5446" t="str">
            <v>Al Taqaddom Primary School</v>
          </cell>
          <cell r="H5446" t="str">
            <v>AD</v>
          </cell>
        </row>
        <row r="5447">
          <cell r="B5447" t="str">
            <v>Fire Smoke / Heat Detector, Sounder</v>
          </cell>
          <cell r="D5447" t="str">
            <v>Al Taqaddom Primary School</v>
          </cell>
          <cell r="H5447" t="str">
            <v>AD</v>
          </cell>
        </row>
        <row r="5448">
          <cell r="B5448" t="str">
            <v>Fire Smoke / Heat Detector, Sounder</v>
          </cell>
          <cell r="D5448" t="str">
            <v>Al Taqaddom Primary School</v>
          </cell>
          <cell r="H5448" t="str">
            <v>AD</v>
          </cell>
        </row>
        <row r="5449">
          <cell r="B5449" t="str">
            <v>Fire Smoke / Heat Detector, Sounder</v>
          </cell>
          <cell r="D5449" t="str">
            <v>Al Taqaddom Primary School</v>
          </cell>
          <cell r="H5449" t="str">
            <v>AD</v>
          </cell>
        </row>
        <row r="5450">
          <cell r="B5450" t="str">
            <v>Fire Smoke / Heat Detector, Sounder</v>
          </cell>
          <cell r="D5450" t="str">
            <v>Al Taqaddom Primary School</v>
          </cell>
          <cell r="H5450" t="str">
            <v>AD</v>
          </cell>
        </row>
        <row r="5451">
          <cell r="B5451" t="str">
            <v>Fire Smoke / Heat Detector, Sounder</v>
          </cell>
          <cell r="D5451" t="str">
            <v>Al Taqaddom Primary School</v>
          </cell>
          <cell r="H5451" t="str">
            <v>AD</v>
          </cell>
        </row>
        <row r="5452">
          <cell r="B5452" t="str">
            <v>Fire Smoke / Heat Detector, Sounder</v>
          </cell>
          <cell r="D5452" t="str">
            <v>Al Taqaddom Primary School</v>
          </cell>
          <cell r="H5452" t="str">
            <v>AD</v>
          </cell>
        </row>
        <row r="5453">
          <cell r="B5453" t="str">
            <v>Fire Smoke / Heat Detector, Sounder</v>
          </cell>
          <cell r="D5453" t="str">
            <v>Al Taqaddom Primary School</v>
          </cell>
          <cell r="H5453" t="str">
            <v>AD</v>
          </cell>
        </row>
        <row r="5454">
          <cell r="B5454" t="str">
            <v>Fire Smoke / Heat Detector, Sounder</v>
          </cell>
          <cell r="D5454" t="str">
            <v>Al Taqaddom Primary School</v>
          </cell>
          <cell r="H5454" t="str">
            <v>AD</v>
          </cell>
        </row>
        <row r="5455">
          <cell r="B5455" t="str">
            <v>Fire Smoke / Heat Detector, Sounder</v>
          </cell>
          <cell r="D5455" t="str">
            <v>Al Taqaddom Primary School</v>
          </cell>
          <cell r="H5455" t="str">
            <v>AD</v>
          </cell>
        </row>
        <row r="5456">
          <cell r="B5456" t="str">
            <v>Fire Smoke / Heat Detector, Sounder</v>
          </cell>
          <cell r="D5456" t="str">
            <v>Al Taqaddom Primary School</v>
          </cell>
          <cell r="H5456" t="str">
            <v>AD</v>
          </cell>
        </row>
        <row r="5457">
          <cell r="B5457" t="str">
            <v>Fire Smoke / Heat Detector, Sounder</v>
          </cell>
          <cell r="D5457" t="str">
            <v>Al Taqaddom Primary School</v>
          </cell>
          <cell r="H5457" t="str">
            <v>AD</v>
          </cell>
        </row>
        <row r="5458">
          <cell r="B5458" t="str">
            <v>Fire Smoke / Heat Detector, Sounder</v>
          </cell>
          <cell r="D5458" t="str">
            <v>Al Taqaddom Primary School</v>
          </cell>
          <cell r="H5458" t="str">
            <v>AD</v>
          </cell>
        </row>
        <row r="5459">
          <cell r="B5459" t="str">
            <v>Fire Smoke / Heat Detector, Sounder</v>
          </cell>
          <cell r="D5459" t="str">
            <v>Al Taqaddom Primary School</v>
          </cell>
          <cell r="H5459" t="str">
            <v>AD</v>
          </cell>
        </row>
        <row r="5460">
          <cell r="B5460" t="str">
            <v>Fire Smoke / Heat Detector, Sounder</v>
          </cell>
          <cell r="D5460" t="str">
            <v>Al Taqaddom Primary School</v>
          </cell>
          <cell r="H5460" t="str">
            <v>AD</v>
          </cell>
        </row>
        <row r="5461">
          <cell r="B5461" t="str">
            <v>Fire Smoke / Heat Detector, Sounder</v>
          </cell>
          <cell r="D5461" t="str">
            <v>Al Taqaddom Primary School</v>
          </cell>
          <cell r="H5461" t="str">
            <v>AD</v>
          </cell>
        </row>
        <row r="5462">
          <cell r="B5462" t="str">
            <v>Fire Smoke / Heat Detector, Sounder</v>
          </cell>
          <cell r="D5462" t="str">
            <v>Al Taqaddom Primary School</v>
          </cell>
          <cell r="H5462" t="str">
            <v>AD</v>
          </cell>
        </row>
        <row r="5463">
          <cell r="B5463" t="str">
            <v>Fire Smoke / Heat Detector, Sounder</v>
          </cell>
          <cell r="D5463" t="str">
            <v>Al Taqaddom Primary School</v>
          </cell>
          <cell r="H5463" t="str">
            <v>AD</v>
          </cell>
        </row>
        <row r="5464">
          <cell r="B5464" t="str">
            <v>Fire Smoke / Heat Detector, Sounder</v>
          </cell>
          <cell r="D5464" t="str">
            <v>Al Taqaddom Primary School</v>
          </cell>
          <cell r="H5464" t="str">
            <v>AD</v>
          </cell>
        </row>
        <row r="5465">
          <cell r="B5465" t="str">
            <v>Fire Smoke / Heat Detector, Sounder</v>
          </cell>
          <cell r="D5465" t="str">
            <v>Al Taqaddom Primary School</v>
          </cell>
          <cell r="H5465" t="str">
            <v>AD</v>
          </cell>
        </row>
        <row r="5466">
          <cell r="B5466" t="str">
            <v>Fire Smoke / Heat Detector, Sounder</v>
          </cell>
          <cell r="D5466" t="str">
            <v>Al Taqaddom Primary School</v>
          </cell>
          <cell r="H5466" t="str">
            <v>AD</v>
          </cell>
        </row>
        <row r="5467">
          <cell r="B5467" t="str">
            <v>Fire Smoke / Heat Detector, Sounder</v>
          </cell>
          <cell r="D5467" t="str">
            <v>Al Taqaddom Primary School</v>
          </cell>
          <cell r="H5467" t="str">
            <v>AD</v>
          </cell>
        </row>
        <row r="5468">
          <cell r="B5468" t="str">
            <v>Fire Smoke / Heat Detector, Sounder</v>
          </cell>
          <cell r="D5468" t="str">
            <v>Al Taqaddom Primary School</v>
          </cell>
          <cell r="H5468" t="str">
            <v>AD</v>
          </cell>
        </row>
        <row r="5469">
          <cell r="B5469" t="str">
            <v>Fire Smoke / Heat Detector, Sounder</v>
          </cell>
          <cell r="D5469" t="str">
            <v>Al Taqaddom Primary School</v>
          </cell>
          <cell r="H5469" t="str">
            <v>AD</v>
          </cell>
        </row>
        <row r="5470">
          <cell r="B5470" t="str">
            <v>Fire Smoke / Heat Detector, Sounder</v>
          </cell>
          <cell r="D5470" t="str">
            <v>Al Taqaddom Primary School</v>
          </cell>
          <cell r="H5470" t="str">
            <v>AD</v>
          </cell>
        </row>
        <row r="5471">
          <cell r="B5471" t="str">
            <v>Fire Smoke / Heat Detector, Sounder</v>
          </cell>
          <cell r="D5471" t="str">
            <v>Al Taqaddom Primary School</v>
          </cell>
          <cell r="H5471" t="str">
            <v>AD</v>
          </cell>
        </row>
        <row r="5472">
          <cell r="B5472" t="str">
            <v>Fire Smoke / Heat Detector, Sounder</v>
          </cell>
          <cell r="D5472" t="str">
            <v>Al Taqaddom Primary School</v>
          </cell>
          <cell r="H5472" t="str">
            <v>AD</v>
          </cell>
        </row>
        <row r="5473">
          <cell r="B5473" t="str">
            <v>Fire Smoke / Heat Detector, Sounder</v>
          </cell>
          <cell r="D5473" t="str">
            <v>Al Taqaddom Primary School</v>
          </cell>
          <cell r="H5473" t="str">
            <v>AD</v>
          </cell>
        </row>
        <row r="5474">
          <cell r="B5474" t="str">
            <v>Fire Smoke / Heat Detector, Sounder</v>
          </cell>
          <cell r="D5474" t="str">
            <v>Al Taqaddom Primary School</v>
          </cell>
          <cell r="H5474" t="str">
            <v>AD</v>
          </cell>
        </row>
        <row r="5475">
          <cell r="B5475" t="str">
            <v>Fire Smoke / Heat Detector, Sounder</v>
          </cell>
          <cell r="D5475" t="str">
            <v>Al Taqaddom Primary School</v>
          </cell>
          <cell r="H5475" t="str">
            <v>AD</v>
          </cell>
        </row>
        <row r="5476">
          <cell r="B5476" t="str">
            <v>Fire Smoke / Heat Detector, Sounder</v>
          </cell>
          <cell r="D5476" t="str">
            <v>Al Taqaddom Primary School</v>
          </cell>
          <cell r="H5476" t="str">
            <v>AD</v>
          </cell>
        </row>
        <row r="5477">
          <cell r="B5477" t="str">
            <v>Fire Smoke / Heat Detector, Sounder</v>
          </cell>
          <cell r="D5477" t="str">
            <v>Al Taqaddom Primary School</v>
          </cell>
          <cell r="H5477" t="str">
            <v>AD</v>
          </cell>
        </row>
        <row r="5478">
          <cell r="B5478" t="str">
            <v>Fire Smoke / Heat Detector, Sounder</v>
          </cell>
          <cell r="D5478" t="str">
            <v>Al Taqaddom Primary School</v>
          </cell>
          <cell r="H5478" t="str">
            <v>AD</v>
          </cell>
        </row>
        <row r="5479">
          <cell r="B5479" t="str">
            <v>Fire Smoke / Heat Detector, Sounder</v>
          </cell>
          <cell r="D5479" t="str">
            <v>Al Taqaddom Primary School</v>
          </cell>
          <cell r="H5479" t="str">
            <v>AD</v>
          </cell>
        </row>
        <row r="5480">
          <cell r="B5480" t="str">
            <v>Fire Smoke / Heat Detector, Sounder</v>
          </cell>
          <cell r="D5480" t="str">
            <v>Al Taqaddom Primary School</v>
          </cell>
          <cell r="H5480" t="str">
            <v>AD</v>
          </cell>
        </row>
        <row r="5481">
          <cell r="B5481" t="str">
            <v>Fire Smoke / Heat Detector, Sounder</v>
          </cell>
          <cell r="D5481" t="str">
            <v>Al Taqaddom Primary School</v>
          </cell>
          <cell r="H5481" t="str">
            <v>AD</v>
          </cell>
        </row>
        <row r="5482">
          <cell r="B5482" t="str">
            <v>Fire Smoke / Heat Detector, Sounder</v>
          </cell>
          <cell r="D5482" t="str">
            <v>Al Taqaddom Primary School</v>
          </cell>
          <cell r="H5482" t="str">
            <v>AD</v>
          </cell>
        </row>
        <row r="5483">
          <cell r="B5483" t="str">
            <v>Fire Smoke / Heat Detector, Sounder</v>
          </cell>
          <cell r="D5483" t="str">
            <v>Al Taqaddom Primary School</v>
          </cell>
          <cell r="H5483" t="str">
            <v>AD</v>
          </cell>
        </row>
        <row r="5484">
          <cell r="B5484" t="str">
            <v>Fire Smoke / Heat Detector, Sounder</v>
          </cell>
          <cell r="D5484" t="str">
            <v>Al Taqaddom Primary School</v>
          </cell>
          <cell r="H5484" t="str">
            <v>AD</v>
          </cell>
        </row>
        <row r="5485">
          <cell r="B5485" t="str">
            <v>Fire Smoke / Heat Detector, Sounder</v>
          </cell>
          <cell r="D5485" t="str">
            <v>Al Taqaddom Primary School</v>
          </cell>
          <cell r="H5485" t="str">
            <v>AD</v>
          </cell>
        </row>
        <row r="5486">
          <cell r="B5486" t="str">
            <v>Fire Smoke / Heat Detector, Sounder</v>
          </cell>
          <cell r="D5486" t="str">
            <v>Al Taqaddom Primary School</v>
          </cell>
          <cell r="H5486" t="str">
            <v>AD</v>
          </cell>
        </row>
        <row r="5487">
          <cell r="B5487" t="str">
            <v>Fire Smoke / Heat Detector, Sounder</v>
          </cell>
          <cell r="D5487" t="str">
            <v>Al Taqaddom Primary School</v>
          </cell>
          <cell r="H5487" t="str">
            <v>AD</v>
          </cell>
        </row>
        <row r="5488">
          <cell r="B5488" t="str">
            <v>Fire Smoke / Heat Detector, Sounder</v>
          </cell>
          <cell r="D5488" t="str">
            <v>Al Taqaddom Primary School</v>
          </cell>
          <cell r="H5488" t="str">
            <v>AD</v>
          </cell>
        </row>
        <row r="5489">
          <cell r="B5489" t="str">
            <v>Fire Smoke / Heat Detector, Sounder</v>
          </cell>
          <cell r="D5489" t="str">
            <v>Al Taqaddom Primary School</v>
          </cell>
          <cell r="H5489" t="str">
            <v>AD</v>
          </cell>
        </row>
        <row r="5490">
          <cell r="B5490" t="str">
            <v>Fire Smoke / Heat Detector, Sounder</v>
          </cell>
          <cell r="D5490" t="str">
            <v>Al Taqaddom Primary School</v>
          </cell>
          <cell r="H5490" t="str">
            <v>AD</v>
          </cell>
        </row>
        <row r="5491">
          <cell r="B5491" t="str">
            <v>Fire Smoke / Heat Detector, Sounder</v>
          </cell>
          <cell r="D5491" t="str">
            <v>Al Taqaddom Primary School</v>
          </cell>
          <cell r="H5491" t="str">
            <v>AD</v>
          </cell>
        </row>
        <row r="5492">
          <cell r="B5492" t="str">
            <v>Fire Smoke / Heat Detector, Sounder</v>
          </cell>
          <cell r="D5492" t="str">
            <v>Al Taqaddom Primary School</v>
          </cell>
          <cell r="H5492" t="str">
            <v>AD</v>
          </cell>
        </row>
        <row r="5493">
          <cell r="B5493" t="str">
            <v>Fire Smoke / Heat Detector, Sounder</v>
          </cell>
          <cell r="D5493" t="str">
            <v>Al Taqaddom Primary School</v>
          </cell>
          <cell r="H5493" t="str">
            <v>AD</v>
          </cell>
        </row>
        <row r="5494">
          <cell r="B5494" t="str">
            <v>Fire Smoke / Heat Detector, Sounder</v>
          </cell>
          <cell r="D5494" t="str">
            <v>Al Taqaddom Primary School</v>
          </cell>
          <cell r="H5494" t="str">
            <v>AD</v>
          </cell>
        </row>
        <row r="5495">
          <cell r="B5495" t="str">
            <v>Fire Smoke / Heat Detector, Sounder</v>
          </cell>
          <cell r="D5495" t="str">
            <v>Al Taqaddom Primary School</v>
          </cell>
          <cell r="H5495" t="str">
            <v>AD</v>
          </cell>
        </row>
        <row r="5496">
          <cell r="B5496" t="str">
            <v>Fire Smoke / Heat Detector, Sounder</v>
          </cell>
          <cell r="D5496" t="str">
            <v>Al Taqaddom Primary School</v>
          </cell>
          <cell r="H5496" t="str">
            <v>AD</v>
          </cell>
        </row>
        <row r="5497">
          <cell r="B5497" t="str">
            <v>Fire Smoke / Heat Detector, Sounder</v>
          </cell>
          <cell r="D5497" t="str">
            <v>Al Taqaddom Primary School</v>
          </cell>
          <cell r="H5497" t="str">
            <v>AD</v>
          </cell>
        </row>
        <row r="5498">
          <cell r="B5498" t="str">
            <v>Fire Smoke / Heat Detector, Sounder</v>
          </cell>
          <cell r="D5498" t="str">
            <v>Al Taqaddom Primary School</v>
          </cell>
          <cell r="H5498" t="str">
            <v>AD</v>
          </cell>
        </row>
        <row r="5499">
          <cell r="B5499" t="str">
            <v>Fire Smoke / Heat Detector, Sounder</v>
          </cell>
          <cell r="D5499" t="str">
            <v>Al Taqaddom Primary School</v>
          </cell>
          <cell r="H5499" t="str">
            <v>AD</v>
          </cell>
        </row>
        <row r="5500">
          <cell r="B5500" t="str">
            <v>Fire Smoke / Heat Detector, Sounder</v>
          </cell>
          <cell r="D5500" t="str">
            <v>Al Taqaddom Primary School</v>
          </cell>
          <cell r="H5500" t="str">
            <v>AD</v>
          </cell>
        </row>
        <row r="5501">
          <cell r="B5501" t="str">
            <v>Fire Smoke / Heat Detector, Sounder</v>
          </cell>
          <cell r="D5501" t="str">
            <v>Al Taqaddom Primary School</v>
          </cell>
          <cell r="H5501" t="str">
            <v>AD</v>
          </cell>
        </row>
        <row r="5502">
          <cell r="B5502" t="str">
            <v>Fire Smoke / Heat Detector, Sounder</v>
          </cell>
          <cell r="D5502" t="str">
            <v>Al Taqaddom Primary School</v>
          </cell>
          <cell r="H5502" t="str">
            <v>AD</v>
          </cell>
        </row>
        <row r="5503">
          <cell r="B5503" t="str">
            <v>Fire Smoke / Heat Detector, Sounder</v>
          </cell>
          <cell r="D5503" t="str">
            <v>Al Taqaddom Primary School</v>
          </cell>
          <cell r="H5503" t="str">
            <v>AD</v>
          </cell>
        </row>
        <row r="5504">
          <cell r="B5504" t="str">
            <v>Fire Smoke / Heat Detector, Sounder</v>
          </cell>
          <cell r="D5504" t="str">
            <v>Al Taqaddom Primary School</v>
          </cell>
          <cell r="H5504" t="str">
            <v>AD</v>
          </cell>
        </row>
        <row r="5505">
          <cell r="B5505" t="str">
            <v>Fire Smoke / Heat Detector, Sounder</v>
          </cell>
          <cell r="D5505" t="str">
            <v>Al Taqaddom Primary School</v>
          </cell>
          <cell r="H5505" t="str">
            <v>AD</v>
          </cell>
        </row>
        <row r="5506">
          <cell r="B5506" t="str">
            <v>Fire Smoke / Heat Detector, Sounder</v>
          </cell>
          <cell r="D5506" t="str">
            <v>Al Taqaddom Primary School</v>
          </cell>
          <cell r="H5506" t="str">
            <v>AD</v>
          </cell>
        </row>
        <row r="5507">
          <cell r="B5507" t="str">
            <v>Fire Smoke / Heat Detector, Sounder</v>
          </cell>
          <cell r="D5507" t="str">
            <v>Al Taqaddom Primary School</v>
          </cell>
          <cell r="H5507" t="str">
            <v>AD</v>
          </cell>
        </row>
        <row r="5508">
          <cell r="B5508" t="str">
            <v>Fire Smoke / Heat Detector, Sounder</v>
          </cell>
          <cell r="D5508" t="str">
            <v>Al Taqaddom Primary School</v>
          </cell>
          <cell r="H5508" t="str">
            <v>AD</v>
          </cell>
        </row>
        <row r="5509">
          <cell r="B5509" t="str">
            <v>Fire Smoke / Heat Detector, Sounder</v>
          </cell>
          <cell r="D5509" t="str">
            <v>Al Taqaddom Primary School</v>
          </cell>
          <cell r="H5509" t="str">
            <v>AD</v>
          </cell>
        </row>
        <row r="5510">
          <cell r="B5510" t="str">
            <v>Fire Smoke / Heat Detector, Sounder</v>
          </cell>
          <cell r="D5510" t="str">
            <v>Al Taqaddom Primary School</v>
          </cell>
          <cell r="H5510" t="str">
            <v>AD</v>
          </cell>
        </row>
        <row r="5511">
          <cell r="B5511" t="str">
            <v>Fire Smoke / Heat Detector, Sounder</v>
          </cell>
          <cell r="D5511" t="str">
            <v>Al Taqaddom Primary School</v>
          </cell>
          <cell r="H5511" t="str">
            <v>AD</v>
          </cell>
        </row>
        <row r="5512">
          <cell r="B5512" t="str">
            <v>Fire Smoke / Heat Detector, Sounder</v>
          </cell>
          <cell r="D5512" t="str">
            <v>Al Taqaddom Primary School</v>
          </cell>
          <cell r="H5512" t="str">
            <v>AD</v>
          </cell>
        </row>
        <row r="5513">
          <cell r="B5513" t="str">
            <v>Fire Smoke / Heat Detector, Sounder</v>
          </cell>
          <cell r="D5513" t="str">
            <v>Al Taqaddom Primary School</v>
          </cell>
          <cell r="H5513" t="str">
            <v>AD</v>
          </cell>
        </row>
        <row r="5514">
          <cell r="B5514" t="str">
            <v>Fire Smoke / Heat Detector, Sounder</v>
          </cell>
          <cell r="D5514" t="str">
            <v>Al Taqaddom Primary School</v>
          </cell>
          <cell r="H5514" t="str">
            <v>AD</v>
          </cell>
        </row>
        <row r="5515">
          <cell r="B5515" t="str">
            <v>Fire Smoke / Heat Detector, Sounder</v>
          </cell>
          <cell r="D5515" t="str">
            <v>Al Taqaddom Primary School</v>
          </cell>
          <cell r="H5515" t="str">
            <v>AD</v>
          </cell>
        </row>
        <row r="5516">
          <cell r="B5516" t="str">
            <v>Fire Smoke / Heat Detector, Sounder</v>
          </cell>
          <cell r="D5516" t="str">
            <v>Al Taqaddom Primary School</v>
          </cell>
          <cell r="H5516" t="str">
            <v>AD</v>
          </cell>
        </row>
        <row r="5517">
          <cell r="B5517" t="str">
            <v>Fire Smoke / Heat Detector, Sounder</v>
          </cell>
          <cell r="D5517" t="str">
            <v>Al Taqaddom Primary School</v>
          </cell>
          <cell r="H5517" t="str">
            <v>AD</v>
          </cell>
        </row>
        <row r="5518">
          <cell r="B5518" t="str">
            <v>Fire Smoke / Heat Detector, Sounder</v>
          </cell>
          <cell r="D5518" t="str">
            <v>Al Taqaddom Primary School</v>
          </cell>
          <cell r="H5518" t="str">
            <v>AD</v>
          </cell>
        </row>
        <row r="5519">
          <cell r="B5519" t="str">
            <v>Fire Smoke / Heat Detector, Sounder</v>
          </cell>
          <cell r="D5519" t="str">
            <v>Al Taqaddom Primary School</v>
          </cell>
          <cell r="H5519" t="str">
            <v>AD</v>
          </cell>
        </row>
        <row r="5520">
          <cell r="B5520" t="str">
            <v>Fire Smoke / Heat Detector, Sounder</v>
          </cell>
          <cell r="D5520" t="str">
            <v>Al Taqaddom Primary School</v>
          </cell>
          <cell r="H5520" t="str">
            <v>AD</v>
          </cell>
        </row>
        <row r="5521">
          <cell r="B5521" t="str">
            <v>Fire Smoke / Heat Detector, Sounder</v>
          </cell>
          <cell r="D5521" t="str">
            <v>Al Taqaddom Primary School</v>
          </cell>
          <cell r="H5521" t="str">
            <v>AD</v>
          </cell>
        </row>
        <row r="5522">
          <cell r="B5522" t="str">
            <v>Fire Smoke / Heat Detector, Sounder</v>
          </cell>
          <cell r="D5522" t="str">
            <v>Al Taqaddom Primary School</v>
          </cell>
          <cell r="H5522" t="str">
            <v>AD</v>
          </cell>
        </row>
        <row r="5523">
          <cell r="B5523" t="str">
            <v>Fire Smoke / Heat Detector, Sounder</v>
          </cell>
          <cell r="D5523" t="str">
            <v>Al Taqaddom Primary School</v>
          </cell>
          <cell r="H5523" t="str">
            <v>AD</v>
          </cell>
        </row>
        <row r="5524">
          <cell r="B5524" t="str">
            <v>Fire Smoke / Heat Detector, Sounder</v>
          </cell>
          <cell r="D5524" t="str">
            <v>Al Taqaddom Primary School</v>
          </cell>
          <cell r="H5524" t="str">
            <v>AD</v>
          </cell>
        </row>
        <row r="5525">
          <cell r="B5525" t="str">
            <v>Fire Smoke / Heat Detector, Sounder</v>
          </cell>
          <cell r="D5525" t="str">
            <v>Al Taqaddom Primary School</v>
          </cell>
          <cell r="H5525" t="str">
            <v>AD</v>
          </cell>
        </row>
        <row r="5526">
          <cell r="B5526" t="str">
            <v>Fire Smoke / Heat Detector, Sounder</v>
          </cell>
          <cell r="D5526" t="str">
            <v>Al Taqaddom Primary School</v>
          </cell>
          <cell r="H5526" t="str">
            <v>AD</v>
          </cell>
        </row>
        <row r="5527">
          <cell r="B5527" t="str">
            <v>Fire Smoke / Heat Detector, Sounder</v>
          </cell>
          <cell r="D5527" t="str">
            <v>Al Taqaddom Primary School</v>
          </cell>
          <cell r="H5527" t="str">
            <v>AD</v>
          </cell>
        </row>
        <row r="5528">
          <cell r="B5528" t="str">
            <v>Fire Smoke / Heat Detector, Sounder</v>
          </cell>
          <cell r="D5528" t="str">
            <v>Al Taqaddom Primary School</v>
          </cell>
          <cell r="H5528" t="str">
            <v>AD</v>
          </cell>
        </row>
        <row r="5529">
          <cell r="B5529" t="str">
            <v>Fire Smoke / Heat Detector, Sounder</v>
          </cell>
          <cell r="D5529" t="str">
            <v>Al Taqaddom Primary School</v>
          </cell>
          <cell r="H5529" t="str">
            <v>AD</v>
          </cell>
        </row>
        <row r="5530">
          <cell r="B5530" t="str">
            <v>Fire Smoke / Heat Detector, Sounder</v>
          </cell>
          <cell r="D5530" t="str">
            <v>Al Taqaddom Primary School</v>
          </cell>
          <cell r="H5530" t="str">
            <v>AD</v>
          </cell>
        </row>
        <row r="5531">
          <cell r="B5531" t="str">
            <v>Fire Smoke / Heat Detector, Sounder</v>
          </cell>
          <cell r="D5531" t="str">
            <v>Al Taqaddom Primary School</v>
          </cell>
          <cell r="H5531" t="str">
            <v>AD</v>
          </cell>
        </row>
        <row r="5532">
          <cell r="B5532" t="str">
            <v>Fire Smoke / Heat Detector, Sounder</v>
          </cell>
          <cell r="D5532" t="str">
            <v>Al Taqaddom Primary School</v>
          </cell>
          <cell r="H5532" t="str">
            <v>AD</v>
          </cell>
        </row>
        <row r="5533">
          <cell r="B5533" t="str">
            <v>Fire Smoke / Heat Detector, Sounder</v>
          </cell>
          <cell r="D5533" t="str">
            <v>Al Taqaddom Primary School</v>
          </cell>
          <cell r="H5533" t="str">
            <v>AD</v>
          </cell>
        </row>
        <row r="5534">
          <cell r="B5534" t="str">
            <v>Fire Smoke / Heat Detector, Sounder</v>
          </cell>
          <cell r="D5534" t="str">
            <v>Al Taqaddom Primary School</v>
          </cell>
          <cell r="H5534" t="str">
            <v>AD</v>
          </cell>
        </row>
        <row r="5535">
          <cell r="B5535" t="str">
            <v>Fire Smoke / Heat Detector, Sounder</v>
          </cell>
          <cell r="D5535" t="str">
            <v>Al Taqaddom Primary School</v>
          </cell>
          <cell r="H5535" t="str">
            <v>AD</v>
          </cell>
        </row>
        <row r="5536">
          <cell r="B5536" t="str">
            <v>Fire Alarm Break Glass Call Point</v>
          </cell>
          <cell r="D5536" t="str">
            <v>Al Waleed Bin Abdul Malek Primary School</v>
          </cell>
          <cell r="H5536" t="str">
            <v>AD</v>
          </cell>
        </row>
        <row r="5537">
          <cell r="B5537" t="str">
            <v>Fire Alarm Break Glass Call Point</v>
          </cell>
          <cell r="D5537" t="str">
            <v>Al Waleed Bin Abdul Malek Primary School</v>
          </cell>
          <cell r="H5537" t="str">
            <v>AD</v>
          </cell>
        </row>
        <row r="5538">
          <cell r="B5538" t="str">
            <v>Fire Alarm Break Glass Call Point</v>
          </cell>
          <cell r="D5538" t="str">
            <v>Al Waleed Bin Abdul Malek Primary School</v>
          </cell>
          <cell r="H5538" t="str">
            <v>AD</v>
          </cell>
        </row>
        <row r="5539">
          <cell r="B5539" t="str">
            <v>Fire Alarm Break Glass Call Point</v>
          </cell>
          <cell r="D5539" t="str">
            <v>Al Waleed Bin Abdul Malek Primary School</v>
          </cell>
          <cell r="H5539" t="str">
            <v>AD</v>
          </cell>
        </row>
        <row r="5540">
          <cell r="B5540" t="str">
            <v>Fire Alarm Break Glass Call Point</v>
          </cell>
          <cell r="D5540" t="str">
            <v>Al Waleed Bin Abdul Malek Primary School</v>
          </cell>
          <cell r="H5540" t="str">
            <v>AD</v>
          </cell>
        </row>
        <row r="5541">
          <cell r="B5541" t="str">
            <v>Fire Alarm Break Glass Call Point</v>
          </cell>
          <cell r="D5541" t="str">
            <v>Al Waleed Bin Abdul Malek Primary School</v>
          </cell>
          <cell r="H5541" t="str">
            <v>AD</v>
          </cell>
        </row>
        <row r="5542">
          <cell r="B5542" t="str">
            <v>Fire Alarm Break Glass Call Point</v>
          </cell>
          <cell r="D5542" t="str">
            <v>Al Waleed Bin Abdul Malek Primary School</v>
          </cell>
          <cell r="H5542" t="str">
            <v>AD</v>
          </cell>
        </row>
        <row r="5543">
          <cell r="B5543" t="str">
            <v>Fire Alarm Break Glass Call Point</v>
          </cell>
          <cell r="D5543" t="str">
            <v>Al Waleed Bin Abdul Malek Primary School</v>
          </cell>
          <cell r="H5543" t="str">
            <v>AD</v>
          </cell>
        </row>
        <row r="5544">
          <cell r="B5544" t="str">
            <v>Fire Alarm Break Glass Call Point</v>
          </cell>
          <cell r="D5544" t="str">
            <v>Al Waleed Bin Abdul Malek Primary School</v>
          </cell>
          <cell r="H5544" t="str">
            <v>AD</v>
          </cell>
        </row>
        <row r="5545">
          <cell r="B5545" t="str">
            <v>Fire Alarm Break Glass Call Point</v>
          </cell>
          <cell r="D5545" t="str">
            <v>Al Waleed Bin Abdul Malek Primary School</v>
          </cell>
          <cell r="H5545" t="str">
            <v>AD</v>
          </cell>
        </row>
        <row r="5546">
          <cell r="B5546" t="str">
            <v>Fire Alarm Break Glass Call Point</v>
          </cell>
          <cell r="D5546" t="str">
            <v>Al Waleed Bin Abdul Malek Primary School</v>
          </cell>
          <cell r="H5546" t="str">
            <v>AD</v>
          </cell>
        </row>
        <row r="5547">
          <cell r="B5547" t="str">
            <v>Fire Alarm Break Glass Call Point</v>
          </cell>
          <cell r="D5547" t="str">
            <v>Al Waleed Bin Abdul Malek Primary School</v>
          </cell>
          <cell r="H5547" t="str">
            <v>AD</v>
          </cell>
        </row>
        <row r="5548">
          <cell r="B5548" t="str">
            <v>Fire Alarm Break Glass Call Point</v>
          </cell>
          <cell r="D5548" t="str">
            <v>Al Waleed Bin Abdul Malek Primary School</v>
          </cell>
          <cell r="H5548" t="str">
            <v>AD</v>
          </cell>
        </row>
        <row r="5549">
          <cell r="B5549" t="str">
            <v>Fire Alarm Break Glass Call Point</v>
          </cell>
          <cell r="D5549" t="str">
            <v>Al Waleed Bin Abdul Malek Primary School</v>
          </cell>
          <cell r="H5549" t="str">
            <v>AD</v>
          </cell>
        </row>
        <row r="5550">
          <cell r="B5550" t="str">
            <v>Fire Alarm Break Glass Call Point</v>
          </cell>
          <cell r="D5550" t="str">
            <v>Al Waleed Bin Abdul Malek Primary School</v>
          </cell>
          <cell r="H5550" t="str">
            <v>AD</v>
          </cell>
        </row>
        <row r="5551">
          <cell r="B5551" t="str">
            <v>Fire Alarm Break Glass Call Point</v>
          </cell>
          <cell r="D5551" t="str">
            <v>Al Waleed Bin Abdul Malek Primary School</v>
          </cell>
          <cell r="H5551" t="str">
            <v>AD</v>
          </cell>
        </row>
        <row r="5552">
          <cell r="B5552" t="str">
            <v>Fire Alarm Break Glass Call Point</v>
          </cell>
          <cell r="D5552" t="str">
            <v>Al Waleed Bin Abdul Malek Primary School</v>
          </cell>
          <cell r="H5552" t="str">
            <v>AD</v>
          </cell>
        </row>
        <row r="5553">
          <cell r="B5553" t="str">
            <v>Fire Alarm Break Glass Call Point</v>
          </cell>
          <cell r="D5553" t="str">
            <v>Al Waleed Bin Abdul Malek Primary School</v>
          </cell>
          <cell r="H5553" t="str">
            <v>AD</v>
          </cell>
        </row>
        <row r="5554">
          <cell r="B5554" t="str">
            <v>Fire Alarm Panel</v>
          </cell>
          <cell r="D5554" t="str">
            <v>Al Waleed Bin Abdul Malek Primary School</v>
          </cell>
          <cell r="H5554" t="str">
            <v>AD</v>
          </cell>
        </row>
        <row r="5555">
          <cell r="B5555" t="str">
            <v>Fire Alarm Sounder, Bell, Light</v>
          </cell>
          <cell r="D5555" t="str">
            <v>Al Waleed Bin Abdul Malek Primary School</v>
          </cell>
          <cell r="H5555" t="str">
            <v>AD</v>
          </cell>
        </row>
        <row r="5556">
          <cell r="B5556" t="str">
            <v>Fire Alarm Sounder, Bell, Light</v>
          </cell>
          <cell r="D5556" t="str">
            <v>Al Waleed Bin Abdul Malek Primary School</v>
          </cell>
          <cell r="H5556" t="str">
            <v>AD</v>
          </cell>
        </row>
        <row r="5557">
          <cell r="B5557" t="str">
            <v>Fire Alarm Sounder, Bell, Light</v>
          </cell>
          <cell r="D5557" t="str">
            <v>Al Waleed Bin Abdul Malek Primary School</v>
          </cell>
          <cell r="H5557" t="str">
            <v>AD</v>
          </cell>
        </row>
        <row r="5558">
          <cell r="B5558" t="str">
            <v>Fire Alarm Sounder, Bell, Light</v>
          </cell>
          <cell r="D5558" t="str">
            <v>Al Waleed Bin Abdul Malek Primary School</v>
          </cell>
          <cell r="H5558" t="str">
            <v>AD</v>
          </cell>
        </row>
        <row r="5559">
          <cell r="B5559" t="str">
            <v>Fire Alarm Sounder, Bell, Light</v>
          </cell>
          <cell r="D5559" t="str">
            <v>Al Waleed Bin Abdul Malek Primary School</v>
          </cell>
          <cell r="H5559" t="str">
            <v>AD</v>
          </cell>
        </row>
        <row r="5560">
          <cell r="B5560" t="str">
            <v>Fire Alarm Sounder, Bell, Light</v>
          </cell>
          <cell r="D5560" t="str">
            <v>Al Waleed Bin Abdul Malek Primary School</v>
          </cell>
          <cell r="H5560" t="str">
            <v>AD</v>
          </cell>
        </row>
        <row r="5561">
          <cell r="B5561" t="str">
            <v>Fire Alarm Sounder, Bell, Light</v>
          </cell>
          <cell r="D5561" t="str">
            <v>Al Waleed Bin Abdul Malek Primary School</v>
          </cell>
          <cell r="H5561" t="str">
            <v>AD</v>
          </cell>
        </row>
        <row r="5562">
          <cell r="B5562" t="str">
            <v>Fire Alarm Sounder, Bell, Light</v>
          </cell>
          <cell r="D5562" t="str">
            <v>Al Waleed Bin Abdul Malek Primary School</v>
          </cell>
          <cell r="H5562" t="str">
            <v>AD</v>
          </cell>
        </row>
        <row r="5563">
          <cell r="B5563" t="str">
            <v>Fire Alarm Sounder, Bell, Light</v>
          </cell>
          <cell r="D5563" t="str">
            <v>Al Waleed Bin Abdul Malek Primary School</v>
          </cell>
          <cell r="H5563" t="str">
            <v>AD</v>
          </cell>
        </row>
        <row r="5564">
          <cell r="B5564" t="str">
            <v>Fire Alarm Sounder, Bell, Light</v>
          </cell>
          <cell r="D5564" t="str">
            <v>Al Waleed Bin Abdul Malek Primary School</v>
          </cell>
          <cell r="H5564" t="str">
            <v>AD</v>
          </cell>
        </row>
        <row r="5565">
          <cell r="B5565" t="str">
            <v>Fire Alarm Sounder, Bell, Light</v>
          </cell>
          <cell r="D5565" t="str">
            <v>Al Waleed Bin Abdul Malek Primary School</v>
          </cell>
          <cell r="H5565" t="str">
            <v>AD</v>
          </cell>
        </row>
        <row r="5566">
          <cell r="B5566" t="str">
            <v>Fire Alarm Sounder, Bell, Light</v>
          </cell>
          <cell r="D5566" t="str">
            <v>Al Waleed Bin Abdul Malek Primary School</v>
          </cell>
          <cell r="H5566" t="str">
            <v>AD</v>
          </cell>
        </row>
        <row r="5567">
          <cell r="B5567" t="str">
            <v>Fire Alarm Sounder, Bell, Light</v>
          </cell>
          <cell r="D5567" t="str">
            <v>Al Waleed Bin Abdul Malek Primary School</v>
          </cell>
          <cell r="H5567" t="str">
            <v>AD</v>
          </cell>
        </row>
        <row r="5568">
          <cell r="B5568" t="str">
            <v>Fire Alarm Sounder, Bell, Light</v>
          </cell>
          <cell r="D5568" t="str">
            <v>Al Waleed Bin Abdul Malek Primary School</v>
          </cell>
          <cell r="H5568" t="str">
            <v>AD</v>
          </cell>
        </row>
        <row r="5569">
          <cell r="B5569" t="str">
            <v>Fire Alarm Sounder, Bell, Light</v>
          </cell>
          <cell r="D5569" t="str">
            <v>Al Waleed Bin Abdul Malek Primary School</v>
          </cell>
          <cell r="H5569" t="str">
            <v>AD</v>
          </cell>
        </row>
        <row r="5570">
          <cell r="B5570" t="str">
            <v>Fire Alarm Sounder, Bell, Light</v>
          </cell>
          <cell r="D5570" t="str">
            <v>Al Waleed Bin Abdul Malek Primary School</v>
          </cell>
          <cell r="H5570" t="str">
            <v>AD</v>
          </cell>
        </row>
        <row r="5571">
          <cell r="B5571" t="str">
            <v>Fire Alarm Sounder, Bell, Light</v>
          </cell>
          <cell r="D5571" t="str">
            <v>Al Waleed Bin Abdul Malek Primary School</v>
          </cell>
          <cell r="H5571" t="str">
            <v>AD</v>
          </cell>
        </row>
        <row r="5572">
          <cell r="B5572" t="str">
            <v>Fire Alarm Sounder, Bell, Light</v>
          </cell>
          <cell r="D5572" t="str">
            <v>Al Waleed Bin Abdul Malek Primary School</v>
          </cell>
          <cell r="H5572" t="str">
            <v>AD</v>
          </cell>
        </row>
        <row r="5573">
          <cell r="B5573" t="str">
            <v>Fire Alarm Sounder, Bell, Light</v>
          </cell>
          <cell r="D5573" t="str">
            <v>Al Waleed Bin Abdul Malek Primary School</v>
          </cell>
          <cell r="H5573" t="str">
            <v>AD</v>
          </cell>
        </row>
        <row r="5574">
          <cell r="B5574" t="str">
            <v>Fire Alarm Sounder, Bell, Light</v>
          </cell>
          <cell r="D5574" t="str">
            <v>Al Waleed Bin Abdul Malek Primary School</v>
          </cell>
          <cell r="H5574" t="str">
            <v>AD</v>
          </cell>
        </row>
        <row r="5575">
          <cell r="B5575" t="str">
            <v>Fire Alarm Sounder, Bell, Light</v>
          </cell>
          <cell r="D5575" t="str">
            <v>Al Waleed Bin Abdul Malek Primary School</v>
          </cell>
          <cell r="H5575" t="str">
            <v>AD</v>
          </cell>
        </row>
        <row r="5576">
          <cell r="B5576" t="str">
            <v>Fire Alarm Sounder, Bell, Light</v>
          </cell>
          <cell r="D5576" t="str">
            <v>Al Waleed Bin Abdul Malek Primary School</v>
          </cell>
          <cell r="H5576" t="str">
            <v>AD</v>
          </cell>
        </row>
        <row r="5577">
          <cell r="B5577" t="str">
            <v>Fire Extinguisher</v>
          </cell>
          <cell r="D5577" t="str">
            <v>Al Waleed Bin Abdul Malek Primary School</v>
          </cell>
          <cell r="H5577" t="str">
            <v>AD</v>
          </cell>
        </row>
        <row r="5578">
          <cell r="B5578" t="str">
            <v>Fire Extinguisher</v>
          </cell>
          <cell r="D5578" t="str">
            <v>Al Waleed Bin Abdul Malek Primary School</v>
          </cell>
          <cell r="H5578" t="str">
            <v>AD</v>
          </cell>
        </row>
        <row r="5579">
          <cell r="B5579" t="str">
            <v>Fire Extinguisher</v>
          </cell>
          <cell r="D5579" t="str">
            <v>Al Waleed Bin Abdul Malek Primary School</v>
          </cell>
          <cell r="H5579" t="str">
            <v>AD</v>
          </cell>
        </row>
        <row r="5580">
          <cell r="B5580" t="str">
            <v>Fire Extinguisher</v>
          </cell>
          <cell r="D5580" t="str">
            <v>Al Waleed Bin Abdul Malek Primary School</v>
          </cell>
          <cell r="H5580" t="str">
            <v>AD</v>
          </cell>
        </row>
        <row r="5581">
          <cell r="B5581" t="str">
            <v>Fire Extinguisher</v>
          </cell>
          <cell r="D5581" t="str">
            <v>Al Waleed Bin Abdul Malek Primary School</v>
          </cell>
          <cell r="H5581" t="str">
            <v>AD</v>
          </cell>
        </row>
        <row r="5582">
          <cell r="B5582" t="str">
            <v>Fire Extinguisher</v>
          </cell>
          <cell r="D5582" t="str">
            <v>Al Waleed Bin Abdul Malek Primary School</v>
          </cell>
          <cell r="H5582" t="str">
            <v>AD</v>
          </cell>
        </row>
        <row r="5583">
          <cell r="B5583" t="str">
            <v>Fire Extinguisher</v>
          </cell>
          <cell r="D5583" t="str">
            <v>Al Waleed Bin Abdul Malek Primary School</v>
          </cell>
          <cell r="H5583" t="str">
            <v>AD</v>
          </cell>
        </row>
        <row r="5584">
          <cell r="B5584" t="str">
            <v>Fire Extinguisher</v>
          </cell>
          <cell r="D5584" t="str">
            <v>Al Waleed Bin Abdul Malek Primary School</v>
          </cell>
          <cell r="H5584" t="str">
            <v>AD</v>
          </cell>
        </row>
        <row r="5585">
          <cell r="B5585" t="str">
            <v>Fire Extinguisher</v>
          </cell>
          <cell r="D5585" t="str">
            <v>Al Waleed Bin Abdul Malek Primary School</v>
          </cell>
          <cell r="H5585" t="str">
            <v>AD</v>
          </cell>
        </row>
        <row r="5586">
          <cell r="B5586" t="str">
            <v>Fire Extinguisher</v>
          </cell>
          <cell r="D5586" t="str">
            <v>Al Waleed Bin Abdul Malek Primary School</v>
          </cell>
          <cell r="H5586" t="str">
            <v>AD</v>
          </cell>
        </row>
        <row r="5587">
          <cell r="B5587" t="str">
            <v>Fire Extinguisher</v>
          </cell>
          <cell r="D5587" t="str">
            <v>Al Waleed Bin Abdul Malek Primary School</v>
          </cell>
          <cell r="H5587" t="str">
            <v>AD</v>
          </cell>
        </row>
        <row r="5588">
          <cell r="B5588" t="str">
            <v>Fire Extinguisher</v>
          </cell>
          <cell r="D5588" t="str">
            <v>Al Waleed Bin Abdul Malek Primary School</v>
          </cell>
          <cell r="H5588" t="str">
            <v>AD</v>
          </cell>
        </row>
        <row r="5589">
          <cell r="B5589" t="str">
            <v>Fire Extinguisher</v>
          </cell>
          <cell r="D5589" t="str">
            <v>Al Waleed Bin Abdul Malek Primary School</v>
          </cell>
          <cell r="H5589" t="str">
            <v>AD</v>
          </cell>
        </row>
        <row r="5590">
          <cell r="B5590" t="str">
            <v>Fire Extinguisher</v>
          </cell>
          <cell r="D5590" t="str">
            <v>Al Waleed Bin Abdul Malek Primary School</v>
          </cell>
          <cell r="H5590" t="str">
            <v>AD</v>
          </cell>
        </row>
        <row r="5591">
          <cell r="B5591" t="str">
            <v>Fire Extinguisher</v>
          </cell>
          <cell r="D5591" t="str">
            <v>Al Waleed Bin Abdul Malek Primary School</v>
          </cell>
          <cell r="H5591" t="str">
            <v>AD</v>
          </cell>
        </row>
        <row r="5592">
          <cell r="B5592" t="str">
            <v>Fire Extinguisher</v>
          </cell>
          <cell r="D5592" t="str">
            <v>Al Waleed Bin Abdul Malek Primary School</v>
          </cell>
          <cell r="H5592" t="str">
            <v>AD</v>
          </cell>
        </row>
        <row r="5593">
          <cell r="B5593" t="str">
            <v>Fire Extinguisher</v>
          </cell>
          <cell r="D5593" t="str">
            <v>Al Waleed Bin Abdul Malek Primary School</v>
          </cell>
          <cell r="H5593" t="str">
            <v>AD</v>
          </cell>
        </row>
        <row r="5594">
          <cell r="B5594" t="str">
            <v>Fire Extinguisher</v>
          </cell>
          <cell r="D5594" t="str">
            <v>Al Waleed Bin Abdul Malek Primary School</v>
          </cell>
          <cell r="H5594" t="str">
            <v>AD</v>
          </cell>
        </row>
        <row r="5595">
          <cell r="B5595" t="str">
            <v>Fire Extinguisher</v>
          </cell>
          <cell r="D5595" t="str">
            <v>Al Waleed Bin Abdul Malek Primary School</v>
          </cell>
          <cell r="H5595" t="str">
            <v>AD</v>
          </cell>
        </row>
        <row r="5596">
          <cell r="B5596" t="str">
            <v>Fire Extinguisher</v>
          </cell>
          <cell r="D5596" t="str">
            <v>Al Waleed Bin Abdul Malek Primary School</v>
          </cell>
          <cell r="H5596" t="str">
            <v>AD</v>
          </cell>
        </row>
        <row r="5597">
          <cell r="B5597" t="str">
            <v>Fire Extinguisher</v>
          </cell>
          <cell r="D5597" t="str">
            <v>Al Waleed Bin Abdul Malek Primary School</v>
          </cell>
          <cell r="H5597" t="str">
            <v>AD</v>
          </cell>
        </row>
        <row r="5598">
          <cell r="B5598" t="str">
            <v>Fire Extinguisher</v>
          </cell>
          <cell r="D5598" t="str">
            <v>Al Waleed Bin Abdul Malek Primary School</v>
          </cell>
          <cell r="H5598" t="str">
            <v>AD</v>
          </cell>
        </row>
        <row r="5599">
          <cell r="B5599" t="str">
            <v>Fire Extinguisher</v>
          </cell>
          <cell r="D5599" t="str">
            <v>Al Waleed Bin Abdul Malek Primary School</v>
          </cell>
          <cell r="H5599" t="str">
            <v>AD</v>
          </cell>
        </row>
        <row r="5600">
          <cell r="B5600" t="str">
            <v>Fire Extinguisher</v>
          </cell>
          <cell r="D5600" t="str">
            <v>Al Waleed Bin Abdul Malek Primary School</v>
          </cell>
          <cell r="H5600" t="str">
            <v>AD</v>
          </cell>
        </row>
        <row r="5601">
          <cell r="B5601" t="str">
            <v>Fire Extinguisher</v>
          </cell>
          <cell r="D5601" t="str">
            <v>Al Waleed Bin Abdul Malek Primary School</v>
          </cell>
          <cell r="H5601" t="str">
            <v>AD</v>
          </cell>
        </row>
        <row r="5602">
          <cell r="B5602" t="str">
            <v>Fire Extinguisher</v>
          </cell>
          <cell r="D5602" t="str">
            <v>Al Waleed Bin Abdul Malek Primary School</v>
          </cell>
          <cell r="H5602" t="str">
            <v>AD</v>
          </cell>
        </row>
        <row r="5603">
          <cell r="B5603" t="str">
            <v>Fire Extinguisher</v>
          </cell>
          <cell r="D5603" t="str">
            <v>Al Waleed Bin Abdul Malek Primary School</v>
          </cell>
          <cell r="H5603" t="str">
            <v>AD</v>
          </cell>
        </row>
        <row r="5604">
          <cell r="B5604" t="str">
            <v>Fire Extinguisher</v>
          </cell>
          <cell r="D5604" t="str">
            <v>Al Waleed Bin Abdul Malek Primary School</v>
          </cell>
          <cell r="H5604" t="str">
            <v>AD</v>
          </cell>
        </row>
        <row r="5605">
          <cell r="B5605" t="str">
            <v>Fire Extinguisher</v>
          </cell>
          <cell r="D5605" t="str">
            <v>Al Waleed Bin Abdul Malek Primary School</v>
          </cell>
          <cell r="H5605" t="str">
            <v>AD</v>
          </cell>
        </row>
        <row r="5606">
          <cell r="B5606" t="str">
            <v>Fire Extinguisher</v>
          </cell>
          <cell r="D5606" t="str">
            <v>Al Waleed Bin Abdul Malek Primary School</v>
          </cell>
          <cell r="H5606" t="str">
            <v>AD</v>
          </cell>
        </row>
        <row r="5607">
          <cell r="B5607" t="str">
            <v>Fire Extinguisher</v>
          </cell>
          <cell r="D5607" t="str">
            <v>Al Waleed Bin Abdul Malek Primary School</v>
          </cell>
          <cell r="H5607" t="str">
            <v>AD</v>
          </cell>
        </row>
        <row r="5608">
          <cell r="B5608" t="str">
            <v>Fire Extinguisher</v>
          </cell>
          <cell r="D5608" t="str">
            <v>Al Waleed Bin Abdul Malek Primary School</v>
          </cell>
          <cell r="H5608" t="str">
            <v>AD</v>
          </cell>
        </row>
        <row r="5609">
          <cell r="B5609" t="str">
            <v>Fire Extinguisher</v>
          </cell>
          <cell r="D5609" t="str">
            <v>Al Waleed Bin Abdul Malek Primary School</v>
          </cell>
          <cell r="H5609" t="str">
            <v>AD</v>
          </cell>
        </row>
        <row r="5610">
          <cell r="B5610" t="str">
            <v>Fire Extinguisher</v>
          </cell>
          <cell r="D5610" t="str">
            <v>Al Waleed Bin Abdul Malek Primary School</v>
          </cell>
          <cell r="H5610" t="str">
            <v>AD</v>
          </cell>
        </row>
        <row r="5611">
          <cell r="B5611" t="str">
            <v>Fire Extinguisher</v>
          </cell>
          <cell r="D5611" t="str">
            <v>Al Waleed Bin Abdul Malek Primary School</v>
          </cell>
          <cell r="H5611" t="str">
            <v>AD</v>
          </cell>
        </row>
        <row r="5612">
          <cell r="B5612" t="str">
            <v>Fire Extinguisher</v>
          </cell>
          <cell r="D5612" t="str">
            <v>Al Waleed Bin Abdul Malek Primary School</v>
          </cell>
          <cell r="H5612" t="str">
            <v>AD</v>
          </cell>
        </row>
        <row r="5613">
          <cell r="B5613" t="str">
            <v>Fire Extinguisher</v>
          </cell>
          <cell r="D5613" t="str">
            <v>Al Waleed Bin Abdul Malek Primary School</v>
          </cell>
          <cell r="H5613" t="str">
            <v>AD</v>
          </cell>
        </row>
        <row r="5614">
          <cell r="B5614" t="str">
            <v>Fire Extinguisher</v>
          </cell>
          <cell r="D5614" t="str">
            <v>Al Waleed Bin Abdul Malek Primary School</v>
          </cell>
          <cell r="H5614" t="str">
            <v>AD</v>
          </cell>
        </row>
        <row r="5615">
          <cell r="B5615" t="str">
            <v>Fire Extinguisher</v>
          </cell>
          <cell r="D5615" t="str">
            <v>Al Waleed Bin Abdul Malek Primary School</v>
          </cell>
          <cell r="H5615" t="str">
            <v>AD</v>
          </cell>
        </row>
        <row r="5616">
          <cell r="B5616" t="str">
            <v>Fire Extinguisher</v>
          </cell>
          <cell r="D5616" t="str">
            <v>Al Waleed Bin Abdul Malek Primary School</v>
          </cell>
          <cell r="H5616" t="str">
            <v>AD</v>
          </cell>
        </row>
        <row r="5617">
          <cell r="B5617" t="str">
            <v>Fire Extinguisher</v>
          </cell>
          <cell r="D5617" t="str">
            <v>Al Waleed Bin Abdul Malek Primary School</v>
          </cell>
          <cell r="H5617" t="str">
            <v>AD</v>
          </cell>
        </row>
        <row r="5618">
          <cell r="B5618" t="str">
            <v>Fire Extinguisher</v>
          </cell>
          <cell r="D5618" t="str">
            <v>Al Waleed Bin Abdul Malek Primary School</v>
          </cell>
          <cell r="H5618" t="str">
            <v>AD</v>
          </cell>
        </row>
        <row r="5619">
          <cell r="B5619" t="str">
            <v>Fire Extinguisher</v>
          </cell>
          <cell r="D5619" t="str">
            <v>Al Waleed Bin Abdul Malek Primary School</v>
          </cell>
          <cell r="H5619" t="str">
            <v>AD</v>
          </cell>
        </row>
        <row r="5620">
          <cell r="B5620" t="str">
            <v>Fire Extinguisher</v>
          </cell>
          <cell r="D5620" t="str">
            <v>Al Waleed Bin Abdul Malek Primary School</v>
          </cell>
          <cell r="H5620" t="str">
            <v>AD</v>
          </cell>
        </row>
        <row r="5621">
          <cell r="B5621" t="str">
            <v>Fire Extinguisher</v>
          </cell>
          <cell r="D5621" t="str">
            <v>Al Waleed Bin Abdul Malek Primary School</v>
          </cell>
          <cell r="H5621" t="str">
            <v>AD</v>
          </cell>
        </row>
        <row r="5622">
          <cell r="B5622" t="str">
            <v>Fire Extinguisher</v>
          </cell>
          <cell r="D5622" t="str">
            <v>Al Waleed Bin Abdul Malek Primary School</v>
          </cell>
          <cell r="H5622" t="str">
            <v>AD</v>
          </cell>
        </row>
        <row r="5623">
          <cell r="B5623" t="str">
            <v>Fire Extinguisher</v>
          </cell>
          <cell r="D5623" t="str">
            <v>Al Waleed Bin Abdul Malek Primary School</v>
          </cell>
          <cell r="H5623" t="str">
            <v>AD</v>
          </cell>
        </row>
        <row r="5624">
          <cell r="B5624" t="str">
            <v>Fire Extinguisher</v>
          </cell>
          <cell r="D5624" t="str">
            <v>Al Waleed Bin Abdul Malek Primary School</v>
          </cell>
          <cell r="H5624" t="str">
            <v>AD</v>
          </cell>
        </row>
        <row r="5625">
          <cell r="B5625" t="str">
            <v>Fire Extinguisher</v>
          </cell>
          <cell r="D5625" t="str">
            <v>Al Waleed Bin Abdul Malek Primary School</v>
          </cell>
          <cell r="H5625" t="str">
            <v>AD</v>
          </cell>
        </row>
        <row r="5626">
          <cell r="B5626" t="str">
            <v>Fire Extinguisher</v>
          </cell>
          <cell r="D5626" t="str">
            <v>Al Waleed Bin Abdul Malek Primary School</v>
          </cell>
          <cell r="H5626" t="str">
            <v>AD</v>
          </cell>
        </row>
        <row r="5627">
          <cell r="B5627" t="str">
            <v>Fire Extinguisher</v>
          </cell>
          <cell r="D5627" t="str">
            <v>Al Waleed Bin Abdul Malek Primary School</v>
          </cell>
          <cell r="H5627" t="str">
            <v>AD</v>
          </cell>
        </row>
        <row r="5628">
          <cell r="B5628" t="str">
            <v>Fire Extinguisher</v>
          </cell>
          <cell r="D5628" t="str">
            <v>Al Waleed Bin Abdul Malek Primary School</v>
          </cell>
          <cell r="H5628" t="str">
            <v>AD</v>
          </cell>
        </row>
        <row r="5629">
          <cell r="B5629" t="str">
            <v>Fire Hose Reel</v>
          </cell>
          <cell r="D5629" t="str">
            <v>Al Waleed Bin Abdul Malek Primary School</v>
          </cell>
          <cell r="H5629" t="str">
            <v>AD</v>
          </cell>
        </row>
        <row r="5630">
          <cell r="B5630" t="str">
            <v>Fire Hose Reel</v>
          </cell>
          <cell r="D5630" t="str">
            <v>Al Waleed Bin Abdul Malek Primary School</v>
          </cell>
          <cell r="H5630" t="str">
            <v>AD</v>
          </cell>
        </row>
        <row r="5631">
          <cell r="B5631" t="str">
            <v>Fire Hose Reel</v>
          </cell>
          <cell r="D5631" t="str">
            <v>Al Waleed Bin Abdul Malek Primary School</v>
          </cell>
          <cell r="H5631" t="str">
            <v>AD</v>
          </cell>
        </row>
        <row r="5632">
          <cell r="B5632" t="str">
            <v>Fire Hose Reel</v>
          </cell>
          <cell r="D5632" t="str">
            <v>Al Waleed Bin Abdul Malek Primary School</v>
          </cell>
          <cell r="H5632" t="str">
            <v>AD</v>
          </cell>
        </row>
        <row r="5633">
          <cell r="B5633" t="str">
            <v>Fire Hose Reel</v>
          </cell>
          <cell r="D5633" t="str">
            <v>Al Waleed Bin Abdul Malek Primary School</v>
          </cell>
          <cell r="H5633" t="str">
            <v>AD</v>
          </cell>
        </row>
        <row r="5634">
          <cell r="B5634" t="str">
            <v>Fire Hose Reel</v>
          </cell>
          <cell r="D5634" t="str">
            <v>Al Waleed Bin Abdul Malek Primary School</v>
          </cell>
          <cell r="H5634" t="str">
            <v>AD</v>
          </cell>
        </row>
        <row r="5635">
          <cell r="B5635" t="str">
            <v>Fire Hose Reel</v>
          </cell>
          <cell r="D5635" t="str">
            <v>Al Waleed Bin Abdul Malek Primary School</v>
          </cell>
          <cell r="H5635" t="str">
            <v>AD</v>
          </cell>
        </row>
        <row r="5636">
          <cell r="B5636" t="str">
            <v>Fire Hose Reel</v>
          </cell>
          <cell r="D5636" t="str">
            <v>Al Waleed Bin Abdul Malek Primary School</v>
          </cell>
          <cell r="H5636" t="str">
            <v>AD</v>
          </cell>
        </row>
        <row r="5637">
          <cell r="B5637" t="str">
            <v>Fire Hose Reel</v>
          </cell>
          <cell r="D5637" t="str">
            <v>Al Waleed Bin Abdul Malek Primary School</v>
          </cell>
          <cell r="H5637" t="str">
            <v>AD</v>
          </cell>
        </row>
        <row r="5638">
          <cell r="B5638" t="str">
            <v>Fire Hose Reel</v>
          </cell>
          <cell r="D5638" t="str">
            <v>Al Waleed Bin Abdul Malek Primary School</v>
          </cell>
          <cell r="H5638" t="str">
            <v>AD</v>
          </cell>
        </row>
        <row r="5639">
          <cell r="B5639" t="str">
            <v>Fire Hose Reel</v>
          </cell>
          <cell r="D5639" t="str">
            <v>Al Waleed Bin Abdul Malek Primary School</v>
          </cell>
          <cell r="H5639" t="str">
            <v>AD</v>
          </cell>
        </row>
        <row r="5640">
          <cell r="B5640" t="str">
            <v>Fire Hose Reel</v>
          </cell>
          <cell r="D5640" t="str">
            <v>Al Waleed Bin Abdul Malek Primary School</v>
          </cell>
          <cell r="H5640" t="str">
            <v>AD</v>
          </cell>
        </row>
        <row r="5641">
          <cell r="B5641" t="str">
            <v>FIRE PUMP - Electric</v>
          </cell>
          <cell r="D5641" t="str">
            <v>Al Waleed Bin Abdul Malek Primary School</v>
          </cell>
          <cell r="H5641" t="str">
            <v>AD</v>
          </cell>
        </row>
        <row r="5642">
          <cell r="B5642" t="str">
            <v>FIRE PUMP - Electric</v>
          </cell>
          <cell r="D5642" t="str">
            <v>Al Waleed Bin Abdul Malek Primary School</v>
          </cell>
          <cell r="H5642" t="str">
            <v>AD</v>
          </cell>
        </row>
        <row r="5643">
          <cell r="B5643" t="str">
            <v>FIRE PUMP - Electric</v>
          </cell>
          <cell r="D5643" t="str">
            <v>Al Waleed Bin Abdul Malek Primary School</v>
          </cell>
          <cell r="H5643" t="str">
            <v>AD</v>
          </cell>
        </row>
        <row r="5644">
          <cell r="B5644" t="str">
            <v>FIRE PUMP - Electric</v>
          </cell>
          <cell r="D5644" t="str">
            <v>Al Waleed Bin Abdul Malek Primary School</v>
          </cell>
          <cell r="H5644" t="str">
            <v>AD</v>
          </cell>
        </row>
        <row r="5645">
          <cell r="B5645" t="str">
            <v>Fire Smoke / Heat Detector, Sounder</v>
          </cell>
          <cell r="D5645" t="str">
            <v>Al Waleed Bin Abdul Malek Primary School</v>
          </cell>
          <cell r="H5645" t="str">
            <v>AD</v>
          </cell>
        </row>
        <row r="5646">
          <cell r="B5646" t="str">
            <v>Fire Smoke / Heat Detector, Sounder</v>
          </cell>
          <cell r="D5646" t="str">
            <v>Al Waleed Bin Abdul Malek Primary School</v>
          </cell>
          <cell r="H5646" t="str">
            <v>AD</v>
          </cell>
        </row>
        <row r="5647">
          <cell r="B5647" t="str">
            <v>Fire Smoke / Heat Detector, Sounder</v>
          </cell>
          <cell r="D5647" t="str">
            <v>Al Waleed Bin Abdul Malek Primary School</v>
          </cell>
          <cell r="H5647" t="str">
            <v>AD</v>
          </cell>
        </row>
        <row r="5648">
          <cell r="B5648" t="str">
            <v>Fire Smoke / Heat Detector, Sounder</v>
          </cell>
          <cell r="D5648" t="str">
            <v>Al Waleed Bin Abdul Malek Primary School</v>
          </cell>
          <cell r="H5648" t="str">
            <v>AD</v>
          </cell>
        </row>
        <row r="5649">
          <cell r="B5649" t="str">
            <v>Fire Smoke / Heat Detector, Sounder</v>
          </cell>
          <cell r="D5649" t="str">
            <v>Al Waleed Bin Abdul Malek Primary School</v>
          </cell>
          <cell r="H5649" t="str">
            <v>AD</v>
          </cell>
        </row>
        <row r="5650">
          <cell r="B5650" t="str">
            <v>Fire Smoke / Heat Detector, Sounder</v>
          </cell>
          <cell r="D5650" t="str">
            <v>Al Waleed Bin Abdul Malek Primary School</v>
          </cell>
          <cell r="H5650" t="str">
            <v>AD</v>
          </cell>
        </row>
        <row r="5651">
          <cell r="B5651" t="str">
            <v>Fire Smoke / Heat Detector, Sounder</v>
          </cell>
          <cell r="D5651" t="str">
            <v>Al Waleed Bin Abdul Malek Primary School</v>
          </cell>
          <cell r="H5651" t="str">
            <v>AD</v>
          </cell>
        </row>
        <row r="5652">
          <cell r="B5652" t="str">
            <v>Fire Smoke / Heat Detector, Sounder</v>
          </cell>
          <cell r="D5652" t="str">
            <v>Al Waleed Bin Abdul Malek Primary School</v>
          </cell>
          <cell r="H5652" t="str">
            <v>AD</v>
          </cell>
        </row>
        <row r="5653">
          <cell r="B5653" t="str">
            <v>Fire Smoke / Heat Detector, Sounder</v>
          </cell>
          <cell r="D5653" t="str">
            <v>Al Waleed Bin Abdul Malek Primary School</v>
          </cell>
          <cell r="H5653" t="str">
            <v>AD</v>
          </cell>
        </row>
        <row r="5654">
          <cell r="B5654" t="str">
            <v>Fire Smoke / Heat Detector, Sounder</v>
          </cell>
          <cell r="D5654" t="str">
            <v>Al Waleed Bin Abdul Malek Primary School</v>
          </cell>
          <cell r="H5654" t="str">
            <v>AD</v>
          </cell>
        </row>
        <row r="5655">
          <cell r="B5655" t="str">
            <v>Fire Smoke / Heat Detector, Sounder</v>
          </cell>
          <cell r="D5655" t="str">
            <v>Al Waleed Bin Abdul Malek Primary School</v>
          </cell>
          <cell r="H5655" t="str">
            <v>AD</v>
          </cell>
        </row>
        <row r="5656">
          <cell r="B5656" t="str">
            <v>Fire Smoke / Heat Detector, Sounder</v>
          </cell>
          <cell r="D5656" t="str">
            <v>Al Waleed Bin Abdul Malek Primary School</v>
          </cell>
          <cell r="H5656" t="str">
            <v>AD</v>
          </cell>
        </row>
        <row r="5657">
          <cell r="B5657" t="str">
            <v>Fire Smoke / Heat Detector, Sounder</v>
          </cell>
          <cell r="D5657" t="str">
            <v>Al Waleed Bin Abdul Malek Primary School</v>
          </cell>
          <cell r="H5657" t="str">
            <v>AD</v>
          </cell>
        </row>
        <row r="5658">
          <cell r="B5658" t="str">
            <v>Fire Smoke / Heat Detector, Sounder</v>
          </cell>
          <cell r="D5658" t="str">
            <v>Al Waleed Bin Abdul Malek Primary School</v>
          </cell>
          <cell r="H5658" t="str">
            <v>AD</v>
          </cell>
        </row>
        <row r="5659">
          <cell r="B5659" t="str">
            <v>Fire Smoke / Heat Detector, Sounder</v>
          </cell>
          <cell r="D5659" t="str">
            <v>Al Waleed Bin Abdul Malek Primary School</v>
          </cell>
          <cell r="H5659" t="str">
            <v>AD</v>
          </cell>
        </row>
        <row r="5660">
          <cell r="B5660" t="str">
            <v>Fire Smoke / Heat Detector, Sounder</v>
          </cell>
          <cell r="D5660" t="str">
            <v>Al Waleed Bin Abdul Malek Primary School</v>
          </cell>
          <cell r="H5660" t="str">
            <v>AD</v>
          </cell>
        </row>
        <row r="5661">
          <cell r="B5661" t="str">
            <v>Fire Smoke / Heat Detector, Sounder</v>
          </cell>
          <cell r="D5661" t="str">
            <v>Al Waleed Bin Abdul Malek Primary School</v>
          </cell>
          <cell r="H5661" t="str">
            <v>AD</v>
          </cell>
        </row>
        <row r="5662">
          <cell r="B5662" t="str">
            <v>Fire Smoke / Heat Detector, Sounder</v>
          </cell>
          <cell r="D5662" t="str">
            <v>Al Waleed Bin Abdul Malek Primary School</v>
          </cell>
          <cell r="H5662" t="str">
            <v>AD</v>
          </cell>
        </row>
        <row r="5663">
          <cell r="B5663" t="str">
            <v>Fire Smoke / Heat Detector, Sounder</v>
          </cell>
          <cell r="D5663" t="str">
            <v>Al Waleed Bin Abdul Malek Primary School</v>
          </cell>
          <cell r="H5663" t="str">
            <v>AD</v>
          </cell>
        </row>
        <row r="5664">
          <cell r="B5664" t="str">
            <v>Fire Smoke / Heat Detector, Sounder</v>
          </cell>
          <cell r="D5664" t="str">
            <v>Al Waleed Bin Abdul Malek Primary School</v>
          </cell>
          <cell r="H5664" t="str">
            <v>AD</v>
          </cell>
        </row>
        <row r="5665">
          <cell r="B5665" t="str">
            <v>Fire Smoke / Heat Detector, Sounder</v>
          </cell>
          <cell r="D5665" t="str">
            <v>Al Waleed Bin Abdul Malek Primary School</v>
          </cell>
          <cell r="H5665" t="str">
            <v>AD</v>
          </cell>
        </row>
        <row r="5666">
          <cell r="B5666" t="str">
            <v>Fire Smoke / Heat Detector, Sounder</v>
          </cell>
          <cell r="D5666" t="str">
            <v>Al Waleed Bin Abdul Malek Primary School</v>
          </cell>
          <cell r="H5666" t="str">
            <v>AD</v>
          </cell>
        </row>
        <row r="5667">
          <cell r="B5667" t="str">
            <v>Fire Smoke / Heat Detector, Sounder</v>
          </cell>
          <cell r="D5667" t="str">
            <v>Al Waleed Bin Abdul Malek Primary School</v>
          </cell>
          <cell r="H5667" t="str">
            <v>AD</v>
          </cell>
        </row>
        <row r="5668">
          <cell r="B5668" t="str">
            <v>Fire Smoke / Heat Detector, Sounder</v>
          </cell>
          <cell r="D5668" t="str">
            <v>Al Waleed Bin Abdul Malek Primary School</v>
          </cell>
          <cell r="H5668" t="str">
            <v>AD</v>
          </cell>
        </row>
        <row r="5669">
          <cell r="B5669" t="str">
            <v>Fire Smoke / Heat Detector, Sounder</v>
          </cell>
          <cell r="D5669" t="str">
            <v>Al Waleed Bin Abdul Malek Primary School</v>
          </cell>
          <cell r="H5669" t="str">
            <v>AD</v>
          </cell>
        </row>
        <row r="5670">
          <cell r="B5670" t="str">
            <v>Fire Smoke / Heat Detector, Sounder</v>
          </cell>
          <cell r="D5670" t="str">
            <v>Al Waleed Bin Abdul Malek Primary School</v>
          </cell>
          <cell r="H5670" t="str">
            <v>AD</v>
          </cell>
        </row>
        <row r="5671">
          <cell r="B5671" t="str">
            <v>Fire Smoke / Heat Detector, Sounder</v>
          </cell>
          <cell r="D5671" t="str">
            <v>Al Waleed Bin Abdul Malek Primary School</v>
          </cell>
          <cell r="H5671" t="str">
            <v>AD</v>
          </cell>
        </row>
        <row r="5672">
          <cell r="B5672" t="str">
            <v>Fire Smoke / Heat Detector, Sounder</v>
          </cell>
          <cell r="D5672" t="str">
            <v>Al Waleed Bin Abdul Malek Primary School</v>
          </cell>
          <cell r="H5672" t="str">
            <v>AD</v>
          </cell>
        </row>
        <row r="5673">
          <cell r="B5673" t="str">
            <v>Fire Smoke / Heat Detector, Sounder</v>
          </cell>
          <cell r="D5673" t="str">
            <v>Al Waleed Bin Abdul Malek Primary School</v>
          </cell>
          <cell r="H5673" t="str">
            <v>AD</v>
          </cell>
        </row>
        <row r="5674">
          <cell r="B5674" t="str">
            <v>Fire Smoke / Heat Detector, Sounder</v>
          </cell>
          <cell r="D5674" t="str">
            <v>Al Waleed Bin Abdul Malek Primary School</v>
          </cell>
          <cell r="H5674" t="str">
            <v>AD</v>
          </cell>
        </row>
        <row r="5675">
          <cell r="B5675" t="str">
            <v>Fire Smoke / Heat Detector, Sounder</v>
          </cell>
          <cell r="D5675" t="str">
            <v>Al Waleed Bin Abdul Malek Primary School</v>
          </cell>
          <cell r="H5675" t="str">
            <v>AD</v>
          </cell>
        </row>
        <row r="5676">
          <cell r="B5676" t="str">
            <v>Fire Smoke / Heat Detector, Sounder</v>
          </cell>
          <cell r="D5676" t="str">
            <v>Al Waleed Bin Abdul Malek Primary School</v>
          </cell>
          <cell r="H5676" t="str">
            <v>AD</v>
          </cell>
        </row>
        <row r="5677">
          <cell r="B5677" t="str">
            <v>Fire Smoke / Heat Detector, Sounder</v>
          </cell>
          <cell r="D5677" t="str">
            <v>Al Waleed Bin Abdul Malek Primary School</v>
          </cell>
          <cell r="H5677" t="str">
            <v>AD</v>
          </cell>
        </row>
        <row r="5678">
          <cell r="B5678" t="str">
            <v>Fire Smoke / Heat Detector, Sounder</v>
          </cell>
          <cell r="D5678" t="str">
            <v>Al Waleed Bin Abdul Malek Primary School</v>
          </cell>
          <cell r="H5678" t="str">
            <v>AD</v>
          </cell>
        </row>
        <row r="5679">
          <cell r="B5679" t="str">
            <v>Fire Smoke / Heat Detector, Sounder</v>
          </cell>
          <cell r="D5679" t="str">
            <v>Al Waleed Bin Abdul Malek Primary School</v>
          </cell>
          <cell r="H5679" t="str">
            <v>AD</v>
          </cell>
        </row>
        <row r="5680">
          <cell r="B5680" t="str">
            <v>Fire Smoke / Heat Detector, Sounder</v>
          </cell>
          <cell r="D5680" t="str">
            <v>Al Waleed Bin Abdul Malek Primary School</v>
          </cell>
          <cell r="H5680" t="str">
            <v>AD</v>
          </cell>
        </row>
        <row r="5681">
          <cell r="B5681" t="str">
            <v>Fire Smoke / Heat Detector, Sounder</v>
          </cell>
          <cell r="D5681" t="str">
            <v>Al Waleed Bin Abdul Malek Primary School</v>
          </cell>
          <cell r="H5681" t="str">
            <v>AD</v>
          </cell>
        </row>
        <row r="5682">
          <cell r="B5682" t="str">
            <v>Fire Smoke / Heat Detector, Sounder</v>
          </cell>
          <cell r="D5682" t="str">
            <v>Al Waleed Bin Abdul Malek Primary School</v>
          </cell>
          <cell r="H5682" t="str">
            <v>AD</v>
          </cell>
        </row>
        <row r="5683">
          <cell r="B5683" t="str">
            <v>Fire Smoke / Heat Detector, Sounder</v>
          </cell>
          <cell r="D5683" t="str">
            <v>Al Waleed Bin Abdul Malek Primary School</v>
          </cell>
          <cell r="H5683" t="str">
            <v>AD</v>
          </cell>
        </row>
        <row r="5684">
          <cell r="B5684" t="str">
            <v>Fire Smoke / Heat Detector, Sounder</v>
          </cell>
          <cell r="D5684" t="str">
            <v>Al Waleed Bin Abdul Malek Primary School</v>
          </cell>
          <cell r="H5684" t="str">
            <v>AD</v>
          </cell>
        </row>
        <row r="5685">
          <cell r="B5685" t="str">
            <v>Fire Smoke / Heat Detector, Sounder</v>
          </cell>
          <cell r="D5685" t="str">
            <v>Al Waleed Bin Abdul Malek Primary School</v>
          </cell>
          <cell r="H5685" t="str">
            <v>AD</v>
          </cell>
        </row>
        <row r="5686">
          <cell r="B5686" t="str">
            <v>Fire Smoke / Heat Detector, Sounder</v>
          </cell>
          <cell r="D5686" t="str">
            <v>Al Waleed Bin Abdul Malek Primary School</v>
          </cell>
          <cell r="H5686" t="str">
            <v>AD</v>
          </cell>
        </row>
        <row r="5687">
          <cell r="B5687" t="str">
            <v>Fire Smoke / Heat Detector, Sounder</v>
          </cell>
          <cell r="D5687" t="str">
            <v>Al Waleed Bin Abdul Malek Primary School</v>
          </cell>
          <cell r="H5687" t="str">
            <v>AD</v>
          </cell>
        </row>
        <row r="5688">
          <cell r="B5688" t="str">
            <v>Fire Smoke / Heat Detector, Sounder</v>
          </cell>
          <cell r="D5688" t="str">
            <v>Al Waleed Bin Abdul Malek Primary School</v>
          </cell>
          <cell r="H5688" t="str">
            <v>AD</v>
          </cell>
        </row>
        <row r="5689">
          <cell r="B5689" t="str">
            <v>Fire Smoke / Heat Detector, Sounder</v>
          </cell>
          <cell r="D5689" t="str">
            <v>Al Waleed Bin Abdul Malek Primary School</v>
          </cell>
          <cell r="H5689" t="str">
            <v>AD</v>
          </cell>
        </row>
        <row r="5690">
          <cell r="B5690" t="str">
            <v>Fire Smoke / Heat Detector, Sounder</v>
          </cell>
          <cell r="D5690" t="str">
            <v>Al Waleed Bin Abdul Malek Primary School</v>
          </cell>
          <cell r="H5690" t="str">
            <v>AD</v>
          </cell>
        </row>
        <row r="5691">
          <cell r="B5691" t="str">
            <v>Fire Smoke / Heat Detector, Sounder</v>
          </cell>
          <cell r="D5691" t="str">
            <v>Al Waleed Bin Abdul Malek Primary School</v>
          </cell>
          <cell r="H5691" t="str">
            <v>AD</v>
          </cell>
        </row>
        <row r="5692">
          <cell r="B5692" t="str">
            <v>Fire Smoke / Heat Detector, Sounder</v>
          </cell>
          <cell r="D5692" t="str">
            <v>Al Waleed Bin Abdul Malek Primary School</v>
          </cell>
          <cell r="H5692" t="str">
            <v>AD</v>
          </cell>
        </row>
        <row r="5693">
          <cell r="B5693" t="str">
            <v>Fire Smoke / Heat Detector, Sounder</v>
          </cell>
          <cell r="D5693" t="str">
            <v>Al Waleed Bin Abdul Malek Primary School</v>
          </cell>
          <cell r="H5693" t="str">
            <v>AD</v>
          </cell>
        </row>
        <row r="5694">
          <cell r="B5694" t="str">
            <v>Fire Smoke / Heat Detector, Sounder</v>
          </cell>
          <cell r="D5694" t="str">
            <v>Al Waleed Bin Abdul Malek Primary School</v>
          </cell>
          <cell r="H5694" t="str">
            <v>AD</v>
          </cell>
        </row>
        <row r="5695">
          <cell r="B5695" t="str">
            <v>Fire Smoke / Heat Detector, Sounder</v>
          </cell>
          <cell r="D5695" t="str">
            <v>Al Waleed Bin Abdul Malek Primary School</v>
          </cell>
          <cell r="H5695" t="str">
            <v>AD</v>
          </cell>
        </row>
        <row r="5696">
          <cell r="B5696" t="str">
            <v>Fire Smoke / Heat Detector, Sounder</v>
          </cell>
          <cell r="D5696" t="str">
            <v>Al Waleed Bin Abdul Malek Primary School</v>
          </cell>
          <cell r="H5696" t="str">
            <v>AD</v>
          </cell>
        </row>
        <row r="5697">
          <cell r="B5697" t="str">
            <v>Fire Smoke / Heat Detector, Sounder</v>
          </cell>
          <cell r="D5697" t="str">
            <v>Al Waleed Bin Abdul Malek Primary School</v>
          </cell>
          <cell r="H5697" t="str">
            <v>AD</v>
          </cell>
        </row>
        <row r="5698">
          <cell r="B5698" t="str">
            <v>Fire Smoke / Heat Detector, Sounder</v>
          </cell>
          <cell r="D5698" t="str">
            <v>Al Waleed Bin Abdul Malek Primary School</v>
          </cell>
          <cell r="H5698" t="str">
            <v>AD</v>
          </cell>
        </row>
        <row r="5699">
          <cell r="B5699" t="str">
            <v>Fire Smoke / Heat Detector, Sounder</v>
          </cell>
          <cell r="D5699" t="str">
            <v>Al Waleed Bin Abdul Malek Primary School</v>
          </cell>
          <cell r="H5699" t="str">
            <v>AD</v>
          </cell>
        </row>
        <row r="5700">
          <cell r="B5700" t="str">
            <v>Fire Smoke / Heat Detector, Sounder</v>
          </cell>
          <cell r="D5700" t="str">
            <v>Al Waleed Bin Abdul Malek Primary School</v>
          </cell>
          <cell r="H5700" t="str">
            <v>AD</v>
          </cell>
        </row>
        <row r="5701">
          <cell r="B5701" t="str">
            <v>Fire Smoke / Heat Detector, Sounder</v>
          </cell>
          <cell r="D5701" t="str">
            <v>Al Waleed Bin Abdul Malek Primary School</v>
          </cell>
          <cell r="H5701" t="str">
            <v>AD</v>
          </cell>
        </row>
        <row r="5702">
          <cell r="B5702" t="str">
            <v>Fire Smoke / Heat Detector, Sounder</v>
          </cell>
          <cell r="D5702" t="str">
            <v>Al Waleed Bin Abdul Malek Primary School</v>
          </cell>
          <cell r="H5702" t="str">
            <v>AD</v>
          </cell>
        </row>
        <row r="5703">
          <cell r="B5703" t="str">
            <v>Fire Smoke / Heat Detector, Sounder</v>
          </cell>
          <cell r="D5703" t="str">
            <v>Al Waleed Bin Abdul Malek Primary School</v>
          </cell>
          <cell r="H5703" t="str">
            <v>AD</v>
          </cell>
        </row>
        <row r="5704">
          <cell r="B5704" t="str">
            <v>Fire Smoke / Heat Detector, Sounder</v>
          </cell>
          <cell r="D5704" t="str">
            <v>Al Waleed Bin Abdul Malek Primary School</v>
          </cell>
          <cell r="H5704" t="str">
            <v>AD</v>
          </cell>
        </row>
        <row r="5705">
          <cell r="B5705" t="str">
            <v>Fire Smoke / Heat Detector, Sounder</v>
          </cell>
          <cell r="D5705" t="str">
            <v>Al Waleed Bin Abdul Malek Primary School</v>
          </cell>
          <cell r="H5705" t="str">
            <v>AD</v>
          </cell>
        </row>
        <row r="5706">
          <cell r="B5706" t="str">
            <v>Fire Smoke / Heat Detector, Sounder</v>
          </cell>
          <cell r="D5706" t="str">
            <v>Al Waleed Bin Abdul Malek Primary School</v>
          </cell>
          <cell r="H5706" t="str">
            <v>AD</v>
          </cell>
        </row>
        <row r="5707">
          <cell r="B5707" t="str">
            <v>Fire Smoke / Heat Detector, Sounder</v>
          </cell>
          <cell r="D5707" t="str">
            <v>Al Waleed Bin Abdul Malek Primary School</v>
          </cell>
          <cell r="H5707" t="str">
            <v>AD</v>
          </cell>
        </row>
        <row r="5708">
          <cell r="B5708" t="str">
            <v>Fire Smoke / Heat Detector, Sounder</v>
          </cell>
          <cell r="D5708" t="str">
            <v>Al Waleed Bin Abdul Malek Primary School</v>
          </cell>
          <cell r="H5708" t="str">
            <v>AD</v>
          </cell>
        </row>
        <row r="5709">
          <cell r="B5709" t="str">
            <v>Fire Smoke / Heat Detector, Sounder</v>
          </cell>
          <cell r="D5709" t="str">
            <v>Al Waleed Bin Abdul Malek Primary School</v>
          </cell>
          <cell r="H5709" t="str">
            <v>AD</v>
          </cell>
        </row>
        <row r="5710">
          <cell r="B5710" t="str">
            <v>Fire Smoke / Heat Detector, Sounder</v>
          </cell>
          <cell r="D5710" t="str">
            <v>Al Waleed Bin Abdul Malek Primary School</v>
          </cell>
          <cell r="H5710" t="str">
            <v>AD</v>
          </cell>
        </row>
        <row r="5711">
          <cell r="B5711" t="str">
            <v>Fire Smoke / Heat Detector, Sounder</v>
          </cell>
          <cell r="D5711" t="str">
            <v>Al Waleed Bin Abdul Malek Primary School</v>
          </cell>
          <cell r="H5711" t="str">
            <v>AD</v>
          </cell>
        </row>
        <row r="5712">
          <cell r="B5712" t="str">
            <v>Fire Smoke / Heat Detector, Sounder</v>
          </cell>
          <cell r="D5712" t="str">
            <v>Al Waleed Bin Abdul Malek Primary School</v>
          </cell>
          <cell r="H5712" t="str">
            <v>AD</v>
          </cell>
        </row>
        <row r="5713">
          <cell r="B5713" t="str">
            <v>Fire Smoke / Heat Detector, Sounder</v>
          </cell>
          <cell r="D5713" t="str">
            <v>Al Waleed Bin Abdul Malek Primary School</v>
          </cell>
          <cell r="H5713" t="str">
            <v>AD</v>
          </cell>
        </row>
        <row r="5714">
          <cell r="B5714" t="str">
            <v>Fire Smoke / Heat Detector, Sounder</v>
          </cell>
          <cell r="D5714" t="str">
            <v>Al Waleed Bin Abdul Malek Primary School</v>
          </cell>
          <cell r="H5714" t="str">
            <v>AD</v>
          </cell>
        </row>
        <row r="5715">
          <cell r="B5715" t="str">
            <v>Fire Smoke / Heat Detector, Sounder</v>
          </cell>
          <cell r="D5715" t="str">
            <v>Al Waleed Bin Abdul Malek Primary School</v>
          </cell>
          <cell r="H5715" t="str">
            <v>AD</v>
          </cell>
        </row>
        <row r="5716">
          <cell r="B5716" t="str">
            <v>Fire Smoke / Heat Detector, Sounder</v>
          </cell>
          <cell r="D5716" t="str">
            <v>Al Waleed Bin Abdul Malek Primary School</v>
          </cell>
          <cell r="H5716" t="str">
            <v>AD</v>
          </cell>
        </row>
        <row r="5717">
          <cell r="B5717" t="str">
            <v>Fire Smoke / Heat Detector, Sounder</v>
          </cell>
          <cell r="D5717" t="str">
            <v>Al Waleed Bin Abdul Malek Primary School</v>
          </cell>
          <cell r="H5717" t="str">
            <v>AD</v>
          </cell>
        </row>
        <row r="5718">
          <cell r="B5718" t="str">
            <v>Fire Smoke / Heat Detector, Sounder</v>
          </cell>
          <cell r="D5718" t="str">
            <v>Al Waleed Bin Abdul Malek Primary School</v>
          </cell>
          <cell r="H5718" t="str">
            <v>AD</v>
          </cell>
        </row>
        <row r="5719">
          <cell r="B5719" t="str">
            <v>Fire Smoke / Heat Detector, Sounder</v>
          </cell>
          <cell r="D5719" t="str">
            <v>Al Waleed Bin Abdul Malek Primary School</v>
          </cell>
          <cell r="H5719" t="str">
            <v>AD</v>
          </cell>
        </row>
        <row r="5720">
          <cell r="B5720" t="str">
            <v>Fire Smoke / Heat Detector, Sounder</v>
          </cell>
          <cell r="D5720" t="str">
            <v>Al Waleed Bin Abdul Malek Primary School</v>
          </cell>
          <cell r="H5720" t="str">
            <v>AD</v>
          </cell>
        </row>
        <row r="5721">
          <cell r="B5721" t="str">
            <v>Fire Smoke / Heat Detector, Sounder</v>
          </cell>
          <cell r="D5721" t="str">
            <v>Al Waleed Bin Abdul Malek Primary School</v>
          </cell>
          <cell r="H5721" t="str">
            <v>AD</v>
          </cell>
        </row>
        <row r="5722">
          <cell r="B5722" t="str">
            <v>Fire Smoke / Heat Detector, Sounder</v>
          </cell>
          <cell r="D5722" t="str">
            <v>Al Waleed Bin Abdul Malek Primary School</v>
          </cell>
          <cell r="H5722" t="str">
            <v>AD</v>
          </cell>
        </row>
        <row r="5723">
          <cell r="B5723" t="str">
            <v>Fire Smoke / Heat Detector, Sounder</v>
          </cell>
          <cell r="D5723" t="str">
            <v>Al Waleed Bin Abdul Malek Primary School</v>
          </cell>
          <cell r="H5723" t="str">
            <v>AD</v>
          </cell>
        </row>
        <row r="5724">
          <cell r="B5724" t="str">
            <v>Fire Smoke / Heat Detector, Sounder</v>
          </cell>
          <cell r="D5724" t="str">
            <v>Al Waleed Bin Abdul Malek Primary School</v>
          </cell>
          <cell r="H5724" t="str">
            <v>AD</v>
          </cell>
        </row>
        <row r="5725">
          <cell r="B5725" t="str">
            <v>Fire Smoke / Heat Detector, Sounder</v>
          </cell>
          <cell r="D5725" t="str">
            <v>Al Waleed Bin Abdul Malek Primary School</v>
          </cell>
          <cell r="H5725" t="str">
            <v>AD</v>
          </cell>
        </row>
        <row r="5726">
          <cell r="B5726" t="str">
            <v>Fire Smoke / Heat Detector, Sounder</v>
          </cell>
          <cell r="D5726" t="str">
            <v>Al Waleed Bin Abdul Malek Primary School</v>
          </cell>
          <cell r="H5726" t="str">
            <v>AD</v>
          </cell>
        </row>
        <row r="5727">
          <cell r="B5727" t="str">
            <v>Fire Smoke / Heat Detector, Sounder</v>
          </cell>
          <cell r="D5727" t="str">
            <v>Al Waleed Bin Abdul Malek Primary School</v>
          </cell>
          <cell r="H5727" t="str">
            <v>AD</v>
          </cell>
        </row>
        <row r="5728">
          <cell r="B5728" t="str">
            <v>Fire Smoke / Heat Detector, Sounder</v>
          </cell>
          <cell r="D5728" t="str">
            <v>Al Waleed Bin Abdul Malek Primary School</v>
          </cell>
          <cell r="H5728" t="str">
            <v>AD</v>
          </cell>
        </row>
        <row r="5729">
          <cell r="B5729" t="str">
            <v>Fire Smoke / Heat Detector, Sounder</v>
          </cell>
          <cell r="D5729" t="str">
            <v>Al Waleed Bin Abdul Malek Primary School</v>
          </cell>
          <cell r="H5729" t="str">
            <v>AD</v>
          </cell>
        </row>
        <row r="5730">
          <cell r="B5730" t="str">
            <v>Fire Smoke / Heat Detector, Sounder</v>
          </cell>
          <cell r="D5730" t="str">
            <v>Al Waleed Bin Abdul Malek Primary School</v>
          </cell>
          <cell r="H5730" t="str">
            <v>AD</v>
          </cell>
        </row>
        <row r="5731">
          <cell r="B5731" t="str">
            <v>Fire Smoke / Heat Detector, Sounder</v>
          </cell>
          <cell r="D5731" t="str">
            <v>Al Waleed Bin Abdul Malek Primary School</v>
          </cell>
          <cell r="H5731" t="str">
            <v>AD</v>
          </cell>
        </row>
        <row r="5732">
          <cell r="B5732" t="str">
            <v>Fire Smoke / Heat Detector, Sounder</v>
          </cell>
          <cell r="D5732" t="str">
            <v>Al Waleed Bin Abdul Malek Primary School</v>
          </cell>
          <cell r="H5732" t="str">
            <v>AD</v>
          </cell>
        </row>
        <row r="5733">
          <cell r="B5733" t="str">
            <v>Fire Smoke / Heat Detector, Sounder</v>
          </cell>
          <cell r="D5733" t="str">
            <v>Al Waleed Bin Abdul Malek Primary School</v>
          </cell>
          <cell r="H5733" t="str">
            <v>AD</v>
          </cell>
        </row>
        <row r="5734">
          <cell r="B5734" t="str">
            <v>Fire Smoke / Heat Detector, Sounder</v>
          </cell>
          <cell r="D5734" t="str">
            <v>Al Waleed Bin Abdul Malek Primary School</v>
          </cell>
          <cell r="H5734" t="str">
            <v>AD</v>
          </cell>
        </row>
        <row r="5735">
          <cell r="B5735" t="str">
            <v>Fire Smoke / Heat Detector, Sounder</v>
          </cell>
          <cell r="D5735" t="str">
            <v>Al Waleed Bin Abdul Malek Primary School</v>
          </cell>
          <cell r="H5735" t="str">
            <v>AD</v>
          </cell>
        </row>
        <row r="5736">
          <cell r="B5736" t="str">
            <v>Fire Smoke / Heat Detector, Sounder</v>
          </cell>
          <cell r="D5736" t="str">
            <v>Al Waleed Bin Abdul Malek Primary School</v>
          </cell>
          <cell r="H5736" t="str">
            <v>AD</v>
          </cell>
        </row>
        <row r="5737">
          <cell r="B5737" t="str">
            <v>Fire Smoke / Heat Detector, Sounder</v>
          </cell>
          <cell r="D5737" t="str">
            <v>Al Waleed Bin Abdul Malek Primary School</v>
          </cell>
          <cell r="H5737" t="str">
            <v>AD</v>
          </cell>
        </row>
        <row r="5738">
          <cell r="B5738" t="str">
            <v>Fire Smoke / Heat Detector, Sounder</v>
          </cell>
          <cell r="D5738" t="str">
            <v>Al Waleed Bin Abdul Malek Primary School</v>
          </cell>
          <cell r="H5738" t="str">
            <v>AD</v>
          </cell>
        </row>
        <row r="5739">
          <cell r="B5739" t="str">
            <v>Fire Smoke / Heat Detector, Sounder</v>
          </cell>
          <cell r="D5739" t="str">
            <v>Al Waleed Bin Abdul Malek Primary School</v>
          </cell>
          <cell r="H5739" t="str">
            <v>AD</v>
          </cell>
        </row>
        <row r="5740">
          <cell r="B5740" t="str">
            <v>Fire Smoke / Heat Detector, Sounder</v>
          </cell>
          <cell r="D5740" t="str">
            <v>Al Waleed Bin Abdul Malek Primary School</v>
          </cell>
          <cell r="H5740" t="str">
            <v>AD</v>
          </cell>
        </row>
        <row r="5741">
          <cell r="B5741" t="str">
            <v>Fire Smoke / Heat Detector, Sounder</v>
          </cell>
          <cell r="D5741" t="str">
            <v>Al Waleed Bin Abdul Malek Primary School</v>
          </cell>
          <cell r="H5741" t="str">
            <v>AD</v>
          </cell>
        </row>
        <row r="5742">
          <cell r="B5742" t="str">
            <v>Fire Smoke / Heat Detector, Sounder</v>
          </cell>
          <cell r="D5742" t="str">
            <v>Al Waleed Bin Abdul Malek Primary School</v>
          </cell>
          <cell r="H5742" t="str">
            <v>AD</v>
          </cell>
        </row>
        <row r="5743">
          <cell r="B5743" t="str">
            <v>Fire Smoke / Heat Detector, Sounder</v>
          </cell>
          <cell r="D5743" t="str">
            <v>Al Waleed Bin Abdul Malek Primary School</v>
          </cell>
          <cell r="H5743" t="str">
            <v>AD</v>
          </cell>
        </row>
        <row r="5744">
          <cell r="B5744" t="str">
            <v>Fire Smoke / Heat Detector, Sounder</v>
          </cell>
          <cell r="D5744" t="str">
            <v>Al Waleed Bin Abdul Malek Primary School</v>
          </cell>
          <cell r="H5744" t="str">
            <v>AD</v>
          </cell>
        </row>
        <row r="5745">
          <cell r="B5745" t="str">
            <v>Fire Smoke / Heat Detector, Sounder</v>
          </cell>
          <cell r="D5745" t="str">
            <v>Al Waleed Bin Abdul Malek Primary School</v>
          </cell>
          <cell r="H5745" t="str">
            <v>AD</v>
          </cell>
        </row>
        <row r="5746">
          <cell r="B5746" t="str">
            <v>Fire Smoke / Heat Detector, Sounder</v>
          </cell>
          <cell r="D5746" t="str">
            <v>Al Waleed Bin Abdul Malek Primary School</v>
          </cell>
          <cell r="H5746" t="str">
            <v>AD</v>
          </cell>
        </row>
        <row r="5747">
          <cell r="B5747" t="str">
            <v>Fire Smoke / Heat Detector, Sounder</v>
          </cell>
          <cell r="D5747" t="str">
            <v>Al Waleed Bin Abdul Malek Primary School</v>
          </cell>
          <cell r="H5747" t="str">
            <v>AD</v>
          </cell>
        </row>
        <row r="5748">
          <cell r="B5748" t="str">
            <v>Fire Smoke / Heat Detector, Sounder</v>
          </cell>
          <cell r="D5748" t="str">
            <v>Al Waleed Bin Abdul Malek Primary School</v>
          </cell>
          <cell r="H5748" t="str">
            <v>AD</v>
          </cell>
        </row>
        <row r="5749">
          <cell r="B5749" t="str">
            <v>Fire Smoke / Heat Detector, Sounder</v>
          </cell>
          <cell r="D5749" t="str">
            <v>Al Waleed Bin Abdul Malek Primary School</v>
          </cell>
          <cell r="H5749" t="str">
            <v>AD</v>
          </cell>
        </row>
        <row r="5750">
          <cell r="B5750" t="str">
            <v>Fire Smoke / Heat Detector, Sounder</v>
          </cell>
          <cell r="D5750" t="str">
            <v>Al Waleed Bin Abdul Malek Primary School</v>
          </cell>
          <cell r="H5750" t="str">
            <v>AD</v>
          </cell>
        </row>
        <row r="5751">
          <cell r="B5751" t="str">
            <v>Fire Smoke / Heat Detector, Sounder</v>
          </cell>
          <cell r="D5751" t="str">
            <v>Al Waleed Bin Abdul Malek Primary School</v>
          </cell>
          <cell r="H5751" t="str">
            <v>AD</v>
          </cell>
        </row>
        <row r="5752">
          <cell r="B5752" t="str">
            <v>Fire Smoke / Heat Detector, Sounder</v>
          </cell>
          <cell r="D5752" t="str">
            <v>Al Waleed Bin Abdul Malek Primary School</v>
          </cell>
          <cell r="H5752" t="str">
            <v>AD</v>
          </cell>
        </row>
        <row r="5753">
          <cell r="B5753" t="str">
            <v>Fire Smoke / Heat Detector, Sounder</v>
          </cell>
          <cell r="D5753" t="str">
            <v>Al Waleed Bin Abdul Malek Primary School</v>
          </cell>
          <cell r="H5753" t="str">
            <v>AD</v>
          </cell>
        </row>
        <row r="5754">
          <cell r="B5754" t="str">
            <v>Fire Smoke / Heat Detector, Sounder</v>
          </cell>
          <cell r="D5754" t="str">
            <v>Al Waleed Bin Abdul Malek Primary School</v>
          </cell>
          <cell r="H5754" t="str">
            <v>AD</v>
          </cell>
        </row>
        <row r="5755">
          <cell r="B5755" t="str">
            <v>Fire Smoke / Heat Detector, Sounder</v>
          </cell>
          <cell r="D5755" t="str">
            <v>Al Waleed Bin Abdul Malek Primary School</v>
          </cell>
          <cell r="H5755" t="str">
            <v>AD</v>
          </cell>
        </row>
        <row r="5756">
          <cell r="B5756" t="str">
            <v>Fire Smoke / Heat Detector, Sounder</v>
          </cell>
          <cell r="D5756" t="str">
            <v>Al Waleed Bin Abdul Malek Primary School</v>
          </cell>
          <cell r="H5756" t="str">
            <v>AD</v>
          </cell>
        </row>
        <row r="5757">
          <cell r="B5757" t="str">
            <v>Fire Smoke / Heat Detector, Sounder</v>
          </cell>
          <cell r="D5757" t="str">
            <v>Al Waleed Bin Abdul Malek Primary School</v>
          </cell>
          <cell r="H5757" t="str">
            <v>AD</v>
          </cell>
        </row>
        <row r="5758">
          <cell r="B5758" t="str">
            <v>Fire Smoke / Heat Detector, Sounder</v>
          </cell>
          <cell r="D5758" t="str">
            <v>Al Waleed Bin Abdul Malek Primary School</v>
          </cell>
          <cell r="H5758" t="str">
            <v>AD</v>
          </cell>
        </row>
        <row r="5759">
          <cell r="B5759" t="str">
            <v>Fire Smoke / Heat Detector, Sounder</v>
          </cell>
          <cell r="D5759" t="str">
            <v>Al Waleed Bin Abdul Malek Primary School</v>
          </cell>
          <cell r="H5759" t="str">
            <v>AD</v>
          </cell>
        </row>
        <row r="5760">
          <cell r="B5760" t="str">
            <v>Fire Smoke / Heat Detector, Sounder</v>
          </cell>
          <cell r="D5760" t="str">
            <v>Al Waleed Bin Abdul Malek Primary School</v>
          </cell>
          <cell r="H5760" t="str">
            <v>AD</v>
          </cell>
        </row>
        <row r="5761">
          <cell r="B5761" t="str">
            <v>Fire Smoke / Heat Detector, Sounder</v>
          </cell>
          <cell r="D5761" t="str">
            <v>Al Waleed Bin Abdul Malek Primary School</v>
          </cell>
          <cell r="H5761" t="str">
            <v>AD</v>
          </cell>
        </row>
        <row r="5762">
          <cell r="B5762" t="str">
            <v>Fire Smoke / Heat Detector, Sounder</v>
          </cell>
          <cell r="D5762" t="str">
            <v>Al Waleed Bin Abdul Malek Primary School</v>
          </cell>
          <cell r="H5762" t="str">
            <v>AD</v>
          </cell>
        </row>
        <row r="5763">
          <cell r="B5763" t="str">
            <v>Fire Smoke / Heat Detector, Sounder</v>
          </cell>
          <cell r="D5763" t="str">
            <v>Al Waleed Bin Abdul Malek Primary School</v>
          </cell>
          <cell r="H5763" t="str">
            <v>AD</v>
          </cell>
        </row>
        <row r="5764">
          <cell r="B5764" t="str">
            <v>Fire Smoke / Heat Detector, Sounder</v>
          </cell>
          <cell r="D5764" t="str">
            <v>Al Waleed Bin Abdul Malek Primary School</v>
          </cell>
          <cell r="H5764" t="str">
            <v>AD</v>
          </cell>
        </row>
        <row r="5765">
          <cell r="B5765" t="str">
            <v>Fire Smoke / Heat Detector, Sounder</v>
          </cell>
          <cell r="D5765" t="str">
            <v>Al Waleed Bin Abdul Malek Primary School</v>
          </cell>
          <cell r="H5765" t="str">
            <v>AD</v>
          </cell>
        </row>
        <row r="5766">
          <cell r="B5766" t="str">
            <v>Fire Smoke / Heat Detector, Sounder</v>
          </cell>
          <cell r="D5766" t="str">
            <v>Al Waleed Bin Abdul Malek Primary School</v>
          </cell>
          <cell r="H5766" t="str">
            <v>AD</v>
          </cell>
        </row>
        <row r="5767">
          <cell r="B5767" t="str">
            <v>Fire Smoke / Heat Detector, Sounder</v>
          </cell>
          <cell r="D5767" t="str">
            <v>Al Waleed Bin Abdul Malek Primary School</v>
          </cell>
          <cell r="H5767" t="str">
            <v>AD</v>
          </cell>
        </row>
        <row r="5768">
          <cell r="B5768" t="str">
            <v>Fire Smoke / Heat Detector, Sounder</v>
          </cell>
          <cell r="D5768" t="str">
            <v>Al Waleed Bin Abdul Malek Primary School</v>
          </cell>
          <cell r="H5768" t="str">
            <v>AD</v>
          </cell>
        </row>
        <row r="5769">
          <cell r="B5769" t="str">
            <v>Fire Smoke / Heat Detector, Sounder</v>
          </cell>
          <cell r="D5769" t="str">
            <v>Al Waleed Bin Abdul Malek Primary School</v>
          </cell>
          <cell r="H5769" t="str">
            <v>AD</v>
          </cell>
        </row>
        <row r="5770">
          <cell r="B5770" t="str">
            <v>Fire Smoke / Heat Detector, Sounder</v>
          </cell>
          <cell r="D5770" t="str">
            <v>Al Waleed Bin Abdul Malek Primary School</v>
          </cell>
          <cell r="H5770" t="str">
            <v>AD</v>
          </cell>
        </row>
        <row r="5771">
          <cell r="B5771" t="str">
            <v>Fire Smoke / Heat Detector, Sounder</v>
          </cell>
          <cell r="D5771" t="str">
            <v>Al Waleed Bin Abdul Malek Primary School</v>
          </cell>
          <cell r="H5771" t="str">
            <v>AD</v>
          </cell>
        </row>
        <row r="5772">
          <cell r="B5772" t="str">
            <v>Fire Smoke / Heat Detector, Sounder</v>
          </cell>
          <cell r="D5772" t="str">
            <v>Al Waleed Bin Abdul Malek Primary School</v>
          </cell>
          <cell r="H5772" t="str">
            <v>AD</v>
          </cell>
        </row>
        <row r="5773">
          <cell r="B5773" t="str">
            <v>Fire Smoke / Heat Detector, Sounder</v>
          </cell>
          <cell r="D5773" t="str">
            <v>Al Waleed Bin Abdul Malek Primary School</v>
          </cell>
          <cell r="H5773" t="str">
            <v>AD</v>
          </cell>
        </row>
        <row r="5774">
          <cell r="B5774" t="str">
            <v>Fire Smoke / Heat Detector, Sounder</v>
          </cell>
          <cell r="D5774" t="str">
            <v>Al Waleed Bin Abdul Malek Primary School</v>
          </cell>
          <cell r="H5774" t="str">
            <v>AD</v>
          </cell>
        </row>
        <row r="5775">
          <cell r="B5775" t="str">
            <v>Fire Smoke / Heat Detector, Sounder</v>
          </cell>
          <cell r="D5775" t="str">
            <v>Al Waleed Bin Abdul Malek Primary School</v>
          </cell>
          <cell r="H5775" t="str">
            <v>AD</v>
          </cell>
        </row>
        <row r="5776">
          <cell r="B5776" t="str">
            <v>Fire Smoke / Heat Detector, Sounder</v>
          </cell>
          <cell r="D5776" t="str">
            <v>Al Waleed Bin Abdul Malek Primary School</v>
          </cell>
          <cell r="H5776" t="str">
            <v>AD</v>
          </cell>
        </row>
        <row r="5777">
          <cell r="B5777" t="str">
            <v>Fire Smoke / Heat Detector, Sounder</v>
          </cell>
          <cell r="D5777" t="str">
            <v>Al Waleed Bin Abdul Malek Primary School</v>
          </cell>
          <cell r="H5777" t="str">
            <v>AD</v>
          </cell>
        </row>
        <row r="5778">
          <cell r="B5778" t="str">
            <v>Fire Smoke / Heat Detector, Sounder</v>
          </cell>
          <cell r="D5778" t="str">
            <v>Al Waleed Bin Abdul Malek Primary School</v>
          </cell>
          <cell r="H5778" t="str">
            <v>AD</v>
          </cell>
        </row>
        <row r="5779">
          <cell r="B5779" t="str">
            <v>Fire Smoke / Heat Detector, Sounder</v>
          </cell>
          <cell r="D5779" t="str">
            <v>Al Waleed Bin Abdul Malek Primary School</v>
          </cell>
          <cell r="H5779" t="str">
            <v>AD</v>
          </cell>
        </row>
        <row r="5780">
          <cell r="B5780" t="str">
            <v>Fire Smoke / Heat Detector, Sounder</v>
          </cell>
          <cell r="D5780" t="str">
            <v>Al Waleed Bin Abdul Malek Primary School</v>
          </cell>
          <cell r="H5780" t="str">
            <v>AD</v>
          </cell>
        </row>
        <row r="5781">
          <cell r="B5781" t="str">
            <v>Fire Smoke / Heat Detector, Sounder</v>
          </cell>
          <cell r="D5781" t="str">
            <v>Al Waleed Bin Abdul Malek Primary School</v>
          </cell>
          <cell r="H5781" t="str">
            <v>AD</v>
          </cell>
        </row>
        <row r="5782">
          <cell r="B5782" t="str">
            <v>Fire Smoke / Heat Detector, Sounder</v>
          </cell>
          <cell r="D5782" t="str">
            <v>Al Waleed Bin Abdul Malek Primary School</v>
          </cell>
          <cell r="H5782" t="str">
            <v>AD</v>
          </cell>
        </row>
        <row r="5783">
          <cell r="B5783" t="str">
            <v>Fire Smoke / Heat Detector, Sounder</v>
          </cell>
          <cell r="D5783" t="str">
            <v>Al Waleed Bin Abdul Malek Primary School</v>
          </cell>
          <cell r="H5783" t="str">
            <v>AD</v>
          </cell>
        </row>
        <row r="5784">
          <cell r="B5784" t="str">
            <v>Fire Smoke / Heat Detector, Sounder</v>
          </cell>
          <cell r="D5784" t="str">
            <v>Al Waleed Bin Abdul Malek Primary School</v>
          </cell>
          <cell r="H5784" t="str">
            <v>AD</v>
          </cell>
        </row>
        <row r="5785">
          <cell r="B5785" t="str">
            <v>Fire Smoke / Heat Detector, Sounder</v>
          </cell>
          <cell r="D5785" t="str">
            <v>Al Waleed Bin Abdul Malek Primary School</v>
          </cell>
          <cell r="H5785" t="str">
            <v>AD</v>
          </cell>
        </row>
        <row r="5786">
          <cell r="B5786" t="str">
            <v>Fire Smoke / Heat Detector, Sounder</v>
          </cell>
          <cell r="D5786" t="str">
            <v>Al Waleed Bin Abdul Malek Primary School</v>
          </cell>
          <cell r="H5786" t="str">
            <v>AD</v>
          </cell>
        </row>
        <row r="5787">
          <cell r="B5787" t="str">
            <v>Fire Smoke / Heat Detector, Sounder</v>
          </cell>
          <cell r="D5787" t="str">
            <v>Al Waleed Bin Abdul Malek Primary School</v>
          </cell>
          <cell r="H5787" t="str">
            <v>AD</v>
          </cell>
        </row>
        <row r="5788">
          <cell r="B5788" t="str">
            <v>Fire Smoke / Heat Detector, Sounder</v>
          </cell>
          <cell r="D5788" t="str">
            <v>Al Waleed Bin Abdul Malek Primary School</v>
          </cell>
          <cell r="H5788" t="str">
            <v>AD</v>
          </cell>
        </row>
        <row r="5789">
          <cell r="B5789" t="str">
            <v>Fire Smoke / Heat Detector, Sounder</v>
          </cell>
          <cell r="D5789" t="str">
            <v>Al Waleed Bin Abdul Malek Primary School</v>
          </cell>
          <cell r="H5789" t="str">
            <v>AD</v>
          </cell>
        </row>
        <row r="5790">
          <cell r="B5790" t="str">
            <v>Fire Smoke / Heat Detector, Sounder</v>
          </cell>
          <cell r="D5790" t="str">
            <v>Al Waleed Bin Abdul Malek Primary School</v>
          </cell>
          <cell r="H5790" t="str">
            <v>AD</v>
          </cell>
        </row>
        <row r="5791">
          <cell r="B5791" t="str">
            <v>Fire Smoke / Heat Detector, Sounder</v>
          </cell>
          <cell r="D5791" t="str">
            <v>Al Waleed Bin Abdul Malek Primary School</v>
          </cell>
          <cell r="H5791" t="str">
            <v>AD</v>
          </cell>
        </row>
        <row r="5792">
          <cell r="B5792" t="str">
            <v>Fire Smoke / Heat Detector, Sounder</v>
          </cell>
          <cell r="D5792" t="str">
            <v>Al Waleed Bin Abdul Malek Primary School</v>
          </cell>
          <cell r="H5792" t="str">
            <v>AD</v>
          </cell>
        </row>
        <row r="5793">
          <cell r="B5793" t="str">
            <v>Fire Smoke / Heat Detector, Sounder</v>
          </cell>
          <cell r="D5793" t="str">
            <v>Al Waleed Bin Abdul Malek Primary School</v>
          </cell>
          <cell r="H5793" t="str">
            <v>AD</v>
          </cell>
        </row>
        <row r="5794">
          <cell r="B5794" t="str">
            <v>Fire Smoke / Heat Detector, Sounder</v>
          </cell>
          <cell r="D5794" t="str">
            <v>Al Waleed Bin Abdul Malek Primary School</v>
          </cell>
          <cell r="H5794" t="str">
            <v>AD</v>
          </cell>
        </row>
        <row r="5795">
          <cell r="B5795" t="str">
            <v>Fire Smoke / Heat Detector, Sounder</v>
          </cell>
          <cell r="D5795" t="str">
            <v>Al Waleed Bin Abdul Malek Primary School</v>
          </cell>
          <cell r="H5795" t="str">
            <v>AD</v>
          </cell>
        </row>
        <row r="5796">
          <cell r="B5796" t="str">
            <v>Fire Smoke / Heat Detector, Sounder</v>
          </cell>
          <cell r="D5796" t="str">
            <v>Al Waleed Bin Abdul Malek Primary School</v>
          </cell>
          <cell r="H5796" t="str">
            <v>AD</v>
          </cell>
        </row>
        <row r="5797">
          <cell r="B5797" t="str">
            <v>Fire Smoke / Heat Detector, Sounder</v>
          </cell>
          <cell r="D5797" t="str">
            <v>Al Waleed Bin Abdul Malek Primary School</v>
          </cell>
          <cell r="H5797" t="str">
            <v>AD</v>
          </cell>
        </row>
        <row r="5798">
          <cell r="B5798" t="str">
            <v>Fire Smoke / Heat Detector, Sounder</v>
          </cell>
          <cell r="D5798" t="str">
            <v>Al Waleed Bin Abdul Malek Primary School</v>
          </cell>
          <cell r="H5798" t="str">
            <v>AD</v>
          </cell>
        </row>
        <row r="5799">
          <cell r="B5799" t="str">
            <v>Fire Water Tank</v>
          </cell>
          <cell r="D5799" t="str">
            <v>Al Waleed Bin Abdul Malek Primary School</v>
          </cell>
          <cell r="H5799" t="str">
            <v>AD</v>
          </cell>
        </row>
        <row r="5800">
          <cell r="B5800" t="str">
            <v>Fire Alarm Break Glass Call Point</v>
          </cell>
          <cell r="D5800" t="str">
            <v>Al Wathbah Primary School</v>
          </cell>
          <cell r="H5800" t="str">
            <v>AD</v>
          </cell>
        </row>
        <row r="5801">
          <cell r="B5801" t="str">
            <v>Fire Alarm Break Glass Call Point</v>
          </cell>
          <cell r="D5801" t="str">
            <v>Al Wathbah Primary School</v>
          </cell>
          <cell r="H5801" t="str">
            <v>AD</v>
          </cell>
        </row>
        <row r="5802">
          <cell r="B5802" t="str">
            <v>Fire Alarm Break Glass Call Point</v>
          </cell>
          <cell r="D5802" t="str">
            <v>Al Wathbah Primary School</v>
          </cell>
          <cell r="H5802" t="str">
            <v>AD</v>
          </cell>
        </row>
        <row r="5803">
          <cell r="B5803" t="str">
            <v>Fire Alarm Break Glass Call Point</v>
          </cell>
          <cell r="D5803" t="str">
            <v>Al Wathbah Primary School</v>
          </cell>
          <cell r="H5803" t="str">
            <v>AD</v>
          </cell>
        </row>
        <row r="5804">
          <cell r="B5804" t="str">
            <v>Fire Alarm Break Glass Call Point</v>
          </cell>
          <cell r="D5804" t="str">
            <v>Al Wathbah Primary School</v>
          </cell>
          <cell r="H5804" t="str">
            <v>AD</v>
          </cell>
        </row>
        <row r="5805">
          <cell r="B5805" t="str">
            <v>Fire Alarm Break Glass Call Point</v>
          </cell>
          <cell r="D5805" t="str">
            <v>Al Wathbah Primary School</v>
          </cell>
          <cell r="H5805" t="str">
            <v>AD</v>
          </cell>
        </row>
        <row r="5806">
          <cell r="B5806" t="str">
            <v>Fire Alarm Break Glass Call Point</v>
          </cell>
          <cell r="D5806" t="str">
            <v>Al Wathbah Primary School</v>
          </cell>
          <cell r="H5806" t="str">
            <v>AD</v>
          </cell>
        </row>
        <row r="5807">
          <cell r="B5807" t="str">
            <v>Fire Alarm Break Glass Call Point</v>
          </cell>
          <cell r="D5807" t="str">
            <v>Al Wathbah Primary School</v>
          </cell>
          <cell r="H5807" t="str">
            <v>AD</v>
          </cell>
        </row>
        <row r="5808">
          <cell r="B5808" t="str">
            <v>Fire Alarm Break Glass Call Point</v>
          </cell>
          <cell r="D5808" t="str">
            <v>Al Wathbah Primary School</v>
          </cell>
          <cell r="H5808" t="str">
            <v>AD</v>
          </cell>
        </row>
        <row r="5809">
          <cell r="B5809" t="str">
            <v>Fire Alarm Break Glass Call Point</v>
          </cell>
          <cell r="D5809" t="str">
            <v>Al Wathbah Primary School</v>
          </cell>
          <cell r="H5809" t="str">
            <v>AD</v>
          </cell>
        </row>
        <row r="5810">
          <cell r="B5810" t="str">
            <v>Fire Alarm Panel</v>
          </cell>
          <cell r="D5810" t="str">
            <v>Al Wathbah Primary School</v>
          </cell>
          <cell r="H5810" t="str">
            <v>AD</v>
          </cell>
        </row>
        <row r="5811">
          <cell r="B5811" t="str">
            <v>Fire Alarm Panel</v>
          </cell>
          <cell r="D5811" t="str">
            <v>Al Wathbah Primary School</v>
          </cell>
          <cell r="H5811" t="str">
            <v>AD</v>
          </cell>
        </row>
        <row r="5812">
          <cell r="B5812" t="str">
            <v>Fire Alarm Sounder, Bell, Light</v>
          </cell>
          <cell r="D5812" t="str">
            <v>Al Wathbah Primary School</v>
          </cell>
          <cell r="H5812" t="str">
            <v>AD</v>
          </cell>
        </row>
        <row r="5813">
          <cell r="B5813" t="str">
            <v>Fire Alarm Sounder, Bell, Light</v>
          </cell>
          <cell r="D5813" t="str">
            <v>Al Wathbah Primary School</v>
          </cell>
          <cell r="H5813" t="str">
            <v>AD</v>
          </cell>
        </row>
        <row r="5814">
          <cell r="B5814" t="str">
            <v>Fire Alarm Sounder, Bell, Light</v>
          </cell>
          <cell r="D5814" t="str">
            <v>Al Wathbah Primary School</v>
          </cell>
          <cell r="H5814" t="str">
            <v>AD</v>
          </cell>
        </row>
        <row r="5815">
          <cell r="B5815" t="str">
            <v>Fire Alarm Sounder, Bell, Light</v>
          </cell>
          <cell r="D5815" t="str">
            <v>Al Wathbah Primary School</v>
          </cell>
          <cell r="H5815" t="str">
            <v>AD</v>
          </cell>
        </row>
        <row r="5816">
          <cell r="B5816" t="str">
            <v>Fire Alarm Sounder, Bell, Light</v>
          </cell>
          <cell r="D5816" t="str">
            <v>Al Wathbah Primary School</v>
          </cell>
          <cell r="H5816" t="str">
            <v>AD</v>
          </cell>
        </row>
        <row r="5817">
          <cell r="B5817" t="str">
            <v>Fire Alarm Sounder, Bell, Light</v>
          </cell>
          <cell r="D5817" t="str">
            <v>Al Wathbah Primary School</v>
          </cell>
          <cell r="H5817" t="str">
            <v>AD</v>
          </cell>
        </row>
        <row r="5818">
          <cell r="B5818" t="str">
            <v>Fire Alarm Sounder, Bell, Light</v>
          </cell>
          <cell r="D5818" t="str">
            <v>Al Wathbah Primary School</v>
          </cell>
          <cell r="H5818" t="str">
            <v>AD</v>
          </cell>
        </row>
        <row r="5819">
          <cell r="B5819" t="str">
            <v>Fire Alarm Sounder, Bell, Light</v>
          </cell>
          <cell r="D5819" t="str">
            <v>Al Wathbah Primary School</v>
          </cell>
          <cell r="H5819" t="str">
            <v>AD</v>
          </cell>
        </row>
        <row r="5820">
          <cell r="B5820" t="str">
            <v>Fire Alarm Sounder, Bell, Light</v>
          </cell>
          <cell r="D5820" t="str">
            <v>Al Wathbah Primary School</v>
          </cell>
          <cell r="H5820" t="str">
            <v>AD</v>
          </cell>
        </row>
        <row r="5821">
          <cell r="B5821" t="str">
            <v>Fire Alarm Sounder, Bell, Light</v>
          </cell>
          <cell r="D5821" t="str">
            <v>Al Wathbah Primary School</v>
          </cell>
          <cell r="H5821" t="str">
            <v>AD</v>
          </cell>
        </row>
        <row r="5822">
          <cell r="B5822" t="str">
            <v>Fire Alarm Sounder, Bell, Light</v>
          </cell>
          <cell r="D5822" t="str">
            <v>Al Wathbah Primary School</v>
          </cell>
          <cell r="H5822" t="str">
            <v>AD</v>
          </cell>
        </row>
        <row r="5823">
          <cell r="B5823" t="str">
            <v>Fire Alarm Sounder, Bell, Light</v>
          </cell>
          <cell r="D5823" t="str">
            <v>Al Wathbah Primary School</v>
          </cell>
          <cell r="H5823" t="str">
            <v>AD</v>
          </cell>
        </row>
        <row r="5824">
          <cell r="B5824" t="str">
            <v>Fire Alarm Sounder, Bell, Light</v>
          </cell>
          <cell r="D5824" t="str">
            <v>Al Wathbah Primary School</v>
          </cell>
          <cell r="H5824" t="str">
            <v>AD</v>
          </cell>
        </row>
        <row r="5825">
          <cell r="B5825" t="str">
            <v>Fire Alarm Sounder, Bell, Light</v>
          </cell>
          <cell r="D5825" t="str">
            <v>Al Wathbah Primary School</v>
          </cell>
          <cell r="H5825" t="str">
            <v>AD</v>
          </cell>
        </row>
        <row r="5826">
          <cell r="B5826" t="str">
            <v>Fire Alarm Sounder, Bell, Light</v>
          </cell>
          <cell r="D5826" t="str">
            <v>Al Wathbah Primary School</v>
          </cell>
          <cell r="H5826" t="str">
            <v>AD</v>
          </cell>
        </row>
        <row r="5827">
          <cell r="B5827" t="str">
            <v>Fire Alarm Sounder, Bell, Light</v>
          </cell>
          <cell r="D5827" t="str">
            <v>Al Wathbah Primary School</v>
          </cell>
          <cell r="H5827" t="str">
            <v>AD</v>
          </cell>
        </row>
        <row r="5828">
          <cell r="B5828" t="str">
            <v>Fire Alarm Sounder, Bell, Light</v>
          </cell>
          <cell r="D5828" t="str">
            <v>Al Wathbah Primary School</v>
          </cell>
          <cell r="H5828" t="str">
            <v>AD</v>
          </cell>
        </row>
        <row r="5829">
          <cell r="B5829" t="str">
            <v>Fire Alarm Sounder, Bell, Light</v>
          </cell>
          <cell r="D5829" t="str">
            <v>Al Wathbah Primary School</v>
          </cell>
          <cell r="H5829" t="str">
            <v>AD</v>
          </cell>
        </row>
        <row r="5830">
          <cell r="B5830" t="str">
            <v>Fire Alarm Sounder, Bell, Light</v>
          </cell>
          <cell r="D5830" t="str">
            <v>Al Wathbah Primary School</v>
          </cell>
          <cell r="H5830" t="str">
            <v>AD</v>
          </cell>
        </row>
        <row r="5831">
          <cell r="B5831" t="str">
            <v>Fire Alarm Sounder, Bell, Light</v>
          </cell>
          <cell r="D5831" t="str">
            <v>Al Wathbah Primary School</v>
          </cell>
          <cell r="H5831" t="str">
            <v>AD</v>
          </cell>
        </row>
        <row r="5832">
          <cell r="B5832" t="str">
            <v>Fire Extinguisher</v>
          </cell>
          <cell r="D5832" t="str">
            <v>Al Wathbah Primary School</v>
          </cell>
          <cell r="H5832" t="str">
            <v>AD</v>
          </cell>
        </row>
        <row r="5833">
          <cell r="B5833" t="str">
            <v>Fire Extinguisher</v>
          </cell>
          <cell r="D5833" t="str">
            <v>Al Wathbah Primary School</v>
          </cell>
          <cell r="H5833" t="str">
            <v>AD</v>
          </cell>
        </row>
        <row r="5834">
          <cell r="B5834" t="str">
            <v>Fire Extinguisher</v>
          </cell>
          <cell r="D5834" t="str">
            <v>Al Wathbah Primary School</v>
          </cell>
          <cell r="H5834" t="str">
            <v>AD</v>
          </cell>
        </row>
        <row r="5835">
          <cell r="B5835" t="str">
            <v>Fire Extinguisher</v>
          </cell>
          <cell r="D5835" t="str">
            <v>Al Wathbah Primary School</v>
          </cell>
          <cell r="H5835" t="str">
            <v>AD</v>
          </cell>
        </row>
        <row r="5836">
          <cell r="B5836" t="str">
            <v>Fire Extinguisher</v>
          </cell>
          <cell r="D5836" t="str">
            <v>Al Wathbah Primary School</v>
          </cell>
          <cell r="H5836" t="str">
            <v>AD</v>
          </cell>
        </row>
        <row r="5837">
          <cell r="B5837" t="str">
            <v>Fire Extinguisher</v>
          </cell>
          <cell r="D5837" t="str">
            <v>Al Wathbah Primary School</v>
          </cell>
          <cell r="H5837" t="str">
            <v>AD</v>
          </cell>
        </row>
        <row r="5838">
          <cell r="B5838" t="str">
            <v>Fire Extinguisher</v>
          </cell>
          <cell r="D5838" t="str">
            <v>Al Wathbah Primary School</v>
          </cell>
          <cell r="H5838" t="str">
            <v>AD</v>
          </cell>
        </row>
        <row r="5839">
          <cell r="B5839" t="str">
            <v>Fire Extinguisher</v>
          </cell>
          <cell r="D5839" t="str">
            <v>Al Wathbah Primary School</v>
          </cell>
          <cell r="H5839" t="str">
            <v>AD</v>
          </cell>
        </row>
        <row r="5840">
          <cell r="B5840" t="str">
            <v>Fire Extinguisher</v>
          </cell>
          <cell r="D5840" t="str">
            <v>Al Wathbah Primary School</v>
          </cell>
          <cell r="H5840" t="str">
            <v>AD</v>
          </cell>
        </row>
        <row r="5841">
          <cell r="B5841" t="str">
            <v>Fire Extinguisher</v>
          </cell>
          <cell r="D5841" t="str">
            <v>Al Wathbah Primary School</v>
          </cell>
          <cell r="H5841" t="str">
            <v>AD</v>
          </cell>
        </row>
        <row r="5842">
          <cell r="B5842" t="str">
            <v>Fire Extinguisher</v>
          </cell>
          <cell r="D5842" t="str">
            <v>Al Wathbah Primary School</v>
          </cell>
          <cell r="H5842" t="str">
            <v>AD</v>
          </cell>
        </row>
        <row r="5843">
          <cell r="B5843" t="str">
            <v>Fire Extinguisher</v>
          </cell>
          <cell r="D5843" t="str">
            <v>Al Wathbah Primary School</v>
          </cell>
          <cell r="H5843" t="str">
            <v>AD</v>
          </cell>
        </row>
        <row r="5844">
          <cell r="B5844" t="str">
            <v>Fire Extinguisher</v>
          </cell>
          <cell r="D5844" t="str">
            <v>Al Wathbah Primary School</v>
          </cell>
          <cell r="H5844" t="str">
            <v>AD</v>
          </cell>
        </row>
        <row r="5845">
          <cell r="B5845" t="str">
            <v>Fire Extinguisher</v>
          </cell>
          <cell r="D5845" t="str">
            <v>Al Wathbah Primary School</v>
          </cell>
          <cell r="H5845" t="str">
            <v>AD</v>
          </cell>
        </row>
        <row r="5846">
          <cell r="B5846" t="str">
            <v>Fire Extinguisher</v>
          </cell>
          <cell r="D5846" t="str">
            <v>Al Wathbah Primary School</v>
          </cell>
          <cell r="H5846" t="str">
            <v>AD</v>
          </cell>
        </row>
        <row r="5847">
          <cell r="B5847" t="str">
            <v>Fire Extinguisher</v>
          </cell>
          <cell r="D5847" t="str">
            <v>Al Wathbah Primary School</v>
          </cell>
          <cell r="H5847" t="str">
            <v>AD</v>
          </cell>
        </row>
        <row r="5848">
          <cell r="B5848" t="str">
            <v>Fire Extinguisher</v>
          </cell>
          <cell r="D5848" t="str">
            <v>Al Wathbah Primary School</v>
          </cell>
          <cell r="H5848" t="str">
            <v>AD</v>
          </cell>
        </row>
        <row r="5849">
          <cell r="B5849" t="str">
            <v>Fire Extinguisher</v>
          </cell>
          <cell r="D5849" t="str">
            <v>Al Wathbah Primary School</v>
          </cell>
          <cell r="H5849" t="str">
            <v>AD</v>
          </cell>
        </row>
        <row r="5850">
          <cell r="B5850" t="str">
            <v>Fire Extinguisher</v>
          </cell>
          <cell r="D5850" t="str">
            <v>Al Wathbah Primary School</v>
          </cell>
          <cell r="H5850" t="str">
            <v>AD</v>
          </cell>
        </row>
        <row r="5851">
          <cell r="B5851" t="str">
            <v>Fire Hose Reel</v>
          </cell>
          <cell r="D5851" t="str">
            <v>Al Wathbah Primary School</v>
          </cell>
          <cell r="H5851" t="str">
            <v>AD</v>
          </cell>
        </row>
        <row r="5852">
          <cell r="B5852" t="str">
            <v>Fire Hose Reel</v>
          </cell>
          <cell r="D5852" t="str">
            <v>Al Wathbah Primary School</v>
          </cell>
          <cell r="H5852" t="str">
            <v>AD</v>
          </cell>
        </row>
        <row r="5853">
          <cell r="B5853" t="str">
            <v>Fire Hose Reel</v>
          </cell>
          <cell r="D5853" t="str">
            <v>Al Wathbah Primary School</v>
          </cell>
          <cell r="H5853" t="str">
            <v>AD</v>
          </cell>
        </row>
        <row r="5854">
          <cell r="B5854" t="str">
            <v>FIRE PUMP - Diesel</v>
          </cell>
          <cell r="D5854" t="str">
            <v>Al Wathbah Primary School</v>
          </cell>
          <cell r="H5854" t="str">
            <v>AD</v>
          </cell>
        </row>
        <row r="5855">
          <cell r="B5855" t="str">
            <v>FIRE PUMP - Electric</v>
          </cell>
          <cell r="D5855" t="str">
            <v>Al Wathbah Primary School</v>
          </cell>
          <cell r="H5855" t="str">
            <v>AD</v>
          </cell>
        </row>
        <row r="5856">
          <cell r="B5856" t="str">
            <v>Fire Smoke / Heat Detector, Sounder</v>
          </cell>
          <cell r="D5856" t="str">
            <v>Al Wathbah Primary School</v>
          </cell>
          <cell r="H5856" t="str">
            <v>AD</v>
          </cell>
        </row>
        <row r="5857">
          <cell r="B5857" t="str">
            <v>Fire Smoke / Heat Detector, Sounder</v>
          </cell>
          <cell r="D5857" t="str">
            <v>Al Wathbah Primary School</v>
          </cell>
          <cell r="H5857" t="str">
            <v>AD</v>
          </cell>
        </row>
        <row r="5858">
          <cell r="B5858" t="str">
            <v>Fire Smoke / Heat Detector, Sounder</v>
          </cell>
          <cell r="D5858" t="str">
            <v>Al Wathbah Primary School</v>
          </cell>
          <cell r="H5858" t="str">
            <v>AD</v>
          </cell>
        </row>
        <row r="5859">
          <cell r="B5859" t="str">
            <v>Fire Smoke / Heat Detector, Sounder</v>
          </cell>
          <cell r="D5859" t="str">
            <v>Al Wathbah Primary School</v>
          </cell>
          <cell r="H5859" t="str">
            <v>AD</v>
          </cell>
        </row>
        <row r="5860">
          <cell r="B5860" t="str">
            <v>Fire Smoke / Heat Detector, Sounder</v>
          </cell>
          <cell r="D5860" t="str">
            <v>Al Wathbah Primary School</v>
          </cell>
          <cell r="H5860" t="str">
            <v>AD</v>
          </cell>
        </row>
        <row r="5861">
          <cell r="B5861" t="str">
            <v>Fire Smoke / Heat Detector, Sounder</v>
          </cell>
          <cell r="D5861" t="str">
            <v>Al Wathbah Primary School</v>
          </cell>
          <cell r="H5861" t="str">
            <v>AD</v>
          </cell>
        </row>
        <row r="5862">
          <cell r="B5862" t="str">
            <v>Fire Smoke / Heat Detector, Sounder</v>
          </cell>
          <cell r="D5862" t="str">
            <v>Al Wathbah Primary School</v>
          </cell>
          <cell r="H5862" t="str">
            <v>AD</v>
          </cell>
        </row>
        <row r="5863">
          <cell r="B5863" t="str">
            <v>Fire Smoke / Heat Detector, Sounder</v>
          </cell>
          <cell r="D5863" t="str">
            <v>Al Wathbah Primary School</v>
          </cell>
          <cell r="H5863" t="str">
            <v>AD</v>
          </cell>
        </row>
        <row r="5864">
          <cell r="B5864" t="str">
            <v>Fire Smoke / Heat Detector, Sounder</v>
          </cell>
          <cell r="D5864" t="str">
            <v>Al Wathbah Primary School</v>
          </cell>
          <cell r="H5864" t="str">
            <v>AD</v>
          </cell>
        </row>
        <row r="5865">
          <cell r="B5865" t="str">
            <v>Fire Smoke / Heat Detector, Sounder</v>
          </cell>
          <cell r="D5865" t="str">
            <v>Al Wathbah Primary School</v>
          </cell>
          <cell r="H5865" t="str">
            <v>AD</v>
          </cell>
        </row>
        <row r="5866">
          <cell r="B5866" t="str">
            <v>Fire Smoke / Heat Detector, Sounder</v>
          </cell>
          <cell r="D5866" t="str">
            <v>Al Wathbah Primary School</v>
          </cell>
          <cell r="H5866" t="str">
            <v>AD</v>
          </cell>
        </row>
        <row r="5867">
          <cell r="B5867" t="str">
            <v>Fire Smoke / Heat Detector, Sounder</v>
          </cell>
          <cell r="D5867" t="str">
            <v>Al Wathbah Primary School</v>
          </cell>
          <cell r="H5867" t="str">
            <v>AD</v>
          </cell>
        </row>
        <row r="5868">
          <cell r="B5868" t="str">
            <v>Fire Smoke / Heat Detector, Sounder</v>
          </cell>
          <cell r="D5868" t="str">
            <v>Al Wathbah Primary School</v>
          </cell>
          <cell r="H5868" t="str">
            <v>AD</v>
          </cell>
        </row>
        <row r="5869">
          <cell r="B5869" t="str">
            <v>Fire Smoke / Heat Detector, Sounder</v>
          </cell>
          <cell r="D5869" t="str">
            <v>Al Wathbah Primary School</v>
          </cell>
          <cell r="H5869" t="str">
            <v>AD</v>
          </cell>
        </row>
        <row r="5870">
          <cell r="B5870" t="str">
            <v>Fire Smoke / Heat Detector, Sounder</v>
          </cell>
          <cell r="D5870" t="str">
            <v>Al Wathbah Primary School</v>
          </cell>
          <cell r="H5870" t="str">
            <v>AD</v>
          </cell>
        </row>
        <row r="5871">
          <cell r="B5871" t="str">
            <v>Fire Smoke / Heat Detector, Sounder</v>
          </cell>
          <cell r="D5871" t="str">
            <v>Al Wathbah Primary School</v>
          </cell>
          <cell r="H5871" t="str">
            <v>AD</v>
          </cell>
        </row>
        <row r="5872">
          <cell r="B5872" t="str">
            <v>Fire Smoke / Heat Detector, Sounder</v>
          </cell>
          <cell r="D5872" t="str">
            <v>Al Wathbah Primary School</v>
          </cell>
          <cell r="H5872" t="str">
            <v>AD</v>
          </cell>
        </row>
        <row r="5873">
          <cell r="B5873" t="str">
            <v>Fire Smoke / Heat Detector, Sounder</v>
          </cell>
          <cell r="D5873" t="str">
            <v>Al Wathbah Primary School</v>
          </cell>
          <cell r="H5873" t="str">
            <v>AD</v>
          </cell>
        </row>
        <row r="5874">
          <cell r="B5874" t="str">
            <v>Fire Smoke / Heat Detector, Sounder</v>
          </cell>
          <cell r="D5874" t="str">
            <v>Al Wathbah Primary School</v>
          </cell>
          <cell r="H5874" t="str">
            <v>AD</v>
          </cell>
        </row>
        <row r="5875">
          <cell r="B5875" t="str">
            <v>Fire Smoke / Heat Detector, Sounder</v>
          </cell>
          <cell r="D5875" t="str">
            <v>Al Wathbah Primary School</v>
          </cell>
          <cell r="H5875" t="str">
            <v>AD</v>
          </cell>
        </row>
        <row r="5876">
          <cell r="B5876" t="str">
            <v>Fire Smoke / Heat Detector, Sounder</v>
          </cell>
          <cell r="D5876" t="str">
            <v>Al Wathbah Primary School</v>
          </cell>
          <cell r="H5876" t="str">
            <v>AD</v>
          </cell>
        </row>
        <row r="5877">
          <cell r="B5877" t="str">
            <v>Fire Smoke / Heat Detector, Sounder</v>
          </cell>
          <cell r="D5877" t="str">
            <v>Al Wathbah Primary School</v>
          </cell>
          <cell r="H5877" t="str">
            <v>AD</v>
          </cell>
        </row>
        <row r="5878">
          <cell r="B5878" t="str">
            <v>Fire Smoke / Heat Detector, Sounder</v>
          </cell>
          <cell r="D5878" t="str">
            <v>Al Wathbah Primary School</v>
          </cell>
          <cell r="H5878" t="str">
            <v>AD</v>
          </cell>
        </row>
        <row r="5879">
          <cell r="B5879" t="str">
            <v>Fire Smoke / Heat Detector, Sounder</v>
          </cell>
          <cell r="D5879" t="str">
            <v>Al Wathbah Primary School</v>
          </cell>
          <cell r="H5879" t="str">
            <v>AD</v>
          </cell>
        </row>
        <row r="5880">
          <cell r="B5880" t="str">
            <v>Fire Smoke / Heat Detector, Sounder</v>
          </cell>
          <cell r="D5880" t="str">
            <v>Al Wathbah Primary School</v>
          </cell>
          <cell r="H5880" t="str">
            <v>AD</v>
          </cell>
        </row>
        <row r="5881">
          <cell r="B5881" t="str">
            <v>Fire Smoke / Heat Detector, Sounder</v>
          </cell>
          <cell r="D5881" t="str">
            <v>Al Wathbah Primary School</v>
          </cell>
          <cell r="H5881" t="str">
            <v>AD</v>
          </cell>
        </row>
        <row r="5882">
          <cell r="B5882" t="str">
            <v>Fire Smoke / Heat Detector, Sounder</v>
          </cell>
          <cell r="D5882" t="str">
            <v>Al Wathbah Primary School</v>
          </cell>
          <cell r="H5882" t="str">
            <v>AD</v>
          </cell>
        </row>
        <row r="5883">
          <cell r="B5883" t="str">
            <v>Fire Smoke / Heat Detector, Sounder</v>
          </cell>
          <cell r="D5883" t="str">
            <v>Al Wathbah Primary School</v>
          </cell>
          <cell r="H5883" t="str">
            <v>AD</v>
          </cell>
        </row>
        <row r="5884">
          <cell r="B5884" t="str">
            <v>Fire Smoke / Heat Detector, Sounder</v>
          </cell>
          <cell r="D5884" t="str">
            <v>Al Wathbah Primary School</v>
          </cell>
          <cell r="H5884" t="str">
            <v>AD</v>
          </cell>
        </row>
        <row r="5885">
          <cell r="B5885" t="str">
            <v>Fire Smoke / Heat Detector, Sounder</v>
          </cell>
          <cell r="D5885" t="str">
            <v>Al Wathbah Primary School</v>
          </cell>
          <cell r="H5885" t="str">
            <v>AD</v>
          </cell>
        </row>
        <row r="5886">
          <cell r="B5886" t="str">
            <v>Fire Smoke / Heat Detector, Sounder</v>
          </cell>
          <cell r="D5886" t="str">
            <v>Al Wathbah Primary School</v>
          </cell>
          <cell r="H5886" t="str">
            <v>AD</v>
          </cell>
        </row>
        <row r="5887">
          <cell r="B5887" t="str">
            <v>Fire Smoke / Heat Detector, Sounder</v>
          </cell>
          <cell r="D5887" t="str">
            <v>Al Wathbah Primary School</v>
          </cell>
          <cell r="H5887" t="str">
            <v>AD</v>
          </cell>
        </row>
        <row r="5888">
          <cell r="B5888" t="str">
            <v>Fire Smoke / Heat Detector, Sounder</v>
          </cell>
          <cell r="D5888" t="str">
            <v>Al Wathbah Primary School</v>
          </cell>
          <cell r="H5888" t="str">
            <v>AD</v>
          </cell>
        </row>
        <row r="5889">
          <cell r="B5889" t="str">
            <v>Fire Smoke / Heat Detector, Sounder</v>
          </cell>
          <cell r="D5889" t="str">
            <v>Al Wathbah Primary School</v>
          </cell>
          <cell r="H5889" t="str">
            <v>AD</v>
          </cell>
        </row>
        <row r="5890">
          <cell r="B5890" t="str">
            <v>Fire Smoke / Heat Detector, Sounder</v>
          </cell>
          <cell r="D5890" t="str">
            <v>Al Wathbah Primary School</v>
          </cell>
          <cell r="H5890" t="str">
            <v>AD</v>
          </cell>
        </row>
        <row r="5891">
          <cell r="B5891" t="str">
            <v>Fire Smoke / Heat Detector, Sounder</v>
          </cell>
          <cell r="D5891" t="str">
            <v>Al Wathbah Primary School</v>
          </cell>
          <cell r="H5891" t="str">
            <v>AD</v>
          </cell>
        </row>
        <row r="5892">
          <cell r="B5892" t="str">
            <v>Fire Smoke / Heat Detector, Sounder</v>
          </cell>
          <cell r="D5892" t="str">
            <v>Al Wathbah Primary School</v>
          </cell>
          <cell r="H5892" t="str">
            <v>AD</v>
          </cell>
        </row>
        <row r="5893">
          <cell r="B5893" t="str">
            <v>Fire Smoke / Heat Detector, Sounder</v>
          </cell>
          <cell r="D5893" t="str">
            <v>Al Wathbah Primary School</v>
          </cell>
          <cell r="H5893" t="str">
            <v>AD</v>
          </cell>
        </row>
        <row r="5894">
          <cell r="B5894" t="str">
            <v>Fire Smoke / Heat Detector, Sounder</v>
          </cell>
          <cell r="D5894" t="str">
            <v>Al Wathbah Primary School</v>
          </cell>
          <cell r="H5894" t="str">
            <v>AD</v>
          </cell>
        </row>
        <row r="5895">
          <cell r="B5895" t="str">
            <v>Fire Smoke / Heat Detector, Sounder</v>
          </cell>
          <cell r="D5895" t="str">
            <v>Al Wathbah Primary School</v>
          </cell>
          <cell r="H5895" t="str">
            <v>AD</v>
          </cell>
        </row>
        <row r="5896">
          <cell r="B5896" t="str">
            <v>Fire Smoke / Heat Detector, Sounder</v>
          </cell>
          <cell r="D5896" t="str">
            <v>Al Wathbah Primary School</v>
          </cell>
          <cell r="H5896" t="str">
            <v>AD</v>
          </cell>
        </row>
        <row r="5897">
          <cell r="B5897" t="str">
            <v>Fire Smoke / Heat Detector, Sounder</v>
          </cell>
          <cell r="D5897" t="str">
            <v>Al Wathbah Primary School</v>
          </cell>
          <cell r="H5897" t="str">
            <v>AD</v>
          </cell>
        </row>
        <row r="5898">
          <cell r="B5898" t="str">
            <v>Fire Smoke / Heat Detector, Sounder</v>
          </cell>
          <cell r="D5898" t="str">
            <v>Al Wathbah Primary School</v>
          </cell>
          <cell r="H5898" t="str">
            <v>AD</v>
          </cell>
        </row>
        <row r="5899">
          <cell r="B5899" t="str">
            <v>Fire Smoke / Heat Detector, Sounder</v>
          </cell>
          <cell r="D5899" t="str">
            <v>Al Wathbah Primary School</v>
          </cell>
          <cell r="H5899" t="str">
            <v>AD</v>
          </cell>
        </row>
        <row r="5900">
          <cell r="B5900" t="str">
            <v>Fire Smoke / Heat Detector, Sounder</v>
          </cell>
          <cell r="D5900" t="str">
            <v>Al Wathbah Primary School</v>
          </cell>
          <cell r="H5900" t="str">
            <v>AD</v>
          </cell>
        </row>
        <row r="5901">
          <cell r="B5901" t="str">
            <v>Fire Smoke / Heat Detector, Sounder</v>
          </cell>
          <cell r="D5901" t="str">
            <v>Al Wathbah Primary School</v>
          </cell>
          <cell r="H5901" t="str">
            <v>AD</v>
          </cell>
        </row>
        <row r="5902">
          <cell r="B5902" t="str">
            <v>Fire Smoke / Heat Detector, Sounder</v>
          </cell>
          <cell r="D5902" t="str">
            <v>Al Wathbah Primary School</v>
          </cell>
          <cell r="H5902" t="str">
            <v>AD</v>
          </cell>
        </row>
        <row r="5903">
          <cell r="B5903" t="str">
            <v>Fire Smoke / Heat Detector, Sounder</v>
          </cell>
          <cell r="D5903" t="str">
            <v>Al Wathbah Primary School</v>
          </cell>
          <cell r="H5903" t="str">
            <v>AD</v>
          </cell>
        </row>
        <row r="5904">
          <cell r="B5904" t="str">
            <v>Fire Smoke / Heat Detector, Sounder</v>
          </cell>
          <cell r="D5904" t="str">
            <v>Al Wathbah Primary School</v>
          </cell>
          <cell r="H5904" t="str">
            <v>AD</v>
          </cell>
        </row>
        <row r="5905">
          <cell r="B5905" t="str">
            <v>Fire Smoke / Heat Detector, Sounder</v>
          </cell>
          <cell r="D5905" t="str">
            <v>Al Wathbah Primary School</v>
          </cell>
          <cell r="H5905" t="str">
            <v>AD</v>
          </cell>
        </row>
        <row r="5906">
          <cell r="B5906" t="str">
            <v>Fire Smoke / Heat Detector, Sounder</v>
          </cell>
          <cell r="D5906" t="str">
            <v>Al Wathbah Primary School</v>
          </cell>
          <cell r="H5906" t="str">
            <v>AD</v>
          </cell>
        </row>
        <row r="5907">
          <cell r="B5907" t="str">
            <v>Fire Smoke / Heat Detector, Sounder</v>
          </cell>
          <cell r="D5907" t="str">
            <v>Al Wathbah Primary School</v>
          </cell>
          <cell r="H5907" t="str">
            <v>AD</v>
          </cell>
        </row>
        <row r="5908">
          <cell r="B5908" t="str">
            <v>Irrigation System</v>
          </cell>
          <cell r="D5908" t="str">
            <v>Al Wathbah Primary School</v>
          </cell>
          <cell r="H5908" t="str">
            <v>AD</v>
          </cell>
        </row>
        <row r="5909">
          <cell r="B5909" t="str">
            <v>Fire Alarm Break Glass Call Point</v>
          </cell>
          <cell r="D5909" t="str">
            <v xml:space="preserve">Al-Adel Elementary School Boys                             </v>
          </cell>
          <cell r="H5909" t="str">
            <v>AA</v>
          </cell>
        </row>
        <row r="5910">
          <cell r="B5910" t="str">
            <v>Fire Alarm Break Glass Call Point</v>
          </cell>
          <cell r="D5910" t="str">
            <v xml:space="preserve">Al-Adel Elementary School Boys                             </v>
          </cell>
          <cell r="H5910" t="str">
            <v>AA</v>
          </cell>
        </row>
        <row r="5911">
          <cell r="B5911" t="str">
            <v>Fire Alarm Break Glass Call Point</v>
          </cell>
          <cell r="D5911" t="str">
            <v xml:space="preserve">Al-Adel Elementary School Boys                             </v>
          </cell>
          <cell r="H5911" t="str">
            <v>AA</v>
          </cell>
        </row>
        <row r="5912">
          <cell r="B5912" t="str">
            <v>Fire Alarm Break Glass Call Point</v>
          </cell>
          <cell r="D5912" t="str">
            <v xml:space="preserve">Al-Adel Elementary School Boys                             </v>
          </cell>
          <cell r="H5912" t="str">
            <v>AA</v>
          </cell>
        </row>
        <row r="5913">
          <cell r="B5913" t="str">
            <v>Fire Alarm Break Glass Call Point</v>
          </cell>
          <cell r="D5913" t="str">
            <v xml:space="preserve">Al-Adel Elementary School Boys                             </v>
          </cell>
          <cell r="H5913" t="str">
            <v>AA</v>
          </cell>
        </row>
        <row r="5914">
          <cell r="B5914" t="str">
            <v>Fire Alarm Break Glass Call Point</v>
          </cell>
          <cell r="D5914" t="str">
            <v xml:space="preserve">Al-Adel Elementary School Boys                             </v>
          </cell>
          <cell r="H5914" t="str">
            <v>AA</v>
          </cell>
        </row>
        <row r="5915">
          <cell r="B5915" t="str">
            <v>Fire Alarm Break Glass Call Point</v>
          </cell>
          <cell r="D5915" t="str">
            <v xml:space="preserve">Al-Adel Elementary School Boys                             </v>
          </cell>
          <cell r="H5915" t="str">
            <v>AA</v>
          </cell>
        </row>
        <row r="5916">
          <cell r="B5916" t="str">
            <v>Fire Alarm Panel</v>
          </cell>
          <cell r="D5916" t="str">
            <v xml:space="preserve">Al-Adel Elementary School Boys                             </v>
          </cell>
          <cell r="H5916" t="str">
            <v>AA</v>
          </cell>
        </row>
        <row r="5917">
          <cell r="B5917" t="str">
            <v>Fire Alarm Panel</v>
          </cell>
          <cell r="D5917" t="str">
            <v xml:space="preserve">Al-Adel Elementary School Boys                             </v>
          </cell>
          <cell r="H5917" t="str">
            <v>AA</v>
          </cell>
        </row>
        <row r="5918">
          <cell r="B5918" t="str">
            <v>Fire Alarm Sounder, Bell, Light</v>
          </cell>
          <cell r="D5918" t="str">
            <v xml:space="preserve">Al-Adel Elementary School Boys                             </v>
          </cell>
          <cell r="H5918" t="str">
            <v>AA</v>
          </cell>
        </row>
        <row r="5919">
          <cell r="B5919" t="str">
            <v>Fire Alarm Sounder, Bell, Light</v>
          </cell>
          <cell r="D5919" t="str">
            <v xml:space="preserve">Al-Adel Elementary School Boys                             </v>
          </cell>
          <cell r="H5919" t="str">
            <v>AA</v>
          </cell>
        </row>
        <row r="5920">
          <cell r="B5920" t="str">
            <v>Fire Alarm Sounder, Bell, Light</v>
          </cell>
          <cell r="D5920" t="str">
            <v xml:space="preserve">Al-Adel Elementary School Boys                             </v>
          </cell>
          <cell r="H5920" t="str">
            <v>AA</v>
          </cell>
        </row>
        <row r="5921">
          <cell r="B5921" t="str">
            <v>Fire Alarm Sounder, Bell, Light</v>
          </cell>
          <cell r="D5921" t="str">
            <v xml:space="preserve">Al-Adel Elementary School Boys                             </v>
          </cell>
          <cell r="H5921" t="str">
            <v>AA</v>
          </cell>
        </row>
        <row r="5922">
          <cell r="B5922" t="str">
            <v>Fire Alarm Sounder, Bell, Light</v>
          </cell>
          <cell r="D5922" t="str">
            <v xml:space="preserve">Al-Adel Elementary School Boys                             </v>
          </cell>
          <cell r="H5922" t="str">
            <v>AA</v>
          </cell>
        </row>
        <row r="5923">
          <cell r="B5923" t="str">
            <v>Fire Alarm Sounder, Bell, Light</v>
          </cell>
          <cell r="D5923" t="str">
            <v xml:space="preserve">Al-Adel Elementary School Boys                             </v>
          </cell>
          <cell r="H5923" t="str">
            <v>AA</v>
          </cell>
        </row>
        <row r="5924">
          <cell r="B5924" t="str">
            <v>Fire Alarm Sounder, Bell, Light</v>
          </cell>
          <cell r="D5924" t="str">
            <v xml:space="preserve">Al-Adel Elementary School Boys                             </v>
          </cell>
          <cell r="H5924" t="str">
            <v>AA</v>
          </cell>
        </row>
        <row r="5925">
          <cell r="B5925" t="str">
            <v>Fire Extinguisher</v>
          </cell>
          <cell r="D5925" t="str">
            <v xml:space="preserve">Al-Adel Elementary School Boys                             </v>
          </cell>
          <cell r="H5925" t="str">
            <v>AA</v>
          </cell>
        </row>
        <row r="5926">
          <cell r="B5926" t="str">
            <v>Fire Extinguisher</v>
          </cell>
          <cell r="D5926" t="str">
            <v xml:space="preserve">Al-Adel Elementary School Boys                             </v>
          </cell>
          <cell r="H5926" t="str">
            <v>AA</v>
          </cell>
        </row>
        <row r="5927">
          <cell r="B5927" t="str">
            <v>Fire Extinguisher</v>
          </cell>
          <cell r="D5927" t="str">
            <v xml:space="preserve">Al-Adel Elementary School Boys                             </v>
          </cell>
          <cell r="H5927" t="str">
            <v>AA</v>
          </cell>
        </row>
        <row r="5928">
          <cell r="B5928" t="str">
            <v>Fire Extinguisher</v>
          </cell>
          <cell r="D5928" t="str">
            <v xml:space="preserve">Al-Adel Elementary School Boys                             </v>
          </cell>
          <cell r="H5928" t="str">
            <v>AA</v>
          </cell>
        </row>
        <row r="5929">
          <cell r="B5929" t="str">
            <v>Fire Extinguisher</v>
          </cell>
          <cell r="D5929" t="str">
            <v xml:space="preserve">Al-Adel Elementary School Boys                             </v>
          </cell>
          <cell r="H5929" t="str">
            <v>AA</v>
          </cell>
        </row>
        <row r="5930">
          <cell r="B5930" t="str">
            <v>Fire Extinguisher</v>
          </cell>
          <cell r="D5930" t="str">
            <v xml:space="preserve">Al-Adel Elementary School Boys                             </v>
          </cell>
          <cell r="H5930" t="str">
            <v>AA</v>
          </cell>
        </row>
        <row r="5931">
          <cell r="B5931" t="str">
            <v>Fire Extinguisher</v>
          </cell>
          <cell r="D5931" t="str">
            <v xml:space="preserve">Al-Adel Elementary School Boys                             </v>
          </cell>
          <cell r="H5931" t="str">
            <v>AA</v>
          </cell>
        </row>
        <row r="5932">
          <cell r="B5932" t="str">
            <v>Fire Extinguisher</v>
          </cell>
          <cell r="D5932" t="str">
            <v xml:space="preserve">Al-Adel Elementary School Boys                             </v>
          </cell>
          <cell r="H5932" t="str">
            <v>AA</v>
          </cell>
        </row>
        <row r="5933">
          <cell r="B5933" t="str">
            <v>Fire Extinguisher</v>
          </cell>
          <cell r="D5933" t="str">
            <v xml:space="preserve">Al-Adel Elementary School Boys                             </v>
          </cell>
          <cell r="H5933" t="str">
            <v>AA</v>
          </cell>
        </row>
        <row r="5934">
          <cell r="B5934" t="str">
            <v>Fire Hose Reel</v>
          </cell>
          <cell r="D5934" t="str">
            <v xml:space="preserve">Al-Adel Elementary School Boys                             </v>
          </cell>
          <cell r="H5934" t="str">
            <v>AA</v>
          </cell>
        </row>
        <row r="5935">
          <cell r="B5935" t="str">
            <v>Fire Hose Reel</v>
          </cell>
          <cell r="D5935" t="str">
            <v xml:space="preserve">Al-Adel Elementary School Boys                             </v>
          </cell>
          <cell r="H5935" t="str">
            <v>AA</v>
          </cell>
        </row>
        <row r="5936">
          <cell r="B5936" t="str">
            <v>Fire Hose Reel</v>
          </cell>
          <cell r="D5936" t="str">
            <v xml:space="preserve">Al-Adel Elementary School Boys                             </v>
          </cell>
          <cell r="H5936" t="str">
            <v>AA</v>
          </cell>
        </row>
        <row r="5937">
          <cell r="B5937" t="str">
            <v>Fire Hose Reel</v>
          </cell>
          <cell r="D5937" t="str">
            <v xml:space="preserve">Al-Adel Elementary School Boys                             </v>
          </cell>
          <cell r="H5937" t="str">
            <v>AA</v>
          </cell>
        </row>
        <row r="5938">
          <cell r="B5938" t="str">
            <v>Fire Hose Reel</v>
          </cell>
          <cell r="D5938" t="str">
            <v xml:space="preserve">Al-Adel Elementary School Boys                             </v>
          </cell>
          <cell r="H5938" t="str">
            <v>AA</v>
          </cell>
        </row>
        <row r="5939">
          <cell r="B5939" t="str">
            <v>Fire Hose Reel</v>
          </cell>
          <cell r="D5939" t="str">
            <v xml:space="preserve">Al-Adel Elementary School Boys                             </v>
          </cell>
          <cell r="H5939" t="str">
            <v>AA</v>
          </cell>
        </row>
        <row r="5940">
          <cell r="B5940" t="str">
            <v>Fire Hose Reel</v>
          </cell>
          <cell r="D5940" t="str">
            <v xml:space="preserve">Al-Adel Elementary School Boys                             </v>
          </cell>
          <cell r="H5940" t="str">
            <v>AA</v>
          </cell>
        </row>
        <row r="5941">
          <cell r="B5941" t="str">
            <v>Fire Hose Reel</v>
          </cell>
          <cell r="D5941" t="str">
            <v xml:space="preserve">Al-Adel Elementary School Boys                             </v>
          </cell>
          <cell r="H5941" t="str">
            <v>AA</v>
          </cell>
        </row>
        <row r="5942">
          <cell r="B5942" t="str">
            <v>Fire Hose Reel</v>
          </cell>
          <cell r="D5942" t="str">
            <v xml:space="preserve">Al-Adel Elementary School Boys                             </v>
          </cell>
          <cell r="H5942" t="str">
            <v>AA</v>
          </cell>
        </row>
        <row r="5943">
          <cell r="B5943" t="str">
            <v>Fire Hose Reel</v>
          </cell>
          <cell r="D5943" t="str">
            <v xml:space="preserve">Al-Adel Elementary School Boys                             </v>
          </cell>
          <cell r="H5943" t="str">
            <v>AA</v>
          </cell>
        </row>
        <row r="5944">
          <cell r="B5944" t="str">
            <v>Fire Hose Reel</v>
          </cell>
          <cell r="D5944" t="str">
            <v xml:space="preserve">Al-Adel Elementary School Boys                             </v>
          </cell>
          <cell r="H5944" t="str">
            <v>AA</v>
          </cell>
        </row>
        <row r="5945">
          <cell r="B5945" t="str">
            <v>Fire Hose Reel</v>
          </cell>
          <cell r="D5945" t="str">
            <v xml:space="preserve">Al-Adel Elementary School Boys                             </v>
          </cell>
          <cell r="H5945" t="str">
            <v>AA</v>
          </cell>
        </row>
        <row r="5946">
          <cell r="B5946" t="str">
            <v>FIRE PUMP - Diesel</v>
          </cell>
          <cell r="D5946" t="str">
            <v xml:space="preserve">Al-Adel Elementary School Boys                             </v>
          </cell>
          <cell r="H5946" t="str">
            <v>AA</v>
          </cell>
        </row>
        <row r="5947">
          <cell r="B5947" t="str">
            <v>FIRE PUMP - Electric</v>
          </cell>
          <cell r="D5947" t="str">
            <v xml:space="preserve">Al-Adel Elementary School Boys                             </v>
          </cell>
          <cell r="H5947" t="str">
            <v>AA</v>
          </cell>
        </row>
        <row r="5948">
          <cell r="B5948" t="str">
            <v>Fire Smoke / Heat Detector, Sounder</v>
          </cell>
          <cell r="D5948" t="str">
            <v xml:space="preserve">Al-Adel Elementary School Boys                             </v>
          </cell>
          <cell r="H5948" t="str">
            <v>AA</v>
          </cell>
        </row>
        <row r="5949">
          <cell r="B5949" t="str">
            <v>Fire Smoke / Heat Detector, Sounder</v>
          </cell>
          <cell r="D5949" t="str">
            <v xml:space="preserve">Al-Adel Elementary School Boys                             </v>
          </cell>
          <cell r="H5949" t="str">
            <v>AA</v>
          </cell>
        </row>
        <row r="5950">
          <cell r="B5950" t="str">
            <v>Fire Smoke / Heat Detector, Sounder</v>
          </cell>
          <cell r="D5950" t="str">
            <v xml:space="preserve">Al-Adel Elementary School Boys                             </v>
          </cell>
          <cell r="H5950" t="str">
            <v>AA</v>
          </cell>
        </row>
        <row r="5951">
          <cell r="B5951" t="str">
            <v>Fire Smoke / Heat Detector, Sounder</v>
          </cell>
          <cell r="D5951" t="str">
            <v xml:space="preserve">Al-Adel Elementary School Boys                             </v>
          </cell>
          <cell r="H5951" t="str">
            <v>AA</v>
          </cell>
        </row>
        <row r="5952">
          <cell r="B5952" t="str">
            <v>LPG Gas System</v>
          </cell>
          <cell r="D5952" t="str">
            <v xml:space="preserve">Al-Adel Elementary School Boys                             </v>
          </cell>
          <cell r="H5952" t="str">
            <v>AA</v>
          </cell>
        </row>
        <row r="5953">
          <cell r="B5953" t="str">
            <v>Fire Alarm Bell</v>
          </cell>
          <cell r="D5953" t="str">
            <v xml:space="preserve">Al-Ain educational warehouses        </v>
          </cell>
          <cell r="H5953" t="str">
            <v>AA</v>
          </cell>
        </row>
        <row r="5954">
          <cell r="B5954" t="str">
            <v>Fire Extinguisher (Water Trolley)</v>
          </cell>
          <cell r="D5954" t="str">
            <v xml:space="preserve">Al-Ain educational warehouses        </v>
          </cell>
          <cell r="H5954" t="str">
            <v>AA</v>
          </cell>
        </row>
        <row r="5955">
          <cell r="B5955" t="str">
            <v>Fire Extinguisher (Water Trolley)</v>
          </cell>
          <cell r="D5955" t="str">
            <v xml:space="preserve">Al-Ain educational warehouses        </v>
          </cell>
          <cell r="H5955" t="str">
            <v>AA</v>
          </cell>
        </row>
        <row r="5956">
          <cell r="B5956" t="str">
            <v>Fire Extinguisher (Water Trolley)</v>
          </cell>
          <cell r="D5956" t="str">
            <v xml:space="preserve">Al-Ain educational warehouses        </v>
          </cell>
          <cell r="H5956" t="str">
            <v>AA</v>
          </cell>
        </row>
        <row r="5957">
          <cell r="B5957" t="str">
            <v>Fire Extinguisher (Water Trolley)</v>
          </cell>
          <cell r="D5957" t="str">
            <v xml:space="preserve">Al-Ain educational warehouses        </v>
          </cell>
          <cell r="H5957" t="str">
            <v>AA</v>
          </cell>
        </row>
        <row r="5958">
          <cell r="B5958" t="str">
            <v>Water Tank</v>
          </cell>
          <cell r="D5958" t="str">
            <v xml:space="preserve">Al-Ain educational warehouses        </v>
          </cell>
          <cell r="H5958" t="str">
            <v>AA</v>
          </cell>
        </row>
        <row r="5959">
          <cell r="B5959" t="str">
            <v>Water Tank</v>
          </cell>
          <cell r="D5959" t="str">
            <v xml:space="preserve">Al-Ain educational warehouses        </v>
          </cell>
          <cell r="H5959" t="str">
            <v>AA</v>
          </cell>
        </row>
        <row r="5960">
          <cell r="B5960" t="str">
            <v>Water Tank</v>
          </cell>
          <cell r="D5960" t="str">
            <v xml:space="preserve">Al-Ain educational warehouses        </v>
          </cell>
          <cell r="H5960" t="str">
            <v>AA</v>
          </cell>
        </row>
        <row r="5961">
          <cell r="B5961" t="str">
            <v>Fire Alarm Break Glass Call Point</v>
          </cell>
          <cell r="D5961" t="str">
            <v xml:space="preserve">Al-Ghayth Elementary School                               </v>
          </cell>
          <cell r="H5961" t="str">
            <v>AA</v>
          </cell>
        </row>
        <row r="5962">
          <cell r="B5962" t="str">
            <v>Fire Alarm Break Glass Call Point</v>
          </cell>
          <cell r="D5962" t="str">
            <v xml:space="preserve">Al-Ghayth Elementary School                               </v>
          </cell>
          <cell r="H5962" t="str">
            <v>AA</v>
          </cell>
        </row>
        <row r="5963">
          <cell r="B5963" t="str">
            <v>Fire Alarm Break Glass Call Point</v>
          </cell>
          <cell r="D5963" t="str">
            <v xml:space="preserve">Al-Ghayth Elementary School                               </v>
          </cell>
          <cell r="H5963" t="str">
            <v>AA</v>
          </cell>
        </row>
        <row r="5964">
          <cell r="B5964" t="str">
            <v>Fire Alarm Break Glass Call Point</v>
          </cell>
          <cell r="D5964" t="str">
            <v xml:space="preserve">Al-Ghayth Elementary School                               </v>
          </cell>
          <cell r="H5964" t="str">
            <v>AA</v>
          </cell>
        </row>
        <row r="5965">
          <cell r="B5965" t="str">
            <v>Fire Alarm Break Glass Call Point</v>
          </cell>
          <cell r="D5965" t="str">
            <v xml:space="preserve">Al-Ghayth Elementary School                               </v>
          </cell>
          <cell r="H5965" t="str">
            <v>AA</v>
          </cell>
        </row>
        <row r="5966">
          <cell r="B5966" t="str">
            <v>Fire Alarm Break Glass Call Point</v>
          </cell>
          <cell r="D5966" t="str">
            <v xml:space="preserve">Al-Ghayth Elementary School                               </v>
          </cell>
          <cell r="H5966" t="str">
            <v>AA</v>
          </cell>
        </row>
        <row r="5967">
          <cell r="B5967" t="str">
            <v>Fire Alarm Break Glass Call Point</v>
          </cell>
          <cell r="D5967" t="str">
            <v xml:space="preserve">Al-Ghayth Elementary School                               </v>
          </cell>
          <cell r="H5967" t="str">
            <v>AA</v>
          </cell>
        </row>
        <row r="5968">
          <cell r="B5968" t="str">
            <v>Fire Alarm Break Glass Call Point</v>
          </cell>
          <cell r="D5968" t="str">
            <v xml:space="preserve">Al-Ghayth Elementary School                               </v>
          </cell>
          <cell r="H5968" t="str">
            <v>AA</v>
          </cell>
        </row>
        <row r="5969">
          <cell r="B5969" t="str">
            <v>Fire Alarm Break Glass Call Point</v>
          </cell>
          <cell r="D5969" t="str">
            <v xml:space="preserve">Al-Ghayth Elementary School                               </v>
          </cell>
          <cell r="H5969" t="str">
            <v>AA</v>
          </cell>
        </row>
        <row r="5970">
          <cell r="B5970" t="str">
            <v>Fire Alarm Panel</v>
          </cell>
          <cell r="D5970" t="str">
            <v xml:space="preserve">Al-Ghayth Elementary School                               </v>
          </cell>
          <cell r="H5970" t="str">
            <v>AA</v>
          </cell>
        </row>
        <row r="5971">
          <cell r="B5971" t="str">
            <v>Fire Alarm Panel</v>
          </cell>
          <cell r="D5971" t="str">
            <v xml:space="preserve">Al-Ghayth Elementary School                               </v>
          </cell>
          <cell r="H5971" t="str">
            <v>AA</v>
          </cell>
        </row>
        <row r="5972">
          <cell r="B5972" t="str">
            <v>Fire Alarm Sounder, Bell, Light</v>
          </cell>
          <cell r="D5972" t="str">
            <v xml:space="preserve">Al-Ghayth Elementary School                               </v>
          </cell>
          <cell r="H5972" t="str">
            <v>AA</v>
          </cell>
        </row>
        <row r="5973">
          <cell r="B5973" t="str">
            <v>Fire Alarm Sounder, Bell, Light</v>
          </cell>
          <cell r="D5973" t="str">
            <v xml:space="preserve">Al-Ghayth Elementary School                               </v>
          </cell>
          <cell r="H5973" t="str">
            <v>AA</v>
          </cell>
        </row>
        <row r="5974">
          <cell r="B5974" t="str">
            <v>Fire Alarm Sounder, Bell, Light</v>
          </cell>
          <cell r="D5974" t="str">
            <v xml:space="preserve">Al-Ghayth Elementary School                               </v>
          </cell>
          <cell r="H5974" t="str">
            <v>AA</v>
          </cell>
        </row>
        <row r="5975">
          <cell r="B5975" t="str">
            <v>Fire Alarm Sounder, Bell, Light</v>
          </cell>
          <cell r="D5975" t="str">
            <v xml:space="preserve">Al-Ghayth Elementary School                               </v>
          </cell>
          <cell r="H5975" t="str">
            <v>AA</v>
          </cell>
        </row>
        <row r="5976">
          <cell r="B5976" t="str">
            <v>Fire Alarm Sounder, Bell, Light</v>
          </cell>
          <cell r="D5976" t="str">
            <v xml:space="preserve">Al-Ghayth Elementary School                               </v>
          </cell>
          <cell r="H5976" t="str">
            <v>AA</v>
          </cell>
        </row>
        <row r="5977">
          <cell r="B5977" t="str">
            <v>Fire Alarm Sounder, Bell, Light</v>
          </cell>
          <cell r="D5977" t="str">
            <v xml:space="preserve">Al-Ghayth Elementary School                               </v>
          </cell>
          <cell r="H5977" t="str">
            <v>AA</v>
          </cell>
        </row>
        <row r="5978">
          <cell r="B5978" t="str">
            <v>Fire Alarm Sounder, Bell, Light</v>
          </cell>
          <cell r="D5978" t="str">
            <v xml:space="preserve">Al-Ghayth Elementary School                               </v>
          </cell>
          <cell r="H5978" t="str">
            <v>AA</v>
          </cell>
        </row>
        <row r="5979">
          <cell r="B5979" t="str">
            <v>Fire Alarm Sounder, Bell, Light</v>
          </cell>
          <cell r="D5979" t="str">
            <v xml:space="preserve">Al-Ghayth Elementary School                               </v>
          </cell>
          <cell r="H5979" t="str">
            <v>AA</v>
          </cell>
        </row>
        <row r="5980">
          <cell r="B5980" t="str">
            <v>Fire Alarm Sounder, Bell, Light</v>
          </cell>
          <cell r="D5980" t="str">
            <v xml:space="preserve">Al-Ghayth Elementary School                               </v>
          </cell>
          <cell r="H5980" t="str">
            <v>AA</v>
          </cell>
        </row>
        <row r="5981">
          <cell r="B5981" t="str">
            <v>Fire Alarm Sounder, Bell, Light</v>
          </cell>
          <cell r="D5981" t="str">
            <v xml:space="preserve">Al-Ghayth Elementary School                               </v>
          </cell>
          <cell r="H5981" t="str">
            <v>AA</v>
          </cell>
        </row>
        <row r="5982">
          <cell r="B5982" t="str">
            <v>Fire Extinguisher</v>
          </cell>
          <cell r="D5982" t="str">
            <v xml:space="preserve">Al-Ghayth Elementary School                               </v>
          </cell>
          <cell r="H5982" t="str">
            <v>AA</v>
          </cell>
        </row>
        <row r="5983">
          <cell r="B5983" t="str">
            <v>Fire Extinguisher</v>
          </cell>
          <cell r="D5983" t="str">
            <v xml:space="preserve">Al-Ghayth Elementary School                               </v>
          </cell>
          <cell r="H5983" t="str">
            <v>AA</v>
          </cell>
        </row>
        <row r="5984">
          <cell r="B5984" t="str">
            <v>Fire Extinguisher</v>
          </cell>
          <cell r="D5984" t="str">
            <v xml:space="preserve">Al-Ghayth Elementary School                               </v>
          </cell>
          <cell r="H5984" t="str">
            <v>AA</v>
          </cell>
        </row>
        <row r="5985">
          <cell r="B5985" t="str">
            <v>Fire Extinguisher</v>
          </cell>
          <cell r="D5985" t="str">
            <v xml:space="preserve">Al-Ghayth Elementary School                               </v>
          </cell>
          <cell r="H5985" t="str">
            <v>AA</v>
          </cell>
        </row>
        <row r="5986">
          <cell r="B5986" t="str">
            <v>Fire Extinguisher</v>
          </cell>
          <cell r="D5986" t="str">
            <v xml:space="preserve">Al-Ghayth Elementary School                               </v>
          </cell>
          <cell r="H5986" t="str">
            <v>AA</v>
          </cell>
        </row>
        <row r="5987">
          <cell r="B5987" t="str">
            <v>Fire Extinguisher</v>
          </cell>
          <cell r="D5987" t="str">
            <v xml:space="preserve">Al-Ghayth Elementary School                               </v>
          </cell>
          <cell r="H5987" t="str">
            <v>AA</v>
          </cell>
        </row>
        <row r="5988">
          <cell r="B5988" t="str">
            <v>Fire Extinguisher</v>
          </cell>
          <cell r="D5988" t="str">
            <v xml:space="preserve">Al-Ghayth Elementary School                               </v>
          </cell>
          <cell r="H5988" t="str">
            <v>AA</v>
          </cell>
        </row>
        <row r="5989">
          <cell r="B5989" t="str">
            <v>Fire Extinguisher</v>
          </cell>
          <cell r="D5989" t="str">
            <v xml:space="preserve">Al-Ghayth Elementary School                               </v>
          </cell>
          <cell r="H5989" t="str">
            <v>AA</v>
          </cell>
        </row>
        <row r="5990">
          <cell r="B5990" t="str">
            <v>Fire Extinguisher</v>
          </cell>
          <cell r="D5990" t="str">
            <v xml:space="preserve">Al-Ghayth Elementary School                               </v>
          </cell>
          <cell r="H5990" t="str">
            <v>AA</v>
          </cell>
        </row>
        <row r="5991">
          <cell r="B5991" t="str">
            <v>Fire Extinguisher</v>
          </cell>
          <cell r="D5991" t="str">
            <v xml:space="preserve">Al-Ghayth Elementary School                               </v>
          </cell>
          <cell r="H5991" t="str">
            <v>AA</v>
          </cell>
        </row>
        <row r="5992">
          <cell r="B5992" t="str">
            <v>Fire Hose Reel</v>
          </cell>
          <cell r="D5992" t="str">
            <v xml:space="preserve">Al-Ghayth Elementary School                               </v>
          </cell>
          <cell r="H5992" t="str">
            <v>AA</v>
          </cell>
        </row>
        <row r="5993">
          <cell r="B5993" t="str">
            <v>Fire Hose Reel</v>
          </cell>
          <cell r="D5993" t="str">
            <v xml:space="preserve">Al-Ghayth Elementary School                               </v>
          </cell>
          <cell r="H5993" t="str">
            <v>AA</v>
          </cell>
        </row>
        <row r="5994">
          <cell r="B5994" t="str">
            <v>Fire Hose Reel</v>
          </cell>
          <cell r="D5994" t="str">
            <v xml:space="preserve">Al-Ghayth Elementary School                               </v>
          </cell>
          <cell r="H5994" t="str">
            <v>AA</v>
          </cell>
        </row>
        <row r="5995">
          <cell r="B5995" t="str">
            <v>Fire Hose Reel</v>
          </cell>
          <cell r="D5995" t="str">
            <v xml:space="preserve">Al-Ghayth Elementary School                               </v>
          </cell>
          <cell r="H5995" t="str">
            <v>AA</v>
          </cell>
        </row>
        <row r="5996">
          <cell r="B5996" t="str">
            <v>Fire Hose Reel</v>
          </cell>
          <cell r="D5996" t="str">
            <v xml:space="preserve">Al-Ghayth Elementary School                               </v>
          </cell>
          <cell r="H5996" t="str">
            <v>AA</v>
          </cell>
        </row>
        <row r="5997">
          <cell r="B5997" t="str">
            <v>Fire Hose Reel</v>
          </cell>
          <cell r="D5997" t="str">
            <v xml:space="preserve">Al-Ghayth Elementary School                               </v>
          </cell>
          <cell r="H5997" t="str">
            <v>AA</v>
          </cell>
        </row>
        <row r="5998">
          <cell r="B5998" t="str">
            <v>Fire Hose Reel</v>
          </cell>
          <cell r="D5998" t="str">
            <v xml:space="preserve">Al-Ghayth Elementary School                               </v>
          </cell>
          <cell r="H5998" t="str">
            <v>AA</v>
          </cell>
        </row>
        <row r="5999">
          <cell r="B5999" t="str">
            <v>Fire Hose Reel</v>
          </cell>
          <cell r="D5999" t="str">
            <v xml:space="preserve">Al-Ghayth Elementary School                               </v>
          </cell>
          <cell r="H5999" t="str">
            <v>AA</v>
          </cell>
        </row>
        <row r="6000">
          <cell r="B6000" t="str">
            <v>Fire Hose Reel</v>
          </cell>
          <cell r="D6000" t="str">
            <v xml:space="preserve">Al-Ghayth Elementary School                               </v>
          </cell>
          <cell r="H6000" t="str">
            <v>AA</v>
          </cell>
        </row>
        <row r="6001">
          <cell r="B6001" t="str">
            <v>Fire Hose Reel</v>
          </cell>
          <cell r="D6001" t="str">
            <v xml:space="preserve">Al-Ghayth Elementary School                               </v>
          </cell>
          <cell r="H6001" t="str">
            <v>AA</v>
          </cell>
        </row>
        <row r="6002">
          <cell r="B6002" t="str">
            <v>Fire Hose Reel</v>
          </cell>
          <cell r="D6002" t="str">
            <v xml:space="preserve">Al-Ghayth Elementary School                               </v>
          </cell>
          <cell r="H6002" t="str">
            <v>AA</v>
          </cell>
        </row>
        <row r="6003">
          <cell r="B6003" t="str">
            <v>Fire Hose Reel</v>
          </cell>
          <cell r="D6003" t="str">
            <v xml:space="preserve">Al-Ghayth Elementary School                               </v>
          </cell>
          <cell r="H6003" t="str">
            <v>AA</v>
          </cell>
        </row>
        <row r="6004">
          <cell r="B6004" t="str">
            <v>Fire Hose Reel</v>
          </cell>
          <cell r="D6004" t="str">
            <v xml:space="preserve">Al-Ghayth Elementary School                               </v>
          </cell>
          <cell r="H6004" t="str">
            <v>AA</v>
          </cell>
        </row>
        <row r="6005">
          <cell r="B6005" t="str">
            <v>Fire Hose Reel</v>
          </cell>
          <cell r="D6005" t="str">
            <v xml:space="preserve">Al-Ghayth Elementary School                               </v>
          </cell>
          <cell r="H6005" t="str">
            <v>AA</v>
          </cell>
        </row>
        <row r="6006">
          <cell r="B6006" t="str">
            <v>FIRE PUMP - Diesel</v>
          </cell>
          <cell r="D6006" t="str">
            <v xml:space="preserve">Al-Ghayth Elementary School                               </v>
          </cell>
          <cell r="H6006" t="str">
            <v>AA</v>
          </cell>
        </row>
        <row r="6007">
          <cell r="B6007" t="str">
            <v>Fire Smoke / Heat Detector, Sounder</v>
          </cell>
          <cell r="D6007" t="str">
            <v xml:space="preserve">Al-Ghayth Elementary School                               </v>
          </cell>
          <cell r="H6007" t="str">
            <v>AA</v>
          </cell>
        </row>
        <row r="6008">
          <cell r="B6008" t="str">
            <v>Fire Smoke / Heat Detector, Sounder</v>
          </cell>
          <cell r="D6008" t="str">
            <v xml:space="preserve">Al-Ghayth Elementary School                               </v>
          </cell>
          <cell r="H6008" t="str">
            <v>AA</v>
          </cell>
        </row>
        <row r="6009">
          <cell r="B6009" t="str">
            <v>Fire Smoke / Heat Detector, Sounder</v>
          </cell>
          <cell r="D6009" t="str">
            <v xml:space="preserve">Al-Ghayth Elementary School                               </v>
          </cell>
          <cell r="H6009" t="str">
            <v>AA</v>
          </cell>
        </row>
        <row r="6010">
          <cell r="B6010" t="str">
            <v>Fire Smoke / Heat Detector, Sounder</v>
          </cell>
          <cell r="D6010" t="str">
            <v xml:space="preserve">Al-Ghayth Elementary School                               </v>
          </cell>
          <cell r="H6010" t="str">
            <v>AA</v>
          </cell>
        </row>
        <row r="6011">
          <cell r="B6011" t="str">
            <v>Fire Smoke / Heat Detector, Sounder</v>
          </cell>
          <cell r="D6011" t="str">
            <v xml:space="preserve">Al-Ghayth Elementary School                               </v>
          </cell>
          <cell r="H6011" t="str">
            <v>AA</v>
          </cell>
        </row>
        <row r="6012">
          <cell r="B6012" t="str">
            <v>Fire Smoke / Heat Detector, Sounder</v>
          </cell>
          <cell r="D6012" t="str">
            <v xml:space="preserve">Al-Ghayth Elementary School                               </v>
          </cell>
          <cell r="H6012" t="str">
            <v>AA</v>
          </cell>
        </row>
        <row r="6013">
          <cell r="B6013" t="str">
            <v>Fire Smoke / Heat Detector, Sounder</v>
          </cell>
          <cell r="D6013" t="str">
            <v xml:space="preserve">Al-Ghayth Elementary School                               </v>
          </cell>
          <cell r="H6013" t="str">
            <v>AA</v>
          </cell>
        </row>
        <row r="6014">
          <cell r="B6014" t="str">
            <v>Fire Smoke / Heat Detector, Sounder</v>
          </cell>
          <cell r="D6014" t="str">
            <v xml:space="preserve">Al-Ghayth Elementary School                               </v>
          </cell>
          <cell r="H6014" t="str">
            <v>AA</v>
          </cell>
        </row>
        <row r="6015">
          <cell r="B6015" t="str">
            <v>Fire Smoke / Heat Detector, Sounder</v>
          </cell>
          <cell r="D6015" t="str">
            <v xml:space="preserve">Al-Ghayth Elementary School                               </v>
          </cell>
          <cell r="H6015" t="str">
            <v>AA</v>
          </cell>
        </row>
        <row r="6016">
          <cell r="B6016" t="str">
            <v>Fire Smoke / Heat Detector, Sounder</v>
          </cell>
          <cell r="D6016" t="str">
            <v xml:space="preserve">Al-Ghayth Elementary School                               </v>
          </cell>
          <cell r="H6016" t="str">
            <v>AA</v>
          </cell>
        </row>
        <row r="6017">
          <cell r="B6017" t="str">
            <v>Fire Smoke / Heat Detector, Sounder</v>
          </cell>
          <cell r="D6017" t="str">
            <v xml:space="preserve">Al-Ghayth Elementary School                               </v>
          </cell>
          <cell r="H6017" t="str">
            <v>AA</v>
          </cell>
        </row>
        <row r="6018">
          <cell r="B6018" t="str">
            <v>Fire Smoke / Heat Detector, Sounder</v>
          </cell>
          <cell r="D6018" t="str">
            <v xml:space="preserve">Al-Ghayth Elementary School                               </v>
          </cell>
          <cell r="H6018" t="str">
            <v>AA</v>
          </cell>
        </row>
        <row r="6019">
          <cell r="B6019" t="str">
            <v>CCTV Camera</v>
          </cell>
          <cell r="D6019" t="str">
            <v xml:space="preserve">Al-Hadara priary School                                                       </v>
          </cell>
          <cell r="H6019" t="str">
            <v>AA</v>
          </cell>
        </row>
        <row r="6020">
          <cell r="B6020" t="str">
            <v>CCTV Camera</v>
          </cell>
          <cell r="D6020" t="str">
            <v xml:space="preserve">Al-Hadara priary School                                                       </v>
          </cell>
          <cell r="H6020" t="str">
            <v>AA</v>
          </cell>
        </row>
        <row r="6021">
          <cell r="B6021" t="str">
            <v>CCTV Camera</v>
          </cell>
          <cell r="D6021" t="str">
            <v xml:space="preserve">Al-Hadara priary School                                                       </v>
          </cell>
          <cell r="H6021" t="str">
            <v>AA</v>
          </cell>
        </row>
        <row r="6022">
          <cell r="B6022" t="str">
            <v>CCTV Camera</v>
          </cell>
          <cell r="D6022" t="str">
            <v xml:space="preserve">Al-Hadara priary School                                                       </v>
          </cell>
          <cell r="H6022" t="str">
            <v>AA</v>
          </cell>
        </row>
        <row r="6023">
          <cell r="B6023" t="str">
            <v>Fire Alarm Control Panel Board</v>
          </cell>
          <cell r="D6023" t="str">
            <v xml:space="preserve">Al-Hadara priary School                                                       </v>
          </cell>
          <cell r="H6023" t="str">
            <v>AA</v>
          </cell>
        </row>
        <row r="6024">
          <cell r="B6024" t="str">
            <v>Fire Alarm Control Panel Board</v>
          </cell>
          <cell r="D6024" t="str">
            <v xml:space="preserve">Al-Hadara priary School                                                       </v>
          </cell>
          <cell r="H6024" t="str">
            <v>AA</v>
          </cell>
        </row>
        <row r="6025">
          <cell r="B6025" t="str">
            <v>Fire Blanket</v>
          </cell>
          <cell r="D6025" t="str">
            <v xml:space="preserve">Al-Hadara priary School                                                       </v>
          </cell>
          <cell r="H6025" t="str">
            <v>AA</v>
          </cell>
        </row>
        <row r="6026">
          <cell r="B6026" t="str">
            <v>Fire Blanket</v>
          </cell>
          <cell r="D6026" t="str">
            <v xml:space="preserve">Al-Hadara priary School                                                       </v>
          </cell>
          <cell r="H6026" t="str">
            <v>AA</v>
          </cell>
        </row>
        <row r="6027">
          <cell r="B6027" t="str">
            <v>Fire Break Glass</v>
          </cell>
          <cell r="D6027" t="str">
            <v xml:space="preserve">Al-Hadara priary School                                                       </v>
          </cell>
          <cell r="H6027" t="str">
            <v>AA</v>
          </cell>
        </row>
        <row r="6028">
          <cell r="B6028" t="str">
            <v>Fire Break Glass</v>
          </cell>
          <cell r="D6028" t="str">
            <v xml:space="preserve">Al-Hadara priary School                                                       </v>
          </cell>
          <cell r="H6028" t="str">
            <v>AA</v>
          </cell>
        </row>
        <row r="6029">
          <cell r="B6029" t="str">
            <v>Fire Cabinet</v>
          </cell>
          <cell r="D6029" t="str">
            <v xml:space="preserve">Al-Hadara priary School                                                       </v>
          </cell>
          <cell r="H6029" t="str">
            <v>AA</v>
          </cell>
        </row>
        <row r="6030">
          <cell r="B6030" t="str">
            <v>Fire Detector</v>
          </cell>
          <cell r="D6030" t="str">
            <v xml:space="preserve">Al-Hadara priary School                                                       </v>
          </cell>
          <cell r="H6030" t="str">
            <v>AA</v>
          </cell>
        </row>
        <row r="6031">
          <cell r="B6031" t="str">
            <v>Fire Detector Operated</v>
          </cell>
          <cell r="D6031" t="str">
            <v xml:space="preserve">Al-Hadara priary School                                                       </v>
          </cell>
          <cell r="H6031" t="str">
            <v>AA</v>
          </cell>
        </row>
        <row r="6032">
          <cell r="B6032" t="str">
            <v>Fire Detector Operated</v>
          </cell>
          <cell r="D6032" t="str">
            <v xml:space="preserve">Al-Hadara priary School                                                       </v>
          </cell>
          <cell r="H6032" t="str">
            <v>AA</v>
          </cell>
        </row>
        <row r="6033">
          <cell r="B6033" t="str">
            <v>Fire Detector Operated</v>
          </cell>
          <cell r="D6033" t="str">
            <v xml:space="preserve">Al-Hadara priary School                                                       </v>
          </cell>
          <cell r="H6033" t="str">
            <v>AA</v>
          </cell>
        </row>
        <row r="6034">
          <cell r="B6034" t="str">
            <v>Fire Detector Operated</v>
          </cell>
          <cell r="D6034" t="str">
            <v xml:space="preserve">Al-Hadara priary School                                                       </v>
          </cell>
          <cell r="H6034" t="str">
            <v>AA</v>
          </cell>
        </row>
        <row r="6035">
          <cell r="B6035" t="str">
            <v>Fire Detector Operated</v>
          </cell>
          <cell r="D6035" t="str">
            <v xml:space="preserve">Al-Hadara priary School                                                       </v>
          </cell>
          <cell r="H6035" t="str">
            <v>AA</v>
          </cell>
        </row>
        <row r="6036">
          <cell r="B6036" t="str">
            <v>Fire Extinguisher</v>
          </cell>
          <cell r="D6036" t="str">
            <v xml:space="preserve">Al-Hadara priary School                                                       </v>
          </cell>
          <cell r="H6036" t="str">
            <v>AA</v>
          </cell>
        </row>
        <row r="6037">
          <cell r="B6037" t="str">
            <v>Fire Extinguisher</v>
          </cell>
          <cell r="D6037" t="str">
            <v xml:space="preserve">Al-Hadara priary School                                                       </v>
          </cell>
          <cell r="H6037" t="str">
            <v>AA</v>
          </cell>
        </row>
        <row r="6038">
          <cell r="B6038" t="str">
            <v>Fire Extinguisher</v>
          </cell>
          <cell r="D6038" t="str">
            <v xml:space="preserve">Al-Hadara priary School                                                       </v>
          </cell>
          <cell r="H6038" t="str">
            <v>AA</v>
          </cell>
        </row>
        <row r="6039">
          <cell r="B6039" t="str">
            <v>Fire Extinguisher</v>
          </cell>
          <cell r="D6039" t="str">
            <v xml:space="preserve">Al-Hadara priary School                                                       </v>
          </cell>
          <cell r="H6039" t="str">
            <v>AA</v>
          </cell>
        </row>
        <row r="6040">
          <cell r="B6040" t="str">
            <v>Fire Extinguisher</v>
          </cell>
          <cell r="D6040" t="str">
            <v xml:space="preserve">Al-Hadara priary School                                                       </v>
          </cell>
          <cell r="H6040" t="str">
            <v>AA</v>
          </cell>
        </row>
        <row r="6041">
          <cell r="B6041" t="str">
            <v>Fire Extinguisher</v>
          </cell>
          <cell r="D6041" t="str">
            <v xml:space="preserve">Al-Hadara priary School                                                       </v>
          </cell>
          <cell r="H6041" t="str">
            <v>AA</v>
          </cell>
        </row>
        <row r="6042">
          <cell r="B6042" t="str">
            <v>Fire Extinguisher</v>
          </cell>
          <cell r="D6042" t="str">
            <v xml:space="preserve">Al-Hadara priary School                                                       </v>
          </cell>
          <cell r="H6042" t="str">
            <v>AA</v>
          </cell>
        </row>
        <row r="6043">
          <cell r="B6043" t="str">
            <v>Fire Extinguisher</v>
          </cell>
          <cell r="D6043" t="str">
            <v xml:space="preserve">Al-Hadara priary School                                                       </v>
          </cell>
          <cell r="H6043" t="str">
            <v>AA</v>
          </cell>
        </row>
        <row r="6044">
          <cell r="B6044" t="str">
            <v>Fire Extinguisher</v>
          </cell>
          <cell r="D6044" t="str">
            <v xml:space="preserve">Al-Hadara priary School                                                       </v>
          </cell>
          <cell r="H6044" t="str">
            <v>AA</v>
          </cell>
        </row>
        <row r="6045">
          <cell r="B6045" t="str">
            <v>Fire Extinguisher</v>
          </cell>
          <cell r="D6045" t="str">
            <v xml:space="preserve">Al-Hadara priary School                                                       </v>
          </cell>
          <cell r="H6045" t="str">
            <v>AA</v>
          </cell>
        </row>
        <row r="6046">
          <cell r="B6046" t="str">
            <v>Fire Extinguisher</v>
          </cell>
          <cell r="D6046" t="str">
            <v xml:space="preserve">Al-Hadara priary School                                                       </v>
          </cell>
          <cell r="H6046" t="str">
            <v>AA</v>
          </cell>
        </row>
        <row r="6047">
          <cell r="B6047" t="str">
            <v>Fire Extinguisher</v>
          </cell>
          <cell r="D6047" t="str">
            <v xml:space="preserve">Al-Hadara priary School                                                       </v>
          </cell>
          <cell r="H6047" t="str">
            <v>AA</v>
          </cell>
        </row>
        <row r="6048">
          <cell r="B6048" t="str">
            <v>Fire Extinguisher</v>
          </cell>
          <cell r="D6048" t="str">
            <v xml:space="preserve">Al-Hadara priary School                                                       </v>
          </cell>
          <cell r="H6048" t="str">
            <v>AA</v>
          </cell>
        </row>
        <row r="6049">
          <cell r="B6049" t="str">
            <v>Fire Extinguisher Cabinet</v>
          </cell>
          <cell r="D6049" t="str">
            <v xml:space="preserve">Al-Hadara priary School                                                       </v>
          </cell>
          <cell r="H6049" t="str">
            <v>AA</v>
          </cell>
        </row>
        <row r="6050">
          <cell r="B6050" t="str">
            <v>Fire Extinguisher Cabinet</v>
          </cell>
          <cell r="D6050" t="str">
            <v xml:space="preserve">Al-Hadara priary School                                                       </v>
          </cell>
          <cell r="H6050" t="str">
            <v>AA</v>
          </cell>
        </row>
        <row r="6051">
          <cell r="B6051" t="str">
            <v>Fire Extinguisher Cabinet</v>
          </cell>
          <cell r="D6051" t="str">
            <v xml:space="preserve">Al-Hadara priary School                                                       </v>
          </cell>
          <cell r="H6051" t="str">
            <v>AA</v>
          </cell>
        </row>
        <row r="6052">
          <cell r="B6052" t="str">
            <v>Fire Extinguisher Cabinet</v>
          </cell>
          <cell r="D6052" t="str">
            <v xml:space="preserve">Al-Hadara priary School                                                       </v>
          </cell>
          <cell r="H6052" t="str">
            <v>AA</v>
          </cell>
        </row>
        <row r="6053">
          <cell r="B6053" t="str">
            <v>Fire Extinguisher Cabinet</v>
          </cell>
          <cell r="D6053" t="str">
            <v xml:space="preserve">Al-Hadara priary School                                                       </v>
          </cell>
          <cell r="H6053" t="str">
            <v>AA</v>
          </cell>
        </row>
        <row r="6054">
          <cell r="B6054" t="str">
            <v>Fire Extinguisher Cabinet</v>
          </cell>
          <cell r="D6054" t="str">
            <v xml:space="preserve">Al-Hadara priary School                                                       </v>
          </cell>
          <cell r="H6054" t="str">
            <v>AA</v>
          </cell>
        </row>
        <row r="6055">
          <cell r="B6055" t="str">
            <v>Fire Extinguisher Cabinet</v>
          </cell>
          <cell r="D6055" t="str">
            <v xml:space="preserve">Al-Hadara priary School                                                       </v>
          </cell>
          <cell r="H6055" t="str">
            <v>AA</v>
          </cell>
        </row>
        <row r="6056">
          <cell r="B6056" t="str">
            <v>Fire Extinguisher Cabinet</v>
          </cell>
          <cell r="D6056" t="str">
            <v xml:space="preserve">Al-Hadara priary School                                                       </v>
          </cell>
          <cell r="H6056" t="str">
            <v>AA</v>
          </cell>
        </row>
        <row r="6057">
          <cell r="B6057" t="str">
            <v>Fire Extinguisher Cabinet</v>
          </cell>
          <cell r="D6057" t="str">
            <v xml:space="preserve">Al-Hadara priary School                                                       </v>
          </cell>
          <cell r="H6057" t="str">
            <v>AA</v>
          </cell>
        </row>
        <row r="6058">
          <cell r="B6058" t="str">
            <v>Fire Extinguisher Cabinet</v>
          </cell>
          <cell r="D6058" t="str">
            <v xml:space="preserve">Al-Hadara priary School                                                       </v>
          </cell>
          <cell r="H6058" t="str">
            <v>AA</v>
          </cell>
        </row>
        <row r="6059">
          <cell r="B6059" t="str">
            <v>Fire Extinguisher Cabinet</v>
          </cell>
          <cell r="D6059" t="str">
            <v xml:space="preserve">Al-Hadara priary School                                                       </v>
          </cell>
          <cell r="H6059" t="str">
            <v>AA</v>
          </cell>
        </row>
        <row r="6060">
          <cell r="B6060" t="str">
            <v>Fire Extinguisher Cabinet</v>
          </cell>
          <cell r="D6060" t="str">
            <v xml:space="preserve">Al-Hadara priary School                                                       </v>
          </cell>
          <cell r="H6060" t="str">
            <v>AA</v>
          </cell>
        </row>
        <row r="6061">
          <cell r="B6061" t="str">
            <v>Fire Extinguisher Cabinet</v>
          </cell>
          <cell r="D6061" t="str">
            <v xml:space="preserve">Al-Hadara priary School                                                       </v>
          </cell>
          <cell r="H6061" t="str">
            <v>AA</v>
          </cell>
        </row>
        <row r="6062">
          <cell r="B6062" t="str">
            <v>Fire Hose Reel</v>
          </cell>
          <cell r="D6062" t="str">
            <v xml:space="preserve">Al-Hadara priary School                                                       </v>
          </cell>
          <cell r="H6062" t="str">
            <v>AA</v>
          </cell>
        </row>
        <row r="6063">
          <cell r="B6063" t="str">
            <v>Fire Hose Reel</v>
          </cell>
          <cell r="D6063" t="str">
            <v xml:space="preserve">Al-Hadara priary School                                                       </v>
          </cell>
          <cell r="H6063" t="str">
            <v>AA</v>
          </cell>
        </row>
        <row r="6064">
          <cell r="B6064" t="str">
            <v>Fire Hose Reel</v>
          </cell>
          <cell r="D6064" t="str">
            <v xml:space="preserve">Al-Hadara priary School                                                       </v>
          </cell>
          <cell r="H6064" t="str">
            <v>AA</v>
          </cell>
        </row>
        <row r="6065">
          <cell r="B6065" t="str">
            <v>Fire Hose Reel</v>
          </cell>
          <cell r="D6065" t="str">
            <v xml:space="preserve">Al-Hadara priary School                                                       </v>
          </cell>
          <cell r="H6065" t="str">
            <v>AA</v>
          </cell>
        </row>
        <row r="6066">
          <cell r="B6066" t="str">
            <v>Fire Hose Reel Cabinet</v>
          </cell>
          <cell r="D6066" t="str">
            <v xml:space="preserve">Al-Hadara priary School                                                       </v>
          </cell>
          <cell r="H6066" t="str">
            <v>AA</v>
          </cell>
        </row>
        <row r="6067">
          <cell r="B6067" t="str">
            <v>Fire Hose Reel Cabinet</v>
          </cell>
          <cell r="D6067" t="str">
            <v xml:space="preserve">Al-Hadara priary School                                                       </v>
          </cell>
          <cell r="H6067" t="str">
            <v>AA</v>
          </cell>
        </row>
        <row r="6068">
          <cell r="B6068" t="str">
            <v>Fire Hose Reel Cabinet</v>
          </cell>
          <cell r="D6068" t="str">
            <v xml:space="preserve">Al-Hadara priary School                                                       </v>
          </cell>
          <cell r="H6068" t="str">
            <v>AA</v>
          </cell>
        </row>
        <row r="6069">
          <cell r="B6069" t="str">
            <v>Fire Pump</v>
          </cell>
          <cell r="D6069" t="str">
            <v xml:space="preserve">Al-Hadara priary School                                                       </v>
          </cell>
          <cell r="H6069" t="str">
            <v>AA</v>
          </cell>
        </row>
        <row r="6070">
          <cell r="B6070" t="str">
            <v>Fire Pump</v>
          </cell>
          <cell r="D6070" t="str">
            <v xml:space="preserve">Al-Hadara priary School                                                       </v>
          </cell>
          <cell r="H6070" t="str">
            <v>AA</v>
          </cell>
        </row>
        <row r="6071">
          <cell r="B6071" t="str">
            <v>FIRE PUMP - Diesel</v>
          </cell>
          <cell r="D6071" t="str">
            <v xml:space="preserve">Al-Hadara priary School                                                       </v>
          </cell>
          <cell r="H6071" t="str">
            <v>AA</v>
          </cell>
        </row>
        <row r="6072">
          <cell r="B6072" t="str">
            <v>Smoke Detector &amp; Heat Detector</v>
          </cell>
          <cell r="D6072" t="str">
            <v xml:space="preserve">Al-Hadara priary School                                                       </v>
          </cell>
          <cell r="H6072" t="str">
            <v>AA</v>
          </cell>
        </row>
        <row r="6073">
          <cell r="B6073" t="str">
            <v>Smoke Detector &amp; Heat Detector</v>
          </cell>
          <cell r="D6073" t="str">
            <v xml:space="preserve">Al-Hadara priary School                                                       </v>
          </cell>
          <cell r="H6073" t="str">
            <v>AA</v>
          </cell>
        </row>
        <row r="6074">
          <cell r="B6074" t="str">
            <v>Smoke Detector &amp; Heat Detector</v>
          </cell>
          <cell r="D6074" t="str">
            <v xml:space="preserve">Al-Hadara priary School                                                       </v>
          </cell>
          <cell r="H6074" t="str">
            <v>AA</v>
          </cell>
        </row>
        <row r="6075">
          <cell r="B6075" t="str">
            <v>Smoke Detector &amp; Heat Detector</v>
          </cell>
          <cell r="D6075" t="str">
            <v xml:space="preserve">Al-Hadara priary School                                                       </v>
          </cell>
          <cell r="H6075" t="str">
            <v>AA</v>
          </cell>
        </row>
        <row r="6076">
          <cell r="B6076" t="str">
            <v>Smoke Detector &amp; Heat Detector</v>
          </cell>
          <cell r="D6076" t="str">
            <v xml:space="preserve">Al-Hadara priary School                                                       </v>
          </cell>
          <cell r="H6076" t="str">
            <v>AA</v>
          </cell>
        </row>
        <row r="6077">
          <cell r="B6077" t="str">
            <v>Smoke Detector &amp; Heat Detector</v>
          </cell>
          <cell r="D6077" t="str">
            <v xml:space="preserve">Al-Hadara priary School                                                       </v>
          </cell>
          <cell r="H6077" t="str">
            <v>AA</v>
          </cell>
        </row>
        <row r="6078">
          <cell r="B6078" t="str">
            <v>Smoke Detector &amp; Heat Detector</v>
          </cell>
          <cell r="D6078" t="str">
            <v xml:space="preserve">Al-Hadara priary School                                                       </v>
          </cell>
          <cell r="H6078" t="str">
            <v>AA</v>
          </cell>
        </row>
        <row r="6079">
          <cell r="B6079" t="str">
            <v>Smoke Detector &amp; Heat Detector</v>
          </cell>
          <cell r="D6079" t="str">
            <v xml:space="preserve">Al-Hadara priary School                                                       </v>
          </cell>
          <cell r="H6079" t="str">
            <v>AA</v>
          </cell>
        </row>
        <row r="6080">
          <cell r="B6080" t="str">
            <v>Smoke Detector &amp; Heat Detector</v>
          </cell>
          <cell r="D6080" t="str">
            <v xml:space="preserve">Al-Hadara priary School                                                       </v>
          </cell>
          <cell r="H6080" t="str">
            <v>AA</v>
          </cell>
        </row>
        <row r="6081">
          <cell r="B6081" t="str">
            <v>Smoke Detector &amp; Heat Detector</v>
          </cell>
          <cell r="D6081" t="str">
            <v xml:space="preserve">Al-Hadara priary School                                                       </v>
          </cell>
          <cell r="H6081" t="str">
            <v>AA</v>
          </cell>
        </row>
        <row r="6082">
          <cell r="B6082" t="str">
            <v>Smoke Detector &amp; Heat Detector</v>
          </cell>
          <cell r="D6082" t="str">
            <v xml:space="preserve">Al-Hadara priary School                                                       </v>
          </cell>
          <cell r="H6082" t="str">
            <v>AA</v>
          </cell>
        </row>
        <row r="6083">
          <cell r="B6083" t="str">
            <v>Smoke Detector &amp; Heat Detector</v>
          </cell>
          <cell r="D6083" t="str">
            <v xml:space="preserve">Al-Hadara priary School                                                       </v>
          </cell>
          <cell r="H6083" t="str">
            <v>AA</v>
          </cell>
        </row>
        <row r="6084">
          <cell r="B6084" t="str">
            <v>Smoke Detector &amp; Heat Detector</v>
          </cell>
          <cell r="D6084" t="str">
            <v xml:space="preserve">Al-Hadara priary School                                                       </v>
          </cell>
          <cell r="H6084" t="str">
            <v>AA</v>
          </cell>
        </row>
        <row r="6085">
          <cell r="B6085" t="str">
            <v>Smoke Detector &amp; Heat Detector</v>
          </cell>
          <cell r="D6085" t="str">
            <v xml:space="preserve">Al-Hadara priary School                                                       </v>
          </cell>
          <cell r="H6085" t="str">
            <v>AA</v>
          </cell>
        </row>
        <row r="6086">
          <cell r="B6086" t="str">
            <v>Smoke Detector &amp; Heat Detector</v>
          </cell>
          <cell r="D6086" t="str">
            <v xml:space="preserve">Al-Hadara priary School                                                       </v>
          </cell>
          <cell r="H6086" t="str">
            <v>AA</v>
          </cell>
        </row>
        <row r="6087">
          <cell r="B6087" t="str">
            <v>Smoke Detector &amp; Heat Detector</v>
          </cell>
          <cell r="D6087" t="str">
            <v xml:space="preserve">Al-Hadara priary School                                                       </v>
          </cell>
          <cell r="H6087" t="str">
            <v>AA</v>
          </cell>
        </row>
        <row r="6088">
          <cell r="B6088" t="str">
            <v>Smoke Detector &amp; Heat Detector</v>
          </cell>
          <cell r="D6088" t="str">
            <v xml:space="preserve">Al-Hadara priary School                                                       </v>
          </cell>
          <cell r="H6088" t="str">
            <v>AA</v>
          </cell>
        </row>
        <row r="6089">
          <cell r="B6089" t="str">
            <v>Smoke Detector &amp; Heat Detector</v>
          </cell>
          <cell r="D6089" t="str">
            <v xml:space="preserve">Al-Hadara priary School                                                       </v>
          </cell>
          <cell r="H6089" t="str">
            <v>AA</v>
          </cell>
        </row>
        <row r="6090">
          <cell r="B6090" t="str">
            <v>Smoke Detector &amp; Heat Detector</v>
          </cell>
          <cell r="D6090" t="str">
            <v xml:space="preserve">Al-Hadara priary School                                                       </v>
          </cell>
          <cell r="H6090" t="str">
            <v>AA</v>
          </cell>
        </row>
        <row r="6091">
          <cell r="B6091" t="str">
            <v>Smoke Detector &amp; Heat Detector</v>
          </cell>
          <cell r="D6091" t="str">
            <v xml:space="preserve">Al-Hadara priary School                                                       </v>
          </cell>
          <cell r="H6091" t="str">
            <v>AA</v>
          </cell>
        </row>
        <row r="6092">
          <cell r="B6092" t="str">
            <v>Smoke Detector &amp; Heat Detector</v>
          </cell>
          <cell r="D6092" t="str">
            <v xml:space="preserve">Al-Hadara priary School                                                       </v>
          </cell>
          <cell r="H6092" t="str">
            <v>AA</v>
          </cell>
        </row>
        <row r="6093">
          <cell r="B6093" t="str">
            <v>Smoke Detector &amp; Heat Detector</v>
          </cell>
          <cell r="D6093" t="str">
            <v xml:space="preserve">Al-Hadara priary School                                                       </v>
          </cell>
          <cell r="H6093" t="str">
            <v>AA</v>
          </cell>
        </row>
        <row r="6094">
          <cell r="B6094" t="str">
            <v>Smoke Detector &amp; Heat Detector</v>
          </cell>
          <cell r="D6094" t="str">
            <v xml:space="preserve">Al-Hadara priary School                                                       </v>
          </cell>
          <cell r="H6094" t="str">
            <v>AA</v>
          </cell>
        </row>
        <row r="6095">
          <cell r="B6095" t="str">
            <v>Smoke Detector &amp; Heat Detector</v>
          </cell>
          <cell r="D6095" t="str">
            <v xml:space="preserve">Al-Hadara priary School                                                       </v>
          </cell>
          <cell r="H6095" t="str">
            <v>AA</v>
          </cell>
        </row>
        <row r="6096">
          <cell r="B6096" t="str">
            <v>Smoke Detector &amp; Heat Detector</v>
          </cell>
          <cell r="D6096" t="str">
            <v xml:space="preserve">Al-Hadara priary School                                                       </v>
          </cell>
          <cell r="H6096" t="str">
            <v>AA</v>
          </cell>
        </row>
        <row r="6097">
          <cell r="B6097" t="str">
            <v>Smoke Detector &amp; Heat Detector</v>
          </cell>
          <cell r="D6097" t="str">
            <v xml:space="preserve">Al-Hadara priary School                                                       </v>
          </cell>
          <cell r="H6097" t="str">
            <v>AA</v>
          </cell>
        </row>
        <row r="6098">
          <cell r="B6098" t="str">
            <v>Smoke Detector &amp; Heat Detector</v>
          </cell>
          <cell r="D6098" t="str">
            <v xml:space="preserve">Al-Hadara priary School                                                       </v>
          </cell>
          <cell r="H6098" t="str">
            <v>AA</v>
          </cell>
        </row>
        <row r="6099">
          <cell r="B6099" t="str">
            <v>Smoke Detector &amp; Heat Detector</v>
          </cell>
          <cell r="D6099" t="str">
            <v xml:space="preserve">Al-Hadara priary School                                                       </v>
          </cell>
          <cell r="H6099" t="str">
            <v>AA</v>
          </cell>
        </row>
        <row r="6100">
          <cell r="B6100" t="str">
            <v>Smoke Detector &amp; Heat Detector</v>
          </cell>
          <cell r="D6100" t="str">
            <v xml:space="preserve">Al-Hadara priary School                                                       </v>
          </cell>
          <cell r="H6100" t="str">
            <v>AA</v>
          </cell>
        </row>
        <row r="6101">
          <cell r="B6101" t="str">
            <v>Smoke Detector &amp; Heat Detector</v>
          </cell>
          <cell r="D6101" t="str">
            <v xml:space="preserve">Al-Hadara priary School                                                       </v>
          </cell>
          <cell r="H6101" t="str">
            <v>AA</v>
          </cell>
        </row>
        <row r="6102">
          <cell r="B6102" t="str">
            <v>Smoke Detector &amp; Heat Detector</v>
          </cell>
          <cell r="D6102" t="str">
            <v xml:space="preserve">Al-Hadara priary School                                                       </v>
          </cell>
          <cell r="H6102" t="str">
            <v>AA</v>
          </cell>
        </row>
        <row r="6103">
          <cell r="B6103" t="str">
            <v>Smoke Detector &amp; Heat Detector</v>
          </cell>
          <cell r="D6103" t="str">
            <v xml:space="preserve">Al-Hadara priary School                                                       </v>
          </cell>
          <cell r="H6103" t="str">
            <v>AA</v>
          </cell>
        </row>
        <row r="6104">
          <cell r="B6104" t="str">
            <v>Smoke Detector &amp; Heat Detector</v>
          </cell>
          <cell r="D6104" t="str">
            <v xml:space="preserve">Al-Hadara priary School                                                       </v>
          </cell>
          <cell r="H6104" t="str">
            <v>AA</v>
          </cell>
        </row>
        <row r="6105">
          <cell r="B6105" t="str">
            <v>Smoke Detector &amp; Heat Detector</v>
          </cell>
          <cell r="D6105" t="str">
            <v xml:space="preserve">Al-Hadara priary School                                                       </v>
          </cell>
          <cell r="H6105" t="str">
            <v>AA</v>
          </cell>
        </row>
        <row r="6106">
          <cell r="B6106" t="str">
            <v>Smoke Detector &amp; Heat Detector</v>
          </cell>
          <cell r="D6106" t="str">
            <v xml:space="preserve">Al-Hadara priary School                                                       </v>
          </cell>
          <cell r="H6106" t="str">
            <v>AA</v>
          </cell>
        </row>
        <row r="6107">
          <cell r="B6107" t="str">
            <v>Smoke Detector &amp; Heat Detector</v>
          </cell>
          <cell r="D6107" t="str">
            <v xml:space="preserve">Al-Hadara priary School                                                       </v>
          </cell>
          <cell r="H6107" t="str">
            <v>AA</v>
          </cell>
        </row>
        <row r="6108">
          <cell r="B6108" t="str">
            <v>Smoke Detector &amp; Heat Detector</v>
          </cell>
          <cell r="D6108" t="str">
            <v xml:space="preserve">Al-Hadara priary School                                                       </v>
          </cell>
          <cell r="H6108" t="str">
            <v>AA</v>
          </cell>
        </row>
        <row r="6109">
          <cell r="B6109" t="str">
            <v>Smoke Detector &amp; Heat Detector</v>
          </cell>
          <cell r="D6109" t="str">
            <v xml:space="preserve">Al-Hadara priary School                                                       </v>
          </cell>
          <cell r="H6109" t="str">
            <v>AA</v>
          </cell>
        </row>
        <row r="6110">
          <cell r="B6110" t="str">
            <v>Water Tank</v>
          </cell>
          <cell r="D6110" t="str">
            <v xml:space="preserve">Al-Hadara priary School                                                       </v>
          </cell>
          <cell r="H6110" t="str">
            <v>AA</v>
          </cell>
        </row>
        <row r="6111">
          <cell r="B6111" t="str">
            <v>Water Tank</v>
          </cell>
          <cell r="D6111" t="str">
            <v xml:space="preserve">Al-Hadara priary School                                                       </v>
          </cell>
          <cell r="H6111" t="str">
            <v>AA</v>
          </cell>
        </row>
        <row r="6112">
          <cell r="B6112" t="str">
            <v>Water Tank</v>
          </cell>
          <cell r="D6112" t="str">
            <v xml:space="preserve">Al-Hadara priary School                                                       </v>
          </cell>
          <cell r="H6112" t="str">
            <v>AA</v>
          </cell>
        </row>
        <row r="6113">
          <cell r="B6113" t="str">
            <v>Water Tank</v>
          </cell>
          <cell r="D6113" t="str">
            <v xml:space="preserve">Al-Hadara priary School                                                       </v>
          </cell>
          <cell r="H6113" t="str">
            <v>AA</v>
          </cell>
        </row>
        <row r="6114">
          <cell r="B6114" t="str">
            <v>Fire Alarm Bell</v>
          </cell>
          <cell r="D6114" t="str">
            <v xml:space="preserve">Al-Jury Nursery                                               </v>
          </cell>
          <cell r="H6114" t="str">
            <v>AA</v>
          </cell>
        </row>
        <row r="6115">
          <cell r="B6115" t="str">
            <v>Fire Extinguisher</v>
          </cell>
          <cell r="D6115" t="str">
            <v xml:space="preserve">Al-Jury Nursery                                               </v>
          </cell>
          <cell r="H6115" t="str">
            <v>AA</v>
          </cell>
        </row>
        <row r="6116">
          <cell r="B6116" t="str">
            <v>Fire Extinguisher</v>
          </cell>
          <cell r="D6116" t="str">
            <v xml:space="preserve">Al-Jury Nursery                                               </v>
          </cell>
          <cell r="H6116" t="str">
            <v>AA</v>
          </cell>
        </row>
        <row r="6117">
          <cell r="B6117" t="str">
            <v>Fire Extinguisher</v>
          </cell>
          <cell r="D6117" t="str">
            <v xml:space="preserve">Al-Jury Nursery                                               </v>
          </cell>
          <cell r="H6117" t="str">
            <v>AA</v>
          </cell>
        </row>
        <row r="6118">
          <cell r="B6118" t="str">
            <v>Fire Extinguisher</v>
          </cell>
          <cell r="D6118" t="str">
            <v xml:space="preserve">Al-Jury Nursery                                               </v>
          </cell>
          <cell r="H6118" t="str">
            <v>AA</v>
          </cell>
        </row>
        <row r="6119">
          <cell r="B6119" t="str">
            <v>Fire Extinguisher</v>
          </cell>
          <cell r="D6119" t="str">
            <v xml:space="preserve">Al-Jury Nursery                                               </v>
          </cell>
          <cell r="H6119" t="str">
            <v>AA</v>
          </cell>
        </row>
        <row r="6120">
          <cell r="B6120" t="str">
            <v>Fire Extinguisher</v>
          </cell>
          <cell r="D6120" t="str">
            <v xml:space="preserve">Al-Jury Nursery                                               </v>
          </cell>
          <cell r="H6120" t="str">
            <v>AA</v>
          </cell>
        </row>
        <row r="6121">
          <cell r="B6121" t="str">
            <v>Fire Extinguisher</v>
          </cell>
          <cell r="D6121" t="str">
            <v xml:space="preserve">Al-Jury Nursery                                               </v>
          </cell>
          <cell r="H6121" t="str">
            <v>AA</v>
          </cell>
        </row>
        <row r="6122">
          <cell r="B6122" t="str">
            <v>Fire Extinguisher</v>
          </cell>
          <cell r="D6122" t="str">
            <v xml:space="preserve">Al-Jury Nursery                                               </v>
          </cell>
          <cell r="H6122" t="str">
            <v>AA</v>
          </cell>
        </row>
        <row r="6123">
          <cell r="B6123" t="str">
            <v>Fire Extinguisher</v>
          </cell>
          <cell r="D6123" t="str">
            <v xml:space="preserve">Al-Jury Nursery                                               </v>
          </cell>
          <cell r="H6123" t="str">
            <v>AA</v>
          </cell>
        </row>
        <row r="6124">
          <cell r="B6124" t="str">
            <v>Fire Extinguisher</v>
          </cell>
          <cell r="D6124" t="str">
            <v xml:space="preserve">Al-Jury Nursery                                               </v>
          </cell>
          <cell r="H6124" t="str">
            <v>AA</v>
          </cell>
        </row>
        <row r="6125">
          <cell r="B6125" t="str">
            <v>Fire Extinguisher</v>
          </cell>
          <cell r="D6125" t="str">
            <v xml:space="preserve">Al-Jury Nursery                                               </v>
          </cell>
          <cell r="H6125" t="str">
            <v>AA</v>
          </cell>
        </row>
        <row r="6126">
          <cell r="B6126" t="str">
            <v>Water Tank</v>
          </cell>
          <cell r="D6126" t="str">
            <v xml:space="preserve">Al-Jury Nursery                                               </v>
          </cell>
          <cell r="H6126" t="str">
            <v>AA</v>
          </cell>
        </row>
        <row r="6127">
          <cell r="B6127" t="str">
            <v>Water Tank</v>
          </cell>
          <cell r="D6127" t="str">
            <v xml:space="preserve">Al-Jury Nursery                                               </v>
          </cell>
          <cell r="H6127" t="str">
            <v>AA</v>
          </cell>
        </row>
        <row r="6128">
          <cell r="B6128" t="str">
            <v>Water Tank</v>
          </cell>
          <cell r="D6128" t="str">
            <v xml:space="preserve">Al-Jury Nursery                                               </v>
          </cell>
          <cell r="H6128" t="str">
            <v>AA</v>
          </cell>
        </row>
        <row r="6129">
          <cell r="B6129" t="str">
            <v>Water Tank</v>
          </cell>
          <cell r="D6129" t="str">
            <v xml:space="preserve">Al-Jury Nursery                                               </v>
          </cell>
          <cell r="H6129" t="str">
            <v>AA</v>
          </cell>
        </row>
        <row r="6130">
          <cell r="B6130" t="str">
            <v>Water Tank</v>
          </cell>
          <cell r="D6130" t="str">
            <v xml:space="preserve">Al-Jury Nursery                                               </v>
          </cell>
          <cell r="H6130" t="str">
            <v>AA</v>
          </cell>
        </row>
        <row r="6131">
          <cell r="B6131" t="str">
            <v>Water Tank</v>
          </cell>
          <cell r="D6131" t="str">
            <v xml:space="preserve">Al-Jury Nursery                                               </v>
          </cell>
          <cell r="H6131" t="str">
            <v>AA</v>
          </cell>
        </row>
        <row r="6132">
          <cell r="B6132" t="str">
            <v>Water Tank</v>
          </cell>
          <cell r="D6132" t="str">
            <v xml:space="preserve">Al-Jury Nursery                                               </v>
          </cell>
          <cell r="H6132" t="str">
            <v>AA</v>
          </cell>
        </row>
        <row r="6133">
          <cell r="B6133" t="str">
            <v>Water Tank</v>
          </cell>
          <cell r="D6133" t="str">
            <v xml:space="preserve">Al-Jury Nursery                                               </v>
          </cell>
          <cell r="H6133" t="str">
            <v>AA</v>
          </cell>
        </row>
        <row r="6134">
          <cell r="B6134" t="str">
            <v>Fire Extinguisher - C02</v>
          </cell>
          <cell r="D6134" t="str">
            <v xml:space="preserve">Al-Manasir Sec. School                                               </v>
          </cell>
          <cell r="H6134" t="str">
            <v>AA</v>
          </cell>
        </row>
        <row r="6135">
          <cell r="B6135" t="str">
            <v>Fire Extinguisher - C02</v>
          </cell>
          <cell r="D6135" t="str">
            <v xml:space="preserve">Al-Manasir Sec. School                                               </v>
          </cell>
          <cell r="H6135" t="str">
            <v>AA</v>
          </cell>
        </row>
        <row r="6136">
          <cell r="B6136" t="str">
            <v>Fire Extinguisher - C02</v>
          </cell>
          <cell r="D6136" t="str">
            <v xml:space="preserve">Al-Manasir Sec. School                                               </v>
          </cell>
          <cell r="H6136" t="str">
            <v>AA</v>
          </cell>
        </row>
        <row r="6137">
          <cell r="B6137" t="str">
            <v>Fire Extinguisher - C02</v>
          </cell>
          <cell r="D6137" t="str">
            <v xml:space="preserve">Al-Manasir Sec. School                                               </v>
          </cell>
          <cell r="H6137" t="str">
            <v>AA</v>
          </cell>
        </row>
        <row r="6138">
          <cell r="B6138" t="str">
            <v>Fire Extinguisher - C02</v>
          </cell>
          <cell r="D6138" t="str">
            <v xml:space="preserve">Al-Manasir Sec. School                                               </v>
          </cell>
          <cell r="H6138" t="str">
            <v>AA</v>
          </cell>
        </row>
        <row r="6139">
          <cell r="B6139" t="str">
            <v>Fire Extinguisher - C02</v>
          </cell>
          <cell r="D6139" t="str">
            <v xml:space="preserve">Al-Manasir Sec. School                                               </v>
          </cell>
          <cell r="H6139" t="str">
            <v>AA</v>
          </cell>
        </row>
        <row r="6140">
          <cell r="B6140" t="str">
            <v>Fire Extinguisher - C02</v>
          </cell>
          <cell r="D6140" t="str">
            <v xml:space="preserve">Al-Manasir Sec. School                                               </v>
          </cell>
          <cell r="H6140" t="str">
            <v>AA</v>
          </cell>
        </row>
        <row r="6141">
          <cell r="B6141" t="str">
            <v>Fire Extinguisher - C02</v>
          </cell>
          <cell r="D6141" t="str">
            <v xml:space="preserve">Al-Manasir Sec. School                                               </v>
          </cell>
          <cell r="H6141" t="str">
            <v>AA</v>
          </cell>
        </row>
        <row r="6142">
          <cell r="B6142" t="str">
            <v>Fire Extinguisher - C02</v>
          </cell>
          <cell r="D6142" t="str">
            <v xml:space="preserve">Al-Manasir Sec. School                                               </v>
          </cell>
          <cell r="H6142" t="str">
            <v>AA</v>
          </cell>
        </row>
        <row r="6143">
          <cell r="B6143" t="str">
            <v>Fire Extinguisher - C02</v>
          </cell>
          <cell r="D6143" t="str">
            <v xml:space="preserve">Al-Manasir Sec. School                                               </v>
          </cell>
          <cell r="H6143" t="str">
            <v>AA</v>
          </cell>
        </row>
        <row r="6144">
          <cell r="B6144" t="str">
            <v>Fire Extinguisher - C02</v>
          </cell>
          <cell r="D6144" t="str">
            <v xml:space="preserve">Al-Manasir Sec. School                                               </v>
          </cell>
          <cell r="H6144" t="str">
            <v>AA</v>
          </cell>
        </row>
        <row r="6145">
          <cell r="B6145" t="str">
            <v>Fire Extinguisher - C02</v>
          </cell>
          <cell r="D6145" t="str">
            <v xml:space="preserve">Al-Manasir Sec. School                                               </v>
          </cell>
          <cell r="H6145" t="str">
            <v>AA</v>
          </cell>
        </row>
        <row r="6146">
          <cell r="B6146" t="str">
            <v>Fire Extinguisher - C02</v>
          </cell>
          <cell r="D6146" t="str">
            <v xml:space="preserve">Al-Manasir Sec. School                                               </v>
          </cell>
          <cell r="H6146" t="str">
            <v>AA</v>
          </cell>
        </row>
        <row r="6147">
          <cell r="B6147" t="str">
            <v>Fire Extinguisher - C02</v>
          </cell>
          <cell r="D6147" t="str">
            <v xml:space="preserve">Al-Manasir Sec. School                                               </v>
          </cell>
          <cell r="H6147" t="str">
            <v>AA</v>
          </cell>
        </row>
        <row r="6148">
          <cell r="B6148" t="str">
            <v>Fire Extinguisher - C02</v>
          </cell>
          <cell r="D6148" t="str">
            <v xml:space="preserve">Al-Manasir Sec. School                                               </v>
          </cell>
          <cell r="H6148" t="str">
            <v>AA</v>
          </cell>
        </row>
        <row r="6149">
          <cell r="B6149" t="str">
            <v>Fire Extinguisher - C02</v>
          </cell>
          <cell r="D6149" t="str">
            <v xml:space="preserve">Al-Manasir Sec. School                                               </v>
          </cell>
          <cell r="H6149" t="str">
            <v>AA</v>
          </cell>
        </row>
        <row r="6150">
          <cell r="B6150" t="str">
            <v>Finger Print Reader Machine</v>
          </cell>
          <cell r="D6150" t="str">
            <v xml:space="preserve">Al-Manasir Sec. School                                               </v>
          </cell>
          <cell r="H6150" t="str">
            <v>AA</v>
          </cell>
        </row>
        <row r="6151">
          <cell r="B6151" t="str">
            <v>Fire Blanket</v>
          </cell>
          <cell r="D6151" t="str">
            <v xml:space="preserve">Al-Manasir Sec. School                                               </v>
          </cell>
          <cell r="H6151" t="str">
            <v>AA</v>
          </cell>
        </row>
        <row r="6152">
          <cell r="B6152" t="str">
            <v>Fire Blanket</v>
          </cell>
          <cell r="D6152" t="str">
            <v xml:space="preserve">Al-Manasir Sec. School                                               </v>
          </cell>
          <cell r="H6152" t="str">
            <v>AA</v>
          </cell>
        </row>
        <row r="6153">
          <cell r="B6153" t="str">
            <v>Fire Blanket</v>
          </cell>
          <cell r="D6153" t="str">
            <v xml:space="preserve">Al-Manasir Sec. School                                               </v>
          </cell>
          <cell r="H6153" t="str">
            <v>AA</v>
          </cell>
        </row>
        <row r="6154">
          <cell r="B6154" t="str">
            <v>Fire Extinguisher</v>
          </cell>
          <cell r="D6154" t="str">
            <v xml:space="preserve">Al-Manasir Sec. School                                               </v>
          </cell>
          <cell r="H6154" t="str">
            <v>AA</v>
          </cell>
        </row>
        <row r="6155">
          <cell r="B6155" t="str">
            <v>Fire Extinguisher</v>
          </cell>
          <cell r="D6155" t="str">
            <v xml:space="preserve">Al-Manasir Sec. School                                               </v>
          </cell>
          <cell r="H6155" t="str">
            <v>AA</v>
          </cell>
        </row>
        <row r="6156">
          <cell r="B6156" t="str">
            <v>Fire Extinguisher - Dry</v>
          </cell>
          <cell r="D6156" t="str">
            <v xml:space="preserve">Al-Manasir Sec. School                                               </v>
          </cell>
          <cell r="H6156" t="str">
            <v>AA</v>
          </cell>
        </row>
        <row r="6157">
          <cell r="B6157" t="str">
            <v>Fire Extinguisher - Dry</v>
          </cell>
          <cell r="D6157" t="str">
            <v xml:space="preserve">Al-Manasir Sec. School                                               </v>
          </cell>
          <cell r="H6157" t="str">
            <v>AA</v>
          </cell>
        </row>
        <row r="6158">
          <cell r="B6158" t="str">
            <v>Fire Extinguisher - Dry</v>
          </cell>
          <cell r="D6158" t="str">
            <v xml:space="preserve">Al-Manasir Sec. School                                               </v>
          </cell>
          <cell r="H6158" t="str">
            <v>AA</v>
          </cell>
        </row>
        <row r="6159">
          <cell r="B6159" t="str">
            <v>Fire Extinguisher - Dry</v>
          </cell>
          <cell r="D6159" t="str">
            <v xml:space="preserve">Al-Manasir Sec. School                                               </v>
          </cell>
          <cell r="H6159" t="str">
            <v>AA</v>
          </cell>
        </row>
        <row r="6160">
          <cell r="B6160" t="str">
            <v>Fire Extinguisher - Dry</v>
          </cell>
          <cell r="D6160" t="str">
            <v xml:space="preserve">Al-Manasir Sec. School                                               </v>
          </cell>
          <cell r="H6160" t="str">
            <v>AA</v>
          </cell>
        </row>
        <row r="6161">
          <cell r="B6161" t="str">
            <v>Fire Extinguisher - Dry</v>
          </cell>
          <cell r="D6161" t="str">
            <v xml:space="preserve">Al-Manasir Sec. School                                               </v>
          </cell>
          <cell r="H6161" t="str">
            <v>AA</v>
          </cell>
        </row>
        <row r="6162">
          <cell r="B6162" t="str">
            <v>Fire Extinguisher - Dry</v>
          </cell>
          <cell r="D6162" t="str">
            <v xml:space="preserve">Al-Manasir Sec. School                                               </v>
          </cell>
          <cell r="H6162" t="str">
            <v>AA</v>
          </cell>
        </row>
        <row r="6163">
          <cell r="B6163" t="str">
            <v>Fire Extinguisher - Dry</v>
          </cell>
          <cell r="D6163" t="str">
            <v xml:space="preserve">Al-Manasir Sec. School                                               </v>
          </cell>
          <cell r="H6163" t="str">
            <v>AA</v>
          </cell>
        </row>
        <row r="6164">
          <cell r="B6164" t="str">
            <v>Fire Extinguisher - Dry</v>
          </cell>
          <cell r="D6164" t="str">
            <v xml:space="preserve">Al-Manasir Sec. School                                               </v>
          </cell>
          <cell r="H6164" t="str">
            <v>AA</v>
          </cell>
        </row>
        <row r="6165">
          <cell r="B6165" t="str">
            <v>Fire Extinguisher - Dry</v>
          </cell>
          <cell r="D6165" t="str">
            <v xml:space="preserve">Al-Manasir Sec. School                                               </v>
          </cell>
          <cell r="H6165" t="str">
            <v>AA</v>
          </cell>
        </row>
        <row r="6166">
          <cell r="B6166" t="str">
            <v>Water Tank</v>
          </cell>
          <cell r="D6166" t="str">
            <v xml:space="preserve">Al-Manasir Sec. School                                               </v>
          </cell>
          <cell r="H6166" t="str">
            <v>AA</v>
          </cell>
        </row>
        <row r="6167">
          <cell r="B6167" t="str">
            <v>Water Tank</v>
          </cell>
          <cell r="D6167" t="str">
            <v xml:space="preserve">Al-Manasir Sec. School                                               </v>
          </cell>
          <cell r="H6167" t="str">
            <v>AA</v>
          </cell>
        </row>
        <row r="6168">
          <cell r="B6168" t="str">
            <v>Water Tank</v>
          </cell>
          <cell r="D6168" t="str">
            <v xml:space="preserve">Al-Manasir Sec. School                                               </v>
          </cell>
          <cell r="H6168" t="str">
            <v>AA</v>
          </cell>
        </row>
        <row r="6169">
          <cell r="B6169" t="str">
            <v>Water Tank</v>
          </cell>
          <cell r="D6169" t="str">
            <v xml:space="preserve">Al-Manasir Sec. School                                               </v>
          </cell>
          <cell r="H6169" t="str">
            <v>AA</v>
          </cell>
        </row>
        <row r="6170">
          <cell r="B6170" t="str">
            <v>Water Tank</v>
          </cell>
          <cell r="D6170" t="str">
            <v xml:space="preserve">Al-Manasir Sec. School                                               </v>
          </cell>
          <cell r="H6170" t="str">
            <v>AA</v>
          </cell>
        </row>
        <row r="6171">
          <cell r="B6171" t="str">
            <v>Water Tank</v>
          </cell>
          <cell r="D6171" t="str">
            <v xml:space="preserve">Al-Manasir Sec. School                                               </v>
          </cell>
          <cell r="H6171" t="str">
            <v>AA</v>
          </cell>
        </row>
        <row r="6172">
          <cell r="B6172" t="str">
            <v>Water Tank</v>
          </cell>
          <cell r="D6172" t="str">
            <v xml:space="preserve">Al-Manasir Sec. School                                               </v>
          </cell>
          <cell r="H6172" t="str">
            <v>AA</v>
          </cell>
        </row>
        <row r="6173">
          <cell r="B6173" t="str">
            <v>Water Tank</v>
          </cell>
          <cell r="D6173" t="str">
            <v xml:space="preserve">Al-Manasir Sec. School                                               </v>
          </cell>
          <cell r="H6173" t="str">
            <v>AA</v>
          </cell>
        </row>
        <row r="6174">
          <cell r="B6174" t="str">
            <v>Water Tank</v>
          </cell>
          <cell r="D6174" t="str">
            <v xml:space="preserve">Al-Manasir Sec. School                                               </v>
          </cell>
          <cell r="H6174" t="str">
            <v>AA</v>
          </cell>
        </row>
        <row r="6175">
          <cell r="B6175" t="str">
            <v>Water Tank</v>
          </cell>
          <cell r="D6175" t="str">
            <v xml:space="preserve">Al-Manasir Sec. School                                               </v>
          </cell>
          <cell r="H6175" t="str">
            <v>AA</v>
          </cell>
        </row>
        <row r="6176">
          <cell r="B6176" t="str">
            <v>Water Tank</v>
          </cell>
          <cell r="D6176" t="str">
            <v xml:space="preserve">Al-Manasir Sec. School                                               </v>
          </cell>
          <cell r="H6176" t="str">
            <v>AA</v>
          </cell>
        </row>
        <row r="6177">
          <cell r="B6177" t="str">
            <v>ELECTRONIC ACCESS CONTROL SYSTEM</v>
          </cell>
          <cell r="D6177" t="str">
            <v xml:space="preserve">Al-Rafaa for Pri. and Sec. School                 </v>
          </cell>
          <cell r="H6177" t="str">
            <v>AA</v>
          </cell>
        </row>
        <row r="6178">
          <cell r="B6178" t="str">
            <v>Fire Alarm Break Glass Call Point</v>
          </cell>
          <cell r="D6178" t="str">
            <v xml:space="preserve">Al-Sadara model Elementary School                  </v>
          </cell>
          <cell r="H6178" t="str">
            <v>AA</v>
          </cell>
        </row>
        <row r="6179">
          <cell r="B6179" t="str">
            <v>Fire Alarm Break Glass Call Point</v>
          </cell>
          <cell r="D6179" t="str">
            <v xml:space="preserve">Al-Sadara model Elementary School                  </v>
          </cell>
          <cell r="H6179" t="str">
            <v>AA</v>
          </cell>
        </row>
        <row r="6180">
          <cell r="B6180" t="str">
            <v>Fire Alarm Break Glass Call Point</v>
          </cell>
          <cell r="D6180" t="str">
            <v xml:space="preserve">Al-Sadara model Elementary School                  </v>
          </cell>
          <cell r="H6180" t="str">
            <v>AA</v>
          </cell>
        </row>
        <row r="6181">
          <cell r="B6181" t="str">
            <v>Fire Alarm Break Glass Call Point</v>
          </cell>
          <cell r="D6181" t="str">
            <v xml:space="preserve">Al-Sadara model Elementary School                  </v>
          </cell>
          <cell r="H6181" t="str">
            <v>AA</v>
          </cell>
        </row>
        <row r="6182">
          <cell r="B6182" t="str">
            <v>Fire Alarm Break Glass Call Point</v>
          </cell>
          <cell r="D6182" t="str">
            <v xml:space="preserve">Al-Sadara model Elementary School                  </v>
          </cell>
          <cell r="H6182" t="str">
            <v>AA</v>
          </cell>
        </row>
        <row r="6183">
          <cell r="B6183" t="str">
            <v>Fire Alarm Break Glass Call Point</v>
          </cell>
          <cell r="D6183" t="str">
            <v xml:space="preserve">Al-Sadara model Elementary School                  </v>
          </cell>
          <cell r="H6183" t="str">
            <v>AA</v>
          </cell>
        </row>
        <row r="6184">
          <cell r="B6184" t="str">
            <v>Fire Alarm Break Glass Call Point</v>
          </cell>
          <cell r="D6184" t="str">
            <v xml:space="preserve">Al-Sadara model Elementary School                  </v>
          </cell>
          <cell r="H6184" t="str">
            <v>AA</v>
          </cell>
        </row>
        <row r="6185">
          <cell r="B6185" t="str">
            <v>Fire Alarm Break Glass Call Point</v>
          </cell>
          <cell r="D6185" t="str">
            <v xml:space="preserve">Al-Sadara model Elementary School                  </v>
          </cell>
          <cell r="H6185" t="str">
            <v>AA</v>
          </cell>
        </row>
        <row r="6186">
          <cell r="B6186" t="str">
            <v>Fire Alarm Break Glass Call Point</v>
          </cell>
          <cell r="D6186" t="str">
            <v xml:space="preserve">Al-Sadara model Elementary School                  </v>
          </cell>
          <cell r="H6186" t="str">
            <v>AA</v>
          </cell>
        </row>
        <row r="6187">
          <cell r="B6187" t="str">
            <v>Fire Alarm Break Glass Call Point</v>
          </cell>
          <cell r="D6187" t="str">
            <v xml:space="preserve">Al-Sadara model Elementary School                  </v>
          </cell>
          <cell r="H6187" t="str">
            <v>AA</v>
          </cell>
        </row>
        <row r="6188">
          <cell r="B6188" t="str">
            <v>Fire Alarm Panel</v>
          </cell>
          <cell r="D6188" t="str">
            <v xml:space="preserve">Al-Sadara model Elementary School                  </v>
          </cell>
          <cell r="H6188" t="str">
            <v>AA</v>
          </cell>
        </row>
        <row r="6189">
          <cell r="B6189" t="str">
            <v>Fire Alarm Sounder, Bell, Light</v>
          </cell>
          <cell r="D6189" t="str">
            <v xml:space="preserve">Al-Sadara model Elementary School                  </v>
          </cell>
          <cell r="H6189" t="str">
            <v>AA</v>
          </cell>
        </row>
        <row r="6190">
          <cell r="B6190" t="str">
            <v>Fire Alarm Sounder, Bell, Light</v>
          </cell>
          <cell r="D6190" t="str">
            <v xml:space="preserve">Al-Sadara model Elementary School                  </v>
          </cell>
          <cell r="H6190" t="str">
            <v>AA</v>
          </cell>
        </row>
        <row r="6191">
          <cell r="B6191" t="str">
            <v>Fire Alarm Sounder, Bell, Light</v>
          </cell>
          <cell r="D6191" t="str">
            <v xml:space="preserve">Al-Sadara model Elementary School                  </v>
          </cell>
          <cell r="H6191" t="str">
            <v>AA</v>
          </cell>
        </row>
        <row r="6192">
          <cell r="B6192" t="str">
            <v>Fire Alarm Sounder, Bell, Light</v>
          </cell>
          <cell r="D6192" t="str">
            <v xml:space="preserve">Al-Sadara model Elementary School                  </v>
          </cell>
          <cell r="H6192" t="str">
            <v>AA</v>
          </cell>
        </row>
        <row r="6193">
          <cell r="B6193" t="str">
            <v>Fire Alarm Sounder, Bell, Light</v>
          </cell>
          <cell r="D6193" t="str">
            <v xml:space="preserve">Al-Sadara model Elementary School                  </v>
          </cell>
          <cell r="H6193" t="str">
            <v>AA</v>
          </cell>
        </row>
        <row r="6194">
          <cell r="B6194" t="str">
            <v>Fire Alarm Sounder, Bell, Light</v>
          </cell>
          <cell r="D6194" t="str">
            <v xml:space="preserve">Al-Sadara model Elementary School                  </v>
          </cell>
          <cell r="H6194" t="str">
            <v>AA</v>
          </cell>
        </row>
        <row r="6195">
          <cell r="B6195" t="str">
            <v>Fire Alarm Sounder, Bell, Light</v>
          </cell>
          <cell r="D6195" t="str">
            <v xml:space="preserve">Al-Sadara model Elementary School                  </v>
          </cell>
          <cell r="H6195" t="str">
            <v>AA</v>
          </cell>
        </row>
        <row r="6196">
          <cell r="B6196" t="str">
            <v>Fire Alarm Sounder, Bell, Light</v>
          </cell>
          <cell r="D6196" t="str">
            <v xml:space="preserve">Al-Sadara model Elementary School                  </v>
          </cell>
          <cell r="H6196" t="str">
            <v>AA</v>
          </cell>
        </row>
        <row r="6197">
          <cell r="B6197" t="str">
            <v>Fire Alarm Sounder, Bell, Light</v>
          </cell>
          <cell r="D6197" t="str">
            <v xml:space="preserve">Al-Sadara model Elementary School                  </v>
          </cell>
          <cell r="H6197" t="str">
            <v>AA</v>
          </cell>
        </row>
        <row r="6198">
          <cell r="B6198" t="str">
            <v>Fire Alarm Sounder, Bell, Light</v>
          </cell>
          <cell r="D6198" t="str">
            <v xml:space="preserve">Al-Sadara model Elementary School                  </v>
          </cell>
          <cell r="H6198" t="str">
            <v>AA</v>
          </cell>
        </row>
        <row r="6199">
          <cell r="B6199" t="str">
            <v>Fire Alarm Sounder, Bell, Light</v>
          </cell>
          <cell r="D6199" t="str">
            <v xml:space="preserve">Al-Sadara model Elementary School                  </v>
          </cell>
          <cell r="H6199" t="str">
            <v>AA</v>
          </cell>
        </row>
        <row r="6200">
          <cell r="B6200" t="str">
            <v>Fire Alarm Sounder, Bell, Light</v>
          </cell>
          <cell r="D6200" t="str">
            <v xml:space="preserve">Al-Sadara model Elementary School                  </v>
          </cell>
          <cell r="H6200" t="str">
            <v>AA</v>
          </cell>
        </row>
        <row r="6201">
          <cell r="B6201" t="str">
            <v>Fire Alarm Sounder, Bell, Light</v>
          </cell>
          <cell r="D6201" t="str">
            <v xml:space="preserve">Al-Sadara model Elementary School                  </v>
          </cell>
          <cell r="H6201" t="str">
            <v>AA</v>
          </cell>
        </row>
        <row r="6202">
          <cell r="B6202" t="str">
            <v>Fire Alarm Sounder, Bell, Light</v>
          </cell>
          <cell r="D6202" t="str">
            <v xml:space="preserve">Al-Sadara model Elementary School                  </v>
          </cell>
          <cell r="H6202" t="str">
            <v>AA</v>
          </cell>
        </row>
        <row r="6203">
          <cell r="B6203" t="str">
            <v>Fire Alarm Sounder, Bell, Light</v>
          </cell>
          <cell r="D6203" t="str">
            <v xml:space="preserve">Al-Sadara model Elementary School                  </v>
          </cell>
          <cell r="H6203" t="str">
            <v>AA</v>
          </cell>
        </row>
        <row r="6204">
          <cell r="B6204" t="str">
            <v>Fire Alarm Sounder, Bell, Light</v>
          </cell>
          <cell r="D6204" t="str">
            <v xml:space="preserve">Al-Sadara model Elementary School                  </v>
          </cell>
          <cell r="H6204" t="str">
            <v>AA</v>
          </cell>
        </row>
        <row r="6205">
          <cell r="B6205" t="str">
            <v>Fire Extinguisher</v>
          </cell>
          <cell r="D6205" t="str">
            <v xml:space="preserve">Al-Sadara model Elementary School                  </v>
          </cell>
          <cell r="H6205" t="str">
            <v>AA</v>
          </cell>
        </row>
        <row r="6206">
          <cell r="B6206" t="str">
            <v>Fire Extinguisher</v>
          </cell>
          <cell r="D6206" t="str">
            <v xml:space="preserve">Al-Sadara model Elementary School                  </v>
          </cell>
          <cell r="H6206" t="str">
            <v>AA</v>
          </cell>
        </row>
        <row r="6207">
          <cell r="B6207" t="str">
            <v>Fire Extinguisher</v>
          </cell>
          <cell r="D6207" t="str">
            <v xml:space="preserve">Al-Sadara model Elementary School                  </v>
          </cell>
          <cell r="H6207" t="str">
            <v>AA</v>
          </cell>
        </row>
        <row r="6208">
          <cell r="B6208" t="str">
            <v>Fire Extinguisher</v>
          </cell>
          <cell r="D6208" t="str">
            <v xml:space="preserve">Al-Sadara model Elementary School                  </v>
          </cell>
          <cell r="H6208" t="str">
            <v>AA</v>
          </cell>
        </row>
        <row r="6209">
          <cell r="B6209" t="str">
            <v>Fire Extinguisher</v>
          </cell>
          <cell r="D6209" t="str">
            <v xml:space="preserve">Al-Sadara model Elementary School                  </v>
          </cell>
          <cell r="H6209" t="str">
            <v>AA</v>
          </cell>
        </row>
        <row r="6210">
          <cell r="B6210" t="str">
            <v>Fire Extinguisher</v>
          </cell>
          <cell r="D6210" t="str">
            <v xml:space="preserve">Al-Sadara model Elementary School                  </v>
          </cell>
          <cell r="H6210" t="str">
            <v>AA</v>
          </cell>
        </row>
        <row r="6211">
          <cell r="B6211" t="str">
            <v>Fire Extinguisher</v>
          </cell>
          <cell r="D6211" t="str">
            <v xml:space="preserve">Al-Sadara model Elementary School                  </v>
          </cell>
          <cell r="H6211" t="str">
            <v>AA</v>
          </cell>
        </row>
        <row r="6212">
          <cell r="B6212" t="str">
            <v>Fire Extinguisher</v>
          </cell>
          <cell r="D6212" t="str">
            <v xml:space="preserve">Al-Sadara model Elementary School                  </v>
          </cell>
          <cell r="H6212" t="str">
            <v>AA</v>
          </cell>
        </row>
        <row r="6213">
          <cell r="B6213" t="str">
            <v>Fire Extinguisher</v>
          </cell>
          <cell r="D6213" t="str">
            <v xml:space="preserve">Al-Sadara model Elementary School                  </v>
          </cell>
          <cell r="H6213" t="str">
            <v>AA</v>
          </cell>
        </row>
        <row r="6214">
          <cell r="B6214" t="str">
            <v>Fire Extinguisher</v>
          </cell>
          <cell r="D6214" t="str">
            <v xml:space="preserve">Al-Sadara model Elementary School                  </v>
          </cell>
          <cell r="H6214" t="str">
            <v>AA</v>
          </cell>
        </row>
        <row r="6215">
          <cell r="B6215" t="str">
            <v>Fire Extinguisher</v>
          </cell>
          <cell r="D6215" t="str">
            <v xml:space="preserve">Al-Sadara model Elementary School                  </v>
          </cell>
          <cell r="H6215" t="str">
            <v>AA</v>
          </cell>
        </row>
        <row r="6216">
          <cell r="B6216" t="str">
            <v>Fire Extinguisher</v>
          </cell>
          <cell r="D6216" t="str">
            <v xml:space="preserve">Al-Sadara model Elementary School                  </v>
          </cell>
          <cell r="H6216" t="str">
            <v>AA</v>
          </cell>
        </row>
        <row r="6217">
          <cell r="B6217" t="str">
            <v>Fire Extinguisher</v>
          </cell>
          <cell r="D6217" t="str">
            <v xml:space="preserve">Al-Sadara model Elementary School                  </v>
          </cell>
          <cell r="H6217" t="str">
            <v>AA</v>
          </cell>
        </row>
        <row r="6218">
          <cell r="B6218" t="str">
            <v>Fire Extinguisher</v>
          </cell>
          <cell r="D6218" t="str">
            <v xml:space="preserve">Al-Sadara model Elementary School                  </v>
          </cell>
          <cell r="H6218" t="str">
            <v>AA</v>
          </cell>
        </row>
        <row r="6219">
          <cell r="B6219" t="str">
            <v>Fire Extinguisher</v>
          </cell>
          <cell r="D6219" t="str">
            <v xml:space="preserve">Al-Sadara model Elementary School                  </v>
          </cell>
          <cell r="H6219" t="str">
            <v>AA</v>
          </cell>
        </row>
        <row r="6220">
          <cell r="B6220" t="str">
            <v>Fire Extinguisher</v>
          </cell>
          <cell r="D6220" t="str">
            <v xml:space="preserve">Al-Sadara model Elementary School                  </v>
          </cell>
          <cell r="H6220" t="str">
            <v>AA</v>
          </cell>
        </row>
        <row r="6221">
          <cell r="B6221" t="str">
            <v>Fire Extinguisher</v>
          </cell>
          <cell r="D6221" t="str">
            <v xml:space="preserve">Al-Sadara model Elementary School                  </v>
          </cell>
          <cell r="H6221" t="str">
            <v>AA</v>
          </cell>
        </row>
        <row r="6222">
          <cell r="B6222" t="str">
            <v>Fire Extinguisher</v>
          </cell>
          <cell r="D6222" t="str">
            <v xml:space="preserve">Al-Sadara model Elementary School                  </v>
          </cell>
          <cell r="H6222" t="str">
            <v>AA</v>
          </cell>
        </row>
        <row r="6223">
          <cell r="B6223" t="str">
            <v>Fire Extinguisher</v>
          </cell>
          <cell r="D6223" t="str">
            <v xml:space="preserve">Al-Sadara model Elementary School                  </v>
          </cell>
          <cell r="H6223" t="str">
            <v>AA</v>
          </cell>
        </row>
        <row r="6224">
          <cell r="B6224" t="str">
            <v>Fire Extinguisher</v>
          </cell>
          <cell r="D6224" t="str">
            <v xml:space="preserve">Al-Sadara model Elementary School                  </v>
          </cell>
          <cell r="H6224" t="str">
            <v>AA</v>
          </cell>
        </row>
        <row r="6225">
          <cell r="B6225" t="str">
            <v>Fire Extinguisher</v>
          </cell>
          <cell r="D6225" t="str">
            <v xml:space="preserve">Al-Sadara model Elementary School                  </v>
          </cell>
          <cell r="H6225" t="str">
            <v>AA</v>
          </cell>
        </row>
        <row r="6226">
          <cell r="B6226" t="str">
            <v>Fire Extinguisher</v>
          </cell>
          <cell r="D6226" t="str">
            <v xml:space="preserve">Al-Sadara model Elementary School                  </v>
          </cell>
          <cell r="H6226" t="str">
            <v>AA</v>
          </cell>
        </row>
        <row r="6227">
          <cell r="B6227" t="str">
            <v>Fire Extinguisher</v>
          </cell>
          <cell r="D6227" t="str">
            <v xml:space="preserve">Al-Sadara model Elementary School                  </v>
          </cell>
          <cell r="H6227" t="str">
            <v>AA</v>
          </cell>
        </row>
        <row r="6228">
          <cell r="B6228" t="str">
            <v>Fire Extinguisher</v>
          </cell>
          <cell r="D6228" t="str">
            <v xml:space="preserve">Al-Sadara model Elementary School                  </v>
          </cell>
          <cell r="H6228" t="str">
            <v>AA</v>
          </cell>
        </row>
        <row r="6229">
          <cell r="B6229" t="str">
            <v>Fire Extinguisher</v>
          </cell>
          <cell r="D6229" t="str">
            <v xml:space="preserve">Al-Sadara model Elementary School                  </v>
          </cell>
          <cell r="H6229" t="str">
            <v>AA</v>
          </cell>
        </row>
        <row r="6230">
          <cell r="B6230" t="str">
            <v>Fire Extinguisher</v>
          </cell>
          <cell r="D6230" t="str">
            <v xml:space="preserve">Al-Sadara model Elementary School                  </v>
          </cell>
          <cell r="H6230" t="str">
            <v>AA</v>
          </cell>
        </row>
        <row r="6231">
          <cell r="B6231" t="str">
            <v>Fire Extinguisher</v>
          </cell>
          <cell r="D6231" t="str">
            <v xml:space="preserve">Al-Sadara model Elementary School                  </v>
          </cell>
          <cell r="H6231" t="str">
            <v>AA</v>
          </cell>
        </row>
        <row r="6232">
          <cell r="B6232" t="str">
            <v>Fire Extinguisher</v>
          </cell>
          <cell r="D6232" t="str">
            <v xml:space="preserve">Al-Sadara model Elementary School                  </v>
          </cell>
          <cell r="H6232" t="str">
            <v>AA</v>
          </cell>
        </row>
        <row r="6233">
          <cell r="B6233" t="str">
            <v>Fire Extinguisher</v>
          </cell>
          <cell r="D6233" t="str">
            <v xml:space="preserve">Al-Sadara model Elementary School                  </v>
          </cell>
          <cell r="H6233" t="str">
            <v>AA</v>
          </cell>
        </row>
        <row r="6234">
          <cell r="B6234" t="str">
            <v>Fire Hose Reel</v>
          </cell>
          <cell r="D6234" t="str">
            <v xml:space="preserve">Al-Sadara model Elementary School                  </v>
          </cell>
          <cell r="H6234" t="str">
            <v>AA</v>
          </cell>
        </row>
        <row r="6235">
          <cell r="B6235" t="str">
            <v>Fire Hose Reel</v>
          </cell>
          <cell r="D6235" t="str">
            <v xml:space="preserve">Al-Sadara model Elementary School                  </v>
          </cell>
          <cell r="H6235" t="str">
            <v>AA</v>
          </cell>
        </row>
        <row r="6236">
          <cell r="B6236" t="str">
            <v>Fire Hose Reel</v>
          </cell>
          <cell r="D6236" t="str">
            <v xml:space="preserve">Al-Sadara model Elementary School                  </v>
          </cell>
          <cell r="H6236" t="str">
            <v>AA</v>
          </cell>
        </row>
        <row r="6237">
          <cell r="B6237" t="str">
            <v>Fire Hose Reel</v>
          </cell>
          <cell r="D6237" t="str">
            <v xml:space="preserve">Al-Sadara model Elementary School                  </v>
          </cell>
          <cell r="H6237" t="str">
            <v>AA</v>
          </cell>
        </row>
        <row r="6238">
          <cell r="B6238" t="str">
            <v>Fire Hose Reel</v>
          </cell>
          <cell r="D6238" t="str">
            <v xml:space="preserve">Al-Sadara model Elementary School                  </v>
          </cell>
          <cell r="H6238" t="str">
            <v>AA</v>
          </cell>
        </row>
        <row r="6239">
          <cell r="B6239" t="str">
            <v>Fire Hose Reel</v>
          </cell>
          <cell r="D6239" t="str">
            <v xml:space="preserve">Al-Sadara model Elementary School                  </v>
          </cell>
          <cell r="H6239" t="str">
            <v>AA</v>
          </cell>
        </row>
        <row r="6240">
          <cell r="B6240" t="str">
            <v>Fire Hose Reel</v>
          </cell>
          <cell r="D6240" t="str">
            <v xml:space="preserve">Al-Sadara model Elementary School                  </v>
          </cell>
          <cell r="H6240" t="str">
            <v>AA</v>
          </cell>
        </row>
        <row r="6241">
          <cell r="B6241" t="str">
            <v>Fire Hose Reel</v>
          </cell>
          <cell r="D6241" t="str">
            <v xml:space="preserve">Al-Sadara model Elementary School                  </v>
          </cell>
          <cell r="H6241" t="str">
            <v>AA</v>
          </cell>
        </row>
        <row r="6242">
          <cell r="B6242" t="str">
            <v>Fire Hose Reel</v>
          </cell>
          <cell r="D6242" t="str">
            <v xml:space="preserve">Al-Sadara model Elementary School                  </v>
          </cell>
          <cell r="H6242" t="str">
            <v>AA</v>
          </cell>
        </row>
        <row r="6243">
          <cell r="B6243" t="str">
            <v>Fire Hose Reel</v>
          </cell>
          <cell r="D6243" t="str">
            <v xml:space="preserve">Al-Sadara model Elementary School                  </v>
          </cell>
          <cell r="H6243" t="str">
            <v>AA</v>
          </cell>
        </row>
        <row r="6244">
          <cell r="B6244" t="str">
            <v>Fire Smoke / Heat Detector, Sounder</v>
          </cell>
          <cell r="D6244" t="str">
            <v xml:space="preserve">Al-Sadara model Elementary School                  </v>
          </cell>
          <cell r="H6244" t="str">
            <v>AA</v>
          </cell>
        </row>
        <row r="6245">
          <cell r="B6245" t="str">
            <v>Fire Smoke / Heat Detector, Sounder</v>
          </cell>
          <cell r="D6245" t="str">
            <v xml:space="preserve">Al-Sadara model Elementary School                  </v>
          </cell>
          <cell r="H6245" t="str">
            <v>AA</v>
          </cell>
        </row>
        <row r="6246">
          <cell r="B6246" t="str">
            <v>Fire Smoke / Heat Detector, Sounder</v>
          </cell>
          <cell r="D6246" t="str">
            <v xml:space="preserve">Al-Sadara model Elementary School                  </v>
          </cell>
          <cell r="H6246" t="str">
            <v>AA</v>
          </cell>
        </row>
        <row r="6247">
          <cell r="B6247" t="str">
            <v>Fire Smoke / Heat Detector, Sounder</v>
          </cell>
          <cell r="D6247" t="str">
            <v xml:space="preserve">Al-Sadara model Elementary School                  </v>
          </cell>
          <cell r="H6247" t="str">
            <v>AA</v>
          </cell>
        </row>
        <row r="6248">
          <cell r="B6248" t="str">
            <v>Fire Smoke / Heat Detector, Sounder</v>
          </cell>
          <cell r="D6248" t="str">
            <v xml:space="preserve">Al-Sadara model Elementary School                  </v>
          </cell>
          <cell r="H6248" t="str">
            <v>AA</v>
          </cell>
        </row>
        <row r="6249">
          <cell r="B6249" t="str">
            <v>Fire Smoke / Heat Detector, Sounder</v>
          </cell>
          <cell r="D6249" t="str">
            <v xml:space="preserve">Al-Sadara model Elementary School                  </v>
          </cell>
          <cell r="H6249" t="str">
            <v>AA</v>
          </cell>
        </row>
        <row r="6250">
          <cell r="B6250" t="str">
            <v>Fire Smoke / Heat Detector, Sounder</v>
          </cell>
          <cell r="D6250" t="str">
            <v xml:space="preserve">Al-Sadara model Elementary School                  </v>
          </cell>
          <cell r="H6250" t="str">
            <v>AA</v>
          </cell>
        </row>
        <row r="6251">
          <cell r="B6251" t="str">
            <v>Fire Smoke / Heat Detector, Sounder</v>
          </cell>
          <cell r="D6251" t="str">
            <v xml:space="preserve">Al-Sadara model Elementary School                  </v>
          </cell>
          <cell r="H6251" t="str">
            <v>AA</v>
          </cell>
        </row>
        <row r="6252">
          <cell r="B6252" t="str">
            <v>Fire Smoke / Heat Detector, Sounder</v>
          </cell>
          <cell r="D6252" t="str">
            <v xml:space="preserve">Al-Sadara model Elementary School                  </v>
          </cell>
          <cell r="H6252" t="str">
            <v>AA</v>
          </cell>
        </row>
        <row r="6253">
          <cell r="B6253" t="str">
            <v>Fire Smoke / Heat Detector, Sounder</v>
          </cell>
          <cell r="D6253" t="str">
            <v xml:space="preserve">Al-Sadara model Elementary School                  </v>
          </cell>
          <cell r="H6253" t="str">
            <v>AA</v>
          </cell>
        </row>
        <row r="6254">
          <cell r="B6254" t="str">
            <v>Fire Smoke / Heat Detector, Sounder</v>
          </cell>
          <cell r="D6254" t="str">
            <v xml:space="preserve">Al-Sadara model Elementary School                  </v>
          </cell>
          <cell r="H6254" t="str">
            <v>AA</v>
          </cell>
        </row>
        <row r="6255">
          <cell r="B6255" t="str">
            <v>Fire Smoke / Heat Detector, Sounder</v>
          </cell>
          <cell r="D6255" t="str">
            <v xml:space="preserve">Al-Sadara model Elementary School                  </v>
          </cell>
          <cell r="H6255" t="str">
            <v>AA</v>
          </cell>
        </row>
        <row r="6256">
          <cell r="B6256" t="str">
            <v>Fire Smoke / Heat Detector, Sounder</v>
          </cell>
          <cell r="D6256" t="str">
            <v xml:space="preserve">Al-Sadara model Elementary School                  </v>
          </cell>
          <cell r="H6256" t="str">
            <v>AA</v>
          </cell>
        </row>
        <row r="6257">
          <cell r="B6257" t="str">
            <v>Fire Smoke / Heat Detector, Sounder</v>
          </cell>
          <cell r="D6257" t="str">
            <v xml:space="preserve">Al-Sadara model Elementary School                  </v>
          </cell>
          <cell r="H6257" t="str">
            <v>AA</v>
          </cell>
        </row>
        <row r="6258">
          <cell r="B6258" t="str">
            <v>Fire Smoke / Heat Detector, Sounder</v>
          </cell>
          <cell r="D6258" t="str">
            <v xml:space="preserve">Al-Sadara model Elementary School                  </v>
          </cell>
          <cell r="H6258" t="str">
            <v>AA</v>
          </cell>
        </row>
        <row r="6259">
          <cell r="B6259" t="str">
            <v>Fire Smoke / Heat Detector, Sounder</v>
          </cell>
          <cell r="D6259" t="str">
            <v xml:space="preserve">Al-Sadara model Elementary School                  </v>
          </cell>
          <cell r="H6259" t="str">
            <v>AA</v>
          </cell>
        </row>
        <row r="6260">
          <cell r="B6260" t="str">
            <v>Fire Smoke / Heat Detector, Sounder</v>
          </cell>
          <cell r="D6260" t="str">
            <v xml:space="preserve">Al-Sadara model Elementary School                  </v>
          </cell>
          <cell r="H6260" t="str">
            <v>AA</v>
          </cell>
        </row>
        <row r="6261">
          <cell r="B6261" t="str">
            <v>Fire Smoke / Heat Detector, Sounder</v>
          </cell>
          <cell r="D6261" t="str">
            <v xml:space="preserve">Al-Sadara model Elementary School                  </v>
          </cell>
          <cell r="H6261" t="str">
            <v>AA</v>
          </cell>
        </row>
        <row r="6262">
          <cell r="B6262" t="str">
            <v>Fire Smoke / Heat Detector, Sounder</v>
          </cell>
          <cell r="D6262" t="str">
            <v xml:space="preserve">Al-Sadara model Elementary School                  </v>
          </cell>
          <cell r="H6262" t="str">
            <v>AA</v>
          </cell>
        </row>
        <row r="6263">
          <cell r="B6263" t="str">
            <v>Fire Smoke / Heat Detector, Sounder</v>
          </cell>
          <cell r="D6263" t="str">
            <v xml:space="preserve">Al-Sadara model Elementary School                  </v>
          </cell>
          <cell r="H6263" t="str">
            <v>AA</v>
          </cell>
        </row>
        <row r="6264">
          <cell r="B6264" t="str">
            <v>Fire Break Glass</v>
          </cell>
          <cell r="D6264" t="str">
            <v xml:space="preserve">amouriya Elementary school </v>
          </cell>
          <cell r="H6264" t="str">
            <v>AA</v>
          </cell>
        </row>
        <row r="6265">
          <cell r="B6265" t="str">
            <v>Fire Extinguisher</v>
          </cell>
          <cell r="D6265" t="str">
            <v xml:space="preserve">amouriya Elementary school </v>
          </cell>
          <cell r="H6265" t="str">
            <v>AA</v>
          </cell>
        </row>
        <row r="6266">
          <cell r="B6266" t="str">
            <v>Fire Extinguisher</v>
          </cell>
          <cell r="D6266" t="str">
            <v xml:space="preserve">amouriya Elementary school </v>
          </cell>
          <cell r="H6266" t="str">
            <v>AA</v>
          </cell>
        </row>
        <row r="6267">
          <cell r="B6267" t="str">
            <v>Fire Extinguisher</v>
          </cell>
          <cell r="D6267" t="str">
            <v xml:space="preserve">amouriya Elementary school </v>
          </cell>
          <cell r="H6267" t="str">
            <v>AA</v>
          </cell>
        </row>
        <row r="6268">
          <cell r="B6268" t="str">
            <v>Fire Extinguisher</v>
          </cell>
          <cell r="D6268" t="str">
            <v xml:space="preserve">amouriya Elementary school </v>
          </cell>
          <cell r="H6268" t="str">
            <v>AA</v>
          </cell>
        </row>
        <row r="6269">
          <cell r="B6269" t="str">
            <v>Fire Extinguisher</v>
          </cell>
          <cell r="D6269" t="str">
            <v xml:space="preserve">amouriya Elementary school </v>
          </cell>
          <cell r="H6269" t="str">
            <v>AA</v>
          </cell>
        </row>
        <row r="6270">
          <cell r="B6270" t="str">
            <v>Fire Extinguisher</v>
          </cell>
          <cell r="D6270" t="str">
            <v xml:space="preserve">amouriya Elementary school </v>
          </cell>
          <cell r="H6270" t="str">
            <v>AA</v>
          </cell>
        </row>
        <row r="6271">
          <cell r="B6271" t="str">
            <v>Fire Extinguisher</v>
          </cell>
          <cell r="D6271" t="str">
            <v xml:space="preserve">amouriya Elementary school </v>
          </cell>
          <cell r="H6271" t="str">
            <v>AA</v>
          </cell>
        </row>
        <row r="6272">
          <cell r="B6272" t="str">
            <v>Fire Extinguisher</v>
          </cell>
          <cell r="D6272" t="str">
            <v xml:space="preserve">amouriya Elementary school </v>
          </cell>
          <cell r="H6272" t="str">
            <v>AA</v>
          </cell>
        </row>
        <row r="6273">
          <cell r="B6273" t="str">
            <v>Fire Extinguisher</v>
          </cell>
          <cell r="D6273" t="str">
            <v xml:space="preserve">amouriya Elementary school </v>
          </cell>
          <cell r="H6273" t="str">
            <v>AA</v>
          </cell>
        </row>
        <row r="6274">
          <cell r="B6274" t="str">
            <v>Fire Extinguisher</v>
          </cell>
          <cell r="D6274" t="str">
            <v xml:space="preserve">amouriya Elementary school </v>
          </cell>
          <cell r="H6274" t="str">
            <v>AA</v>
          </cell>
        </row>
        <row r="6275">
          <cell r="B6275" t="str">
            <v>Fire Extinguisher</v>
          </cell>
          <cell r="D6275" t="str">
            <v xml:space="preserve">amouriya Elementary school </v>
          </cell>
          <cell r="H6275" t="str">
            <v>AA</v>
          </cell>
        </row>
        <row r="6276">
          <cell r="B6276" t="str">
            <v>Fire Extinguisher</v>
          </cell>
          <cell r="D6276" t="str">
            <v xml:space="preserve">amouriya Elementary school </v>
          </cell>
          <cell r="H6276" t="str">
            <v>AA</v>
          </cell>
        </row>
        <row r="6277">
          <cell r="B6277" t="str">
            <v>Fire Extinguisher</v>
          </cell>
          <cell r="D6277" t="str">
            <v xml:space="preserve">amouriya Elementary school </v>
          </cell>
          <cell r="H6277" t="str">
            <v>AA</v>
          </cell>
        </row>
        <row r="6278">
          <cell r="B6278" t="str">
            <v>Fire Extinguisher</v>
          </cell>
          <cell r="D6278" t="str">
            <v xml:space="preserve">amouriya Elementary school </v>
          </cell>
          <cell r="H6278" t="str">
            <v>AA</v>
          </cell>
        </row>
        <row r="6279">
          <cell r="B6279" t="str">
            <v>Fire Extinguisher</v>
          </cell>
          <cell r="D6279" t="str">
            <v xml:space="preserve">amouriya Elementary school </v>
          </cell>
          <cell r="H6279" t="str">
            <v>AA</v>
          </cell>
        </row>
        <row r="6280">
          <cell r="B6280" t="str">
            <v>Fire Extinguisher</v>
          </cell>
          <cell r="D6280" t="str">
            <v xml:space="preserve">amouriya Elementary school </v>
          </cell>
          <cell r="H6280" t="str">
            <v>AA</v>
          </cell>
        </row>
        <row r="6281">
          <cell r="B6281" t="str">
            <v>Fire Extinguisher</v>
          </cell>
          <cell r="D6281" t="str">
            <v xml:space="preserve">amouriya Elementary school </v>
          </cell>
          <cell r="H6281" t="str">
            <v>AA</v>
          </cell>
        </row>
        <row r="6282">
          <cell r="B6282" t="str">
            <v>Fire Extinguisher</v>
          </cell>
          <cell r="D6282" t="str">
            <v xml:space="preserve">amouriya Elementary school </v>
          </cell>
          <cell r="H6282" t="str">
            <v>AA</v>
          </cell>
        </row>
        <row r="6283">
          <cell r="B6283" t="str">
            <v>Fire Extinguisher</v>
          </cell>
          <cell r="D6283" t="str">
            <v xml:space="preserve">amouriya Elementary school </v>
          </cell>
          <cell r="H6283" t="str">
            <v>AA</v>
          </cell>
        </row>
        <row r="6284">
          <cell r="B6284" t="str">
            <v>Fire Extinguisher</v>
          </cell>
          <cell r="D6284" t="str">
            <v xml:space="preserve">amouriya Elementary school </v>
          </cell>
          <cell r="H6284" t="str">
            <v>AA</v>
          </cell>
        </row>
        <row r="6285">
          <cell r="B6285" t="str">
            <v>Fire Extinguisher</v>
          </cell>
          <cell r="D6285" t="str">
            <v xml:space="preserve">amouriya Elementary school </v>
          </cell>
          <cell r="H6285" t="str">
            <v>AA</v>
          </cell>
        </row>
        <row r="6286">
          <cell r="B6286" t="str">
            <v>Fire Extinguisher</v>
          </cell>
          <cell r="D6286" t="str">
            <v xml:space="preserve">amouriya Elementary school </v>
          </cell>
          <cell r="H6286" t="str">
            <v>AA</v>
          </cell>
        </row>
        <row r="6287">
          <cell r="B6287" t="str">
            <v>Fire Extinguisher</v>
          </cell>
          <cell r="D6287" t="str">
            <v xml:space="preserve">amouriya Elementary school </v>
          </cell>
          <cell r="H6287" t="str">
            <v>AA</v>
          </cell>
        </row>
        <row r="6288">
          <cell r="B6288" t="str">
            <v>Fire Extinguisher</v>
          </cell>
          <cell r="D6288" t="str">
            <v xml:space="preserve">amouriya Elementary school </v>
          </cell>
          <cell r="H6288" t="str">
            <v>AA</v>
          </cell>
        </row>
        <row r="6289">
          <cell r="B6289" t="str">
            <v>Fire Extinguisher</v>
          </cell>
          <cell r="D6289" t="str">
            <v xml:space="preserve">amouriya Elementary school </v>
          </cell>
          <cell r="H6289" t="str">
            <v>AA</v>
          </cell>
        </row>
        <row r="6290">
          <cell r="B6290" t="str">
            <v>Fire Extinguisher</v>
          </cell>
          <cell r="D6290" t="str">
            <v xml:space="preserve">amouriya Elementary school </v>
          </cell>
          <cell r="H6290" t="str">
            <v>AA</v>
          </cell>
        </row>
        <row r="6291">
          <cell r="B6291" t="str">
            <v>Fire Extinguisher</v>
          </cell>
          <cell r="D6291" t="str">
            <v xml:space="preserve">amouriya Elementary school </v>
          </cell>
          <cell r="H6291" t="str">
            <v>AA</v>
          </cell>
        </row>
        <row r="6292">
          <cell r="B6292" t="str">
            <v>Fire Extinguisher</v>
          </cell>
          <cell r="D6292" t="str">
            <v xml:space="preserve">amouriya Elementary school </v>
          </cell>
          <cell r="H6292" t="str">
            <v>AA</v>
          </cell>
        </row>
        <row r="6293">
          <cell r="B6293" t="str">
            <v>Fire Extinguisher</v>
          </cell>
          <cell r="D6293" t="str">
            <v xml:space="preserve">amouriya Elementary school </v>
          </cell>
          <cell r="H6293" t="str">
            <v>AA</v>
          </cell>
        </row>
        <row r="6294">
          <cell r="B6294" t="str">
            <v>Water Tank</v>
          </cell>
          <cell r="D6294" t="str">
            <v xml:space="preserve">amouriya Elementary school </v>
          </cell>
          <cell r="H6294" t="str">
            <v>AA</v>
          </cell>
        </row>
        <row r="6295">
          <cell r="B6295" t="str">
            <v>Water Tank</v>
          </cell>
          <cell r="D6295" t="str">
            <v xml:space="preserve">amouriya Elementary school </v>
          </cell>
          <cell r="H6295" t="str">
            <v>AA</v>
          </cell>
        </row>
        <row r="6296">
          <cell r="B6296" t="str">
            <v>Water Tank</v>
          </cell>
          <cell r="D6296" t="str">
            <v xml:space="preserve">amouriya Elementary school </v>
          </cell>
          <cell r="H6296" t="str">
            <v>AA</v>
          </cell>
        </row>
        <row r="6297">
          <cell r="B6297" t="str">
            <v>Water Tank</v>
          </cell>
          <cell r="D6297" t="str">
            <v xml:space="preserve">amouriya Elementary school </v>
          </cell>
          <cell r="H6297" t="str">
            <v>AA</v>
          </cell>
        </row>
        <row r="6298">
          <cell r="B6298" t="str">
            <v>Water Tank</v>
          </cell>
          <cell r="D6298" t="str">
            <v xml:space="preserve">amouriya Elementary school </v>
          </cell>
          <cell r="H6298" t="str">
            <v>AA</v>
          </cell>
        </row>
        <row r="6299">
          <cell r="B6299" t="str">
            <v>Water Tank</v>
          </cell>
          <cell r="D6299" t="str">
            <v xml:space="preserve">amouriya Elementary school </v>
          </cell>
          <cell r="H6299" t="str">
            <v>AA</v>
          </cell>
        </row>
        <row r="6300">
          <cell r="B6300" t="str">
            <v>Water Tank</v>
          </cell>
          <cell r="D6300" t="str">
            <v xml:space="preserve">amouriya Elementary school </v>
          </cell>
          <cell r="H6300" t="str">
            <v>AA</v>
          </cell>
        </row>
        <row r="6301">
          <cell r="B6301" t="str">
            <v>Water Tank</v>
          </cell>
          <cell r="D6301" t="str">
            <v xml:space="preserve">amouriya Elementary school </v>
          </cell>
          <cell r="H6301" t="str">
            <v>AA</v>
          </cell>
        </row>
        <row r="6302">
          <cell r="B6302" t="str">
            <v>Water Tank</v>
          </cell>
          <cell r="D6302" t="str">
            <v xml:space="preserve">amouriya Elementary school </v>
          </cell>
          <cell r="H6302" t="str">
            <v>AA</v>
          </cell>
        </row>
        <row r="6303">
          <cell r="B6303" t="str">
            <v>Water Tank</v>
          </cell>
          <cell r="D6303" t="str">
            <v xml:space="preserve">amouriya Elementary school </v>
          </cell>
          <cell r="H6303" t="str">
            <v>AA</v>
          </cell>
        </row>
        <row r="6304">
          <cell r="B6304" t="str">
            <v>Water Tank</v>
          </cell>
          <cell r="D6304" t="str">
            <v xml:space="preserve">amouriya Elementary school </v>
          </cell>
          <cell r="H6304" t="str">
            <v>AA</v>
          </cell>
        </row>
        <row r="6305">
          <cell r="B6305" t="str">
            <v>Water Tank</v>
          </cell>
          <cell r="D6305" t="str">
            <v xml:space="preserve">amouriya Elementary school </v>
          </cell>
          <cell r="H6305" t="str">
            <v>AA</v>
          </cell>
        </row>
        <row r="6306">
          <cell r="B6306" t="str">
            <v>Water Tank</v>
          </cell>
          <cell r="D6306" t="str">
            <v xml:space="preserve">amouriya Elementary school </v>
          </cell>
          <cell r="H6306" t="str">
            <v>AA</v>
          </cell>
        </row>
        <row r="6307">
          <cell r="B6307" t="str">
            <v>Fire Alarm Bell</v>
          </cell>
          <cell r="D6307" t="str">
            <v xml:space="preserve">Amr Ben Al -Ass Elementary school                                          </v>
          </cell>
          <cell r="H6307" t="str">
            <v>AA</v>
          </cell>
        </row>
        <row r="6308">
          <cell r="B6308" t="str">
            <v>Fire Extinguisher</v>
          </cell>
          <cell r="D6308" t="str">
            <v xml:space="preserve">Amr Ben Al -Ass Elementary school                                          </v>
          </cell>
          <cell r="H6308" t="str">
            <v>AA</v>
          </cell>
        </row>
        <row r="6309">
          <cell r="B6309" t="str">
            <v>Fire Extinguisher - C02</v>
          </cell>
          <cell r="D6309" t="str">
            <v xml:space="preserve">Amr Ben Al -Ass Elementary school                                          </v>
          </cell>
          <cell r="H6309" t="str">
            <v>AA</v>
          </cell>
        </row>
        <row r="6310">
          <cell r="B6310" t="str">
            <v>Fire Extinguisher - C02</v>
          </cell>
          <cell r="D6310" t="str">
            <v xml:space="preserve">Amr Ben Al -Ass Elementary school                                          </v>
          </cell>
          <cell r="H6310" t="str">
            <v>AA</v>
          </cell>
        </row>
        <row r="6311">
          <cell r="B6311" t="str">
            <v>Fire Extinguisher - C02</v>
          </cell>
          <cell r="D6311" t="str">
            <v xml:space="preserve">Amr Ben Al -Ass Elementary school                                          </v>
          </cell>
          <cell r="H6311" t="str">
            <v>AA</v>
          </cell>
        </row>
        <row r="6312">
          <cell r="B6312" t="str">
            <v>Fire Extinguisher - C02</v>
          </cell>
          <cell r="D6312" t="str">
            <v xml:space="preserve">Amr Ben Al -Ass Elementary school                                          </v>
          </cell>
          <cell r="H6312" t="str">
            <v>AA</v>
          </cell>
        </row>
        <row r="6313">
          <cell r="B6313" t="str">
            <v>Fire Extinguisher - C02</v>
          </cell>
          <cell r="D6313" t="str">
            <v xml:space="preserve">Amr Ben Al -Ass Elementary school                                          </v>
          </cell>
          <cell r="H6313" t="str">
            <v>AA</v>
          </cell>
        </row>
        <row r="6314">
          <cell r="B6314" t="str">
            <v>Fire Extinguisher - C02</v>
          </cell>
          <cell r="D6314" t="str">
            <v xml:space="preserve">Amr Ben Al -Ass Elementary school                                          </v>
          </cell>
          <cell r="H6314" t="str">
            <v>AA</v>
          </cell>
        </row>
        <row r="6315">
          <cell r="B6315" t="str">
            <v>Fire Extinguisher - C02</v>
          </cell>
          <cell r="D6315" t="str">
            <v xml:space="preserve">Amr Ben Al -Ass Elementary school                                          </v>
          </cell>
          <cell r="H6315" t="str">
            <v>AA</v>
          </cell>
        </row>
        <row r="6316">
          <cell r="B6316" t="str">
            <v>Fire Extinguisher - C02</v>
          </cell>
          <cell r="D6316" t="str">
            <v xml:space="preserve">Amr Ben Al -Ass Elementary school                                          </v>
          </cell>
          <cell r="H6316" t="str">
            <v>AA</v>
          </cell>
        </row>
        <row r="6317">
          <cell r="B6317" t="str">
            <v>Fire Extinguisher - Dry</v>
          </cell>
          <cell r="D6317" t="str">
            <v xml:space="preserve">Amr Ben Al -Ass Elementary school                                          </v>
          </cell>
          <cell r="H6317" t="str">
            <v>AA</v>
          </cell>
        </row>
        <row r="6318">
          <cell r="B6318" t="str">
            <v>Fire Extinguisher - Dry</v>
          </cell>
          <cell r="D6318" t="str">
            <v xml:space="preserve">Amr Ben Al -Ass Elementary school                                          </v>
          </cell>
          <cell r="H6318" t="str">
            <v>AA</v>
          </cell>
        </row>
        <row r="6319">
          <cell r="B6319" t="str">
            <v>Fire Hose Reel</v>
          </cell>
          <cell r="D6319" t="str">
            <v xml:space="preserve">Amr Ben Al -Ass Elementary school                                          </v>
          </cell>
          <cell r="H6319" t="str">
            <v>AA</v>
          </cell>
        </row>
        <row r="6320">
          <cell r="B6320" t="str">
            <v>Fire Hose Reel</v>
          </cell>
          <cell r="D6320" t="str">
            <v xml:space="preserve">Amr Ben Al -Ass Elementary school                                          </v>
          </cell>
          <cell r="H6320" t="str">
            <v>AA</v>
          </cell>
        </row>
        <row r="6321">
          <cell r="B6321" t="str">
            <v>Fire Hose Reel Cabinet</v>
          </cell>
          <cell r="D6321" t="str">
            <v xml:space="preserve">Amr Ben Al -Ass Elementary school                                          </v>
          </cell>
          <cell r="H6321" t="str">
            <v>AA</v>
          </cell>
        </row>
        <row r="6322">
          <cell r="B6322" t="str">
            <v>Fire Hose Reel Cabinet</v>
          </cell>
          <cell r="D6322" t="str">
            <v xml:space="preserve">Amr Ben Al -Ass Elementary school                                          </v>
          </cell>
          <cell r="H6322" t="str">
            <v>AA</v>
          </cell>
        </row>
        <row r="6323">
          <cell r="B6323" t="str">
            <v>Water Tank</v>
          </cell>
          <cell r="D6323" t="str">
            <v xml:space="preserve">Amr Ben Al -Ass Elementary school                                          </v>
          </cell>
          <cell r="H6323" t="str">
            <v>AA</v>
          </cell>
        </row>
        <row r="6324">
          <cell r="B6324" t="str">
            <v>Water Tank</v>
          </cell>
          <cell r="D6324" t="str">
            <v xml:space="preserve">Amr Ben Al -Ass Elementary school                                          </v>
          </cell>
          <cell r="H6324" t="str">
            <v>AA</v>
          </cell>
        </row>
        <row r="6325">
          <cell r="B6325" t="str">
            <v>Water Tank</v>
          </cell>
          <cell r="D6325" t="str">
            <v xml:space="preserve">Amr Ben Al -Ass Elementary school                                          </v>
          </cell>
          <cell r="H6325" t="str">
            <v>AA</v>
          </cell>
        </row>
        <row r="6326">
          <cell r="B6326" t="str">
            <v>Water Tank</v>
          </cell>
          <cell r="D6326" t="str">
            <v xml:space="preserve">Amr Ben Al -Ass Elementary school                                          </v>
          </cell>
          <cell r="H6326" t="str">
            <v>AA</v>
          </cell>
        </row>
        <row r="6327">
          <cell r="B6327" t="str">
            <v>Water Tank</v>
          </cell>
          <cell r="D6327" t="str">
            <v>Bedaa Al Mutawwa    Combined School (Bo Rahmah – previously)</v>
          </cell>
          <cell r="H6327" t="str">
            <v>WR</v>
          </cell>
        </row>
        <row r="6328">
          <cell r="B6328" t="str">
            <v>Fire Alarm Break Glass Call Point</v>
          </cell>
          <cell r="D6328" t="str">
            <v>Bonat Al Ghad KG</v>
          </cell>
          <cell r="H6328" t="str">
            <v>AD</v>
          </cell>
        </row>
        <row r="6329">
          <cell r="B6329" t="str">
            <v>Fire Alarm Break Glass Call Point</v>
          </cell>
          <cell r="D6329" t="str">
            <v>Bonat Al Ghad KG</v>
          </cell>
          <cell r="H6329" t="str">
            <v>AD</v>
          </cell>
        </row>
        <row r="6330">
          <cell r="B6330" t="str">
            <v>Fire Alarm Break Glass Call Point</v>
          </cell>
          <cell r="D6330" t="str">
            <v>Bonat Al Ghad KG</v>
          </cell>
          <cell r="H6330" t="str">
            <v>AD</v>
          </cell>
        </row>
        <row r="6331">
          <cell r="B6331" t="str">
            <v>Fire Alarm Break Glass Call Point</v>
          </cell>
          <cell r="D6331" t="str">
            <v>Bonat Al Ghad KG</v>
          </cell>
          <cell r="H6331" t="str">
            <v>AD</v>
          </cell>
        </row>
        <row r="6332">
          <cell r="B6332" t="str">
            <v>Fire Alarm Panel</v>
          </cell>
          <cell r="D6332" t="str">
            <v>Bonat Al Ghad KG</v>
          </cell>
          <cell r="H6332" t="str">
            <v>AD</v>
          </cell>
        </row>
        <row r="6333">
          <cell r="B6333" t="str">
            <v>Fire Alarm Sounder</v>
          </cell>
          <cell r="D6333" t="str">
            <v>Bonat Al Ghad KG</v>
          </cell>
          <cell r="H6333" t="str">
            <v>AD</v>
          </cell>
        </row>
        <row r="6334">
          <cell r="B6334" t="str">
            <v>Fire Alarm Sounder</v>
          </cell>
          <cell r="D6334" t="str">
            <v>Bonat Al Ghad KG</v>
          </cell>
          <cell r="H6334" t="str">
            <v>AD</v>
          </cell>
        </row>
        <row r="6335">
          <cell r="B6335" t="str">
            <v>Fire Alarm Sounder</v>
          </cell>
          <cell r="D6335" t="str">
            <v>Bonat Al Ghad KG</v>
          </cell>
          <cell r="H6335" t="str">
            <v>AD</v>
          </cell>
        </row>
        <row r="6336">
          <cell r="B6336" t="str">
            <v>Fire Extinguisher</v>
          </cell>
          <cell r="D6336" t="str">
            <v>Bonat Al Ghad KG</v>
          </cell>
          <cell r="H6336" t="str">
            <v>AD</v>
          </cell>
        </row>
        <row r="6337">
          <cell r="B6337" t="str">
            <v>Fire Extinguisher</v>
          </cell>
          <cell r="D6337" t="str">
            <v>Bonat Al Ghad KG</v>
          </cell>
          <cell r="H6337" t="str">
            <v>AD</v>
          </cell>
        </row>
        <row r="6338">
          <cell r="B6338" t="str">
            <v>Fire Extinguisher</v>
          </cell>
          <cell r="D6338" t="str">
            <v>Bonat Al Ghad KG</v>
          </cell>
          <cell r="H6338" t="str">
            <v>AD</v>
          </cell>
        </row>
        <row r="6339">
          <cell r="B6339" t="str">
            <v>Fire Extinguisher</v>
          </cell>
          <cell r="D6339" t="str">
            <v>Bonat Al Ghad KG</v>
          </cell>
          <cell r="H6339" t="str">
            <v>AD</v>
          </cell>
        </row>
        <row r="6340">
          <cell r="B6340" t="str">
            <v>Fire Extinguisher</v>
          </cell>
          <cell r="D6340" t="str">
            <v>Bonat Al Ghad KG</v>
          </cell>
          <cell r="H6340" t="str">
            <v>AD</v>
          </cell>
        </row>
        <row r="6341">
          <cell r="B6341" t="str">
            <v>Fire Extinguisher</v>
          </cell>
          <cell r="D6341" t="str">
            <v>Bonat Al Ghad KG</v>
          </cell>
          <cell r="H6341" t="str">
            <v>AD</v>
          </cell>
        </row>
        <row r="6342">
          <cell r="B6342" t="str">
            <v>FIRE PUMP - Diesel</v>
          </cell>
          <cell r="D6342" t="str">
            <v>Bonat Al Ghad KG</v>
          </cell>
          <cell r="H6342" t="str">
            <v>AD</v>
          </cell>
        </row>
        <row r="6343">
          <cell r="B6343" t="str">
            <v>FIRE PUMP - Electric</v>
          </cell>
          <cell r="D6343" t="str">
            <v>Bonat Al Ghad KG</v>
          </cell>
          <cell r="H6343" t="str">
            <v>AD</v>
          </cell>
        </row>
        <row r="6344">
          <cell r="B6344" t="str">
            <v>Fire Smoke / Heat Detector, Sounder</v>
          </cell>
          <cell r="D6344" t="str">
            <v>Bonat Al Ghad KG</v>
          </cell>
          <cell r="H6344" t="str">
            <v>AD</v>
          </cell>
        </row>
        <row r="6345">
          <cell r="B6345" t="str">
            <v>Fire Smoke / Heat Detector, Sounder</v>
          </cell>
          <cell r="D6345" t="str">
            <v>Bonat Al Ghad KG</v>
          </cell>
          <cell r="H6345" t="str">
            <v>AD</v>
          </cell>
        </row>
        <row r="6346">
          <cell r="B6346" t="str">
            <v>Fire Smoke / Heat Detector, Sounder</v>
          </cell>
          <cell r="D6346" t="str">
            <v>Bonat Al Ghad KG</v>
          </cell>
          <cell r="H6346" t="str">
            <v>AD</v>
          </cell>
        </row>
        <row r="6347">
          <cell r="B6347" t="str">
            <v>Fire Smoke / Heat Detector, Sounder</v>
          </cell>
          <cell r="D6347" t="str">
            <v>Bonat Al Ghad KG</v>
          </cell>
          <cell r="H6347" t="str">
            <v>AD</v>
          </cell>
        </row>
        <row r="6348">
          <cell r="B6348" t="str">
            <v>Fire Smoke / Heat Detector, Sounder</v>
          </cell>
          <cell r="D6348" t="str">
            <v>Bonat Al Ghad KG</v>
          </cell>
          <cell r="H6348" t="str">
            <v>AD</v>
          </cell>
        </row>
        <row r="6349">
          <cell r="B6349" t="str">
            <v>Fire Smoke / Heat Detector, Sounder</v>
          </cell>
          <cell r="D6349" t="str">
            <v>Bonat Al Ghad KG</v>
          </cell>
          <cell r="H6349" t="str">
            <v>AD</v>
          </cell>
        </row>
        <row r="6350">
          <cell r="B6350" t="str">
            <v>Fire Smoke / Heat Detector, Sounder</v>
          </cell>
          <cell r="D6350" t="str">
            <v>Bonat Al Ghad KG</v>
          </cell>
          <cell r="H6350" t="str">
            <v>AD</v>
          </cell>
        </row>
        <row r="6351">
          <cell r="B6351" t="str">
            <v>Fire Smoke / Heat Detector, Sounder</v>
          </cell>
          <cell r="D6351" t="str">
            <v>Bonat Al Ghad KG</v>
          </cell>
          <cell r="H6351" t="str">
            <v>AD</v>
          </cell>
        </row>
        <row r="6352">
          <cell r="B6352" t="str">
            <v>Fire Smoke / Heat Detector, Sounder</v>
          </cell>
          <cell r="D6352" t="str">
            <v>Bonat Al Ghad KG</v>
          </cell>
          <cell r="H6352" t="str">
            <v>AD</v>
          </cell>
        </row>
        <row r="6353">
          <cell r="B6353" t="str">
            <v>Fire Smoke / Heat Detector, Sounder</v>
          </cell>
          <cell r="D6353" t="str">
            <v>Bonat Al Ghad KG</v>
          </cell>
          <cell r="H6353" t="str">
            <v>AD</v>
          </cell>
        </row>
        <row r="6354">
          <cell r="B6354" t="str">
            <v>Fire Smoke / Heat Detector, Sounder</v>
          </cell>
          <cell r="D6354" t="str">
            <v>Bonat Al Ghad KG</v>
          </cell>
          <cell r="H6354" t="str">
            <v>AD</v>
          </cell>
        </row>
        <row r="6355">
          <cell r="B6355" t="str">
            <v>Fire Smoke / Heat Detector, Sounder</v>
          </cell>
          <cell r="D6355" t="str">
            <v>Bonat Al Ghad KG</v>
          </cell>
          <cell r="H6355" t="str">
            <v>AD</v>
          </cell>
        </row>
        <row r="6356">
          <cell r="B6356" t="str">
            <v>Fire Smoke / Heat Detector, Sounder</v>
          </cell>
          <cell r="D6356" t="str">
            <v>Bonat Al Ghad KG</v>
          </cell>
          <cell r="H6356" t="str">
            <v>AD</v>
          </cell>
        </row>
        <row r="6357">
          <cell r="B6357" t="str">
            <v>Fire Smoke / Heat Detector, Sounder</v>
          </cell>
          <cell r="D6357" t="str">
            <v>Bonat Al Ghad KG</v>
          </cell>
          <cell r="H6357" t="str">
            <v>AD</v>
          </cell>
        </row>
        <row r="6358">
          <cell r="B6358" t="str">
            <v>Fire Smoke / Heat Detector, Sounder</v>
          </cell>
          <cell r="D6358" t="str">
            <v>Bonat Al Ghad KG</v>
          </cell>
          <cell r="H6358" t="str">
            <v>AD</v>
          </cell>
        </row>
        <row r="6359">
          <cell r="B6359" t="str">
            <v>Fire Smoke / Heat Detector, Sounder</v>
          </cell>
          <cell r="D6359" t="str">
            <v>Bonat Al Ghad KG</v>
          </cell>
          <cell r="H6359" t="str">
            <v>AD</v>
          </cell>
        </row>
        <row r="6360">
          <cell r="B6360" t="str">
            <v>Fire Smoke / Heat Detector, Sounder</v>
          </cell>
          <cell r="D6360" t="str">
            <v>Bonat Al Ghad KG</v>
          </cell>
          <cell r="H6360" t="str">
            <v>AD</v>
          </cell>
        </row>
        <row r="6361">
          <cell r="B6361" t="str">
            <v>Fire Smoke / Heat Detector, Sounder</v>
          </cell>
          <cell r="D6361" t="str">
            <v>Bonat Al Ghad KG</v>
          </cell>
          <cell r="H6361" t="str">
            <v>AD</v>
          </cell>
        </row>
        <row r="6362">
          <cell r="B6362" t="str">
            <v>Fire Smoke / Heat Detector, Sounder</v>
          </cell>
          <cell r="D6362" t="str">
            <v>Bonat Al Ghad KG</v>
          </cell>
          <cell r="H6362" t="str">
            <v>AD</v>
          </cell>
        </row>
        <row r="6363">
          <cell r="B6363" t="str">
            <v>Fire Smoke / Heat Detector, Sounder</v>
          </cell>
          <cell r="D6363" t="str">
            <v>Bonat Al Ghad KG</v>
          </cell>
          <cell r="H6363" t="str">
            <v>AD</v>
          </cell>
        </row>
        <row r="6364">
          <cell r="B6364" t="str">
            <v>Fire Smoke / Heat Detector, Sounder</v>
          </cell>
          <cell r="D6364" t="str">
            <v>Bonat Al Ghad KG</v>
          </cell>
          <cell r="H6364" t="str">
            <v>AD</v>
          </cell>
        </row>
        <row r="6365">
          <cell r="B6365" t="str">
            <v>Fire Smoke / Heat Detector, Sounder</v>
          </cell>
          <cell r="D6365" t="str">
            <v>Bonat Al Ghad KG</v>
          </cell>
          <cell r="H6365" t="str">
            <v>AD</v>
          </cell>
        </row>
        <row r="6366">
          <cell r="B6366" t="str">
            <v>Fire Smoke / Heat Detector, Sounder</v>
          </cell>
          <cell r="D6366" t="str">
            <v>Bonat Al Ghad KG</v>
          </cell>
          <cell r="H6366" t="str">
            <v>AD</v>
          </cell>
        </row>
        <row r="6367">
          <cell r="B6367" t="str">
            <v>Fire Smoke / Heat Detector, Sounder</v>
          </cell>
          <cell r="D6367" t="str">
            <v>Bonat Al Ghad KG</v>
          </cell>
          <cell r="H6367" t="str">
            <v>AD</v>
          </cell>
        </row>
        <row r="6368">
          <cell r="B6368" t="str">
            <v>Fire Smoke / Heat Detector, Sounder</v>
          </cell>
          <cell r="D6368" t="str">
            <v>Bonat Al Ghad KG</v>
          </cell>
          <cell r="H6368" t="str">
            <v>AD</v>
          </cell>
        </row>
        <row r="6369">
          <cell r="B6369" t="str">
            <v>Fire Smoke / Heat Detector, Sounder</v>
          </cell>
          <cell r="D6369" t="str">
            <v>Bonat Al Ghad KG</v>
          </cell>
          <cell r="H6369" t="str">
            <v>AD</v>
          </cell>
        </row>
        <row r="6370">
          <cell r="B6370" t="str">
            <v>Fire Smoke / Heat Detector, Sounder</v>
          </cell>
          <cell r="D6370" t="str">
            <v>Bonat Al Ghad KG</v>
          </cell>
          <cell r="H6370" t="str">
            <v>AD</v>
          </cell>
        </row>
        <row r="6371">
          <cell r="B6371" t="str">
            <v>Fire Smoke / Heat Detector, Sounder</v>
          </cell>
          <cell r="D6371" t="str">
            <v>Bonat Al Ghad KG</v>
          </cell>
          <cell r="H6371" t="str">
            <v>AD</v>
          </cell>
        </row>
        <row r="6372">
          <cell r="B6372" t="str">
            <v>Fire Smoke / Heat Detector, Sounder</v>
          </cell>
          <cell r="D6372" t="str">
            <v>Bonat Al Ghad KG</v>
          </cell>
          <cell r="H6372" t="str">
            <v>AD</v>
          </cell>
        </row>
        <row r="6373">
          <cell r="B6373" t="str">
            <v>Fire Smoke / Heat Detector, Sounder</v>
          </cell>
          <cell r="D6373" t="str">
            <v>Bonat Al Ghad KG</v>
          </cell>
          <cell r="H6373" t="str">
            <v>AD</v>
          </cell>
        </row>
        <row r="6374">
          <cell r="B6374" t="str">
            <v>Fire Smoke / Heat Detector, Sounder</v>
          </cell>
          <cell r="D6374" t="str">
            <v>Bonat Al Ghad KG</v>
          </cell>
          <cell r="H6374" t="str">
            <v>AD</v>
          </cell>
        </row>
        <row r="6375">
          <cell r="B6375" t="str">
            <v>Fire Smoke / Heat Detector, Sounder</v>
          </cell>
          <cell r="D6375" t="str">
            <v>Bonat Al Ghad KG</v>
          </cell>
          <cell r="H6375" t="str">
            <v>AD</v>
          </cell>
        </row>
        <row r="6376">
          <cell r="B6376" t="str">
            <v>Fire Smoke / Heat Detector, Sounder</v>
          </cell>
          <cell r="D6376" t="str">
            <v>Bonat Al Ghad KG</v>
          </cell>
          <cell r="H6376" t="str">
            <v>AD</v>
          </cell>
        </row>
        <row r="6377">
          <cell r="B6377" t="str">
            <v>Fire Smoke / Heat Detector, Sounder</v>
          </cell>
          <cell r="D6377" t="str">
            <v>Bonat Al Ghad KG</v>
          </cell>
          <cell r="H6377" t="str">
            <v>AD</v>
          </cell>
        </row>
        <row r="6378">
          <cell r="B6378" t="str">
            <v>Fire Smoke / Heat Detector, Sounder</v>
          </cell>
          <cell r="D6378" t="str">
            <v>Bonat Al Ghad KG</v>
          </cell>
          <cell r="H6378" t="str">
            <v>AD</v>
          </cell>
        </row>
        <row r="6379">
          <cell r="B6379" t="str">
            <v>Fire Smoke / Heat Detector, Sounder</v>
          </cell>
          <cell r="D6379" t="str">
            <v>Bonat Al Ghad KG</v>
          </cell>
          <cell r="H6379" t="str">
            <v>AD</v>
          </cell>
        </row>
        <row r="6380">
          <cell r="B6380" t="str">
            <v>Fire Smoke / Heat Detector, Sounder</v>
          </cell>
          <cell r="D6380" t="str">
            <v>Bonat Al Ghad KG</v>
          </cell>
          <cell r="H6380" t="str">
            <v>AD</v>
          </cell>
        </row>
        <row r="6381">
          <cell r="B6381" t="str">
            <v>Water Tank</v>
          </cell>
          <cell r="D6381" t="str">
            <v>Bonat Al Ghad KG</v>
          </cell>
          <cell r="H6381" t="str">
            <v>AD</v>
          </cell>
        </row>
        <row r="6382">
          <cell r="B6382" t="str">
            <v>Water Tank</v>
          </cell>
          <cell r="D6382" t="str">
            <v>Bonat Al Ghad KG</v>
          </cell>
          <cell r="H6382" t="str">
            <v>AD</v>
          </cell>
        </row>
        <row r="6383">
          <cell r="B6383" t="str">
            <v>Water Tank</v>
          </cell>
          <cell r="D6383" t="str">
            <v>Bonat Al Ghad KG</v>
          </cell>
          <cell r="H6383" t="str">
            <v>AD</v>
          </cell>
        </row>
        <row r="6384">
          <cell r="B6384" t="str">
            <v>Water Tank</v>
          </cell>
          <cell r="D6384" t="str">
            <v>Bonat Al Ghad KG</v>
          </cell>
          <cell r="H6384" t="str">
            <v>AD</v>
          </cell>
        </row>
        <row r="6385">
          <cell r="B6385" t="str">
            <v>Finger Print Reader Machine</v>
          </cell>
          <cell r="D6385" t="str">
            <v>Fatimah Bint Mubarak Primary School</v>
          </cell>
          <cell r="H6385" t="str">
            <v>AD</v>
          </cell>
        </row>
        <row r="6386">
          <cell r="B6386" t="str">
            <v>Fire Extinguishers</v>
          </cell>
          <cell r="D6386" t="str">
            <v>Fatimah Bint Mubarak Primary School</v>
          </cell>
          <cell r="H6386" t="str">
            <v>AD</v>
          </cell>
        </row>
        <row r="6387">
          <cell r="B6387" t="str">
            <v>Fire Alarm Control Panel Board</v>
          </cell>
          <cell r="D6387" t="str">
            <v>Fatimah Bint Mubarak Primary School</v>
          </cell>
          <cell r="H6387" t="str">
            <v>AD</v>
          </cell>
        </row>
        <row r="6388">
          <cell r="B6388" t="str">
            <v>Fire Alarm Control Panel Board</v>
          </cell>
          <cell r="D6388" t="str">
            <v>Fatimah Bint Mubarak Primary School</v>
          </cell>
          <cell r="H6388" t="str">
            <v>AD</v>
          </cell>
        </row>
        <row r="6389">
          <cell r="B6389" t="str">
            <v>Fire Blanket</v>
          </cell>
          <cell r="D6389" t="str">
            <v>Fatimah Bint Mubarak Primary School</v>
          </cell>
          <cell r="H6389" t="str">
            <v>AD</v>
          </cell>
        </row>
        <row r="6390">
          <cell r="B6390" t="str">
            <v>Fire Blanket</v>
          </cell>
          <cell r="D6390" t="str">
            <v>Fatimah Bint Mubarak Primary School</v>
          </cell>
          <cell r="H6390" t="str">
            <v>AD</v>
          </cell>
        </row>
        <row r="6391">
          <cell r="B6391" t="str">
            <v>Fire Blanket</v>
          </cell>
          <cell r="D6391" t="str">
            <v>Fatimah Bint Mubarak Primary School</v>
          </cell>
          <cell r="H6391" t="str">
            <v>AD</v>
          </cell>
        </row>
        <row r="6392">
          <cell r="B6392" t="str">
            <v>Fire Blanket</v>
          </cell>
          <cell r="D6392" t="str">
            <v>Fatimah Bint Mubarak Primary School</v>
          </cell>
          <cell r="H6392" t="str">
            <v>AD</v>
          </cell>
        </row>
        <row r="6393">
          <cell r="B6393" t="str">
            <v>Fire Break Glass</v>
          </cell>
          <cell r="D6393" t="str">
            <v>Fatimah Bint Mubarak Primary School</v>
          </cell>
          <cell r="H6393" t="str">
            <v>AD</v>
          </cell>
        </row>
        <row r="6394">
          <cell r="B6394" t="str">
            <v>Fire Break Glass</v>
          </cell>
          <cell r="D6394" t="str">
            <v>Fatimah Bint Mubarak Primary School</v>
          </cell>
          <cell r="H6394" t="str">
            <v>AD</v>
          </cell>
        </row>
        <row r="6395">
          <cell r="B6395" t="str">
            <v>Fire Break Glass</v>
          </cell>
          <cell r="D6395" t="str">
            <v>Fatimah Bint Mubarak Primary School</v>
          </cell>
          <cell r="H6395" t="str">
            <v>AD</v>
          </cell>
        </row>
        <row r="6396">
          <cell r="B6396" t="str">
            <v>Fire Break Glass</v>
          </cell>
          <cell r="D6396" t="str">
            <v>Fatimah Bint Mubarak Primary School</v>
          </cell>
          <cell r="H6396" t="str">
            <v>AD</v>
          </cell>
        </row>
        <row r="6397">
          <cell r="B6397" t="str">
            <v>Fire Break Glass</v>
          </cell>
          <cell r="D6397" t="str">
            <v>Fatimah Bint Mubarak Primary School</v>
          </cell>
          <cell r="H6397" t="str">
            <v>AD</v>
          </cell>
        </row>
        <row r="6398">
          <cell r="B6398" t="str">
            <v>Fire Break Glass</v>
          </cell>
          <cell r="D6398" t="str">
            <v>Fatimah Bint Mubarak Primary School</v>
          </cell>
          <cell r="H6398" t="str">
            <v>AD</v>
          </cell>
        </row>
        <row r="6399">
          <cell r="B6399" t="str">
            <v>Fire Break Glass</v>
          </cell>
          <cell r="D6399" t="str">
            <v>Fatimah Bint Mubarak Primary School</v>
          </cell>
          <cell r="H6399" t="str">
            <v>AD</v>
          </cell>
        </row>
        <row r="6400">
          <cell r="B6400" t="str">
            <v>Fire Break Glass</v>
          </cell>
          <cell r="D6400" t="str">
            <v>Fatimah Bint Mubarak Primary School</v>
          </cell>
          <cell r="H6400" t="str">
            <v>AD</v>
          </cell>
        </row>
        <row r="6401">
          <cell r="B6401" t="str">
            <v>Fire Break Glass</v>
          </cell>
          <cell r="D6401" t="str">
            <v>Fatimah Bint Mubarak Primary School</v>
          </cell>
          <cell r="H6401" t="str">
            <v>AD</v>
          </cell>
        </row>
        <row r="6402">
          <cell r="B6402" t="str">
            <v>Fire Break Glass</v>
          </cell>
          <cell r="D6402" t="str">
            <v>Fatimah Bint Mubarak Primary School</v>
          </cell>
          <cell r="H6402" t="str">
            <v>AD</v>
          </cell>
        </row>
        <row r="6403">
          <cell r="B6403" t="str">
            <v>Fire Break Glass</v>
          </cell>
          <cell r="D6403" t="str">
            <v>Fatimah Bint Mubarak Primary School</v>
          </cell>
          <cell r="H6403" t="str">
            <v>AD</v>
          </cell>
        </row>
        <row r="6404">
          <cell r="B6404" t="str">
            <v>Fire Break Glass</v>
          </cell>
          <cell r="D6404" t="str">
            <v>Fatimah Bint Mubarak Primary School</v>
          </cell>
          <cell r="H6404" t="str">
            <v>AD</v>
          </cell>
        </row>
        <row r="6405">
          <cell r="B6405" t="str">
            <v>Fire Extinguisher</v>
          </cell>
          <cell r="D6405" t="str">
            <v>Fatimah Bint Mubarak Primary School</v>
          </cell>
          <cell r="H6405" t="str">
            <v>AD</v>
          </cell>
        </row>
        <row r="6406">
          <cell r="B6406" t="str">
            <v>Fire Extinguisher</v>
          </cell>
          <cell r="D6406" t="str">
            <v>Fatimah Bint Mubarak Primary School</v>
          </cell>
          <cell r="H6406" t="str">
            <v>AD</v>
          </cell>
        </row>
        <row r="6407">
          <cell r="B6407" t="str">
            <v>Fire Extinguisher</v>
          </cell>
          <cell r="D6407" t="str">
            <v>Fatimah Bint Mubarak Primary School</v>
          </cell>
          <cell r="H6407" t="str">
            <v>AD</v>
          </cell>
        </row>
        <row r="6408">
          <cell r="B6408" t="str">
            <v>Fire Extinguisher</v>
          </cell>
          <cell r="D6408" t="str">
            <v>Fatimah Bint Mubarak Primary School</v>
          </cell>
          <cell r="H6408" t="str">
            <v>AD</v>
          </cell>
        </row>
        <row r="6409">
          <cell r="B6409" t="str">
            <v>Fire Extinguisher</v>
          </cell>
          <cell r="D6409" t="str">
            <v>Fatimah Bint Mubarak Primary School</v>
          </cell>
          <cell r="H6409" t="str">
            <v>AD</v>
          </cell>
        </row>
        <row r="6410">
          <cell r="B6410" t="str">
            <v>Fire Extinguisher</v>
          </cell>
          <cell r="D6410" t="str">
            <v>Fatimah Bint Mubarak Primary School</v>
          </cell>
          <cell r="H6410" t="str">
            <v>AD</v>
          </cell>
        </row>
        <row r="6411">
          <cell r="B6411" t="str">
            <v>Fire Extinguisher</v>
          </cell>
          <cell r="D6411" t="str">
            <v>Fatimah Bint Mubarak Primary School</v>
          </cell>
          <cell r="H6411" t="str">
            <v>AD</v>
          </cell>
        </row>
        <row r="6412">
          <cell r="B6412" t="str">
            <v>Fire Extinguisher</v>
          </cell>
          <cell r="D6412" t="str">
            <v>Fatimah Bint Mubarak Primary School</v>
          </cell>
          <cell r="H6412" t="str">
            <v>AD</v>
          </cell>
        </row>
        <row r="6413">
          <cell r="B6413" t="str">
            <v>Fire Extinguisher</v>
          </cell>
          <cell r="D6413" t="str">
            <v>Fatimah Bint Mubarak Primary School</v>
          </cell>
          <cell r="H6413" t="str">
            <v>AD</v>
          </cell>
        </row>
        <row r="6414">
          <cell r="B6414" t="str">
            <v>Fire Extinguisher</v>
          </cell>
          <cell r="D6414" t="str">
            <v>Fatimah Bint Mubarak Primary School</v>
          </cell>
          <cell r="H6414" t="str">
            <v>AD</v>
          </cell>
        </row>
        <row r="6415">
          <cell r="B6415" t="str">
            <v>Fire Extinguisher</v>
          </cell>
          <cell r="D6415" t="str">
            <v>Fatimah Bint Mubarak Primary School</v>
          </cell>
          <cell r="H6415" t="str">
            <v>AD</v>
          </cell>
        </row>
        <row r="6416">
          <cell r="B6416" t="str">
            <v>Fire Extinguisher</v>
          </cell>
          <cell r="D6416" t="str">
            <v>Fatimah Bint Mubarak Primary School</v>
          </cell>
          <cell r="H6416" t="str">
            <v>AD</v>
          </cell>
        </row>
        <row r="6417">
          <cell r="B6417" t="str">
            <v>Fire Extinguisher</v>
          </cell>
          <cell r="D6417" t="str">
            <v>Fatimah Bint Mubarak Primary School</v>
          </cell>
          <cell r="H6417" t="str">
            <v>AD</v>
          </cell>
        </row>
        <row r="6418">
          <cell r="B6418" t="str">
            <v>Fire Extinguisher</v>
          </cell>
          <cell r="D6418" t="str">
            <v>Fatimah Bint Mubarak Primary School</v>
          </cell>
          <cell r="H6418" t="str">
            <v>AD</v>
          </cell>
        </row>
        <row r="6419">
          <cell r="B6419" t="str">
            <v>Fire Extinguisher</v>
          </cell>
          <cell r="D6419" t="str">
            <v>Fatimah Bint Mubarak Primary School</v>
          </cell>
          <cell r="H6419" t="str">
            <v>AD</v>
          </cell>
        </row>
        <row r="6420">
          <cell r="B6420" t="str">
            <v>Fire Extinguisher</v>
          </cell>
          <cell r="D6420" t="str">
            <v>Fatimah Bint Mubarak Primary School</v>
          </cell>
          <cell r="H6420" t="str">
            <v>AD</v>
          </cell>
        </row>
        <row r="6421">
          <cell r="B6421" t="str">
            <v>Fire Extinguisher</v>
          </cell>
          <cell r="D6421" t="str">
            <v>Fatimah Bint Mubarak Primary School</v>
          </cell>
          <cell r="H6421" t="str">
            <v>AD</v>
          </cell>
        </row>
        <row r="6422">
          <cell r="B6422" t="str">
            <v>Fire Extinguisher</v>
          </cell>
          <cell r="D6422" t="str">
            <v>Fatimah Bint Mubarak Primary School</v>
          </cell>
          <cell r="H6422" t="str">
            <v>AD</v>
          </cell>
        </row>
        <row r="6423">
          <cell r="B6423" t="str">
            <v>Fire Extinguisher</v>
          </cell>
          <cell r="D6423" t="str">
            <v>Fatimah Bint Mubarak Primary School</v>
          </cell>
          <cell r="H6423" t="str">
            <v>AD</v>
          </cell>
        </row>
        <row r="6424">
          <cell r="B6424" t="str">
            <v>Fire Extinguisher</v>
          </cell>
          <cell r="D6424" t="str">
            <v>Fatimah Bint Mubarak Primary School</v>
          </cell>
          <cell r="H6424" t="str">
            <v>AD</v>
          </cell>
        </row>
        <row r="6425">
          <cell r="B6425" t="str">
            <v>Fire Extinguisher</v>
          </cell>
          <cell r="D6425" t="str">
            <v>Fatimah Bint Mubarak Primary School</v>
          </cell>
          <cell r="H6425" t="str">
            <v>AD</v>
          </cell>
        </row>
        <row r="6426">
          <cell r="B6426" t="str">
            <v>Fire Extinguisher</v>
          </cell>
          <cell r="D6426" t="str">
            <v>Fatimah Bint Mubarak Primary School</v>
          </cell>
          <cell r="H6426" t="str">
            <v>AD</v>
          </cell>
        </row>
        <row r="6427">
          <cell r="B6427" t="str">
            <v>Fire Extinguisher</v>
          </cell>
          <cell r="D6427" t="str">
            <v>Fatimah Bint Mubarak Primary School</v>
          </cell>
          <cell r="H6427" t="str">
            <v>AD</v>
          </cell>
        </row>
        <row r="6428">
          <cell r="B6428" t="str">
            <v>Fire Extinguisher</v>
          </cell>
          <cell r="D6428" t="str">
            <v>Fatimah Bint Mubarak Primary School</v>
          </cell>
          <cell r="H6428" t="str">
            <v>AD</v>
          </cell>
        </row>
        <row r="6429">
          <cell r="B6429" t="str">
            <v>Fire Extinguisher</v>
          </cell>
          <cell r="D6429" t="str">
            <v>Fatimah Bint Mubarak Primary School</v>
          </cell>
          <cell r="H6429" t="str">
            <v>AD</v>
          </cell>
        </row>
        <row r="6430">
          <cell r="B6430" t="str">
            <v>Fire Extinguisher</v>
          </cell>
          <cell r="D6430" t="str">
            <v>Fatimah Bint Mubarak Primary School</v>
          </cell>
          <cell r="H6430" t="str">
            <v>AD</v>
          </cell>
        </row>
        <row r="6431">
          <cell r="B6431" t="str">
            <v>Fire Extinguisher</v>
          </cell>
          <cell r="D6431" t="str">
            <v>Fatimah Bint Mubarak Primary School</v>
          </cell>
          <cell r="H6431" t="str">
            <v>AD</v>
          </cell>
        </row>
        <row r="6432">
          <cell r="B6432" t="str">
            <v>Fire Extinguisher</v>
          </cell>
          <cell r="D6432" t="str">
            <v>Fatimah Bint Mubarak Primary School</v>
          </cell>
          <cell r="H6432" t="str">
            <v>AD</v>
          </cell>
        </row>
        <row r="6433">
          <cell r="B6433" t="str">
            <v>Fire Extinguisher</v>
          </cell>
          <cell r="D6433" t="str">
            <v>Fatimah Bint Mubarak Primary School</v>
          </cell>
          <cell r="H6433" t="str">
            <v>AD</v>
          </cell>
        </row>
        <row r="6434">
          <cell r="B6434" t="str">
            <v>Fire Extinguisher</v>
          </cell>
          <cell r="D6434" t="str">
            <v>Fatimah Bint Mubarak Primary School</v>
          </cell>
          <cell r="H6434" t="str">
            <v>AD</v>
          </cell>
        </row>
        <row r="6435">
          <cell r="B6435" t="str">
            <v>Fire Extinguisher</v>
          </cell>
          <cell r="D6435" t="str">
            <v>Fatimah Bint Mubarak Primary School</v>
          </cell>
          <cell r="H6435" t="str">
            <v>AD</v>
          </cell>
        </row>
        <row r="6436">
          <cell r="B6436" t="str">
            <v>Fire Extinguisher</v>
          </cell>
          <cell r="D6436" t="str">
            <v>Fatimah Bint Mubarak Primary School</v>
          </cell>
          <cell r="H6436" t="str">
            <v>AD</v>
          </cell>
        </row>
        <row r="6437">
          <cell r="B6437" t="str">
            <v>Fire Extinguisher</v>
          </cell>
          <cell r="D6437" t="str">
            <v>Fatimah Bint Mubarak Primary School</v>
          </cell>
          <cell r="H6437" t="str">
            <v>AD</v>
          </cell>
        </row>
        <row r="6438">
          <cell r="B6438" t="str">
            <v>Fire Extinguisher</v>
          </cell>
          <cell r="D6438" t="str">
            <v>Fatimah Bint Mubarak Primary School</v>
          </cell>
          <cell r="H6438" t="str">
            <v>AD</v>
          </cell>
        </row>
        <row r="6439">
          <cell r="B6439" t="str">
            <v>Fire Extinguisher</v>
          </cell>
          <cell r="D6439" t="str">
            <v>Fatimah Bint Mubarak Primary School</v>
          </cell>
          <cell r="H6439" t="str">
            <v>AD</v>
          </cell>
        </row>
        <row r="6440">
          <cell r="B6440" t="str">
            <v>Fire Extinguisher</v>
          </cell>
          <cell r="D6440" t="str">
            <v>Fatimah Bint Mubarak Primary School</v>
          </cell>
          <cell r="H6440" t="str">
            <v>AD</v>
          </cell>
        </row>
        <row r="6441">
          <cell r="B6441" t="str">
            <v>Fire Extinguisher</v>
          </cell>
          <cell r="D6441" t="str">
            <v>Fatimah Bint Mubarak Primary School</v>
          </cell>
          <cell r="H6441" t="str">
            <v>AD</v>
          </cell>
        </row>
        <row r="6442">
          <cell r="B6442" t="str">
            <v>Fire Extinguisher</v>
          </cell>
          <cell r="D6442" t="str">
            <v>Fatimah Bint Mubarak Primary School</v>
          </cell>
          <cell r="H6442" t="str">
            <v>AD</v>
          </cell>
        </row>
        <row r="6443">
          <cell r="B6443" t="str">
            <v>Fire Extinguisher Cabinet</v>
          </cell>
          <cell r="D6443" t="str">
            <v>Fatimah Bint Mubarak Primary School</v>
          </cell>
          <cell r="H6443" t="str">
            <v>AD</v>
          </cell>
        </row>
        <row r="6444">
          <cell r="B6444" t="str">
            <v>Fire Extinguisher Cabinet</v>
          </cell>
          <cell r="D6444" t="str">
            <v>Fatimah Bint Mubarak Primary School</v>
          </cell>
          <cell r="H6444" t="str">
            <v>AD</v>
          </cell>
        </row>
        <row r="6445">
          <cell r="B6445" t="str">
            <v>Fire Extinguisher Cabinet</v>
          </cell>
          <cell r="D6445" t="str">
            <v>Fatimah Bint Mubarak Primary School</v>
          </cell>
          <cell r="H6445" t="str">
            <v>AD</v>
          </cell>
        </row>
        <row r="6446">
          <cell r="B6446" t="str">
            <v>Fire Extinguisher Cabinet</v>
          </cell>
          <cell r="D6446" t="str">
            <v>Fatimah Bint Mubarak Primary School</v>
          </cell>
          <cell r="H6446" t="str">
            <v>AD</v>
          </cell>
        </row>
        <row r="6447">
          <cell r="B6447" t="str">
            <v>Fire Extinguisher Cabinet</v>
          </cell>
          <cell r="D6447" t="str">
            <v>Fatimah Bint Mubarak Primary School</v>
          </cell>
          <cell r="H6447" t="str">
            <v>AD</v>
          </cell>
        </row>
        <row r="6448">
          <cell r="B6448" t="str">
            <v>Fire Extinguisher Cabinet</v>
          </cell>
          <cell r="D6448" t="str">
            <v>Fatimah Bint Mubarak Primary School</v>
          </cell>
          <cell r="H6448" t="str">
            <v>AD</v>
          </cell>
        </row>
        <row r="6449">
          <cell r="B6449" t="str">
            <v>Fire Extinguisher Cabinet</v>
          </cell>
          <cell r="D6449" t="str">
            <v>Fatimah Bint Mubarak Primary School</v>
          </cell>
          <cell r="H6449" t="str">
            <v>AD</v>
          </cell>
        </row>
        <row r="6450">
          <cell r="B6450" t="str">
            <v>Fire Extinguisher Cabinet</v>
          </cell>
          <cell r="D6450" t="str">
            <v>Fatimah Bint Mubarak Primary School</v>
          </cell>
          <cell r="H6450" t="str">
            <v>AD</v>
          </cell>
        </row>
        <row r="6451">
          <cell r="B6451" t="str">
            <v>Fire Extinguisher Cabinet</v>
          </cell>
          <cell r="D6451" t="str">
            <v>Fatimah Bint Mubarak Primary School</v>
          </cell>
          <cell r="H6451" t="str">
            <v>AD</v>
          </cell>
        </row>
        <row r="6452">
          <cell r="B6452" t="str">
            <v>Fire Extinguisher Cabinet</v>
          </cell>
          <cell r="D6452" t="str">
            <v>Fatimah Bint Mubarak Primary School</v>
          </cell>
          <cell r="H6452" t="str">
            <v>AD</v>
          </cell>
        </row>
        <row r="6453">
          <cell r="B6453" t="str">
            <v>Fire Hose Reel</v>
          </cell>
          <cell r="D6453" t="str">
            <v>Fatimah Bint Mubarak Primary School</v>
          </cell>
          <cell r="H6453" t="str">
            <v>AD</v>
          </cell>
        </row>
        <row r="6454">
          <cell r="B6454" t="str">
            <v>Fire Hose Reel</v>
          </cell>
          <cell r="D6454" t="str">
            <v>Fatimah Bint Mubarak Primary School</v>
          </cell>
          <cell r="H6454" t="str">
            <v>AD</v>
          </cell>
        </row>
        <row r="6455">
          <cell r="B6455" t="str">
            <v>Fire Hose Reel</v>
          </cell>
          <cell r="D6455" t="str">
            <v>Fatimah Bint Mubarak Primary School</v>
          </cell>
          <cell r="H6455" t="str">
            <v>AD</v>
          </cell>
        </row>
        <row r="6456">
          <cell r="B6456" t="str">
            <v>Fire Hose Reel</v>
          </cell>
          <cell r="D6456" t="str">
            <v>Fatimah Bint Mubarak Primary School</v>
          </cell>
          <cell r="H6456" t="str">
            <v>AD</v>
          </cell>
        </row>
        <row r="6457">
          <cell r="B6457" t="str">
            <v>Fire Hose Reel</v>
          </cell>
          <cell r="D6457" t="str">
            <v>Fatimah Bint Mubarak Primary School</v>
          </cell>
          <cell r="H6457" t="str">
            <v>AD</v>
          </cell>
        </row>
        <row r="6458">
          <cell r="B6458" t="str">
            <v>Fire Hose Reel</v>
          </cell>
          <cell r="D6458" t="str">
            <v>Fatimah Bint Mubarak Primary School</v>
          </cell>
          <cell r="H6458" t="str">
            <v>AD</v>
          </cell>
        </row>
        <row r="6459">
          <cell r="B6459" t="str">
            <v>Fire Hose Reel</v>
          </cell>
          <cell r="D6459" t="str">
            <v>Fatimah Bint Mubarak Primary School</v>
          </cell>
          <cell r="H6459" t="str">
            <v>AD</v>
          </cell>
        </row>
        <row r="6460">
          <cell r="B6460" t="str">
            <v>Fire Hose Reel</v>
          </cell>
          <cell r="D6460" t="str">
            <v>Fatimah Bint Mubarak Primary School</v>
          </cell>
          <cell r="H6460" t="str">
            <v>AD</v>
          </cell>
        </row>
        <row r="6461">
          <cell r="B6461" t="str">
            <v>Fire Hose Reel</v>
          </cell>
          <cell r="D6461" t="str">
            <v>Fatimah Bint Mubarak Primary School</v>
          </cell>
          <cell r="H6461" t="str">
            <v>AD</v>
          </cell>
        </row>
        <row r="6462">
          <cell r="B6462" t="str">
            <v>Fire Hose Reel</v>
          </cell>
          <cell r="D6462" t="str">
            <v>Fatimah Bint Mubarak Primary School</v>
          </cell>
          <cell r="H6462" t="str">
            <v>AD</v>
          </cell>
        </row>
        <row r="6463">
          <cell r="B6463" t="str">
            <v>Fire Hose Reel</v>
          </cell>
          <cell r="D6463" t="str">
            <v>Fatimah Bint Mubarak Primary School</v>
          </cell>
          <cell r="H6463" t="str">
            <v>AD</v>
          </cell>
        </row>
        <row r="6464">
          <cell r="B6464" t="str">
            <v>Fire Hose Reel</v>
          </cell>
          <cell r="D6464" t="str">
            <v>Fatimah Bint Mubarak Primary School</v>
          </cell>
          <cell r="H6464" t="str">
            <v>AD</v>
          </cell>
        </row>
        <row r="6465">
          <cell r="B6465" t="str">
            <v>Fire Hose Reel</v>
          </cell>
          <cell r="D6465" t="str">
            <v>Fatimah Bint Mubarak Primary School</v>
          </cell>
          <cell r="H6465" t="str">
            <v>AD</v>
          </cell>
        </row>
        <row r="6466">
          <cell r="B6466" t="str">
            <v>Fire Hose Reel</v>
          </cell>
          <cell r="D6466" t="str">
            <v>Fatimah Bint Mubarak Primary School</v>
          </cell>
          <cell r="H6466" t="str">
            <v>AD</v>
          </cell>
        </row>
        <row r="6467">
          <cell r="B6467" t="str">
            <v>Fire Hose Reel</v>
          </cell>
          <cell r="D6467" t="str">
            <v>Fatimah Bint Mubarak Primary School</v>
          </cell>
          <cell r="H6467" t="str">
            <v>AD</v>
          </cell>
        </row>
        <row r="6468">
          <cell r="B6468" t="str">
            <v>Fire Hose Reel Cabinet</v>
          </cell>
          <cell r="D6468" t="str">
            <v>Fatimah Bint Mubarak Primary School</v>
          </cell>
          <cell r="H6468" t="str">
            <v>AD</v>
          </cell>
        </row>
        <row r="6469">
          <cell r="B6469" t="str">
            <v>Fire Hose Reel Cabinet</v>
          </cell>
          <cell r="D6469" t="str">
            <v>Fatimah Bint Mubarak Primary School</v>
          </cell>
          <cell r="H6469" t="str">
            <v>AD</v>
          </cell>
        </row>
        <row r="6470">
          <cell r="B6470" t="str">
            <v>Fire Hose Reel Cabinet</v>
          </cell>
          <cell r="D6470" t="str">
            <v>Fatimah Bint Mubarak Primary School</v>
          </cell>
          <cell r="H6470" t="str">
            <v>AD</v>
          </cell>
        </row>
        <row r="6471">
          <cell r="B6471" t="str">
            <v>Fire Hose Reel Cabinet</v>
          </cell>
          <cell r="D6471" t="str">
            <v>Fatimah Bint Mubarak Primary School</v>
          </cell>
          <cell r="H6471" t="str">
            <v>AD</v>
          </cell>
        </row>
        <row r="6472">
          <cell r="B6472" t="str">
            <v>Fire Hose Reel Cabinet</v>
          </cell>
          <cell r="D6472" t="str">
            <v>Fatimah Bint Mubarak Primary School</v>
          </cell>
          <cell r="H6472" t="str">
            <v>AD</v>
          </cell>
        </row>
        <row r="6473">
          <cell r="B6473" t="str">
            <v>Fire Hose Reel Cabinet</v>
          </cell>
          <cell r="D6473" t="str">
            <v>Fatimah Bint Mubarak Primary School</v>
          </cell>
          <cell r="H6473" t="str">
            <v>AD</v>
          </cell>
        </row>
        <row r="6474">
          <cell r="B6474" t="str">
            <v>Fire Hose Reel Cabinet</v>
          </cell>
          <cell r="D6474" t="str">
            <v>Fatimah Bint Mubarak Primary School</v>
          </cell>
          <cell r="H6474" t="str">
            <v>AD</v>
          </cell>
        </row>
        <row r="6475">
          <cell r="B6475" t="str">
            <v>Fire Hose Reel Cabinet</v>
          </cell>
          <cell r="D6475" t="str">
            <v>Fatimah Bint Mubarak Primary School</v>
          </cell>
          <cell r="H6475" t="str">
            <v>AD</v>
          </cell>
        </row>
        <row r="6476">
          <cell r="B6476" t="str">
            <v>Fire Hose Reel Cabinet</v>
          </cell>
          <cell r="D6476" t="str">
            <v>Fatimah Bint Mubarak Primary School</v>
          </cell>
          <cell r="H6476" t="str">
            <v>AD</v>
          </cell>
        </row>
        <row r="6477">
          <cell r="B6477" t="str">
            <v>Fire Hose Reel Cabinet</v>
          </cell>
          <cell r="D6477" t="str">
            <v>Fatimah Bint Mubarak Primary School</v>
          </cell>
          <cell r="H6477" t="str">
            <v>AD</v>
          </cell>
        </row>
        <row r="6478">
          <cell r="B6478" t="str">
            <v>Fire Hose Reel Cabinet</v>
          </cell>
          <cell r="D6478" t="str">
            <v>Fatimah Bint Mubarak Primary School</v>
          </cell>
          <cell r="H6478" t="str">
            <v>AD</v>
          </cell>
        </row>
        <row r="6479">
          <cell r="B6479" t="str">
            <v>Fire Hose Reel Cabinet</v>
          </cell>
          <cell r="D6479" t="str">
            <v>Fatimah Bint Mubarak Primary School</v>
          </cell>
          <cell r="H6479" t="str">
            <v>AD</v>
          </cell>
        </row>
        <row r="6480">
          <cell r="B6480" t="str">
            <v>Fire Hose Reel Cabinet</v>
          </cell>
          <cell r="D6480" t="str">
            <v>Fatimah Bint Mubarak Primary School</v>
          </cell>
          <cell r="H6480" t="str">
            <v>AD</v>
          </cell>
        </row>
        <row r="6481">
          <cell r="B6481" t="str">
            <v>Fire Hose Reel Cabinet</v>
          </cell>
          <cell r="D6481" t="str">
            <v>Fatimah Bint Mubarak Primary School</v>
          </cell>
          <cell r="H6481" t="str">
            <v>AD</v>
          </cell>
        </row>
        <row r="6482">
          <cell r="B6482" t="str">
            <v>Fire Hose Reel Cabinet</v>
          </cell>
          <cell r="D6482" t="str">
            <v>Fatimah Bint Mubarak Primary School</v>
          </cell>
          <cell r="H6482" t="str">
            <v>AD</v>
          </cell>
        </row>
        <row r="6483">
          <cell r="B6483" t="str">
            <v>Fire Hose Reel Cabinet</v>
          </cell>
          <cell r="D6483" t="str">
            <v>Fatimah Bint Mubarak Primary School</v>
          </cell>
          <cell r="H6483" t="str">
            <v>AD</v>
          </cell>
        </row>
        <row r="6484">
          <cell r="B6484" t="str">
            <v>Fire Hose Reel Cabinet</v>
          </cell>
          <cell r="D6484" t="str">
            <v>Fatimah Bint Mubarak Primary School</v>
          </cell>
          <cell r="H6484" t="str">
            <v>AD</v>
          </cell>
        </row>
        <row r="6485">
          <cell r="B6485" t="str">
            <v>Fire Hose Reel Cabinet</v>
          </cell>
          <cell r="D6485" t="str">
            <v>Fatimah Bint Mubarak Primary School</v>
          </cell>
          <cell r="H6485" t="str">
            <v>AD</v>
          </cell>
        </row>
        <row r="6486">
          <cell r="B6486" t="str">
            <v>Fire Hose Reel Cabinet</v>
          </cell>
          <cell r="D6486" t="str">
            <v>Fatimah Bint Mubarak Primary School</v>
          </cell>
          <cell r="H6486" t="str">
            <v>AD</v>
          </cell>
        </row>
        <row r="6487">
          <cell r="B6487" t="str">
            <v>Fire Hose Reel Cabinet</v>
          </cell>
          <cell r="D6487" t="str">
            <v>Fatimah Bint Mubarak Primary School</v>
          </cell>
          <cell r="H6487" t="str">
            <v>AD</v>
          </cell>
        </row>
        <row r="6488">
          <cell r="B6488" t="str">
            <v>Smoke Detector &amp; Heat Detector</v>
          </cell>
          <cell r="D6488" t="str">
            <v>Fatimah Bint Mubarak Primary School</v>
          </cell>
          <cell r="H6488" t="str">
            <v>AD</v>
          </cell>
        </row>
        <row r="6489">
          <cell r="B6489" t="str">
            <v>Smoke Detector &amp; Heat Detector</v>
          </cell>
          <cell r="D6489" t="str">
            <v>Fatimah Bint Mubarak Primary School</v>
          </cell>
          <cell r="H6489" t="str">
            <v>AD</v>
          </cell>
        </row>
        <row r="6490">
          <cell r="B6490" t="str">
            <v>Smoke Detector &amp; Heat Detector</v>
          </cell>
          <cell r="D6490" t="str">
            <v>Fatimah Bint Mubarak Primary School</v>
          </cell>
          <cell r="H6490" t="str">
            <v>AD</v>
          </cell>
        </row>
        <row r="6491">
          <cell r="B6491" t="str">
            <v>Smoke Detector &amp; Heat Detector</v>
          </cell>
          <cell r="D6491" t="str">
            <v>Fatimah Bint Mubarak Primary School</v>
          </cell>
          <cell r="H6491" t="str">
            <v>AD</v>
          </cell>
        </row>
        <row r="6492">
          <cell r="B6492" t="str">
            <v>Smoke Detector &amp; Heat Detector</v>
          </cell>
          <cell r="D6492" t="str">
            <v>Fatimah Bint Mubarak Primary School</v>
          </cell>
          <cell r="H6492" t="str">
            <v>AD</v>
          </cell>
        </row>
        <row r="6493">
          <cell r="B6493" t="str">
            <v>Smoke Detector &amp; Heat Detector</v>
          </cell>
          <cell r="D6493" t="str">
            <v>Fatimah Bint Mubarak Primary School</v>
          </cell>
          <cell r="H6493" t="str">
            <v>AD</v>
          </cell>
        </row>
        <row r="6494">
          <cell r="B6494" t="str">
            <v>Smoke Detector &amp; Heat Detector</v>
          </cell>
          <cell r="D6494" t="str">
            <v>Fatimah Bint Mubarak Primary School</v>
          </cell>
          <cell r="H6494" t="str">
            <v>AD</v>
          </cell>
        </row>
        <row r="6495">
          <cell r="B6495" t="str">
            <v>Smoke Detector &amp; Heat Detector</v>
          </cell>
          <cell r="D6495" t="str">
            <v>Fatimah Bint Mubarak Primary School</v>
          </cell>
          <cell r="H6495" t="str">
            <v>AD</v>
          </cell>
        </row>
        <row r="6496">
          <cell r="B6496" t="str">
            <v>Smoke Detector &amp; Heat Detector</v>
          </cell>
          <cell r="D6496" t="str">
            <v>Fatimah Bint Mubarak Primary School</v>
          </cell>
          <cell r="H6496" t="str">
            <v>AD</v>
          </cell>
        </row>
        <row r="6497">
          <cell r="B6497" t="str">
            <v>Smoke Detector &amp; Heat Detector</v>
          </cell>
          <cell r="D6497" t="str">
            <v>Fatimah Bint Mubarak Primary School</v>
          </cell>
          <cell r="H6497" t="str">
            <v>AD</v>
          </cell>
        </row>
        <row r="6498">
          <cell r="B6498" t="str">
            <v>Smoke Detector &amp; Heat Detector</v>
          </cell>
          <cell r="D6498" t="str">
            <v>Fatimah Bint Mubarak Primary School</v>
          </cell>
          <cell r="H6498" t="str">
            <v>AD</v>
          </cell>
        </row>
        <row r="6499">
          <cell r="B6499" t="str">
            <v>Smoke Detector &amp; Heat Detector</v>
          </cell>
          <cell r="D6499" t="str">
            <v>Fatimah Bint Mubarak Primary School</v>
          </cell>
          <cell r="H6499" t="str">
            <v>AD</v>
          </cell>
        </row>
        <row r="6500">
          <cell r="B6500" t="str">
            <v>Smoke Detector &amp; Heat Detector</v>
          </cell>
          <cell r="D6500" t="str">
            <v>Fatimah Bint Mubarak Primary School</v>
          </cell>
          <cell r="H6500" t="str">
            <v>AD</v>
          </cell>
        </row>
        <row r="6501">
          <cell r="B6501" t="str">
            <v>Smoke Detector &amp; Heat Detector</v>
          </cell>
          <cell r="D6501" t="str">
            <v>Fatimah Bint Mubarak Primary School</v>
          </cell>
          <cell r="H6501" t="str">
            <v>AD</v>
          </cell>
        </row>
        <row r="6502">
          <cell r="B6502" t="str">
            <v>Smoke Detector &amp; Heat Detector</v>
          </cell>
          <cell r="D6502" t="str">
            <v>Fatimah Bint Mubarak Primary School</v>
          </cell>
          <cell r="H6502" t="str">
            <v>AD</v>
          </cell>
        </row>
        <row r="6503">
          <cell r="B6503" t="str">
            <v>Smoke Detector &amp; Heat Detector</v>
          </cell>
          <cell r="D6503" t="str">
            <v>Fatimah Bint Mubarak Primary School</v>
          </cell>
          <cell r="H6503" t="str">
            <v>AD</v>
          </cell>
        </row>
        <row r="6504">
          <cell r="B6504" t="str">
            <v>Smoke Detector &amp; Heat Detector</v>
          </cell>
          <cell r="D6504" t="str">
            <v>Fatimah Bint Mubarak Primary School</v>
          </cell>
          <cell r="H6504" t="str">
            <v>AD</v>
          </cell>
        </row>
        <row r="6505">
          <cell r="B6505" t="str">
            <v>Smoke Detector &amp; Heat Detector</v>
          </cell>
          <cell r="D6505" t="str">
            <v>Fatimah Bint Mubarak Primary School</v>
          </cell>
          <cell r="H6505" t="str">
            <v>AD</v>
          </cell>
        </row>
        <row r="6506">
          <cell r="B6506" t="str">
            <v>Smoke Detector &amp; Heat Detector</v>
          </cell>
          <cell r="D6506" t="str">
            <v>Fatimah Bint Mubarak Primary School</v>
          </cell>
          <cell r="H6506" t="str">
            <v>AD</v>
          </cell>
        </row>
        <row r="6507">
          <cell r="B6507" t="str">
            <v>Water Tank</v>
          </cell>
          <cell r="D6507" t="str">
            <v>Fatimah Bint Mubarak Primary School</v>
          </cell>
          <cell r="H6507" t="str">
            <v>AD</v>
          </cell>
        </row>
        <row r="6508">
          <cell r="B6508" t="str">
            <v>Water Tank</v>
          </cell>
          <cell r="D6508" t="str">
            <v>Fatimah Bint Mubarak Primary School</v>
          </cell>
          <cell r="H6508" t="str">
            <v>AD</v>
          </cell>
        </row>
        <row r="6509">
          <cell r="B6509" t="str">
            <v>Water Tank</v>
          </cell>
          <cell r="D6509" t="str">
            <v>Fatimah Bint Mubarak Primary School</v>
          </cell>
          <cell r="H6509" t="str">
            <v>AD</v>
          </cell>
        </row>
        <row r="6510">
          <cell r="B6510" t="str">
            <v>Fire Alarm Break Glass Call Point</v>
          </cell>
          <cell r="D6510" t="str">
            <v>Ghantout Secondary School</v>
          </cell>
          <cell r="H6510" t="str">
            <v>AD</v>
          </cell>
        </row>
        <row r="6511">
          <cell r="B6511" t="str">
            <v>Fire Alarm Break Glass Call Point</v>
          </cell>
          <cell r="D6511" t="str">
            <v>Ghantout Secondary School</v>
          </cell>
          <cell r="H6511" t="str">
            <v>AD</v>
          </cell>
        </row>
        <row r="6512">
          <cell r="B6512" t="str">
            <v>Fire Alarm Break Glass Call Point</v>
          </cell>
          <cell r="D6512" t="str">
            <v>Ghantout Secondary School</v>
          </cell>
          <cell r="H6512" t="str">
            <v>AD</v>
          </cell>
        </row>
        <row r="6513">
          <cell r="B6513" t="str">
            <v>Fire Alarm Break Glass Call Point</v>
          </cell>
          <cell r="D6513" t="str">
            <v>Ghantout Secondary School</v>
          </cell>
          <cell r="H6513" t="str">
            <v>AD</v>
          </cell>
        </row>
        <row r="6514">
          <cell r="B6514" t="str">
            <v>Fire Alarm Break Glass Call Point</v>
          </cell>
          <cell r="D6514" t="str">
            <v>Ghantout Secondary School</v>
          </cell>
          <cell r="H6514" t="str">
            <v>AD</v>
          </cell>
        </row>
        <row r="6515">
          <cell r="B6515" t="str">
            <v>Fire Alarm Control Panel Board</v>
          </cell>
          <cell r="D6515" t="str">
            <v>Ghantout Secondary School</v>
          </cell>
          <cell r="H6515" t="str">
            <v>AD</v>
          </cell>
        </row>
        <row r="6516">
          <cell r="B6516" t="str">
            <v>Fire Alarm Sounder, Bell, Light</v>
          </cell>
          <cell r="D6516" t="str">
            <v>Ghantout Secondary School</v>
          </cell>
          <cell r="H6516" t="str">
            <v>AD</v>
          </cell>
        </row>
        <row r="6517">
          <cell r="B6517" t="str">
            <v>Fire Alarm Sounder, Bell, Light</v>
          </cell>
          <cell r="D6517" t="str">
            <v>Ghantout Secondary School</v>
          </cell>
          <cell r="H6517" t="str">
            <v>AD</v>
          </cell>
        </row>
        <row r="6518">
          <cell r="B6518" t="str">
            <v>Fire Alarm Sounder, Bell, Light</v>
          </cell>
          <cell r="D6518" t="str">
            <v>Ghantout Secondary School</v>
          </cell>
          <cell r="H6518" t="str">
            <v>AD</v>
          </cell>
        </row>
        <row r="6519">
          <cell r="B6519" t="str">
            <v>Fire Alarm Sounder, Bell, Light</v>
          </cell>
          <cell r="D6519" t="str">
            <v>Ghantout Secondary School</v>
          </cell>
          <cell r="H6519" t="str">
            <v>AD</v>
          </cell>
        </row>
        <row r="6520">
          <cell r="B6520" t="str">
            <v>Fire Alarm Sounder, Bell, Light</v>
          </cell>
          <cell r="D6520" t="str">
            <v>Ghantout Secondary School</v>
          </cell>
          <cell r="H6520" t="str">
            <v>AD</v>
          </cell>
        </row>
        <row r="6521">
          <cell r="B6521" t="str">
            <v>Fire Extinguisher</v>
          </cell>
          <cell r="D6521" t="str">
            <v>Ghantout Secondary School</v>
          </cell>
          <cell r="H6521" t="str">
            <v>AD</v>
          </cell>
        </row>
        <row r="6522">
          <cell r="B6522" t="str">
            <v>Fire Extinguisher</v>
          </cell>
          <cell r="D6522" t="str">
            <v>Ghantout Secondary School</v>
          </cell>
          <cell r="H6522" t="str">
            <v>AD</v>
          </cell>
        </row>
        <row r="6523">
          <cell r="B6523" t="str">
            <v>Fire Extinguisher</v>
          </cell>
          <cell r="D6523" t="str">
            <v>Ghantout Secondary School</v>
          </cell>
          <cell r="H6523" t="str">
            <v>AD</v>
          </cell>
        </row>
        <row r="6524">
          <cell r="B6524" t="str">
            <v>Fire Extinguisher</v>
          </cell>
          <cell r="D6524" t="str">
            <v>Ghantout Secondary School</v>
          </cell>
          <cell r="H6524" t="str">
            <v>AD</v>
          </cell>
        </row>
        <row r="6525">
          <cell r="B6525" t="str">
            <v>Fire Extinguisher</v>
          </cell>
          <cell r="D6525" t="str">
            <v>Ghantout Secondary School</v>
          </cell>
          <cell r="H6525" t="str">
            <v>AD</v>
          </cell>
        </row>
        <row r="6526">
          <cell r="B6526" t="str">
            <v>Fire Extinguisher</v>
          </cell>
          <cell r="D6526" t="str">
            <v>Ghantout Secondary School</v>
          </cell>
          <cell r="H6526" t="str">
            <v>AD</v>
          </cell>
        </row>
        <row r="6527">
          <cell r="B6527" t="str">
            <v>Fire Extinguisher</v>
          </cell>
          <cell r="D6527" t="str">
            <v>Ghantout Secondary School</v>
          </cell>
          <cell r="H6527" t="str">
            <v>AD</v>
          </cell>
        </row>
        <row r="6528">
          <cell r="B6528" t="str">
            <v>Fire Extinguisher</v>
          </cell>
          <cell r="D6528" t="str">
            <v>Ghantout Secondary School</v>
          </cell>
          <cell r="H6528" t="str">
            <v>AD</v>
          </cell>
        </row>
        <row r="6529">
          <cell r="B6529" t="str">
            <v>Fire Extinguisher</v>
          </cell>
          <cell r="D6529" t="str">
            <v>Ghantout Secondary School</v>
          </cell>
          <cell r="H6529" t="str">
            <v>AD</v>
          </cell>
        </row>
        <row r="6530">
          <cell r="B6530" t="str">
            <v>Fire Extinguisher</v>
          </cell>
          <cell r="D6530" t="str">
            <v>Ghantout Secondary School</v>
          </cell>
          <cell r="H6530" t="str">
            <v>AD</v>
          </cell>
        </row>
        <row r="6531">
          <cell r="B6531" t="str">
            <v>Fire Extinguisher</v>
          </cell>
          <cell r="D6531" t="str">
            <v>Ghantout Secondary School</v>
          </cell>
          <cell r="H6531" t="str">
            <v>AD</v>
          </cell>
        </row>
        <row r="6532">
          <cell r="B6532" t="str">
            <v>Fire Extinguisher</v>
          </cell>
          <cell r="D6532" t="str">
            <v>Ghantout Secondary School</v>
          </cell>
          <cell r="H6532" t="str">
            <v>AD</v>
          </cell>
        </row>
        <row r="6533">
          <cell r="B6533" t="str">
            <v>Fire Extinguisher</v>
          </cell>
          <cell r="D6533" t="str">
            <v>Ghantout Secondary School</v>
          </cell>
          <cell r="H6533" t="str">
            <v>AD</v>
          </cell>
        </row>
        <row r="6534">
          <cell r="B6534" t="str">
            <v>Fire Extinguisher</v>
          </cell>
          <cell r="D6534" t="str">
            <v>Ghantout Secondary School</v>
          </cell>
          <cell r="H6534" t="str">
            <v>AD</v>
          </cell>
        </row>
        <row r="6535">
          <cell r="B6535" t="str">
            <v>Fire Extinguisher</v>
          </cell>
          <cell r="D6535" t="str">
            <v>Ghantout Secondary School</v>
          </cell>
          <cell r="H6535" t="str">
            <v>AD</v>
          </cell>
        </row>
        <row r="6536">
          <cell r="B6536" t="str">
            <v>Fire Extinguisher</v>
          </cell>
          <cell r="D6536" t="str">
            <v>Ghantout Secondary School</v>
          </cell>
          <cell r="H6536" t="str">
            <v>AD</v>
          </cell>
        </row>
        <row r="6537">
          <cell r="B6537" t="str">
            <v>Fire Hose Reel</v>
          </cell>
          <cell r="D6537" t="str">
            <v>Ghantout Secondary School</v>
          </cell>
          <cell r="H6537" t="str">
            <v>AD</v>
          </cell>
        </row>
        <row r="6538">
          <cell r="B6538" t="str">
            <v>Fire Hose Reel</v>
          </cell>
          <cell r="D6538" t="str">
            <v>Ghantout Secondary School</v>
          </cell>
          <cell r="H6538" t="str">
            <v>AD</v>
          </cell>
        </row>
        <row r="6539">
          <cell r="B6539" t="str">
            <v>Fire Hose Reel</v>
          </cell>
          <cell r="D6539" t="str">
            <v>Ghantout Secondary School</v>
          </cell>
          <cell r="H6539" t="str">
            <v>AD</v>
          </cell>
        </row>
        <row r="6540">
          <cell r="B6540" t="str">
            <v>Fire Hose Reel</v>
          </cell>
          <cell r="D6540" t="str">
            <v>Ghantout Secondary School</v>
          </cell>
          <cell r="H6540" t="str">
            <v>AD</v>
          </cell>
        </row>
        <row r="6541">
          <cell r="B6541" t="str">
            <v>FIRE PUMP - Diesel</v>
          </cell>
          <cell r="D6541" t="str">
            <v>Ghantout Secondary School</v>
          </cell>
          <cell r="H6541" t="str">
            <v>AD</v>
          </cell>
        </row>
        <row r="6542">
          <cell r="B6542" t="str">
            <v>FIRE PUMP - Electric</v>
          </cell>
          <cell r="D6542" t="str">
            <v>Ghantout Secondary School</v>
          </cell>
          <cell r="H6542" t="str">
            <v>AD</v>
          </cell>
        </row>
        <row r="6543">
          <cell r="B6543" t="str">
            <v>Fire Smoke / Heat Detector, Sounder</v>
          </cell>
          <cell r="D6543" t="str">
            <v>Ghantout Secondary School</v>
          </cell>
          <cell r="H6543" t="str">
            <v>AD</v>
          </cell>
        </row>
        <row r="6544">
          <cell r="B6544" t="str">
            <v>Fire Smoke / Heat Detector, Sounder</v>
          </cell>
          <cell r="D6544" t="str">
            <v>Ghantout Secondary School</v>
          </cell>
          <cell r="H6544" t="str">
            <v>AD</v>
          </cell>
        </row>
        <row r="6545">
          <cell r="B6545" t="str">
            <v>Fire Smoke / Heat Detector, Sounder</v>
          </cell>
          <cell r="D6545" t="str">
            <v>Ghantout Secondary School</v>
          </cell>
          <cell r="H6545" t="str">
            <v>AD</v>
          </cell>
        </row>
        <row r="6546">
          <cell r="B6546" t="str">
            <v>Fire Smoke / Heat Detector, Sounder</v>
          </cell>
          <cell r="D6546" t="str">
            <v>Ghantout Secondary School</v>
          </cell>
          <cell r="H6546" t="str">
            <v>AD</v>
          </cell>
        </row>
        <row r="6547">
          <cell r="B6547" t="str">
            <v>Fire Smoke / Heat Detector, Sounder</v>
          </cell>
          <cell r="D6547" t="str">
            <v>Ghantout Secondary School</v>
          </cell>
          <cell r="H6547" t="str">
            <v>AD</v>
          </cell>
        </row>
        <row r="6548">
          <cell r="B6548" t="str">
            <v>Fire Smoke / Heat Detector, Sounder</v>
          </cell>
          <cell r="D6548" t="str">
            <v>Ghantout Secondary School</v>
          </cell>
          <cell r="H6548" t="str">
            <v>AD</v>
          </cell>
        </row>
        <row r="6549">
          <cell r="B6549" t="str">
            <v>Fire Smoke / Heat Detector, Sounder</v>
          </cell>
          <cell r="D6549" t="str">
            <v>Ghantout Secondary School</v>
          </cell>
          <cell r="H6549" t="str">
            <v>AD</v>
          </cell>
        </row>
        <row r="6550">
          <cell r="B6550" t="str">
            <v>Fire Smoke / Heat Detector, Sounder</v>
          </cell>
          <cell r="D6550" t="str">
            <v>Ghantout Secondary School</v>
          </cell>
          <cell r="H6550" t="str">
            <v>AD</v>
          </cell>
        </row>
        <row r="6551">
          <cell r="B6551" t="str">
            <v>Fire Smoke / Heat Detector, Sounder</v>
          </cell>
          <cell r="D6551" t="str">
            <v>Ghantout Secondary School</v>
          </cell>
          <cell r="H6551" t="str">
            <v>AD</v>
          </cell>
        </row>
        <row r="6552">
          <cell r="B6552" t="str">
            <v>Fire Smoke / Heat Detector, Sounder</v>
          </cell>
          <cell r="D6552" t="str">
            <v>Ghantout Secondary School</v>
          </cell>
          <cell r="H6552" t="str">
            <v>AD</v>
          </cell>
        </row>
        <row r="6553">
          <cell r="B6553" t="str">
            <v>Fire Smoke / Heat Detector, Sounder</v>
          </cell>
          <cell r="D6553" t="str">
            <v>Ghantout Secondary School</v>
          </cell>
          <cell r="H6553" t="str">
            <v>AD</v>
          </cell>
        </row>
        <row r="6554">
          <cell r="B6554" t="str">
            <v>Fire Smoke / Heat Detector, Sounder</v>
          </cell>
          <cell r="D6554" t="str">
            <v>Ghantout Secondary School</v>
          </cell>
          <cell r="H6554" t="str">
            <v>AD</v>
          </cell>
        </row>
        <row r="6555">
          <cell r="B6555" t="str">
            <v>Fire Smoke / Heat Detector, Sounder</v>
          </cell>
          <cell r="D6555" t="str">
            <v>Ghantout Secondary School</v>
          </cell>
          <cell r="H6555" t="str">
            <v>AD</v>
          </cell>
        </row>
        <row r="6556">
          <cell r="B6556" t="str">
            <v>Fire Smoke / Heat Detector, Sounder</v>
          </cell>
          <cell r="D6556" t="str">
            <v>Ghantout Secondary School</v>
          </cell>
          <cell r="H6556" t="str">
            <v>AD</v>
          </cell>
        </row>
        <row r="6557">
          <cell r="B6557" t="str">
            <v>Fire Smoke / Heat Detector, Sounder</v>
          </cell>
          <cell r="D6557" t="str">
            <v>Ghantout Secondary School</v>
          </cell>
          <cell r="H6557" t="str">
            <v>AD</v>
          </cell>
        </row>
        <row r="6558">
          <cell r="B6558" t="str">
            <v>Fire Smoke / Heat Detector, Sounder</v>
          </cell>
          <cell r="D6558" t="str">
            <v>Ghantout Secondary School</v>
          </cell>
          <cell r="H6558" t="str">
            <v>AD</v>
          </cell>
        </row>
        <row r="6559">
          <cell r="B6559" t="str">
            <v>Fire Smoke / Heat Detector, Sounder</v>
          </cell>
          <cell r="D6559" t="str">
            <v>Ghantout Secondary School</v>
          </cell>
          <cell r="H6559" t="str">
            <v>AD</v>
          </cell>
        </row>
        <row r="6560">
          <cell r="B6560" t="str">
            <v>Fire Smoke / Heat Detector, Sounder</v>
          </cell>
          <cell r="D6560" t="str">
            <v>Ghantout Secondary School</v>
          </cell>
          <cell r="H6560" t="str">
            <v>AD</v>
          </cell>
        </row>
        <row r="6561">
          <cell r="B6561" t="str">
            <v>Fire Smoke / Heat Detector, Sounder</v>
          </cell>
          <cell r="D6561" t="str">
            <v>Ghantout Secondary School</v>
          </cell>
          <cell r="H6561" t="str">
            <v>AD</v>
          </cell>
        </row>
        <row r="6562">
          <cell r="B6562" t="str">
            <v>Fire Smoke / Heat Detector, Sounder</v>
          </cell>
          <cell r="D6562" t="str">
            <v>Ghantout Secondary School</v>
          </cell>
          <cell r="H6562" t="str">
            <v>AD</v>
          </cell>
        </row>
        <row r="6563">
          <cell r="B6563" t="str">
            <v>Fire Smoke / Heat Detector, Sounder</v>
          </cell>
          <cell r="D6563" t="str">
            <v>Ghantout Secondary School</v>
          </cell>
          <cell r="H6563" t="str">
            <v>AD</v>
          </cell>
        </row>
        <row r="6564">
          <cell r="B6564" t="str">
            <v>Fire Smoke / Heat Detector, Sounder</v>
          </cell>
          <cell r="D6564" t="str">
            <v>Ghantout Secondary School</v>
          </cell>
          <cell r="H6564" t="str">
            <v>AD</v>
          </cell>
        </row>
        <row r="6565">
          <cell r="B6565" t="str">
            <v>Fire Smoke / Heat Detector, Sounder</v>
          </cell>
          <cell r="D6565" t="str">
            <v>Ghantout Secondary School</v>
          </cell>
          <cell r="H6565" t="str">
            <v>AD</v>
          </cell>
        </row>
        <row r="6566">
          <cell r="B6566" t="str">
            <v>Fire Smoke / Heat Detector, Sounder</v>
          </cell>
          <cell r="D6566" t="str">
            <v>Ghantout Secondary School</v>
          </cell>
          <cell r="H6566" t="str">
            <v>AD</v>
          </cell>
        </row>
        <row r="6567">
          <cell r="B6567" t="str">
            <v>Fire Smoke / Heat Detector, Sounder</v>
          </cell>
          <cell r="D6567" t="str">
            <v>Ghantout Secondary School</v>
          </cell>
          <cell r="H6567" t="str">
            <v>AD</v>
          </cell>
        </row>
        <row r="6568">
          <cell r="B6568" t="str">
            <v>Fire Smoke / Heat Detector, Sounder</v>
          </cell>
          <cell r="D6568" t="str">
            <v>Ghantout Secondary School</v>
          </cell>
          <cell r="H6568" t="str">
            <v>AD</v>
          </cell>
        </row>
        <row r="6569">
          <cell r="B6569" t="str">
            <v>Fire Smoke / Heat Detector, Sounder</v>
          </cell>
          <cell r="D6569" t="str">
            <v>Ghantout Secondary School</v>
          </cell>
          <cell r="H6569" t="str">
            <v>AD</v>
          </cell>
        </row>
        <row r="6570">
          <cell r="B6570" t="str">
            <v>Fire Smoke / Heat Detector, Sounder</v>
          </cell>
          <cell r="D6570" t="str">
            <v>Ghantout Secondary School</v>
          </cell>
          <cell r="H6570" t="str">
            <v>AD</v>
          </cell>
        </row>
        <row r="6571">
          <cell r="B6571" t="str">
            <v>Fire Smoke / Heat Detector, Sounder</v>
          </cell>
          <cell r="D6571" t="str">
            <v>Ghantout Secondary School</v>
          </cell>
          <cell r="H6571" t="str">
            <v>AD</v>
          </cell>
        </row>
        <row r="6572">
          <cell r="B6572" t="str">
            <v>FIRE HOSE REEL</v>
          </cell>
          <cell r="D6572" t="str">
            <v>Hafsa Bint Sireen School</v>
          </cell>
          <cell r="H6572" t="str">
            <v>WR</v>
          </cell>
        </row>
        <row r="6573">
          <cell r="B6573" t="str">
            <v>FIRE HOSE REEL</v>
          </cell>
          <cell r="D6573" t="str">
            <v>Hafsa Bint Sireen School</v>
          </cell>
          <cell r="H6573" t="str">
            <v>WR</v>
          </cell>
        </row>
        <row r="6574">
          <cell r="B6574" t="str">
            <v>FIRE HOSE REEL</v>
          </cell>
          <cell r="D6574" t="str">
            <v>Hafsa Bint Sireen School</v>
          </cell>
          <cell r="H6574" t="str">
            <v>WR</v>
          </cell>
        </row>
        <row r="6575">
          <cell r="B6575" t="str">
            <v>FIRE HOSE REEL</v>
          </cell>
          <cell r="D6575" t="str">
            <v>Hafsa Bint Sireen School</v>
          </cell>
          <cell r="H6575" t="str">
            <v>WR</v>
          </cell>
        </row>
        <row r="6576">
          <cell r="B6576" t="str">
            <v>FIRE HOSE REEL</v>
          </cell>
          <cell r="D6576" t="str">
            <v>Hafsa Bint Sireen School</v>
          </cell>
          <cell r="H6576" t="str">
            <v>WR</v>
          </cell>
        </row>
        <row r="6577">
          <cell r="B6577" t="str">
            <v>FIRE PANEL MAIN SYSTEM</v>
          </cell>
          <cell r="D6577" t="str">
            <v>Hafsa Bint Sireen School</v>
          </cell>
          <cell r="H6577" t="str">
            <v>WR</v>
          </cell>
        </row>
        <row r="6578">
          <cell r="B6578" t="str">
            <v>FIRE PANEL MAIN SYSTEM</v>
          </cell>
          <cell r="D6578" t="str">
            <v>Hafsa Bint Sireen School</v>
          </cell>
          <cell r="H6578" t="str">
            <v>WR</v>
          </cell>
        </row>
        <row r="6579">
          <cell r="B6579" t="str">
            <v>FIRE PANEL MAIN SYSTEM</v>
          </cell>
          <cell r="D6579" t="str">
            <v>Hafsa Bint Sireen School</v>
          </cell>
          <cell r="H6579" t="str">
            <v>WR</v>
          </cell>
        </row>
        <row r="6580">
          <cell r="B6580" t="str">
            <v>FIRE PANEL MAIN SYSTEM</v>
          </cell>
          <cell r="D6580" t="str">
            <v>Hafsa Bint Sireen School</v>
          </cell>
          <cell r="H6580" t="str">
            <v>WR</v>
          </cell>
        </row>
        <row r="6581">
          <cell r="B6581" t="str">
            <v>Fire Alarm Break Glass Call Point</v>
          </cell>
          <cell r="D6581" t="str">
            <v>Hamdan Bin Mohammad Secondary School</v>
          </cell>
          <cell r="H6581" t="str">
            <v>AD</v>
          </cell>
        </row>
        <row r="6582">
          <cell r="B6582" t="str">
            <v>Fire Alarm Break Glass Call Point</v>
          </cell>
          <cell r="D6582" t="str">
            <v>Hamdan Bin Mohammad Secondary School</v>
          </cell>
          <cell r="H6582" t="str">
            <v>AD</v>
          </cell>
        </row>
        <row r="6583">
          <cell r="B6583" t="str">
            <v>Fire Alarm Break Glass Call Point</v>
          </cell>
          <cell r="D6583" t="str">
            <v>Hamdan Bin Mohammad Secondary School</v>
          </cell>
          <cell r="H6583" t="str">
            <v>AD</v>
          </cell>
        </row>
        <row r="6584">
          <cell r="B6584" t="str">
            <v>Fire Alarm Break Glass Call Point</v>
          </cell>
          <cell r="D6584" t="str">
            <v>Hamdan Bin Mohammad Secondary School</v>
          </cell>
          <cell r="H6584" t="str">
            <v>AD</v>
          </cell>
        </row>
        <row r="6585">
          <cell r="B6585" t="str">
            <v>Fire Alarm Break Glass Call Point</v>
          </cell>
          <cell r="D6585" t="str">
            <v>Hamdan Bin Mohammad Secondary School</v>
          </cell>
          <cell r="H6585" t="str">
            <v>AD</v>
          </cell>
        </row>
        <row r="6586">
          <cell r="B6586" t="str">
            <v>Fire Alarm Break Glass Call Point</v>
          </cell>
          <cell r="D6586" t="str">
            <v>Hamdan Bin Mohammad Secondary School</v>
          </cell>
          <cell r="H6586" t="str">
            <v>AD</v>
          </cell>
        </row>
        <row r="6587">
          <cell r="B6587" t="str">
            <v>Fire Alarm Break Glass Call Point</v>
          </cell>
          <cell r="D6587" t="str">
            <v>Hamdan Bin Mohammad Secondary School</v>
          </cell>
          <cell r="H6587" t="str">
            <v>AD</v>
          </cell>
        </row>
        <row r="6588">
          <cell r="B6588" t="str">
            <v>Fire Alarm Break Glass Call Point</v>
          </cell>
          <cell r="D6588" t="str">
            <v>Hamdan Bin Mohammad Secondary School</v>
          </cell>
          <cell r="H6588" t="str">
            <v>AD</v>
          </cell>
        </row>
        <row r="6589">
          <cell r="B6589" t="str">
            <v>Fire Alarm Break Glass Call Point</v>
          </cell>
          <cell r="D6589" t="str">
            <v>Hamdan Bin Mohammad Secondary School</v>
          </cell>
          <cell r="H6589" t="str">
            <v>AD</v>
          </cell>
        </row>
        <row r="6590">
          <cell r="B6590" t="str">
            <v>Fire Alarm Break Glass Call Point</v>
          </cell>
          <cell r="D6590" t="str">
            <v>Hamdan Bin Mohammad Secondary School</v>
          </cell>
          <cell r="H6590" t="str">
            <v>AD</v>
          </cell>
        </row>
        <row r="6591">
          <cell r="B6591" t="str">
            <v>Fire Alarm Panel</v>
          </cell>
          <cell r="D6591" t="str">
            <v>Hamdan Bin Mohammad Secondary School</v>
          </cell>
          <cell r="H6591" t="str">
            <v>AD</v>
          </cell>
        </row>
        <row r="6592">
          <cell r="B6592" t="str">
            <v>Fire Alarm Sounder, Bell, Light</v>
          </cell>
          <cell r="D6592" t="str">
            <v>Hamdan Bin Mohammad Secondary School</v>
          </cell>
          <cell r="H6592" t="str">
            <v>AD</v>
          </cell>
        </row>
        <row r="6593">
          <cell r="B6593" t="str">
            <v>Fire Alarm Sounder, Bell, Light</v>
          </cell>
          <cell r="D6593" t="str">
            <v>Hamdan Bin Mohammad Secondary School</v>
          </cell>
          <cell r="H6593" t="str">
            <v>AD</v>
          </cell>
        </row>
        <row r="6594">
          <cell r="B6594" t="str">
            <v>Fire Alarm Sounder, Bell, Light</v>
          </cell>
          <cell r="D6594" t="str">
            <v>Hamdan Bin Mohammad Secondary School</v>
          </cell>
          <cell r="H6594" t="str">
            <v>AD</v>
          </cell>
        </row>
        <row r="6595">
          <cell r="B6595" t="str">
            <v>Fire Alarm Sounder, Bell, Light</v>
          </cell>
          <cell r="D6595" t="str">
            <v>Hamdan Bin Mohammad Secondary School</v>
          </cell>
          <cell r="H6595" t="str">
            <v>AD</v>
          </cell>
        </row>
        <row r="6596">
          <cell r="B6596" t="str">
            <v>Fire Alarm Sounder, Bell, Light</v>
          </cell>
          <cell r="D6596" t="str">
            <v>Hamdan Bin Mohammad Secondary School</v>
          </cell>
          <cell r="H6596" t="str">
            <v>AD</v>
          </cell>
        </row>
        <row r="6597">
          <cell r="B6597" t="str">
            <v>Fire Alarm Sounder, Bell, Light</v>
          </cell>
          <cell r="D6597" t="str">
            <v>Hamdan Bin Mohammad Secondary School</v>
          </cell>
          <cell r="H6597" t="str">
            <v>AD</v>
          </cell>
        </row>
        <row r="6598">
          <cell r="B6598" t="str">
            <v>Fire Alarm Sounder, Bell, Light</v>
          </cell>
          <cell r="D6598" t="str">
            <v>Hamdan Bin Mohammad Secondary School</v>
          </cell>
          <cell r="H6598" t="str">
            <v>AD</v>
          </cell>
        </row>
        <row r="6599">
          <cell r="B6599" t="str">
            <v>Fire Extinguisher</v>
          </cell>
          <cell r="D6599" t="str">
            <v>Hamdan Bin Mohammad Secondary School</v>
          </cell>
          <cell r="H6599" t="str">
            <v>AD</v>
          </cell>
        </row>
        <row r="6600">
          <cell r="B6600" t="str">
            <v>Fire Extinguisher</v>
          </cell>
          <cell r="D6600" t="str">
            <v>Hamdan Bin Mohammad Secondary School</v>
          </cell>
          <cell r="H6600" t="str">
            <v>AD</v>
          </cell>
        </row>
        <row r="6601">
          <cell r="B6601" t="str">
            <v>Fire Extinguisher</v>
          </cell>
          <cell r="D6601" t="str">
            <v>Hamdan Bin Mohammad Secondary School</v>
          </cell>
          <cell r="H6601" t="str">
            <v>AD</v>
          </cell>
        </row>
        <row r="6602">
          <cell r="B6602" t="str">
            <v>Fire Extinguisher</v>
          </cell>
          <cell r="D6602" t="str">
            <v>Hamdan Bin Mohammad Secondary School</v>
          </cell>
          <cell r="H6602" t="str">
            <v>AD</v>
          </cell>
        </row>
        <row r="6603">
          <cell r="B6603" t="str">
            <v>Fire Extinguisher</v>
          </cell>
          <cell r="D6603" t="str">
            <v>Hamdan Bin Mohammad Secondary School</v>
          </cell>
          <cell r="H6603" t="str">
            <v>AD</v>
          </cell>
        </row>
        <row r="6604">
          <cell r="B6604" t="str">
            <v>Fire Extinguisher</v>
          </cell>
          <cell r="D6604" t="str">
            <v>Hamdan Bin Mohammad Secondary School</v>
          </cell>
          <cell r="H6604" t="str">
            <v>AD</v>
          </cell>
        </row>
        <row r="6605">
          <cell r="B6605" t="str">
            <v>Fire Extinguisher</v>
          </cell>
          <cell r="D6605" t="str">
            <v>Hamdan Bin Mohammad Secondary School</v>
          </cell>
          <cell r="H6605" t="str">
            <v>AD</v>
          </cell>
        </row>
        <row r="6606">
          <cell r="B6606" t="str">
            <v>Fire Extinguisher</v>
          </cell>
          <cell r="D6606" t="str">
            <v>Hamdan Bin Mohammad Secondary School</v>
          </cell>
          <cell r="H6606" t="str">
            <v>AD</v>
          </cell>
        </row>
        <row r="6607">
          <cell r="B6607" t="str">
            <v>Fire Extinguisher</v>
          </cell>
          <cell r="D6607" t="str">
            <v>Hamdan Bin Mohammad Secondary School</v>
          </cell>
          <cell r="H6607" t="str">
            <v>AD</v>
          </cell>
        </row>
        <row r="6608">
          <cell r="B6608" t="str">
            <v>Fire Extinguisher</v>
          </cell>
          <cell r="D6608" t="str">
            <v>Hamdan Bin Mohammad Secondary School</v>
          </cell>
          <cell r="H6608" t="str">
            <v>AD</v>
          </cell>
        </row>
        <row r="6609">
          <cell r="B6609" t="str">
            <v>Fire Extinguisher</v>
          </cell>
          <cell r="D6609" t="str">
            <v>Hamdan Bin Mohammad Secondary School</v>
          </cell>
          <cell r="H6609" t="str">
            <v>AD</v>
          </cell>
        </row>
        <row r="6610">
          <cell r="B6610" t="str">
            <v>Fire Extinguisher</v>
          </cell>
          <cell r="D6610" t="str">
            <v>Hamdan Bin Mohammad Secondary School</v>
          </cell>
          <cell r="H6610" t="str">
            <v>AD</v>
          </cell>
        </row>
        <row r="6611">
          <cell r="B6611" t="str">
            <v>Fire Extinguisher</v>
          </cell>
          <cell r="D6611" t="str">
            <v>Hamdan Bin Mohammad Secondary School</v>
          </cell>
          <cell r="H6611" t="str">
            <v>AD</v>
          </cell>
        </row>
        <row r="6612">
          <cell r="B6612" t="str">
            <v>Fire Extinguisher</v>
          </cell>
          <cell r="D6612" t="str">
            <v>Hamdan Bin Mohammad Secondary School</v>
          </cell>
          <cell r="H6612" t="str">
            <v>AD</v>
          </cell>
        </row>
        <row r="6613">
          <cell r="B6613" t="str">
            <v>Fire Extinguisher</v>
          </cell>
          <cell r="D6613" t="str">
            <v>Hamdan Bin Mohammad Secondary School</v>
          </cell>
          <cell r="H6613" t="str">
            <v>AD</v>
          </cell>
        </row>
        <row r="6614">
          <cell r="B6614" t="str">
            <v>Fire Extinguisher</v>
          </cell>
          <cell r="D6614" t="str">
            <v>Hamdan Bin Mohammad Secondary School</v>
          </cell>
          <cell r="H6614" t="str">
            <v>AD</v>
          </cell>
        </row>
        <row r="6615">
          <cell r="B6615" t="str">
            <v>Fire Extinguisher</v>
          </cell>
          <cell r="D6615" t="str">
            <v>Hamdan Bin Mohammad Secondary School</v>
          </cell>
          <cell r="H6615" t="str">
            <v>AD</v>
          </cell>
        </row>
        <row r="6616">
          <cell r="B6616" t="str">
            <v>Fire Extinguisher</v>
          </cell>
          <cell r="D6616" t="str">
            <v>Hamdan Bin Mohammad Secondary School</v>
          </cell>
          <cell r="H6616" t="str">
            <v>AD</v>
          </cell>
        </row>
        <row r="6617">
          <cell r="B6617" t="str">
            <v>Fire Extinguisher</v>
          </cell>
          <cell r="D6617" t="str">
            <v>Hamdan Bin Mohammad Secondary School</v>
          </cell>
          <cell r="H6617" t="str">
            <v>AD</v>
          </cell>
        </row>
        <row r="6618">
          <cell r="B6618" t="str">
            <v>Fire Extinguisher</v>
          </cell>
          <cell r="D6618" t="str">
            <v>Hamdan Bin Mohammad Secondary School</v>
          </cell>
          <cell r="H6618" t="str">
            <v>AD</v>
          </cell>
        </row>
        <row r="6619">
          <cell r="B6619" t="str">
            <v>Fire Hose Reel</v>
          </cell>
          <cell r="D6619" t="str">
            <v>Hamdan Bin Mohammad Secondary School</v>
          </cell>
          <cell r="H6619" t="str">
            <v>AD</v>
          </cell>
        </row>
        <row r="6620">
          <cell r="B6620" t="str">
            <v>Fire Hose Reel</v>
          </cell>
          <cell r="D6620" t="str">
            <v>Hamdan Bin Mohammad Secondary School</v>
          </cell>
          <cell r="H6620" t="str">
            <v>AD</v>
          </cell>
        </row>
        <row r="6621">
          <cell r="B6621" t="str">
            <v>Fire Hose Reel</v>
          </cell>
          <cell r="D6621" t="str">
            <v>Hamdan Bin Mohammad Secondary School</v>
          </cell>
          <cell r="H6621" t="str">
            <v>AD</v>
          </cell>
        </row>
        <row r="6622">
          <cell r="B6622" t="str">
            <v>Fire Hose Reel</v>
          </cell>
          <cell r="D6622" t="str">
            <v>Hamdan Bin Mohammad Secondary School</v>
          </cell>
          <cell r="H6622" t="str">
            <v>AD</v>
          </cell>
        </row>
        <row r="6623">
          <cell r="B6623" t="str">
            <v>Fire Hose Reel</v>
          </cell>
          <cell r="D6623" t="str">
            <v>Hamdan Bin Mohammad Secondary School</v>
          </cell>
          <cell r="H6623" t="str">
            <v>AD</v>
          </cell>
        </row>
        <row r="6624">
          <cell r="B6624" t="str">
            <v>Fire Hose Reel</v>
          </cell>
          <cell r="D6624" t="str">
            <v>Hamdan Bin Mohammad Secondary School</v>
          </cell>
          <cell r="H6624" t="str">
            <v>AD</v>
          </cell>
        </row>
        <row r="6625">
          <cell r="B6625" t="str">
            <v>Fire Hose Reel</v>
          </cell>
          <cell r="D6625" t="str">
            <v>Hamdan Bin Mohammad Secondary School</v>
          </cell>
          <cell r="H6625" t="str">
            <v>AD</v>
          </cell>
        </row>
        <row r="6626">
          <cell r="B6626" t="str">
            <v>Fire Hose Reel</v>
          </cell>
          <cell r="D6626" t="str">
            <v>Hamdan Bin Mohammad Secondary School</v>
          </cell>
          <cell r="H6626" t="str">
            <v>AD</v>
          </cell>
        </row>
        <row r="6627">
          <cell r="B6627" t="str">
            <v>Fire Hose Reel</v>
          </cell>
          <cell r="D6627" t="str">
            <v>Hamdan Bin Mohammad Secondary School</v>
          </cell>
          <cell r="H6627" t="str">
            <v>AD</v>
          </cell>
        </row>
        <row r="6628">
          <cell r="B6628" t="str">
            <v>FIRE PUMP - Diesel</v>
          </cell>
          <cell r="D6628" t="str">
            <v>Hamdan Bin Mohammad Secondary School</v>
          </cell>
          <cell r="H6628" t="str">
            <v>AD</v>
          </cell>
        </row>
        <row r="6629">
          <cell r="B6629" t="str">
            <v>FIRE PUMP - Electric</v>
          </cell>
          <cell r="D6629" t="str">
            <v>Hamdan Bin Mohammad Secondary School</v>
          </cell>
          <cell r="H6629" t="str">
            <v>AD</v>
          </cell>
        </row>
        <row r="6630">
          <cell r="B6630" t="str">
            <v>Fire Smoke / Heat Detector, Sounder</v>
          </cell>
          <cell r="D6630" t="str">
            <v>Hamdan Bin Mohammad Secondary School</v>
          </cell>
          <cell r="H6630" t="str">
            <v>AD</v>
          </cell>
        </row>
        <row r="6631">
          <cell r="B6631" t="str">
            <v>Fire Smoke / Heat Detector, Sounder</v>
          </cell>
          <cell r="D6631" t="str">
            <v>Hamdan Bin Mohammad Secondary School</v>
          </cell>
          <cell r="H6631" t="str">
            <v>AD</v>
          </cell>
        </row>
        <row r="6632">
          <cell r="B6632" t="str">
            <v>Fire Smoke / Heat Detector, Sounder</v>
          </cell>
          <cell r="D6632" t="str">
            <v>Hamdan Bin Mohammad Secondary School</v>
          </cell>
          <cell r="H6632" t="str">
            <v>AD</v>
          </cell>
        </row>
        <row r="6633">
          <cell r="B6633" t="str">
            <v>Fire Smoke / Heat Detector, Sounder</v>
          </cell>
          <cell r="D6633" t="str">
            <v>Hamdan Bin Mohammad Secondary School</v>
          </cell>
          <cell r="H6633" t="str">
            <v>AD</v>
          </cell>
        </row>
        <row r="6634">
          <cell r="B6634" t="str">
            <v>Fire Smoke / Heat Detector, Sounder</v>
          </cell>
          <cell r="D6634" t="str">
            <v>Hamdan Bin Mohammad Secondary School</v>
          </cell>
          <cell r="H6634" t="str">
            <v>AD</v>
          </cell>
        </row>
        <row r="6635">
          <cell r="B6635" t="str">
            <v>Fire Smoke / Heat Detector, Sounder</v>
          </cell>
          <cell r="D6635" t="str">
            <v>Hamdan Bin Mohammad Secondary School</v>
          </cell>
          <cell r="H6635" t="str">
            <v>AD</v>
          </cell>
        </row>
        <row r="6636">
          <cell r="B6636" t="str">
            <v>Fire Smoke / Heat Detector, Sounder</v>
          </cell>
          <cell r="D6636" t="str">
            <v>Hamdan Bin Mohammad Secondary School</v>
          </cell>
          <cell r="H6636" t="str">
            <v>AD</v>
          </cell>
        </row>
        <row r="6637">
          <cell r="B6637" t="str">
            <v>Fire Smoke / Heat Detector, Sounder</v>
          </cell>
          <cell r="D6637" t="str">
            <v>Hamdan Bin Mohammad Secondary School</v>
          </cell>
          <cell r="H6637" t="str">
            <v>AD</v>
          </cell>
        </row>
        <row r="6638">
          <cell r="B6638" t="str">
            <v>Fire Smoke / Heat Detector, Sounder</v>
          </cell>
          <cell r="D6638" t="str">
            <v>Hamdan Bin Mohammad Secondary School</v>
          </cell>
          <cell r="H6638" t="str">
            <v>AD</v>
          </cell>
        </row>
        <row r="6639">
          <cell r="B6639" t="str">
            <v>Fire Smoke / Heat Detector, Sounder</v>
          </cell>
          <cell r="D6639" t="str">
            <v>Hamdan Bin Mohammad Secondary School</v>
          </cell>
          <cell r="H6639" t="str">
            <v>AD</v>
          </cell>
        </row>
        <row r="6640">
          <cell r="B6640" t="str">
            <v>Fire Smoke / Heat Detector, Sounder</v>
          </cell>
          <cell r="D6640" t="str">
            <v>Hamdan Bin Mohammad Secondary School</v>
          </cell>
          <cell r="H6640" t="str">
            <v>AD</v>
          </cell>
        </row>
        <row r="6641">
          <cell r="B6641" t="str">
            <v>Finger Print Reader Machine</v>
          </cell>
          <cell r="D6641" t="str">
            <v>Jaber Bin Hayyan Primary School</v>
          </cell>
          <cell r="H6641" t="str">
            <v>AD</v>
          </cell>
        </row>
        <row r="6642">
          <cell r="B6642" t="str">
            <v>Fire Alarm Control Panel Board</v>
          </cell>
          <cell r="D6642" t="str">
            <v>Jaber Bin Hayyan Primary School</v>
          </cell>
          <cell r="H6642" t="str">
            <v>AD</v>
          </cell>
        </row>
        <row r="6643">
          <cell r="B6643" t="str">
            <v>Fire Alarm Control Panel Board</v>
          </cell>
          <cell r="D6643" t="str">
            <v>Jaber Bin Hayyan Primary School</v>
          </cell>
          <cell r="H6643" t="str">
            <v>AD</v>
          </cell>
        </row>
        <row r="6644">
          <cell r="B6644" t="str">
            <v>Fire Extinguisher - C02</v>
          </cell>
          <cell r="D6644" t="str">
            <v>Jaber Bin Hayyan Primary School</v>
          </cell>
          <cell r="H6644" t="str">
            <v>AD</v>
          </cell>
        </row>
        <row r="6645">
          <cell r="B6645" t="str">
            <v>Fire Extinguisher - C02</v>
          </cell>
          <cell r="D6645" t="str">
            <v>Jaber Bin Hayyan Primary School</v>
          </cell>
          <cell r="H6645" t="str">
            <v>AD</v>
          </cell>
        </row>
        <row r="6646">
          <cell r="B6646" t="str">
            <v>Fire Extinguisher - C02</v>
          </cell>
          <cell r="D6646" t="str">
            <v>Jaber Bin Hayyan Primary School</v>
          </cell>
          <cell r="H6646" t="str">
            <v>AD</v>
          </cell>
        </row>
        <row r="6647">
          <cell r="B6647" t="str">
            <v>Fire Extinguisher - C02</v>
          </cell>
          <cell r="D6647" t="str">
            <v>Jaber Bin Hayyan Primary School</v>
          </cell>
          <cell r="H6647" t="str">
            <v>AD</v>
          </cell>
        </row>
        <row r="6648">
          <cell r="B6648" t="str">
            <v>Fire Extinguisher - C02</v>
          </cell>
          <cell r="D6648" t="str">
            <v>Jaber Bin Hayyan Primary School</v>
          </cell>
          <cell r="H6648" t="str">
            <v>AD</v>
          </cell>
        </row>
        <row r="6649">
          <cell r="B6649" t="str">
            <v>Fire Extinguisher - C02</v>
          </cell>
          <cell r="D6649" t="str">
            <v>Jaber Bin Hayyan Primary School</v>
          </cell>
          <cell r="H6649" t="str">
            <v>AD</v>
          </cell>
        </row>
        <row r="6650">
          <cell r="B6650" t="str">
            <v>Fire Extinguisher - C02</v>
          </cell>
          <cell r="D6650" t="str">
            <v>Jaber Bin Hayyan Primary School</v>
          </cell>
          <cell r="H6650" t="str">
            <v>AD</v>
          </cell>
        </row>
        <row r="6651">
          <cell r="B6651" t="str">
            <v>Fire Extinguisher - C02</v>
          </cell>
          <cell r="D6651" t="str">
            <v>Jaber Bin Hayyan Primary School</v>
          </cell>
          <cell r="H6651" t="str">
            <v>AD</v>
          </cell>
        </row>
        <row r="6652">
          <cell r="B6652" t="str">
            <v>Fire Extinguisher - C02</v>
          </cell>
          <cell r="D6652" t="str">
            <v>Jaber Bin Hayyan Primary School</v>
          </cell>
          <cell r="H6652" t="str">
            <v>AD</v>
          </cell>
        </row>
        <row r="6653">
          <cell r="B6653" t="str">
            <v>Fire Extinguisher - C02</v>
          </cell>
          <cell r="D6653" t="str">
            <v>Jaber Bin Hayyan Primary School</v>
          </cell>
          <cell r="H6653" t="str">
            <v>AD</v>
          </cell>
        </row>
        <row r="6654">
          <cell r="B6654" t="str">
            <v>Fire Extinguisher - C02</v>
          </cell>
          <cell r="D6654" t="str">
            <v>Jaber Bin Hayyan Primary School</v>
          </cell>
          <cell r="H6654" t="str">
            <v>AD</v>
          </cell>
        </row>
        <row r="6655">
          <cell r="B6655" t="str">
            <v>Fire Extinguisher - Dry</v>
          </cell>
          <cell r="D6655" t="str">
            <v>Jaber Bin Hayyan Primary School</v>
          </cell>
          <cell r="H6655" t="str">
            <v>AD</v>
          </cell>
        </row>
        <row r="6656">
          <cell r="B6656" t="str">
            <v>Fire Extinguisher - Dry</v>
          </cell>
          <cell r="D6656" t="str">
            <v>Jaber Bin Hayyan Primary School</v>
          </cell>
          <cell r="H6656" t="str">
            <v>AD</v>
          </cell>
        </row>
        <row r="6657">
          <cell r="B6657" t="str">
            <v>Fire Extinguisher - Dry</v>
          </cell>
          <cell r="D6657" t="str">
            <v>Jaber Bin Hayyan Primary School</v>
          </cell>
          <cell r="H6657" t="str">
            <v>AD</v>
          </cell>
        </row>
        <row r="6658">
          <cell r="B6658" t="str">
            <v>Fire Extinguisher - Dry</v>
          </cell>
          <cell r="D6658" t="str">
            <v>Jaber Bin Hayyan Primary School</v>
          </cell>
          <cell r="H6658" t="str">
            <v>AD</v>
          </cell>
        </row>
        <row r="6659">
          <cell r="B6659" t="str">
            <v>Fire Extinguisher - Dry</v>
          </cell>
          <cell r="D6659" t="str">
            <v>Jaber Bin Hayyan Primary School</v>
          </cell>
          <cell r="H6659" t="str">
            <v>AD</v>
          </cell>
        </row>
        <row r="6660">
          <cell r="B6660" t="str">
            <v>Fire Extinguisher - Dry</v>
          </cell>
          <cell r="D6660" t="str">
            <v>Jaber Bin Hayyan Primary School</v>
          </cell>
          <cell r="H6660" t="str">
            <v>AD</v>
          </cell>
        </row>
        <row r="6661">
          <cell r="B6661" t="str">
            <v>Fire Extinguisher - Dry</v>
          </cell>
          <cell r="D6661" t="str">
            <v>Jaber Bin Hayyan Primary School</v>
          </cell>
          <cell r="H6661" t="str">
            <v>AD</v>
          </cell>
        </row>
        <row r="6662">
          <cell r="B6662" t="str">
            <v>Fire Extinguisher - Dry</v>
          </cell>
          <cell r="D6662" t="str">
            <v>Jaber Bin Hayyan Primary School</v>
          </cell>
          <cell r="H6662" t="str">
            <v>AD</v>
          </cell>
        </row>
        <row r="6663">
          <cell r="B6663" t="str">
            <v>Fire Extinguisher - Dry</v>
          </cell>
          <cell r="D6663" t="str">
            <v>Jaber Bin Hayyan Primary School</v>
          </cell>
          <cell r="H6663" t="str">
            <v>AD</v>
          </cell>
        </row>
        <row r="6664">
          <cell r="B6664" t="str">
            <v>Fire Extinguisher - Dry</v>
          </cell>
          <cell r="D6664" t="str">
            <v>Jaber Bin Hayyan Primary School</v>
          </cell>
          <cell r="H6664" t="str">
            <v>AD</v>
          </cell>
        </row>
        <row r="6665">
          <cell r="B6665" t="str">
            <v>Fire Extinguisher - Dry</v>
          </cell>
          <cell r="D6665" t="str">
            <v>Jaber Bin Hayyan Primary School</v>
          </cell>
          <cell r="H6665" t="str">
            <v>AD</v>
          </cell>
        </row>
        <row r="6666">
          <cell r="B6666" t="str">
            <v>Fire Extinguisher - Dry</v>
          </cell>
          <cell r="D6666" t="str">
            <v>Jaber Bin Hayyan Primary School</v>
          </cell>
          <cell r="H6666" t="str">
            <v>AD</v>
          </cell>
        </row>
        <row r="6667">
          <cell r="B6667" t="str">
            <v>Fire Extinguisher - Dry</v>
          </cell>
          <cell r="D6667" t="str">
            <v>Jaber Bin Hayyan Primary School</v>
          </cell>
          <cell r="H6667" t="str">
            <v>AD</v>
          </cell>
        </row>
        <row r="6668">
          <cell r="B6668" t="str">
            <v>Fire Extinguisher - Dry</v>
          </cell>
          <cell r="D6668" t="str">
            <v>Jaber Bin Hayyan Primary School</v>
          </cell>
          <cell r="H6668" t="str">
            <v>AD</v>
          </cell>
        </row>
        <row r="6669">
          <cell r="B6669" t="str">
            <v>Fire Hose Reel</v>
          </cell>
          <cell r="D6669" t="str">
            <v>Jaber Bin Hayyan Primary School</v>
          </cell>
          <cell r="H6669" t="str">
            <v>AD</v>
          </cell>
        </row>
        <row r="6670">
          <cell r="B6670" t="str">
            <v>Fire Hose Reel</v>
          </cell>
          <cell r="D6670" t="str">
            <v>Jaber Bin Hayyan Primary School</v>
          </cell>
          <cell r="H6670" t="str">
            <v>AD</v>
          </cell>
        </row>
        <row r="6671">
          <cell r="B6671" t="str">
            <v>Fire Hose Reel</v>
          </cell>
          <cell r="D6671" t="str">
            <v>Jaber Bin Hayyan Primary School</v>
          </cell>
          <cell r="H6671" t="str">
            <v>AD</v>
          </cell>
        </row>
        <row r="6672">
          <cell r="B6672" t="str">
            <v>Fire Hose Reel</v>
          </cell>
          <cell r="D6672" t="str">
            <v>Jaber Bin Hayyan Primary School</v>
          </cell>
          <cell r="H6672" t="str">
            <v>AD</v>
          </cell>
        </row>
        <row r="6673">
          <cell r="B6673" t="str">
            <v>Fire Hose Reel</v>
          </cell>
          <cell r="D6673" t="str">
            <v>Jaber Bin Hayyan Primary School</v>
          </cell>
          <cell r="H6673" t="str">
            <v>AD</v>
          </cell>
        </row>
        <row r="6674">
          <cell r="B6674" t="str">
            <v>Fire Hose Reel Cabinet</v>
          </cell>
          <cell r="D6674" t="str">
            <v>Jaber Bin Hayyan Primary School</v>
          </cell>
          <cell r="H6674" t="str">
            <v>AD</v>
          </cell>
        </row>
        <row r="6675">
          <cell r="B6675" t="str">
            <v>Fire Hose Reel Cabinet</v>
          </cell>
          <cell r="D6675" t="str">
            <v>Jaber Bin Hayyan Primary School</v>
          </cell>
          <cell r="H6675" t="str">
            <v>AD</v>
          </cell>
        </row>
        <row r="6676">
          <cell r="B6676" t="str">
            <v>Fire Hose Reel Cabinet</v>
          </cell>
          <cell r="D6676" t="str">
            <v>Jaber Bin Hayyan Primary School</v>
          </cell>
          <cell r="H6676" t="str">
            <v>AD</v>
          </cell>
        </row>
        <row r="6677">
          <cell r="B6677" t="str">
            <v>Fire Hose Reel Cabinet</v>
          </cell>
          <cell r="D6677" t="str">
            <v>Jaber Bin Hayyan Primary School</v>
          </cell>
          <cell r="H6677" t="str">
            <v>AD</v>
          </cell>
        </row>
        <row r="6678">
          <cell r="B6678" t="str">
            <v>Fire Hose Reel Cabinet</v>
          </cell>
          <cell r="D6678" t="str">
            <v>Jaber Bin Hayyan Primary School</v>
          </cell>
          <cell r="H6678" t="str">
            <v>AD</v>
          </cell>
        </row>
        <row r="6679">
          <cell r="B6679" t="str">
            <v>Fire Hose Reel Cabinet</v>
          </cell>
          <cell r="D6679" t="str">
            <v>Jaber Bin Hayyan Primary School</v>
          </cell>
          <cell r="H6679" t="str">
            <v>AD</v>
          </cell>
        </row>
        <row r="6680">
          <cell r="B6680" t="str">
            <v>Fire Hose Reel Cabinet</v>
          </cell>
          <cell r="D6680" t="str">
            <v>Jaber Bin Hayyan Primary School</v>
          </cell>
          <cell r="H6680" t="str">
            <v>AD</v>
          </cell>
        </row>
        <row r="6681">
          <cell r="B6681" t="str">
            <v>Smoke Detector &amp; Heat Detector</v>
          </cell>
          <cell r="D6681" t="str">
            <v>Jaber Bin Hayyan Primary School</v>
          </cell>
          <cell r="H6681" t="str">
            <v>AD</v>
          </cell>
        </row>
        <row r="6682">
          <cell r="B6682" t="str">
            <v>Smoke Detector &amp; Heat Detector</v>
          </cell>
          <cell r="D6682" t="str">
            <v>Jaber Bin Hayyan Primary School</v>
          </cell>
          <cell r="H6682" t="str">
            <v>AD</v>
          </cell>
        </row>
        <row r="6683">
          <cell r="B6683" t="str">
            <v>Smoke Detector &amp; Heat Detector</v>
          </cell>
          <cell r="D6683" t="str">
            <v>Jaber Bin Hayyan Primary School</v>
          </cell>
          <cell r="H6683" t="str">
            <v>AD</v>
          </cell>
        </row>
        <row r="6684">
          <cell r="B6684" t="str">
            <v>Smoke Detector &amp; Heat Detector</v>
          </cell>
          <cell r="D6684" t="str">
            <v>Jaber Bin Hayyan Primary School</v>
          </cell>
          <cell r="H6684" t="str">
            <v>AD</v>
          </cell>
        </row>
        <row r="6685">
          <cell r="B6685" t="str">
            <v>Smoke Detector &amp; Heat Detector</v>
          </cell>
          <cell r="D6685" t="str">
            <v>Jaber Bin Hayyan Primary School</v>
          </cell>
          <cell r="H6685" t="str">
            <v>AD</v>
          </cell>
        </row>
        <row r="6686">
          <cell r="B6686" t="str">
            <v>Smoke Detector &amp; Heat Detector</v>
          </cell>
          <cell r="D6686" t="str">
            <v>Jaber Bin Hayyan Primary School</v>
          </cell>
          <cell r="H6686" t="str">
            <v>AD</v>
          </cell>
        </row>
        <row r="6687">
          <cell r="B6687" t="str">
            <v>Smoke Detector &amp; Heat Detector</v>
          </cell>
          <cell r="D6687" t="str">
            <v>Jaber Bin Hayyan Primary School</v>
          </cell>
          <cell r="H6687" t="str">
            <v>AD</v>
          </cell>
        </row>
        <row r="6688">
          <cell r="B6688" t="str">
            <v>Smoke Detector &amp; Heat Detector</v>
          </cell>
          <cell r="D6688" t="str">
            <v>Jaber Bin Hayyan Primary School</v>
          </cell>
          <cell r="H6688" t="str">
            <v>AD</v>
          </cell>
        </row>
        <row r="6689">
          <cell r="B6689" t="str">
            <v>Smoke Detector &amp; Heat Detector</v>
          </cell>
          <cell r="D6689" t="str">
            <v>Jaber Bin Hayyan Primary School</v>
          </cell>
          <cell r="H6689" t="str">
            <v>AD</v>
          </cell>
        </row>
        <row r="6690">
          <cell r="B6690" t="str">
            <v>Smoke Detector &amp; Heat Detector</v>
          </cell>
          <cell r="D6690" t="str">
            <v>Jaber Bin Hayyan Primary School</v>
          </cell>
          <cell r="H6690" t="str">
            <v>AD</v>
          </cell>
        </row>
        <row r="6691">
          <cell r="B6691" t="str">
            <v>Smoke Detector &amp; Heat Detector</v>
          </cell>
          <cell r="D6691" t="str">
            <v>Jaber Bin Hayyan Primary School</v>
          </cell>
          <cell r="H6691" t="str">
            <v>AD</v>
          </cell>
        </row>
        <row r="6692">
          <cell r="B6692" t="str">
            <v>Smoke Detector &amp; Heat Detector</v>
          </cell>
          <cell r="D6692" t="str">
            <v>Jaber Bin Hayyan Primary School</v>
          </cell>
          <cell r="H6692" t="str">
            <v>AD</v>
          </cell>
        </row>
        <row r="6693">
          <cell r="B6693" t="str">
            <v>Smoke Detector &amp; Heat Detector</v>
          </cell>
          <cell r="D6693" t="str">
            <v>Jaber Bin Hayyan Primary School</v>
          </cell>
          <cell r="H6693" t="str">
            <v>AD</v>
          </cell>
        </row>
        <row r="6694">
          <cell r="B6694" t="str">
            <v>Smoke Detector &amp; Heat Detector</v>
          </cell>
          <cell r="D6694" t="str">
            <v>Jaber Bin Hayyan Primary School</v>
          </cell>
          <cell r="H6694" t="str">
            <v>AD</v>
          </cell>
        </row>
        <row r="6695">
          <cell r="B6695" t="str">
            <v>Smoke Detector &amp; Heat Detector</v>
          </cell>
          <cell r="D6695" t="str">
            <v>Jaber Bin Hayyan Primary School</v>
          </cell>
          <cell r="H6695" t="str">
            <v>AD</v>
          </cell>
        </row>
        <row r="6696">
          <cell r="B6696" t="str">
            <v>Smoke Detector &amp; Heat Detector</v>
          </cell>
          <cell r="D6696" t="str">
            <v>Jaber Bin Hayyan Primary School</v>
          </cell>
          <cell r="H6696" t="str">
            <v>AD</v>
          </cell>
        </row>
        <row r="6697">
          <cell r="B6697" t="str">
            <v>Smoke Detector &amp; Heat Detector</v>
          </cell>
          <cell r="D6697" t="str">
            <v>Jaber Bin Hayyan Primary School</v>
          </cell>
          <cell r="H6697" t="str">
            <v>AD</v>
          </cell>
        </row>
        <row r="6698">
          <cell r="B6698" t="str">
            <v>Water Tank</v>
          </cell>
          <cell r="D6698" t="str">
            <v>Jaber Bin Hayyan Primary School</v>
          </cell>
          <cell r="H6698" t="str">
            <v>AD</v>
          </cell>
        </row>
        <row r="6699">
          <cell r="B6699" t="str">
            <v>Water Tank</v>
          </cell>
          <cell r="D6699" t="str">
            <v>Jaber Bin Hayyan Primary School</v>
          </cell>
          <cell r="H6699" t="str">
            <v>AD</v>
          </cell>
        </row>
        <row r="6700">
          <cell r="B6700" t="str">
            <v>Fire Alarm Break Glass Call Point</v>
          </cell>
          <cell r="D6700" t="str">
            <v>Jern Yafoor Primary School</v>
          </cell>
          <cell r="H6700" t="str">
            <v>AD</v>
          </cell>
        </row>
        <row r="6701">
          <cell r="B6701" t="str">
            <v>Fire Alarm Break Glass Call Point</v>
          </cell>
          <cell r="D6701" t="str">
            <v>Jern Yafoor Primary School</v>
          </cell>
          <cell r="H6701" t="str">
            <v>AD</v>
          </cell>
        </row>
        <row r="6702">
          <cell r="B6702" t="str">
            <v>Fire Alarm Break Glass Call Point</v>
          </cell>
          <cell r="D6702" t="str">
            <v>Jern Yafoor Primary School</v>
          </cell>
          <cell r="H6702" t="str">
            <v>AD</v>
          </cell>
        </row>
        <row r="6703">
          <cell r="B6703" t="str">
            <v>Fire Alarm Break Glass Call Point</v>
          </cell>
          <cell r="D6703" t="str">
            <v>Jern Yafoor Primary School</v>
          </cell>
          <cell r="H6703" t="str">
            <v>AD</v>
          </cell>
        </row>
        <row r="6704">
          <cell r="B6704" t="str">
            <v>Fire Alarm Break Glass Call Point</v>
          </cell>
          <cell r="D6704" t="str">
            <v>Jern Yafoor Primary School</v>
          </cell>
          <cell r="H6704" t="str">
            <v>AD</v>
          </cell>
        </row>
        <row r="6705">
          <cell r="B6705" t="str">
            <v>Fire Alarm Break Glass Call Point</v>
          </cell>
          <cell r="D6705" t="str">
            <v>Jern Yafoor Primary School</v>
          </cell>
          <cell r="H6705" t="str">
            <v>AD</v>
          </cell>
        </row>
        <row r="6706">
          <cell r="B6706" t="str">
            <v>Fire Alarm Break Glass Call Point</v>
          </cell>
          <cell r="D6706" t="str">
            <v>Jern Yafoor Primary School</v>
          </cell>
          <cell r="H6706" t="str">
            <v>AD</v>
          </cell>
        </row>
        <row r="6707">
          <cell r="B6707" t="str">
            <v>Fire Alarm Break Glass Call Point</v>
          </cell>
          <cell r="D6707" t="str">
            <v>Jern Yafoor Primary School</v>
          </cell>
          <cell r="H6707" t="str">
            <v>AD</v>
          </cell>
        </row>
        <row r="6708">
          <cell r="B6708" t="str">
            <v>Fire Alarm Break Glass Call Point</v>
          </cell>
          <cell r="D6708" t="str">
            <v>Jern Yafoor Primary School</v>
          </cell>
          <cell r="H6708" t="str">
            <v>AD</v>
          </cell>
        </row>
        <row r="6709">
          <cell r="B6709" t="str">
            <v>Fire Alarm Break Glass Call Point</v>
          </cell>
          <cell r="D6709" t="str">
            <v>Jern Yafoor Primary School</v>
          </cell>
          <cell r="H6709" t="str">
            <v>AD</v>
          </cell>
        </row>
        <row r="6710">
          <cell r="B6710" t="str">
            <v>Fire Alarm Break Glass Call Point</v>
          </cell>
          <cell r="D6710" t="str">
            <v>Jern Yafoor Primary School</v>
          </cell>
          <cell r="H6710" t="str">
            <v>AD</v>
          </cell>
        </row>
        <row r="6711">
          <cell r="B6711" t="str">
            <v>Fire Alarm Break Glass Call Point</v>
          </cell>
          <cell r="D6711" t="str">
            <v>Jern Yafoor Primary School</v>
          </cell>
          <cell r="H6711" t="str">
            <v>AD</v>
          </cell>
        </row>
        <row r="6712">
          <cell r="B6712" t="str">
            <v>Fire Alarm Panel</v>
          </cell>
          <cell r="D6712" t="str">
            <v>Jern Yafoor Primary School</v>
          </cell>
          <cell r="H6712" t="str">
            <v>AD</v>
          </cell>
        </row>
        <row r="6713">
          <cell r="B6713" t="str">
            <v>Fire Alarm Panel</v>
          </cell>
          <cell r="D6713" t="str">
            <v>Jern Yafoor Primary School</v>
          </cell>
          <cell r="H6713" t="str">
            <v>AD</v>
          </cell>
        </row>
        <row r="6714">
          <cell r="B6714" t="str">
            <v>Fire Alarm Panel</v>
          </cell>
          <cell r="D6714" t="str">
            <v>Jern Yafoor Primary School</v>
          </cell>
          <cell r="H6714" t="str">
            <v>AD</v>
          </cell>
        </row>
        <row r="6715">
          <cell r="B6715" t="str">
            <v>Fire Alarm Sounder, Bell, Light</v>
          </cell>
          <cell r="D6715" t="str">
            <v>Jern Yafoor Primary School</v>
          </cell>
          <cell r="H6715" t="str">
            <v>AD</v>
          </cell>
        </row>
        <row r="6716">
          <cell r="B6716" t="str">
            <v>Fire Alarm Sounder, Bell, Light</v>
          </cell>
          <cell r="D6716" t="str">
            <v>Jern Yafoor Primary School</v>
          </cell>
          <cell r="H6716" t="str">
            <v>AD</v>
          </cell>
        </row>
        <row r="6717">
          <cell r="B6717" t="str">
            <v>Fire Alarm Sounder, Bell, Light</v>
          </cell>
          <cell r="D6717" t="str">
            <v>Jern Yafoor Primary School</v>
          </cell>
          <cell r="H6717" t="str">
            <v>AD</v>
          </cell>
        </row>
        <row r="6718">
          <cell r="B6718" t="str">
            <v>Fire Alarm Sounder, Bell, Light</v>
          </cell>
          <cell r="D6718" t="str">
            <v>Jern Yafoor Primary School</v>
          </cell>
          <cell r="H6718" t="str">
            <v>AD</v>
          </cell>
        </row>
        <row r="6719">
          <cell r="B6719" t="str">
            <v>Fire Alarm Sounder, Bell, Light</v>
          </cell>
          <cell r="D6719" t="str">
            <v>Jern Yafoor Primary School</v>
          </cell>
          <cell r="H6719" t="str">
            <v>AD</v>
          </cell>
        </row>
        <row r="6720">
          <cell r="B6720" t="str">
            <v>Fire Alarm Sounder, Bell, Light</v>
          </cell>
          <cell r="D6720" t="str">
            <v>Jern Yafoor Primary School</v>
          </cell>
          <cell r="H6720" t="str">
            <v>AD</v>
          </cell>
        </row>
        <row r="6721">
          <cell r="B6721" t="str">
            <v>Fire Alarm Sounder, Bell, Light</v>
          </cell>
          <cell r="D6721" t="str">
            <v>Jern Yafoor Primary School</v>
          </cell>
          <cell r="H6721" t="str">
            <v>AD</v>
          </cell>
        </row>
        <row r="6722">
          <cell r="B6722" t="str">
            <v>Fire Alarm Sounder, Bell, Light</v>
          </cell>
          <cell r="D6722" t="str">
            <v>Jern Yafoor Primary School</v>
          </cell>
          <cell r="H6722" t="str">
            <v>AD</v>
          </cell>
        </row>
        <row r="6723">
          <cell r="B6723" t="str">
            <v>Fire Alarm Sounder, Bell, Light</v>
          </cell>
          <cell r="D6723" t="str">
            <v>Jern Yafoor Primary School</v>
          </cell>
          <cell r="H6723" t="str">
            <v>AD</v>
          </cell>
        </row>
        <row r="6724">
          <cell r="B6724" t="str">
            <v>Fire Alarm Sounder, Bell, Light</v>
          </cell>
          <cell r="D6724" t="str">
            <v>Jern Yafoor Primary School</v>
          </cell>
          <cell r="H6724" t="str">
            <v>AD</v>
          </cell>
        </row>
        <row r="6725">
          <cell r="B6725" t="str">
            <v>Fire Alarm Sounder, Bell, Light</v>
          </cell>
          <cell r="D6725" t="str">
            <v>Jern Yafoor Primary School</v>
          </cell>
          <cell r="H6725" t="str">
            <v>AD</v>
          </cell>
        </row>
        <row r="6726">
          <cell r="B6726" t="str">
            <v>Fire Alarm Sounder, Bell, Light</v>
          </cell>
          <cell r="D6726" t="str">
            <v>Jern Yafoor Primary School</v>
          </cell>
          <cell r="H6726" t="str">
            <v>AD</v>
          </cell>
        </row>
        <row r="6727">
          <cell r="B6727" t="str">
            <v>Fire Alarm Sounder, Bell, Light</v>
          </cell>
          <cell r="D6727" t="str">
            <v>Jern Yafoor Primary School</v>
          </cell>
          <cell r="H6727" t="str">
            <v>AD</v>
          </cell>
        </row>
        <row r="6728">
          <cell r="B6728" t="str">
            <v>Fire Alarm Sounder, Bell, Light</v>
          </cell>
          <cell r="D6728" t="str">
            <v>Jern Yafoor Primary School</v>
          </cell>
          <cell r="H6728" t="str">
            <v>AD</v>
          </cell>
        </row>
        <row r="6729">
          <cell r="B6729" t="str">
            <v>Fire Alarm Sounder, Bell, Light</v>
          </cell>
          <cell r="D6729" t="str">
            <v>Jern Yafoor Primary School</v>
          </cell>
          <cell r="H6729" t="str">
            <v>AD</v>
          </cell>
        </row>
        <row r="6730">
          <cell r="B6730" t="str">
            <v>Fire Alarm Sounder, Bell, Light</v>
          </cell>
          <cell r="D6730" t="str">
            <v>Jern Yafoor Primary School</v>
          </cell>
          <cell r="H6730" t="str">
            <v>AD</v>
          </cell>
        </row>
        <row r="6731">
          <cell r="B6731" t="str">
            <v>Fire Alarm Sounder, Bell, Light</v>
          </cell>
          <cell r="D6731" t="str">
            <v>Jern Yafoor Primary School</v>
          </cell>
          <cell r="H6731" t="str">
            <v>AD</v>
          </cell>
        </row>
        <row r="6732">
          <cell r="B6732" t="str">
            <v>Fire Alarm Sounder, Bell, Light</v>
          </cell>
          <cell r="D6732" t="str">
            <v>Jern Yafoor Primary School</v>
          </cell>
          <cell r="H6732" t="str">
            <v>AD</v>
          </cell>
        </row>
        <row r="6733">
          <cell r="B6733" t="str">
            <v>Fire Alarm Sounder, Bell, Light</v>
          </cell>
          <cell r="D6733" t="str">
            <v>Jern Yafoor Primary School</v>
          </cell>
          <cell r="H6733" t="str">
            <v>AD</v>
          </cell>
        </row>
        <row r="6734">
          <cell r="B6734" t="str">
            <v>Fire Alarm Sounder, Bell, Light</v>
          </cell>
          <cell r="D6734" t="str">
            <v>Jern Yafoor Primary School</v>
          </cell>
          <cell r="H6734" t="str">
            <v>AD</v>
          </cell>
        </row>
        <row r="6735">
          <cell r="B6735" t="str">
            <v>Fire Alarm Sounder, Bell, Light</v>
          </cell>
          <cell r="D6735" t="str">
            <v>Jern Yafoor Primary School</v>
          </cell>
          <cell r="H6735" t="str">
            <v>AD</v>
          </cell>
        </row>
        <row r="6736">
          <cell r="B6736" t="str">
            <v>Fire Alarm Sounder, Bell, Light</v>
          </cell>
          <cell r="D6736" t="str">
            <v>Jern Yafoor Primary School</v>
          </cell>
          <cell r="H6736" t="str">
            <v>AD</v>
          </cell>
        </row>
        <row r="6737">
          <cell r="B6737" t="str">
            <v>Fire Alarm Sounder, Bell, Light</v>
          </cell>
          <cell r="D6737" t="str">
            <v>Jern Yafoor Primary School</v>
          </cell>
          <cell r="H6737" t="str">
            <v>AD</v>
          </cell>
        </row>
        <row r="6738">
          <cell r="B6738" t="str">
            <v>Fire Alarm Sounder, Bell, Light</v>
          </cell>
          <cell r="D6738" t="str">
            <v>Jern Yafoor Primary School</v>
          </cell>
          <cell r="H6738" t="str">
            <v>AD</v>
          </cell>
        </row>
        <row r="6739">
          <cell r="B6739" t="str">
            <v>Fire Alarm Sounder, Bell, Light</v>
          </cell>
          <cell r="D6739" t="str">
            <v>Jern Yafoor Primary School</v>
          </cell>
          <cell r="H6739" t="str">
            <v>AD</v>
          </cell>
        </row>
        <row r="6740">
          <cell r="B6740" t="str">
            <v>Fire Alarm Sounder, Bell, Light</v>
          </cell>
          <cell r="D6740" t="str">
            <v>Jern Yafoor Primary School</v>
          </cell>
          <cell r="H6740" t="str">
            <v>AD</v>
          </cell>
        </row>
        <row r="6741">
          <cell r="B6741" t="str">
            <v>Fire Extinguisher</v>
          </cell>
          <cell r="D6741" t="str">
            <v>Jern Yafoor Primary School</v>
          </cell>
          <cell r="H6741" t="str">
            <v>AD</v>
          </cell>
        </row>
        <row r="6742">
          <cell r="B6742" t="str">
            <v>Fire Extinguisher</v>
          </cell>
          <cell r="D6742" t="str">
            <v>Jern Yafoor Primary School</v>
          </cell>
          <cell r="H6742" t="str">
            <v>AD</v>
          </cell>
        </row>
        <row r="6743">
          <cell r="B6743" t="str">
            <v>Fire Extinguisher</v>
          </cell>
          <cell r="D6743" t="str">
            <v>Jern Yafoor Primary School</v>
          </cell>
          <cell r="H6743" t="str">
            <v>AD</v>
          </cell>
        </row>
        <row r="6744">
          <cell r="B6744" t="str">
            <v>Fire Extinguisher</v>
          </cell>
          <cell r="D6744" t="str">
            <v>Jern Yafoor Primary School</v>
          </cell>
          <cell r="H6744" t="str">
            <v>AD</v>
          </cell>
        </row>
        <row r="6745">
          <cell r="B6745" t="str">
            <v>Fire Extinguisher</v>
          </cell>
          <cell r="D6745" t="str">
            <v>Jern Yafoor Primary School</v>
          </cell>
          <cell r="H6745" t="str">
            <v>AD</v>
          </cell>
        </row>
        <row r="6746">
          <cell r="B6746" t="str">
            <v>Fire Extinguisher</v>
          </cell>
          <cell r="D6746" t="str">
            <v>Jern Yafoor Primary School</v>
          </cell>
          <cell r="H6746" t="str">
            <v>AD</v>
          </cell>
        </row>
        <row r="6747">
          <cell r="B6747" t="str">
            <v>Fire Extinguisher</v>
          </cell>
          <cell r="D6747" t="str">
            <v>Jern Yafoor Primary School</v>
          </cell>
          <cell r="H6747" t="str">
            <v>AD</v>
          </cell>
        </row>
        <row r="6748">
          <cell r="B6748" t="str">
            <v>Fire Extinguisher</v>
          </cell>
          <cell r="D6748" t="str">
            <v>Jern Yafoor Primary School</v>
          </cell>
          <cell r="H6748" t="str">
            <v>AD</v>
          </cell>
        </row>
        <row r="6749">
          <cell r="B6749" t="str">
            <v>Fire Extinguisher</v>
          </cell>
          <cell r="D6749" t="str">
            <v>Jern Yafoor Primary School</v>
          </cell>
          <cell r="H6749" t="str">
            <v>AD</v>
          </cell>
        </row>
        <row r="6750">
          <cell r="B6750" t="str">
            <v>Fire Extinguisher</v>
          </cell>
          <cell r="D6750" t="str">
            <v>Jern Yafoor Primary School</v>
          </cell>
          <cell r="H6750" t="str">
            <v>AD</v>
          </cell>
        </row>
        <row r="6751">
          <cell r="B6751" t="str">
            <v>Fire Extinguisher</v>
          </cell>
          <cell r="D6751" t="str">
            <v>Jern Yafoor Primary School</v>
          </cell>
          <cell r="H6751" t="str">
            <v>AD</v>
          </cell>
        </row>
        <row r="6752">
          <cell r="B6752" t="str">
            <v>Fire Extinguisher</v>
          </cell>
          <cell r="D6752" t="str">
            <v>Jern Yafoor Primary School</v>
          </cell>
          <cell r="H6752" t="str">
            <v>AD</v>
          </cell>
        </row>
        <row r="6753">
          <cell r="B6753" t="str">
            <v>Fire Extinguisher</v>
          </cell>
          <cell r="D6753" t="str">
            <v>Jern Yafoor Primary School</v>
          </cell>
          <cell r="H6753" t="str">
            <v>AD</v>
          </cell>
        </row>
        <row r="6754">
          <cell r="B6754" t="str">
            <v>Fire Extinguisher</v>
          </cell>
          <cell r="D6754" t="str">
            <v>Jern Yafoor Primary School</v>
          </cell>
          <cell r="H6754" t="str">
            <v>AD</v>
          </cell>
        </row>
        <row r="6755">
          <cell r="B6755" t="str">
            <v>Fire Extinguisher</v>
          </cell>
          <cell r="D6755" t="str">
            <v>Jern Yafoor Primary School</v>
          </cell>
          <cell r="H6755" t="str">
            <v>AD</v>
          </cell>
        </row>
        <row r="6756">
          <cell r="B6756" t="str">
            <v>Fire Extinguisher</v>
          </cell>
          <cell r="D6756" t="str">
            <v>Jern Yafoor Primary School</v>
          </cell>
          <cell r="H6756" t="str">
            <v>AD</v>
          </cell>
        </row>
        <row r="6757">
          <cell r="B6757" t="str">
            <v>Fire Extinguisher</v>
          </cell>
          <cell r="D6757" t="str">
            <v>Jern Yafoor Primary School</v>
          </cell>
          <cell r="H6757" t="str">
            <v>AD</v>
          </cell>
        </row>
        <row r="6758">
          <cell r="B6758" t="str">
            <v>Fire Extinguisher</v>
          </cell>
          <cell r="D6758" t="str">
            <v>Jern Yafoor Primary School</v>
          </cell>
          <cell r="H6758" t="str">
            <v>AD</v>
          </cell>
        </row>
        <row r="6759">
          <cell r="B6759" t="str">
            <v>Fire Extinguisher</v>
          </cell>
          <cell r="D6759" t="str">
            <v>Jern Yafoor Primary School</v>
          </cell>
          <cell r="H6759" t="str">
            <v>AD</v>
          </cell>
        </row>
        <row r="6760">
          <cell r="B6760" t="str">
            <v>Fire Extinguisher</v>
          </cell>
          <cell r="D6760" t="str">
            <v>Jern Yafoor Primary School</v>
          </cell>
          <cell r="H6760" t="str">
            <v>AD</v>
          </cell>
        </row>
        <row r="6761">
          <cell r="B6761" t="str">
            <v>Fire Extinguisher</v>
          </cell>
          <cell r="D6761" t="str">
            <v>Jern Yafoor Primary School</v>
          </cell>
          <cell r="H6761" t="str">
            <v>AD</v>
          </cell>
        </row>
        <row r="6762">
          <cell r="B6762" t="str">
            <v>Fire Extinguisher</v>
          </cell>
          <cell r="D6762" t="str">
            <v>Jern Yafoor Primary School</v>
          </cell>
          <cell r="H6762" t="str">
            <v>AD</v>
          </cell>
        </row>
        <row r="6763">
          <cell r="B6763" t="str">
            <v>Fire Extinguisher</v>
          </cell>
          <cell r="D6763" t="str">
            <v>Jern Yafoor Primary School</v>
          </cell>
          <cell r="H6763" t="str">
            <v>AD</v>
          </cell>
        </row>
        <row r="6764">
          <cell r="B6764" t="str">
            <v>Fire Extinguisher</v>
          </cell>
          <cell r="D6764" t="str">
            <v>Jern Yafoor Primary School</v>
          </cell>
          <cell r="H6764" t="str">
            <v>AD</v>
          </cell>
        </row>
        <row r="6765">
          <cell r="B6765" t="str">
            <v>Fire Extinguisher</v>
          </cell>
          <cell r="D6765" t="str">
            <v>Jern Yafoor Primary School</v>
          </cell>
          <cell r="H6765" t="str">
            <v>AD</v>
          </cell>
        </row>
        <row r="6766">
          <cell r="B6766" t="str">
            <v>Fire Extinguisher</v>
          </cell>
          <cell r="D6766" t="str">
            <v>Jern Yafoor Primary School</v>
          </cell>
          <cell r="H6766" t="str">
            <v>AD</v>
          </cell>
        </row>
        <row r="6767">
          <cell r="B6767" t="str">
            <v>Fire Extinguisher</v>
          </cell>
          <cell r="D6767" t="str">
            <v>Jern Yafoor Primary School</v>
          </cell>
          <cell r="H6767" t="str">
            <v>AD</v>
          </cell>
        </row>
        <row r="6768">
          <cell r="B6768" t="str">
            <v>Fire Extinguisher</v>
          </cell>
          <cell r="D6768" t="str">
            <v>Jern Yafoor Primary School</v>
          </cell>
          <cell r="H6768" t="str">
            <v>AD</v>
          </cell>
        </row>
        <row r="6769">
          <cell r="B6769" t="str">
            <v>Fire Extinguisher</v>
          </cell>
          <cell r="D6769" t="str">
            <v>Jern Yafoor Primary School</v>
          </cell>
          <cell r="H6769" t="str">
            <v>AD</v>
          </cell>
        </row>
        <row r="6770">
          <cell r="B6770" t="str">
            <v>Fire Extinguisher</v>
          </cell>
          <cell r="D6770" t="str">
            <v>Jern Yafoor Primary School</v>
          </cell>
          <cell r="H6770" t="str">
            <v>AD</v>
          </cell>
        </row>
        <row r="6771">
          <cell r="B6771" t="str">
            <v>Fire Extinguisher</v>
          </cell>
          <cell r="D6771" t="str">
            <v>Jern Yafoor Primary School</v>
          </cell>
          <cell r="H6771" t="str">
            <v>AD</v>
          </cell>
        </row>
        <row r="6772">
          <cell r="B6772" t="str">
            <v>Fire Extinguisher</v>
          </cell>
          <cell r="D6772" t="str">
            <v>Jern Yafoor Primary School</v>
          </cell>
          <cell r="H6772" t="str">
            <v>AD</v>
          </cell>
        </row>
        <row r="6773">
          <cell r="B6773" t="str">
            <v>Fire Extinguisher</v>
          </cell>
          <cell r="D6773" t="str">
            <v>Jern Yafoor Primary School</v>
          </cell>
          <cell r="H6773" t="str">
            <v>AD</v>
          </cell>
        </row>
        <row r="6774">
          <cell r="B6774" t="str">
            <v>Fire Extinguisher</v>
          </cell>
          <cell r="D6774" t="str">
            <v>Jern Yafoor Primary School</v>
          </cell>
          <cell r="H6774" t="str">
            <v>AD</v>
          </cell>
        </row>
        <row r="6775">
          <cell r="B6775" t="str">
            <v>Fire Extinguisher</v>
          </cell>
          <cell r="D6775" t="str">
            <v>Jern Yafoor Primary School</v>
          </cell>
          <cell r="H6775" t="str">
            <v>AD</v>
          </cell>
        </row>
        <row r="6776">
          <cell r="B6776" t="str">
            <v>Fire Extinguisher</v>
          </cell>
          <cell r="D6776" t="str">
            <v>Jern Yafoor Primary School</v>
          </cell>
          <cell r="H6776" t="str">
            <v>AD</v>
          </cell>
        </row>
        <row r="6777">
          <cell r="B6777" t="str">
            <v>Fire Extinguisher</v>
          </cell>
          <cell r="D6777" t="str">
            <v>Jern Yafoor Primary School</v>
          </cell>
          <cell r="H6777" t="str">
            <v>AD</v>
          </cell>
        </row>
        <row r="6778">
          <cell r="B6778" t="str">
            <v>Fire Extinguisher</v>
          </cell>
          <cell r="D6778" t="str">
            <v>Jern Yafoor Primary School</v>
          </cell>
          <cell r="H6778" t="str">
            <v>AD</v>
          </cell>
        </row>
        <row r="6779">
          <cell r="B6779" t="str">
            <v>Fire Extinguisher</v>
          </cell>
          <cell r="D6779" t="str">
            <v>Jern Yafoor Primary School</v>
          </cell>
          <cell r="H6779" t="str">
            <v>AD</v>
          </cell>
        </row>
        <row r="6780">
          <cell r="B6780" t="str">
            <v>Fire Extinguisher</v>
          </cell>
          <cell r="D6780" t="str">
            <v>Jern Yafoor Primary School</v>
          </cell>
          <cell r="H6780" t="str">
            <v>AD</v>
          </cell>
        </row>
        <row r="6781">
          <cell r="B6781" t="str">
            <v>Fire Extinguisher</v>
          </cell>
          <cell r="D6781" t="str">
            <v>Jern Yafoor Primary School</v>
          </cell>
          <cell r="H6781" t="str">
            <v>AD</v>
          </cell>
        </row>
        <row r="6782">
          <cell r="B6782" t="str">
            <v>Fire Extinguisher</v>
          </cell>
          <cell r="D6782" t="str">
            <v>Jern Yafoor Primary School</v>
          </cell>
          <cell r="H6782" t="str">
            <v>AD</v>
          </cell>
        </row>
        <row r="6783">
          <cell r="B6783" t="str">
            <v>Fire Extinguisher</v>
          </cell>
          <cell r="D6783" t="str">
            <v>Jern Yafoor Primary School</v>
          </cell>
          <cell r="H6783" t="str">
            <v>AD</v>
          </cell>
        </row>
        <row r="6784">
          <cell r="B6784" t="str">
            <v>Fire Extinguisher</v>
          </cell>
          <cell r="D6784" t="str">
            <v>Jern Yafoor Primary School</v>
          </cell>
          <cell r="H6784" t="str">
            <v>AD</v>
          </cell>
        </row>
        <row r="6785">
          <cell r="B6785" t="str">
            <v>Fire Extinguisher</v>
          </cell>
          <cell r="D6785" t="str">
            <v>Jern Yafoor Primary School</v>
          </cell>
          <cell r="H6785" t="str">
            <v>AD</v>
          </cell>
        </row>
        <row r="6786">
          <cell r="B6786" t="str">
            <v>Fire Extinguisher</v>
          </cell>
          <cell r="D6786" t="str">
            <v>Jern Yafoor Primary School</v>
          </cell>
          <cell r="H6786" t="str">
            <v>AD</v>
          </cell>
        </row>
        <row r="6787">
          <cell r="B6787" t="str">
            <v>Fire Extinguisher</v>
          </cell>
          <cell r="D6787" t="str">
            <v>Jern Yafoor Primary School</v>
          </cell>
          <cell r="H6787" t="str">
            <v>AD</v>
          </cell>
        </row>
        <row r="6788">
          <cell r="B6788" t="str">
            <v>Fire Hose Reel</v>
          </cell>
          <cell r="D6788" t="str">
            <v>Jern Yafoor Primary School</v>
          </cell>
          <cell r="H6788" t="str">
            <v>AD</v>
          </cell>
        </row>
        <row r="6789">
          <cell r="B6789" t="str">
            <v>Fire Hose Reel</v>
          </cell>
          <cell r="D6789" t="str">
            <v>Jern Yafoor Primary School</v>
          </cell>
          <cell r="H6789" t="str">
            <v>AD</v>
          </cell>
        </row>
        <row r="6790">
          <cell r="B6790" t="str">
            <v>Fire Hose Reel</v>
          </cell>
          <cell r="D6790" t="str">
            <v>Jern Yafoor Primary School</v>
          </cell>
          <cell r="H6790" t="str">
            <v>AD</v>
          </cell>
        </row>
        <row r="6791">
          <cell r="B6791" t="str">
            <v>Fire Hose Reel</v>
          </cell>
          <cell r="D6791" t="str">
            <v>Jern Yafoor Primary School</v>
          </cell>
          <cell r="H6791" t="str">
            <v>AD</v>
          </cell>
        </row>
        <row r="6792">
          <cell r="B6792" t="str">
            <v>Fire Hose Reel</v>
          </cell>
          <cell r="D6792" t="str">
            <v>Jern Yafoor Primary School</v>
          </cell>
          <cell r="H6792" t="str">
            <v>AD</v>
          </cell>
        </row>
        <row r="6793">
          <cell r="B6793" t="str">
            <v>Fire Hose Reel</v>
          </cell>
          <cell r="D6793" t="str">
            <v>Jern Yafoor Primary School</v>
          </cell>
          <cell r="H6793" t="str">
            <v>AD</v>
          </cell>
        </row>
        <row r="6794">
          <cell r="B6794" t="str">
            <v>Fire Hose Reel</v>
          </cell>
          <cell r="D6794" t="str">
            <v>Jern Yafoor Primary School</v>
          </cell>
          <cell r="H6794" t="str">
            <v>AD</v>
          </cell>
        </row>
        <row r="6795">
          <cell r="B6795" t="str">
            <v>Fire Hose Reel</v>
          </cell>
          <cell r="D6795" t="str">
            <v>Jern Yafoor Primary School</v>
          </cell>
          <cell r="H6795" t="str">
            <v>AD</v>
          </cell>
        </row>
        <row r="6796">
          <cell r="B6796" t="str">
            <v>FIRE PUMP - Diesel</v>
          </cell>
          <cell r="D6796" t="str">
            <v>Jern Yafoor Primary School</v>
          </cell>
          <cell r="H6796" t="str">
            <v>AD</v>
          </cell>
        </row>
        <row r="6797">
          <cell r="B6797" t="str">
            <v>FIRE PUMP - Electric</v>
          </cell>
          <cell r="D6797" t="str">
            <v>Jern Yafoor Primary School</v>
          </cell>
          <cell r="H6797" t="str">
            <v>AD</v>
          </cell>
        </row>
        <row r="6798">
          <cell r="B6798" t="str">
            <v>Fire Smoke / Heat Detector, Sounder</v>
          </cell>
          <cell r="D6798" t="str">
            <v>Jern Yafoor Primary School</v>
          </cell>
          <cell r="H6798" t="str">
            <v>AD</v>
          </cell>
        </row>
        <row r="6799">
          <cell r="B6799" t="str">
            <v>Fire Smoke / Heat Detector, Sounder</v>
          </cell>
          <cell r="D6799" t="str">
            <v>Jern Yafoor Primary School</v>
          </cell>
          <cell r="H6799" t="str">
            <v>AD</v>
          </cell>
        </row>
        <row r="6800">
          <cell r="B6800" t="str">
            <v>Fire Smoke / Heat Detector, Sounder</v>
          </cell>
          <cell r="D6800" t="str">
            <v>Jern Yafoor Primary School</v>
          </cell>
          <cell r="H6800" t="str">
            <v>AD</v>
          </cell>
        </row>
        <row r="6801">
          <cell r="B6801" t="str">
            <v>Fire Smoke / Heat Detector, Sounder</v>
          </cell>
          <cell r="D6801" t="str">
            <v>Jern Yafoor Primary School</v>
          </cell>
          <cell r="H6801" t="str">
            <v>AD</v>
          </cell>
        </row>
        <row r="6802">
          <cell r="B6802" t="str">
            <v>Fire Smoke / Heat Detector, Sounder</v>
          </cell>
          <cell r="D6802" t="str">
            <v>Jern Yafoor Primary School</v>
          </cell>
          <cell r="H6802" t="str">
            <v>AD</v>
          </cell>
        </row>
        <row r="6803">
          <cell r="B6803" t="str">
            <v>Fire Smoke / Heat Detector, Sounder</v>
          </cell>
          <cell r="D6803" t="str">
            <v>Jern Yafoor Primary School</v>
          </cell>
          <cell r="H6803" t="str">
            <v>AD</v>
          </cell>
        </row>
        <row r="6804">
          <cell r="B6804" t="str">
            <v>Fire Smoke / Heat Detector, Sounder</v>
          </cell>
          <cell r="D6804" t="str">
            <v>Jern Yafoor Primary School</v>
          </cell>
          <cell r="H6804" t="str">
            <v>AD</v>
          </cell>
        </row>
        <row r="6805">
          <cell r="B6805" t="str">
            <v>Fire Smoke / Heat Detector, Sounder</v>
          </cell>
          <cell r="D6805" t="str">
            <v>Jern Yafoor Primary School</v>
          </cell>
          <cell r="H6805" t="str">
            <v>AD</v>
          </cell>
        </row>
        <row r="6806">
          <cell r="B6806" t="str">
            <v>Fire Smoke / Heat Detector, Sounder</v>
          </cell>
          <cell r="D6806" t="str">
            <v>Jern Yafoor Primary School</v>
          </cell>
          <cell r="H6806" t="str">
            <v>AD</v>
          </cell>
        </row>
        <row r="6807">
          <cell r="B6807" t="str">
            <v>Fire Smoke / Heat Detector, Sounder</v>
          </cell>
          <cell r="D6807" t="str">
            <v>Jern Yafoor Primary School</v>
          </cell>
          <cell r="H6807" t="str">
            <v>AD</v>
          </cell>
        </row>
        <row r="6808">
          <cell r="B6808" t="str">
            <v>Fire Smoke / Heat Detector, Sounder</v>
          </cell>
          <cell r="D6808" t="str">
            <v>Jern Yafoor Primary School</v>
          </cell>
          <cell r="H6808" t="str">
            <v>AD</v>
          </cell>
        </row>
        <row r="6809">
          <cell r="B6809" t="str">
            <v>Fire Smoke / Heat Detector, Sounder</v>
          </cell>
          <cell r="D6809" t="str">
            <v>Jern Yafoor Primary School</v>
          </cell>
          <cell r="H6809" t="str">
            <v>AD</v>
          </cell>
        </row>
        <row r="6810">
          <cell r="B6810" t="str">
            <v>Fire Smoke / Heat Detector, Sounder</v>
          </cell>
          <cell r="D6810" t="str">
            <v>Jern Yafoor Primary School</v>
          </cell>
          <cell r="H6810" t="str">
            <v>AD</v>
          </cell>
        </row>
        <row r="6811">
          <cell r="B6811" t="str">
            <v>Fire Smoke / Heat Detector, Sounder</v>
          </cell>
          <cell r="D6811" t="str">
            <v>Jern Yafoor Primary School</v>
          </cell>
          <cell r="H6811" t="str">
            <v>AD</v>
          </cell>
        </row>
        <row r="6812">
          <cell r="B6812" t="str">
            <v>Fire Smoke / Heat Detector, Sounder</v>
          </cell>
          <cell r="D6812" t="str">
            <v>Jern Yafoor Primary School</v>
          </cell>
          <cell r="H6812" t="str">
            <v>AD</v>
          </cell>
        </row>
        <row r="6813">
          <cell r="B6813" t="str">
            <v>Fire Smoke / Heat Detector, Sounder</v>
          </cell>
          <cell r="D6813" t="str">
            <v>Jern Yafoor Primary School</v>
          </cell>
          <cell r="H6813" t="str">
            <v>AD</v>
          </cell>
        </row>
        <row r="6814">
          <cell r="B6814" t="str">
            <v>Fire Smoke / Heat Detector, Sounder</v>
          </cell>
          <cell r="D6814" t="str">
            <v>Jern Yafoor Primary School</v>
          </cell>
          <cell r="H6814" t="str">
            <v>AD</v>
          </cell>
        </row>
        <row r="6815">
          <cell r="B6815" t="str">
            <v>Fire Smoke / Heat Detector, Sounder</v>
          </cell>
          <cell r="D6815" t="str">
            <v>Jern Yafoor Primary School</v>
          </cell>
          <cell r="H6815" t="str">
            <v>AD</v>
          </cell>
        </row>
        <row r="6816">
          <cell r="B6816" t="str">
            <v>Fire Smoke / Heat Detector, Sounder</v>
          </cell>
          <cell r="D6816" t="str">
            <v>Jern Yafoor Primary School</v>
          </cell>
          <cell r="H6816" t="str">
            <v>AD</v>
          </cell>
        </row>
        <row r="6817">
          <cell r="B6817" t="str">
            <v>Fire Smoke / Heat Detector, Sounder</v>
          </cell>
          <cell r="D6817" t="str">
            <v>Jern Yafoor Primary School</v>
          </cell>
          <cell r="H6817" t="str">
            <v>AD</v>
          </cell>
        </row>
        <row r="6818">
          <cell r="B6818" t="str">
            <v>Fire Smoke / Heat Detector, Sounder</v>
          </cell>
          <cell r="D6818" t="str">
            <v>Jern Yafoor Primary School</v>
          </cell>
          <cell r="H6818" t="str">
            <v>AD</v>
          </cell>
        </row>
        <row r="6819">
          <cell r="B6819" t="str">
            <v>Fire Smoke / Heat Detector, Sounder</v>
          </cell>
          <cell r="D6819" t="str">
            <v>Jern Yafoor Primary School</v>
          </cell>
          <cell r="H6819" t="str">
            <v>AD</v>
          </cell>
        </row>
        <row r="6820">
          <cell r="B6820" t="str">
            <v>Fire Smoke / Heat Detector, Sounder</v>
          </cell>
          <cell r="D6820" t="str">
            <v>Jern Yafoor Primary School</v>
          </cell>
          <cell r="H6820" t="str">
            <v>AD</v>
          </cell>
        </row>
        <row r="6821">
          <cell r="B6821" t="str">
            <v>Fire Smoke / Heat Detector, Sounder</v>
          </cell>
          <cell r="D6821" t="str">
            <v>Jern Yafoor Primary School</v>
          </cell>
          <cell r="H6821" t="str">
            <v>AD</v>
          </cell>
        </row>
        <row r="6822">
          <cell r="B6822" t="str">
            <v>Fire Smoke / Heat Detector, Sounder</v>
          </cell>
          <cell r="D6822" t="str">
            <v>Jern Yafoor Primary School</v>
          </cell>
          <cell r="H6822" t="str">
            <v>AD</v>
          </cell>
        </row>
        <row r="6823">
          <cell r="B6823" t="str">
            <v>Fire Smoke / Heat Detector, Sounder</v>
          </cell>
          <cell r="D6823" t="str">
            <v>Jern Yafoor Primary School</v>
          </cell>
          <cell r="H6823" t="str">
            <v>AD</v>
          </cell>
        </row>
        <row r="6824">
          <cell r="B6824" t="str">
            <v>Fire Smoke / Heat Detector, Sounder</v>
          </cell>
          <cell r="D6824" t="str">
            <v>Jern Yafoor Primary School</v>
          </cell>
          <cell r="H6824" t="str">
            <v>AD</v>
          </cell>
        </row>
        <row r="6825">
          <cell r="B6825" t="str">
            <v>Fire Smoke / Heat Detector, Sounder</v>
          </cell>
          <cell r="D6825" t="str">
            <v>Jern Yafoor Primary School</v>
          </cell>
          <cell r="H6825" t="str">
            <v>AD</v>
          </cell>
        </row>
        <row r="6826">
          <cell r="B6826" t="str">
            <v>Fire Smoke / Heat Detector, Sounder</v>
          </cell>
          <cell r="D6826" t="str">
            <v>Jern Yafoor Primary School</v>
          </cell>
          <cell r="H6826" t="str">
            <v>AD</v>
          </cell>
        </row>
        <row r="6827">
          <cell r="B6827" t="str">
            <v>Fire Smoke / Heat Detector, Sounder</v>
          </cell>
          <cell r="D6827" t="str">
            <v>Jern Yafoor Primary School</v>
          </cell>
          <cell r="H6827" t="str">
            <v>AD</v>
          </cell>
        </row>
        <row r="6828">
          <cell r="B6828" t="str">
            <v>Fire Smoke / Heat Detector, Sounder</v>
          </cell>
          <cell r="D6828" t="str">
            <v>Jern Yafoor Primary School</v>
          </cell>
          <cell r="H6828" t="str">
            <v>AD</v>
          </cell>
        </row>
        <row r="6829">
          <cell r="B6829" t="str">
            <v>Fire Smoke / Heat Detector, Sounder</v>
          </cell>
          <cell r="D6829" t="str">
            <v>Jern Yafoor Primary School</v>
          </cell>
          <cell r="H6829" t="str">
            <v>AD</v>
          </cell>
        </row>
        <row r="6830">
          <cell r="B6830" t="str">
            <v>Fire Smoke / Heat Detector, Sounder</v>
          </cell>
          <cell r="D6830" t="str">
            <v>Jern Yafoor Primary School</v>
          </cell>
          <cell r="H6830" t="str">
            <v>AD</v>
          </cell>
        </row>
        <row r="6831">
          <cell r="B6831" t="str">
            <v>Fire Smoke / Heat Detector, Sounder</v>
          </cell>
          <cell r="D6831" t="str">
            <v>Jern Yafoor Primary School</v>
          </cell>
          <cell r="H6831" t="str">
            <v>AD</v>
          </cell>
        </row>
        <row r="6832">
          <cell r="B6832" t="str">
            <v>Fire Smoke / Heat Detector, Sounder</v>
          </cell>
          <cell r="D6832" t="str">
            <v>Jern Yafoor Primary School</v>
          </cell>
          <cell r="H6832" t="str">
            <v>AD</v>
          </cell>
        </row>
        <row r="6833">
          <cell r="B6833" t="str">
            <v>Fire Smoke / Heat Detector, Sounder</v>
          </cell>
          <cell r="D6833" t="str">
            <v>Jern Yafoor Primary School</v>
          </cell>
          <cell r="H6833" t="str">
            <v>AD</v>
          </cell>
        </row>
        <row r="6834">
          <cell r="B6834" t="str">
            <v>Fire Smoke / Heat Detector, Sounder</v>
          </cell>
          <cell r="D6834" t="str">
            <v>Jern Yafoor Primary School</v>
          </cell>
          <cell r="H6834" t="str">
            <v>AD</v>
          </cell>
        </row>
        <row r="6835">
          <cell r="B6835" t="str">
            <v>Fire Smoke / Heat Detector, Sounder</v>
          </cell>
          <cell r="D6835" t="str">
            <v>Jern Yafoor Primary School</v>
          </cell>
          <cell r="H6835" t="str">
            <v>AD</v>
          </cell>
        </row>
        <row r="6836">
          <cell r="B6836" t="str">
            <v>Fire Smoke / Heat Detector, Sounder</v>
          </cell>
          <cell r="D6836" t="str">
            <v>Jern Yafoor Primary School</v>
          </cell>
          <cell r="H6836" t="str">
            <v>AD</v>
          </cell>
        </row>
        <row r="6837">
          <cell r="B6837" t="str">
            <v>Fire Smoke / Heat Detector, Sounder</v>
          </cell>
          <cell r="D6837" t="str">
            <v>Jern Yafoor Primary School</v>
          </cell>
          <cell r="H6837" t="str">
            <v>AD</v>
          </cell>
        </row>
        <row r="6838">
          <cell r="B6838" t="str">
            <v>Fire Smoke / Heat Detector, Sounder</v>
          </cell>
          <cell r="D6838" t="str">
            <v>Jern Yafoor Primary School</v>
          </cell>
          <cell r="H6838" t="str">
            <v>AD</v>
          </cell>
        </row>
        <row r="6839">
          <cell r="B6839" t="str">
            <v>Fire Smoke / Heat Detector, Sounder</v>
          </cell>
          <cell r="D6839" t="str">
            <v>Jern Yafoor Primary School</v>
          </cell>
          <cell r="H6839" t="str">
            <v>AD</v>
          </cell>
        </row>
        <row r="6840">
          <cell r="B6840" t="str">
            <v>Fire Smoke / Heat Detector, Sounder</v>
          </cell>
          <cell r="D6840" t="str">
            <v>Jern Yafoor Primary School</v>
          </cell>
          <cell r="H6840" t="str">
            <v>AD</v>
          </cell>
        </row>
        <row r="6841">
          <cell r="B6841" t="str">
            <v>Fire Smoke / Heat Detector, Sounder</v>
          </cell>
          <cell r="D6841" t="str">
            <v>Jern Yafoor Primary School</v>
          </cell>
          <cell r="H6841" t="str">
            <v>AD</v>
          </cell>
        </row>
        <row r="6842">
          <cell r="B6842" t="str">
            <v>Fire Smoke / Heat Detector, Sounder</v>
          </cell>
          <cell r="D6842" t="str">
            <v>Jern Yafoor Primary School</v>
          </cell>
          <cell r="H6842" t="str">
            <v>AD</v>
          </cell>
        </row>
        <row r="6843">
          <cell r="B6843" t="str">
            <v>Fire Smoke / Heat Detector, Sounder</v>
          </cell>
          <cell r="D6843" t="str">
            <v>Jern Yafoor Primary School</v>
          </cell>
          <cell r="H6843" t="str">
            <v>AD</v>
          </cell>
        </row>
        <row r="6844">
          <cell r="B6844" t="str">
            <v>Fire Smoke / Heat Detector, Sounder</v>
          </cell>
          <cell r="D6844" t="str">
            <v>Jern Yafoor Primary School</v>
          </cell>
          <cell r="H6844" t="str">
            <v>AD</v>
          </cell>
        </row>
        <row r="6845">
          <cell r="B6845" t="str">
            <v>Fire Smoke / Heat Detector, Sounder</v>
          </cell>
          <cell r="D6845" t="str">
            <v>Jern Yafoor Primary School</v>
          </cell>
          <cell r="H6845" t="str">
            <v>AD</v>
          </cell>
        </row>
        <row r="6846">
          <cell r="B6846" t="str">
            <v>Fire Smoke / Heat Detector, Sounder</v>
          </cell>
          <cell r="D6846" t="str">
            <v>Jern Yafoor Primary School</v>
          </cell>
          <cell r="H6846" t="str">
            <v>AD</v>
          </cell>
        </row>
        <row r="6847">
          <cell r="B6847" t="str">
            <v>Fire Smoke / Heat Detector, Sounder</v>
          </cell>
          <cell r="D6847" t="str">
            <v>Jern Yafoor Primary School</v>
          </cell>
          <cell r="H6847" t="str">
            <v>AD</v>
          </cell>
        </row>
        <row r="6848">
          <cell r="B6848" t="str">
            <v>Fire Smoke / Heat Detector, Sounder</v>
          </cell>
          <cell r="D6848" t="str">
            <v>Jern Yafoor Primary School</v>
          </cell>
          <cell r="H6848" t="str">
            <v>AD</v>
          </cell>
        </row>
        <row r="6849">
          <cell r="B6849" t="str">
            <v>Fire Smoke / Heat Detector, Sounder</v>
          </cell>
          <cell r="D6849" t="str">
            <v>Jern Yafoor Primary School</v>
          </cell>
          <cell r="H6849" t="str">
            <v>AD</v>
          </cell>
        </row>
        <row r="6850">
          <cell r="B6850" t="str">
            <v>Fire Smoke / Heat Detector, Sounder</v>
          </cell>
          <cell r="D6850" t="str">
            <v>Jern Yafoor Primary School</v>
          </cell>
          <cell r="H6850" t="str">
            <v>AD</v>
          </cell>
        </row>
        <row r="6851">
          <cell r="B6851" t="str">
            <v>Fire Smoke / Heat Detector, Sounder</v>
          </cell>
          <cell r="D6851" t="str">
            <v>Jern Yafoor Primary School</v>
          </cell>
          <cell r="H6851" t="str">
            <v>AD</v>
          </cell>
        </row>
        <row r="6852">
          <cell r="B6852" t="str">
            <v>Fire Smoke / Heat Detector, Sounder</v>
          </cell>
          <cell r="D6852" t="str">
            <v>Jern Yafoor Primary School</v>
          </cell>
          <cell r="H6852" t="str">
            <v>AD</v>
          </cell>
        </row>
        <row r="6853">
          <cell r="B6853" t="str">
            <v>Fire Smoke / Heat Detector, Sounder</v>
          </cell>
          <cell r="D6853" t="str">
            <v>Jern Yafoor Primary School</v>
          </cell>
          <cell r="H6853" t="str">
            <v>AD</v>
          </cell>
        </row>
        <row r="6854">
          <cell r="B6854" t="str">
            <v>Fire Smoke / Heat Detector, Sounder</v>
          </cell>
          <cell r="D6854" t="str">
            <v>Jern Yafoor Primary School</v>
          </cell>
          <cell r="H6854" t="str">
            <v>AD</v>
          </cell>
        </row>
        <row r="6855">
          <cell r="B6855" t="str">
            <v>Fire Smoke / Heat Detector, Sounder</v>
          </cell>
          <cell r="D6855" t="str">
            <v>Jern Yafoor Primary School</v>
          </cell>
          <cell r="H6855" t="str">
            <v>AD</v>
          </cell>
        </row>
        <row r="6856">
          <cell r="B6856" t="str">
            <v>Fire Smoke / Heat Detector, Sounder</v>
          </cell>
          <cell r="D6856" t="str">
            <v>Jern Yafoor Primary School</v>
          </cell>
          <cell r="H6856" t="str">
            <v>AD</v>
          </cell>
        </row>
        <row r="6857">
          <cell r="B6857" t="str">
            <v>Fire Smoke / Heat Detector, Sounder</v>
          </cell>
          <cell r="D6857" t="str">
            <v>Jern Yafoor Primary School</v>
          </cell>
          <cell r="H6857" t="str">
            <v>AD</v>
          </cell>
        </row>
        <row r="6858">
          <cell r="B6858" t="str">
            <v>Fire Smoke / Heat Detector, Sounder</v>
          </cell>
          <cell r="D6858" t="str">
            <v>Jern Yafoor Primary School</v>
          </cell>
          <cell r="H6858" t="str">
            <v>AD</v>
          </cell>
        </row>
        <row r="6859">
          <cell r="B6859" t="str">
            <v>Fire Smoke / Heat Detector, Sounder</v>
          </cell>
          <cell r="D6859" t="str">
            <v>Jern Yafoor Primary School</v>
          </cell>
          <cell r="H6859" t="str">
            <v>AD</v>
          </cell>
        </row>
        <row r="6860">
          <cell r="B6860" t="str">
            <v>Fire Smoke / Heat Detector, Sounder</v>
          </cell>
          <cell r="D6860" t="str">
            <v>Jern Yafoor Primary School</v>
          </cell>
          <cell r="H6860" t="str">
            <v>AD</v>
          </cell>
        </row>
        <row r="6861">
          <cell r="B6861" t="str">
            <v>Fire Smoke / Heat Detector, Sounder</v>
          </cell>
          <cell r="D6861" t="str">
            <v>Jern Yafoor Primary School</v>
          </cell>
          <cell r="H6861" t="str">
            <v>AD</v>
          </cell>
        </row>
        <row r="6862">
          <cell r="B6862" t="str">
            <v>Fire Smoke / Heat Detector, Sounder</v>
          </cell>
          <cell r="D6862" t="str">
            <v>Jern Yafoor Primary School</v>
          </cell>
          <cell r="H6862" t="str">
            <v>AD</v>
          </cell>
        </row>
        <row r="6863">
          <cell r="B6863" t="str">
            <v>Fire Smoke / Heat Detector, Sounder</v>
          </cell>
          <cell r="D6863" t="str">
            <v>Jern Yafoor Primary School</v>
          </cell>
          <cell r="H6863" t="str">
            <v>AD</v>
          </cell>
        </row>
        <row r="6864">
          <cell r="B6864" t="str">
            <v>Fire Smoke / Heat Detector, Sounder</v>
          </cell>
          <cell r="D6864" t="str">
            <v>Jern Yafoor Primary School</v>
          </cell>
          <cell r="H6864" t="str">
            <v>AD</v>
          </cell>
        </row>
        <row r="6865">
          <cell r="B6865" t="str">
            <v>Fire Smoke / Heat Detector, Sounder</v>
          </cell>
          <cell r="D6865" t="str">
            <v>Jern Yafoor Primary School</v>
          </cell>
          <cell r="H6865" t="str">
            <v>AD</v>
          </cell>
        </row>
        <row r="6866">
          <cell r="B6866" t="str">
            <v>Fire Smoke / Heat Detector, Sounder</v>
          </cell>
          <cell r="D6866" t="str">
            <v>Jern Yafoor Primary School</v>
          </cell>
          <cell r="H6866" t="str">
            <v>AD</v>
          </cell>
        </row>
        <row r="6867">
          <cell r="B6867" t="str">
            <v>Fire Smoke / Heat Detector, Sounder</v>
          </cell>
          <cell r="D6867" t="str">
            <v>Jern Yafoor Primary School</v>
          </cell>
          <cell r="H6867" t="str">
            <v>AD</v>
          </cell>
        </row>
        <row r="6868">
          <cell r="B6868" t="str">
            <v>Fire Smoke / Heat Detector, Sounder</v>
          </cell>
          <cell r="D6868" t="str">
            <v>Jern Yafoor Primary School</v>
          </cell>
          <cell r="H6868" t="str">
            <v>AD</v>
          </cell>
        </row>
        <row r="6869">
          <cell r="B6869" t="str">
            <v>Fire Smoke / Heat Detector, Sounder</v>
          </cell>
          <cell r="D6869" t="str">
            <v>Jern Yafoor Primary School</v>
          </cell>
          <cell r="H6869" t="str">
            <v>AD</v>
          </cell>
        </row>
        <row r="6870">
          <cell r="B6870" t="str">
            <v>Fire Smoke / Heat Detector, Sounder</v>
          </cell>
          <cell r="D6870" t="str">
            <v>Jern Yafoor Primary School</v>
          </cell>
          <cell r="H6870" t="str">
            <v>AD</v>
          </cell>
        </row>
        <row r="6871">
          <cell r="B6871" t="str">
            <v>Fire Smoke / Heat Detector, Sounder</v>
          </cell>
          <cell r="D6871" t="str">
            <v>Jern Yafoor Primary School</v>
          </cell>
          <cell r="H6871" t="str">
            <v>AD</v>
          </cell>
        </row>
        <row r="6872">
          <cell r="B6872" t="str">
            <v>Fire Smoke / Heat Detector, Sounder</v>
          </cell>
          <cell r="D6872" t="str">
            <v>Jern Yafoor Primary School</v>
          </cell>
          <cell r="H6872" t="str">
            <v>AD</v>
          </cell>
        </row>
        <row r="6873">
          <cell r="B6873" t="str">
            <v>Fire Smoke / Heat Detector, Sounder</v>
          </cell>
          <cell r="D6873" t="str">
            <v>Jern Yafoor Primary School</v>
          </cell>
          <cell r="H6873" t="str">
            <v>AD</v>
          </cell>
        </row>
        <row r="6874">
          <cell r="B6874" t="str">
            <v>Fire Smoke / Heat Detector, Sounder</v>
          </cell>
          <cell r="D6874" t="str">
            <v>Jern Yafoor Primary School</v>
          </cell>
          <cell r="H6874" t="str">
            <v>AD</v>
          </cell>
        </row>
        <row r="6875">
          <cell r="B6875" t="str">
            <v>Fire Smoke / Heat Detector, Sounder</v>
          </cell>
          <cell r="D6875" t="str">
            <v>Jern Yafoor Primary School</v>
          </cell>
          <cell r="H6875" t="str">
            <v>AD</v>
          </cell>
        </row>
        <row r="6876">
          <cell r="B6876" t="str">
            <v>Fire Smoke / Heat Detector, Sounder</v>
          </cell>
          <cell r="D6876" t="str">
            <v>Jern Yafoor Primary School</v>
          </cell>
          <cell r="H6876" t="str">
            <v>AD</v>
          </cell>
        </row>
        <row r="6877">
          <cell r="B6877" t="str">
            <v>Fire Smoke / Heat Detector, Sounder</v>
          </cell>
          <cell r="D6877" t="str">
            <v>Jern Yafoor Primary School</v>
          </cell>
          <cell r="H6877" t="str">
            <v>AD</v>
          </cell>
        </row>
        <row r="6878">
          <cell r="B6878" t="str">
            <v>Fire Smoke / Heat Detector, Sounder</v>
          </cell>
          <cell r="D6878" t="str">
            <v>Jern Yafoor Primary School</v>
          </cell>
          <cell r="H6878" t="str">
            <v>AD</v>
          </cell>
        </row>
        <row r="6879">
          <cell r="B6879" t="str">
            <v>Fire Smoke / Heat Detector, Sounder</v>
          </cell>
          <cell r="D6879" t="str">
            <v>Jern Yafoor Primary School</v>
          </cell>
          <cell r="H6879" t="str">
            <v>AD</v>
          </cell>
        </row>
        <row r="6880">
          <cell r="B6880" t="str">
            <v>Fire Smoke / Heat Detector, Sounder</v>
          </cell>
          <cell r="D6880" t="str">
            <v>Jern Yafoor Primary School</v>
          </cell>
          <cell r="H6880" t="str">
            <v>AD</v>
          </cell>
        </row>
        <row r="6881">
          <cell r="B6881" t="str">
            <v>Fire Smoke / Heat Detector, Sounder</v>
          </cell>
          <cell r="D6881" t="str">
            <v>Jern Yafoor Primary School</v>
          </cell>
          <cell r="H6881" t="str">
            <v>AD</v>
          </cell>
        </row>
        <row r="6882">
          <cell r="B6882" t="str">
            <v>Fire Smoke / Heat Detector, Sounder</v>
          </cell>
          <cell r="D6882" t="str">
            <v>Jern Yafoor Primary School</v>
          </cell>
          <cell r="H6882" t="str">
            <v>AD</v>
          </cell>
        </row>
        <row r="6883">
          <cell r="B6883" t="str">
            <v>Fire Smoke / Heat Detector, Sounder</v>
          </cell>
          <cell r="D6883" t="str">
            <v>Jern Yafoor Primary School</v>
          </cell>
          <cell r="H6883" t="str">
            <v>AD</v>
          </cell>
        </row>
        <row r="6884">
          <cell r="B6884" t="str">
            <v>Fire Smoke / Heat Detector, Sounder</v>
          </cell>
          <cell r="D6884" t="str">
            <v>Jern Yafoor Primary School</v>
          </cell>
          <cell r="H6884" t="str">
            <v>AD</v>
          </cell>
        </row>
        <row r="6885">
          <cell r="B6885" t="str">
            <v>Fire Smoke / Heat Detector, Sounder</v>
          </cell>
          <cell r="D6885" t="str">
            <v>Jern Yafoor Primary School</v>
          </cell>
          <cell r="H6885" t="str">
            <v>AD</v>
          </cell>
        </row>
        <row r="6886">
          <cell r="B6886" t="str">
            <v>Fire Smoke / Heat Detector, Sounder</v>
          </cell>
          <cell r="D6886" t="str">
            <v>Jern Yafoor Primary School</v>
          </cell>
          <cell r="H6886" t="str">
            <v>AD</v>
          </cell>
        </row>
        <row r="6887">
          <cell r="B6887" t="str">
            <v>Fire Smoke / Heat Detector, Sounder</v>
          </cell>
          <cell r="D6887" t="str">
            <v>Jern Yafoor Primary School</v>
          </cell>
          <cell r="H6887" t="str">
            <v>AD</v>
          </cell>
        </row>
        <row r="6888">
          <cell r="B6888" t="str">
            <v>Fire Smoke / Heat Detector, Sounder</v>
          </cell>
          <cell r="D6888" t="str">
            <v>Jern Yafoor Primary School</v>
          </cell>
          <cell r="H6888" t="str">
            <v>AD</v>
          </cell>
        </row>
        <row r="6889">
          <cell r="B6889" t="str">
            <v>Fire Smoke / Heat Detector, Sounder</v>
          </cell>
          <cell r="D6889" t="str">
            <v>Jern Yafoor Primary School</v>
          </cell>
          <cell r="H6889" t="str">
            <v>AD</v>
          </cell>
        </row>
        <row r="6890">
          <cell r="B6890" t="str">
            <v>Fire Smoke / Heat Detector, Sounder</v>
          </cell>
          <cell r="D6890" t="str">
            <v>Jern Yafoor Primary School</v>
          </cell>
          <cell r="H6890" t="str">
            <v>AD</v>
          </cell>
        </row>
        <row r="6891">
          <cell r="B6891" t="str">
            <v>Fire Smoke / Heat Detector, Sounder</v>
          </cell>
          <cell r="D6891" t="str">
            <v>Jern Yafoor Primary School</v>
          </cell>
          <cell r="H6891" t="str">
            <v>AD</v>
          </cell>
        </row>
        <row r="6892">
          <cell r="B6892" t="str">
            <v>Fire Smoke / Heat Detector, Sounder</v>
          </cell>
          <cell r="D6892" t="str">
            <v>Jern Yafoor Primary School</v>
          </cell>
          <cell r="H6892" t="str">
            <v>AD</v>
          </cell>
        </row>
        <row r="6893">
          <cell r="B6893" t="str">
            <v>Fire Smoke / Heat Detector, Sounder</v>
          </cell>
          <cell r="D6893" t="str">
            <v>Jern Yafoor Primary School</v>
          </cell>
          <cell r="H6893" t="str">
            <v>AD</v>
          </cell>
        </row>
        <row r="6894">
          <cell r="B6894" t="str">
            <v>Fire Smoke / Heat Detector, Sounder</v>
          </cell>
          <cell r="D6894" t="str">
            <v>Jern Yafoor Primary School</v>
          </cell>
          <cell r="H6894" t="str">
            <v>AD</v>
          </cell>
        </row>
        <row r="6895">
          <cell r="B6895" t="str">
            <v>Fire Smoke / Heat Detector, Sounder</v>
          </cell>
          <cell r="D6895" t="str">
            <v>Jern Yafoor Primary School</v>
          </cell>
          <cell r="H6895" t="str">
            <v>AD</v>
          </cell>
        </row>
        <row r="6896">
          <cell r="B6896" t="str">
            <v>Fire Smoke / Heat Detector, Sounder</v>
          </cell>
          <cell r="D6896" t="str">
            <v>Jern Yafoor Primary School</v>
          </cell>
          <cell r="H6896" t="str">
            <v>AD</v>
          </cell>
        </row>
        <row r="6897">
          <cell r="B6897" t="str">
            <v>Fire Smoke / Heat Detector, Sounder</v>
          </cell>
          <cell r="D6897" t="str">
            <v>Jern Yafoor Primary School</v>
          </cell>
          <cell r="H6897" t="str">
            <v>AD</v>
          </cell>
        </row>
        <row r="6898">
          <cell r="B6898" t="str">
            <v>Fire Smoke / Heat Detector, Sounder</v>
          </cell>
          <cell r="D6898" t="str">
            <v>Jern Yafoor Primary School</v>
          </cell>
          <cell r="H6898" t="str">
            <v>AD</v>
          </cell>
        </row>
        <row r="6899">
          <cell r="B6899" t="str">
            <v>Fire Smoke / Heat Detector, Sounder</v>
          </cell>
          <cell r="D6899" t="str">
            <v>Jern Yafoor Primary School</v>
          </cell>
          <cell r="H6899" t="str">
            <v>AD</v>
          </cell>
        </row>
        <row r="6900">
          <cell r="B6900" t="str">
            <v>Fire Smoke / Heat Detector, Sounder</v>
          </cell>
          <cell r="D6900" t="str">
            <v>Jern Yafoor Primary School</v>
          </cell>
          <cell r="H6900" t="str">
            <v>AD</v>
          </cell>
        </row>
        <row r="6901">
          <cell r="B6901" t="str">
            <v>Fire Smoke / Heat Detector, Sounder</v>
          </cell>
          <cell r="D6901" t="str">
            <v>Jern Yafoor Primary School</v>
          </cell>
          <cell r="H6901" t="str">
            <v>AD</v>
          </cell>
        </row>
        <row r="6902">
          <cell r="B6902" t="str">
            <v>Fire Smoke / Heat Detector, Sounder</v>
          </cell>
          <cell r="D6902" t="str">
            <v>Jern Yafoor Primary School</v>
          </cell>
          <cell r="H6902" t="str">
            <v>AD</v>
          </cell>
        </row>
        <row r="6903">
          <cell r="B6903" t="str">
            <v>Fire Smoke / Heat Detector, Sounder</v>
          </cell>
          <cell r="D6903" t="str">
            <v>Jern Yafoor Primary School</v>
          </cell>
          <cell r="H6903" t="str">
            <v>AD</v>
          </cell>
        </row>
        <row r="6904">
          <cell r="B6904" t="str">
            <v>Fire Smoke / Heat Detector, Sounder</v>
          </cell>
          <cell r="D6904" t="str">
            <v>Jern Yafoor Primary School</v>
          </cell>
          <cell r="H6904" t="str">
            <v>AD</v>
          </cell>
        </row>
        <row r="6905">
          <cell r="B6905" t="str">
            <v>Fire Smoke / Heat Detector, Sounder</v>
          </cell>
          <cell r="D6905" t="str">
            <v>Jern Yafoor Primary School</v>
          </cell>
          <cell r="H6905" t="str">
            <v>AD</v>
          </cell>
        </row>
        <row r="6906">
          <cell r="B6906" t="str">
            <v>Fire Smoke / Heat Detector, Sounder</v>
          </cell>
          <cell r="D6906" t="str">
            <v>Jern Yafoor Primary School</v>
          </cell>
          <cell r="H6906" t="str">
            <v>AD</v>
          </cell>
        </row>
        <row r="6907">
          <cell r="B6907" t="str">
            <v>Fire Smoke / Heat Detector, Sounder</v>
          </cell>
          <cell r="D6907" t="str">
            <v>Jern Yafoor Primary School</v>
          </cell>
          <cell r="H6907" t="str">
            <v>AD</v>
          </cell>
        </row>
        <row r="6908">
          <cell r="B6908" t="str">
            <v>Fire Smoke / Heat Detector, Sounder</v>
          </cell>
          <cell r="D6908" t="str">
            <v>Jern Yafoor Primary School</v>
          </cell>
          <cell r="H6908" t="str">
            <v>AD</v>
          </cell>
        </row>
        <row r="6909">
          <cell r="B6909" t="str">
            <v>Fire Smoke / Heat Detector, Sounder</v>
          </cell>
          <cell r="D6909" t="str">
            <v>Jern Yafoor Primary School</v>
          </cell>
          <cell r="H6909" t="str">
            <v>AD</v>
          </cell>
        </row>
        <row r="6910">
          <cell r="B6910" t="str">
            <v>Fire Smoke / Heat Detector, Sounder</v>
          </cell>
          <cell r="D6910" t="str">
            <v>Jern Yafoor Primary School</v>
          </cell>
          <cell r="H6910" t="str">
            <v>AD</v>
          </cell>
        </row>
        <row r="6911">
          <cell r="B6911" t="str">
            <v>Fire Smoke / Heat Detector, Sounder</v>
          </cell>
          <cell r="D6911" t="str">
            <v>Jern Yafoor Primary School</v>
          </cell>
          <cell r="H6911" t="str">
            <v>AD</v>
          </cell>
        </row>
        <row r="6912">
          <cell r="B6912" t="str">
            <v>Fire Smoke / Heat Detector, Sounder</v>
          </cell>
          <cell r="D6912" t="str">
            <v>Jern Yafoor Primary School</v>
          </cell>
          <cell r="H6912" t="str">
            <v>AD</v>
          </cell>
        </row>
        <row r="6913">
          <cell r="B6913" t="str">
            <v>Fire Smoke / Heat Detector, Sounder</v>
          </cell>
          <cell r="D6913" t="str">
            <v>Jern Yafoor Primary School</v>
          </cell>
          <cell r="H6913" t="str">
            <v>AD</v>
          </cell>
        </row>
        <row r="6914">
          <cell r="B6914" t="str">
            <v>Fire Smoke / Heat Detector, Sounder</v>
          </cell>
          <cell r="D6914" t="str">
            <v>Jern Yafoor Primary School</v>
          </cell>
          <cell r="H6914" t="str">
            <v>AD</v>
          </cell>
        </row>
        <row r="6915">
          <cell r="B6915" t="str">
            <v>Fire Smoke / Heat Detector, Sounder</v>
          </cell>
          <cell r="D6915" t="str">
            <v>Jern Yafoor Primary School</v>
          </cell>
          <cell r="H6915" t="str">
            <v>AD</v>
          </cell>
        </row>
        <row r="6916">
          <cell r="B6916" t="str">
            <v>Fire Smoke / Heat Detector, Sounder</v>
          </cell>
          <cell r="D6916" t="str">
            <v>Jern Yafoor Primary School</v>
          </cell>
          <cell r="H6916" t="str">
            <v>AD</v>
          </cell>
        </row>
        <row r="6917">
          <cell r="B6917" t="str">
            <v>Fire Smoke / Heat Detector, Sounder</v>
          </cell>
          <cell r="D6917" t="str">
            <v>Jern Yafoor Primary School</v>
          </cell>
          <cell r="H6917" t="str">
            <v>AD</v>
          </cell>
        </row>
        <row r="6918">
          <cell r="B6918" t="str">
            <v>Fire Smoke / Heat Detector, Sounder</v>
          </cell>
          <cell r="D6918" t="str">
            <v>Jern Yafoor Primary School</v>
          </cell>
          <cell r="H6918" t="str">
            <v>AD</v>
          </cell>
        </row>
        <row r="6919">
          <cell r="B6919" t="str">
            <v>Fire Smoke / Heat Detector, Sounder</v>
          </cell>
          <cell r="D6919" t="str">
            <v>Jern Yafoor Primary School</v>
          </cell>
          <cell r="H6919" t="str">
            <v>AD</v>
          </cell>
        </row>
        <row r="6920">
          <cell r="B6920" t="str">
            <v>Fire Smoke / Heat Detector, Sounder</v>
          </cell>
          <cell r="D6920" t="str">
            <v>Jern Yafoor Primary School</v>
          </cell>
          <cell r="H6920" t="str">
            <v>AD</v>
          </cell>
        </row>
        <row r="6921">
          <cell r="B6921" t="str">
            <v>Fire Smoke / Heat Detector, Sounder</v>
          </cell>
          <cell r="D6921" t="str">
            <v>Jern Yafoor Primary School</v>
          </cell>
          <cell r="H6921" t="str">
            <v>AD</v>
          </cell>
        </row>
        <row r="6922">
          <cell r="B6922" t="str">
            <v>Fire Smoke / Heat Detector, Sounder</v>
          </cell>
          <cell r="D6922" t="str">
            <v>Jern Yafoor Primary School</v>
          </cell>
          <cell r="H6922" t="str">
            <v>AD</v>
          </cell>
        </row>
        <row r="6923">
          <cell r="B6923" t="str">
            <v>Fire Smoke / Heat Detector, Sounder</v>
          </cell>
          <cell r="D6923" t="str">
            <v>Jern Yafoor Primary School</v>
          </cell>
          <cell r="H6923" t="str">
            <v>AD</v>
          </cell>
        </row>
        <row r="6924">
          <cell r="B6924" t="str">
            <v>Fire Smoke / Heat Detector, Sounder</v>
          </cell>
          <cell r="D6924" t="str">
            <v>Jern Yafoor Primary School</v>
          </cell>
          <cell r="H6924" t="str">
            <v>AD</v>
          </cell>
        </row>
        <row r="6925">
          <cell r="B6925" t="str">
            <v>Fire Smoke / Heat Detector, Sounder</v>
          </cell>
          <cell r="D6925" t="str">
            <v>Jern Yafoor Primary School</v>
          </cell>
          <cell r="H6925" t="str">
            <v>AD</v>
          </cell>
        </row>
        <row r="6926">
          <cell r="B6926" t="str">
            <v>Fire Smoke / Heat Detector, Sounder</v>
          </cell>
          <cell r="D6926" t="str">
            <v>Jern Yafoor Primary School</v>
          </cell>
          <cell r="H6926" t="str">
            <v>AD</v>
          </cell>
        </row>
        <row r="6927">
          <cell r="B6927" t="str">
            <v>Fire Smoke / Heat Detector, Sounder</v>
          </cell>
          <cell r="D6927" t="str">
            <v>Jern Yafoor Primary School</v>
          </cell>
          <cell r="H6927" t="str">
            <v>AD</v>
          </cell>
        </row>
        <row r="6928">
          <cell r="B6928" t="str">
            <v>Fire Smoke / Heat Detector, Sounder</v>
          </cell>
          <cell r="D6928" t="str">
            <v>Jern Yafoor Primary School</v>
          </cell>
          <cell r="H6928" t="str">
            <v>AD</v>
          </cell>
        </row>
        <row r="6929">
          <cell r="B6929" t="str">
            <v>Fire Smoke / Heat Detector, Sounder</v>
          </cell>
          <cell r="D6929" t="str">
            <v>Jern Yafoor Primary School</v>
          </cell>
          <cell r="H6929" t="str">
            <v>AD</v>
          </cell>
        </row>
        <row r="6930">
          <cell r="B6930" t="str">
            <v>Fire Smoke / Heat Detector, Sounder</v>
          </cell>
          <cell r="D6930" t="str">
            <v>Jern Yafoor Primary School</v>
          </cell>
          <cell r="H6930" t="str">
            <v>AD</v>
          </cell>
        </row>
        <row r="6931">
          <cell r="B6931" t="str">
            <v>Fire Smoke / Heat Detector, Sounder</v>
          </cell>
          <cell r="D6931" t="str">
            <v>Jern Yafoor Primary School</v>
          </cell>
          <cell r="H6931" t="str">
            <v>AD</v>
          </cell>
        </row>
        <row r="6932">
          <cell r="B6932" t="str">
            <v>Fire Smoke / Heat Detector, Sounder</v>
          </cell>
          <cell r="D6932" t="str">
            <v>Jern Yafoor Primary School</v>
          </cell>
          <cell r="H6932" t="str">
            <v>AD</v>
          </cell>
        </row>
        <row r="6933">
          <cell r="B6933" t="str">
            <v>Fire Smoke / Heat Detector, Sounder</v>
          </cell>
          <cell r="D6933" t="str">
            <v>Jern Yafoor Primary School</v>
          </cell>
          <cell r="H6933" t="str">
            <v>AD</v>
          </cell>
        </row>
        <row r="6934">
          <cell r="B6934" t="str">
            <v>Fire Smoke / Heat Detector, Sounder</v>
          </cell>
          <cell r="D6934" t="str">
            <v>Jern Yafoor Primary School</v>
          </cell>
          <cell r="H6934" t="str">
            <v>AD</v>
          </cell>
        </row>
        <row r="6935">
          <cell r="B6935" t="str">
            <v>Fire Smoke / Heat Detector, Sounder</v>
          </cell>
          <cell r="D6935" t="str">
            <v>Jern Yafoor Primary School</v>
          </cell>
          <cell r="H6935" t="str">
            <v>AD</v>
          </cell>
        </row>
        <row r="6936">
          <cell r="B6936" t="str">
            <v>Fire Alarm Sounder</v>
          </cell>
          <cell r="D6936" t="str">
            <v>Khadeejah Al Kubrah Primary School</v>
          </cell>
          <cell r="H6936" t="str">
            <v>AD</v>
          </cell>
        </row>
        <row r="6937">
          <cell r="B6937" t="str">
            <v>Fire Alarm Sounder</v>
          </cell>
          <cell r="D6937" t="str">
            <v>Khadeejah Al Kubrah Primary School</v>
          </cell>
          <cell r="H6937" t="str">
            <v>AD</v>
          </cell>
        </row>
        <row r="6938">
          <cell r="B6938" t="str">
            <v>Fire Alarm Sounder</v>
          </cell>
          <cell r="D6938" t="str">
            <v>Khadeejah Al Kubrah Primary School</v>
          </cell>
          <cell r="H6938" t="str">
            <v>AD</v>
          </cell>
        </row>
        <row r="6939">
          <cell r="B6939" t="str">
            <v>Fire Alarm Sounder</v>
          </cell>
          <cell r="D6939" t="str">
            <v>Khadeejah Al Kubrah Primary School</v>
          </cell>
          <cell r="H6939" t="str">
            <v>AD</v>
          </cell>
        </row>
        <row r="6940">
          <cell r="B6940" t="str">
            <v>Fire Alarm Sounder</v>
          </cell>
          <cell r="D6940" t="str">
            <v>Khadeejah Al Kubrah Primary School</v>
          </cell>
          <cell r="H6940" t="str">
            <v>AD</v>
          </cell>
        </row>
        <row r="6941">
          <cell r="B6941" t="str">
            <v>Fire Alarm Sounder</v>
          </cell>
          <cell r="D6941" t="str">
            <v>Khadeejah Al Kubrah Primary School</v>
          </cell>
          <cell r="H6941" t="str">
            <v>AD</v>
          </cell>
        </row>
        <row r="6942">
          <cell r="B6942" t="str">
            <v>Fire Alarm Sounder</v>
          </cell>
          <cell r="D6942" t="str">
            <v>Khadeejah Al Kubrah Primary School</v>
          </cell>
          <cell r="H6942" t="str">
            <v>AD</v>
          </cell>
        </row>
        <row r="6943">
          <cell r="B6943" t="str">
            <v>Fire Alarm Sounder</v>
          </cell>
          <cell r="D6943" t="str">
            <v>Khadeejah Al Kubrah Primary School</v>
          </cell>
          <cell r="H6943" t="str">
            <v>AD</v>
          </cell>
        </row>
        <row r="6944">
          <cell r="B6944" t="str">
            <v>Fire Extinguisher</v>
          </cell>
          <cell r="D6944" t="str">
            <v>Khadeejah Al Kubrah Primary School</v>
          </cell>
          <cell r="H6944" t="str">
            <v>AD</v>
          </cell>
        </row>
        <row r="6945">
          <cell r="B6945" t="str">
            <v>Fire Extinguisher</v>
          </cell>
          <cell r="D6945" t="str">
            <v>Khadeejah Al Kubrah Primary School</v>
          </cell>
          <cell r="H6945" t="str">
            <v>AD</v>
          </cell>
        </row>
        <row r="6946">
          <cell r="B6946" t="str">
            <v>Fire Extinguisher</v>
          </cell>
          <cell r="D6946" t="str">
            <v>Khadeejah Al Kubrah Primary School</v>
          </cell>
          <cell r="H6946" t="str">
            <v>AD</v>
          </cell>
        </row>
        <row r="6947">
          <cell r="B6947" t="str">
            <v>Fire Extinguisher</v>
          </cell>
          <cell r="D6947" t="str">
            <v>Khadeejah Al Kubrah Primary School</v>
          </cell>
          <cell r="H6947" t="str">
            <v>AD</v>
          </cell>
        </row>
        <row r="6948">
          <cell r="B6948" t="str">
            <v>Fire Extinguisher</v>
          </cell>
          <cell r="D6948" t="str">
            <v>Khadeejah Al Kubrah Primary School</v>
          </cell>
          <cell r="H6948" t="str">
            <v>AD</v>
          </cell>
        </row>
        <row r="6949">
          <cell r="B6949" t="str">
            <v>Fire Extinguisher</v>
          </cell>
          <cell r="D6949" t="str">
            <v>Khadeejah Al Kubrah Primary School</v>
          </cell>
          <cell r="H6949" t="str">
            <v>AD</v>
          </cell>
        </row>
        <row r="6950">
          <cell r="B6950" t="str">
            <v>Fire Extinguisher</v>
          </cell>
          <cell r="D6950" t="str">
            <v>Khadeejah Al Kubrah Primary School</v>
          </cell>
          <cell r="H6950" t="str">
            <v>AD</v>
          </cell>
        </row>
        <row r="6951">
          <cell r="B6951" t="str">
            <v>Fire Extinguisher</v>
          </cell>
          <cell r="D6951" t="str">
            <v>Khadeejah Al Kubrah Primary School</v>
          </cell>
          <cell r="H6951" t="str">
            <v>AD</v>
          </cell>
        </row>
        <row r="6952">
          <cell r="B6952" t="str">
            <v>Fire Extinguisher</v>
          </cell>
          <cell r="D6952" t="str">
            <v>Khadeejah Al Kubrah Primary School</v>
          </cell>
          <cell r="H6952" t="str">
            <v>AD</v>
          </cell>
        </row>
        <row r="6953">
          <cell r="B6953" t="str">
            <v>Fire Extinguisher</v>
          </cell>
          <cell r="D6953" t="str">
            <v>Khadeejah Al Kubrah Primary School</v>
          </cell>
          <cell r="H6953" t="str">
            <v>AD</v>
          </cell>
        </row>
        <row r="6954">
          <cell r="B6954" t="str">
            <v>Fire Extinguisher</v>
          </cell>
          <cell r="D6954" t="str">
            <v>Khadeejah Al Kubrah Primary School</v>
          </cell>
          <cell r="H6954" t="str">
            <v>AD</v>
          </cell>
        </row>
        <row r="6955">
          <cell r="B6955" t="str">
            <v>Fire Extinguisher</v>
          </cell>
          <cell r="D6955" t="str">
            <v>Khadeejah Al Kubrah Primary School</v>
          </cell>
          <cell r="H6955" t="str">
            <v>AD</v>
          </cell>
        </row>
        <row r="6956">
          <cell r="B6956" t="str">
            <v>Fire Extinguisher</v>
          </cell>
          <cell r="D6956" t="str">
            <v>Khadeejah Al Kubrah Primary School</v>
          </cell>
          <cell r="H6956" t="str">
            <v>AD</v>
          </cell>
        </row>
        <row r="6957">
          <cell r="B6957" t="str">
            <v>Fire Extinguisher</v>
          </cell>
          <cell r="D6957" t="str">
            <v>Khadeejah Al Kubrah Primary School</v>
          </cell>
          <cell r="H6957" t="str">
            <v>AD</v>
          </cell>
        </row>
        <row r="6958">
          <cell r="B6958" t="str">
            <v>Fire Extinguisher</v>
          </cell>
          <cell r="D6958" t="str">
            <v>Khadeejah Al Kubrah Primary School</v>
          </cell>
          <cell r="H6958" t="str">
            <v>AD</v>
          </cell>
        </row>
        <row r="6959">
          <cell r="B6959" t="str">
            <v>Fire Extinguisher</v>
          </cell>
          <cell r="D6959" t="str">
            <v>Khadeejah Al Kubrah Primary School</v>
          </cell>
          <cell r="H6959" t="str">
            <v>AD</v>
          </cell>
        </row>
        <row r="6960">
          <cell r="B6960" t="str">
            <v>Fire Extinguisher</v>
          </cell>
          <cell r="D6960" t="str">
            <v>Khadeejah Al Kubrah Primary School</v>
          </cell>
          <cell r="H6960" t="str">
            <v>AD</v>
          </cell>
        </row>
        <row r="6961">
          <cell r="B6961" t="str">
            <v>Fire Extinguisher</v>
          </cell>
          <cell r="D6961" t="str">
            <v>Khadeejah Al Kubrah Primary School</v>
          </cell>
          <cell r="H6961" t="str">
            <v>AD</v>
          </cell>
        </row>
        <row r="6962">
          <cell r="B6962" t="str">
            <v>Fire Extinguisher</v>
          </cell>
          <cell r="D6962" t="str">
            <v>Khadeejah Al Kubrah Primary School</v>
          </cell>
          <cell r="H6962" t="str">
            <v>AD</v>
          </cell>
        </row>
        <row r="6963">
          <cell r="B6963" t="str">
            <v>Fire Extinguisher Cabinet</v>
          </cell>
          <cell r="D6963" t="str">
            <v>Khadeejah Al Kubrah Primary School</v>
          </cell>
          <cell r="H6963" t="str">
            <v>AD</v>
          </cell>
        </row>
        <row r="6964">
          <cell r="B6964" t="str">
            <v>Fire Extinguisher Cabinet</v>
          </cell>
          <cell r="D6964" t="str">
            <v>Khadeejah Al Kubrah Primary School</v>
          </cell>
          <cell r="H6964" t="str">
            <v>AD</v>
          </cell>
        </row>
        <row r="6965">
          <cell r="B6965" t="str">
            <v>Fire Extinguisher Cabinet</v>
          </cell>
          <cell r="D6965" t="str">
            <v>Khadeejah Al Kubrah Primary School</v>
          </cell>
          <cell r="H6965" t="str">
            <v>AD</v>
          </cell>
        </row>
        <row r="6966">
          <cell r="B6966" t="str">
            <v>Fire Extinguisher Cabinet</v>
          </cell>
          <cell r="D6966" t="str">
            <v>Khadeejah Al Kubrah Primary School</v>
          </cell>
          <cell r="H6966" t="str">
            <v>AD</v>
          </cell>
        </row>
        <row r="6967">
          <cell r="B6967" t="str">
            <v>Fire Extinguisher Cabinet</v>
          </cell>
          <cell r="D6967" t="str">
            <v>Khadeejah Al Kubrah Primary School</v>
          </cell>
          <cell r="H6967" t="str">
            <v>AD</v>
          </cell>
        </row>
        <row r="6968">
          <cell r="B6968" t="str">
            <v>Fire Extinguisher Cabinet</v>
          </cell>
          <cell r="D6968" t="str">
            <v>Khadeejah Al Kubrah Primary School</v>
          </cell>
          <cell r="H6968" t="str">
            <v>AD</v>
          </cell>
        </row>
        <row r="6969">
          <cell r="B6969" t="str">
            <v>Fire Extinguisher Cabinet</v>
          </cell>
          <cell r="D6969" t="str">
            <v>Khadeejah Al Kubrah Primary School</v>
          </cell>
          <cell r="H6969" t="str">
            <v>AD</v>
          </cell>
        </row>
        <row r="6970">
          <cell r="B6970" t="str">
            <v>Fire Extinguisher Cabinet</v>
          </cell>
          <cell r="D6970" t="str">
            <v>Khadeejah Al Kubrah Primary School</v>
          </cell>
          <cell r="H6970" t="str">
            <v>AD</v>
          </cell>
        </row>
        <row r="6971">
          <cell r="B6971" t="str">
            <v>Fire Extinguisher Cabinet</v>
          </cell>
          <cell r="D6971" t="str">
            <v>Khadeejah Al Kubrah Primary School</v>
          </cell>
          <cell r="H6971" t="str">
            <v>AD</v>
          </cell>
        </row>
        <row r="6972">
          <cell r="B6972" t="str">
            <v>Fire Hose Cabinet</v>
          </cell>
          <cell r="D6972" t="str">
            <v>Khadeejah Al Kubrah Primary School</v>
          </cell>
          <cell r="H6972" t="str">
            <v>AD</v>
          </cell>
        </row>
        <row r="6973">
          <cell r="B6973" t="str">
            <v>Fire Hose Cabinet</v>
          </cell>
          <cell r="D6973" t="str">
            <v>Khadeejah Al Kubrah Primary School</v>
          </cell>
          <cell r="H6973" t="str">
            <v>AD</v>
          </cell>
        </row>
        <row r="6974">
          <cell r="B6974" t="str">
            <v>Fire Hose Cabinet</v>
          </cell>
          <cell r="D6974" t="str">
            <v>Khadeejah Al Kubrah Primary School</v>
          </cell>
          <cell r="H6974" t="str">
            <v>AD</v>
          </cell>
        </row>
        <row r="6975">
          <cell r="B6975" t="str">
            <v>Fire Hose Cabinet</v>
          </cell>
          <cell r="D6975" t="str">
            <v>Khadeejah Al Kubrah Primary School</v>
          </cell>
          <cell r="H6975" t="str">
            <v>AD</v>
          </cell>
        </row>
        <row r="6976">
          <cell r="B6976" t="str">
            <v>Fire Hose Reel</v>
          </cell>
          <cell r="D6976" t="str">
            <v>Khadeejah Al Kubrah Primary School</v>
          </cell>
          <cell r="H6976" t="str">
            <v>AD</v>
          </cell>
        </row>
        <row r="6977">
          <cell r="B6977" t="str">
            <v>Fire Hose Reel</v>
          </cell>
          <cell r="D6977" t="str">
            <v>Khadeejah Al Kubrah Primary School</v>
          </cell>
          <cell r="H6977" t="str">
            <v>AD</v>
          </cell>
        </row>
        <row r="6978">
          <cell r="B6978" t="str">
            <v>Fire Hose Reel</v>
          </cell>
          <cell r="D6978" t="str">
            <v>Khadeejah Al Kubrah Primary School</v>
          </cell>
          <cell r="H6978" t="str">
            <v>AD</v>
          </cell>
        </row>
        <row r="6979">
          <cell r="B6979" t="str">
            <v>Smoke Detector &amp; Heat Detector</v>
          </cell>
          <cell r="D6979" t="str">
            <v>Khadeejah Al Kubrah Primary School</v>
          </cell>
          <cell r="H6979" t="str">
            <v>AD</v>
          </cell>
        </row>
        <row r="6980">
          <cell r="B6980" t="str">
            <v>Smoke Detector &amp; Heat Detector</v>
          </cell>
          <cell r="D6980" t="str">
            <v>Khadeejah Al Kubrah Primary School</v>
          </cell>
          <cell r="H6980" t="str">
            <v>AD</v>
          </cell>
        </row>
        <row r="6981">
          <cell r="B6981" t="str">
            <v>Smoke Detector &amp; Heat Detector</v>
          </cell>
          <cell r="D6981" t="str">
            <v>Khadeejah Al Kubrah Primary School</v>
          </cell>
          <cell r="H6981" t="str">
            <v>AD</v>
          </cell>
        </row>
        <row r="6982">
          <cell r="B6982" t="str">
            <v>Smoke Detector &amp; Heat Detector</v>
          </cell>
          <cell r="D6982" t="str">
            <v>Khadeejah Al Kubrah Primary School</v>
          </cell>
          <cell r="H6982" t="str">
            <v>AD</v>
          </cell>
        </row>
        <row r="6983">
          <cell r="B6983" t="str">
            <v>Smoke Detector &amp; Heat Detector</v>
          </cell>
          <cell r="D6983" t="str">
            <v>Khadeejah Al Kubrah Primary School</v>
          </cell>
          <cell r="H6983" t="str">
            <v>AD</v>
          </cell>
        </row>
        <row r="6984">
          <cell r="B6984" t="str">
            <v>Smoke Detector &amp; Heat Detector</v>
          </cell>
          <cell r="D6984" t="str">
            <v>Khadeejah Al Kubrah Primary School</v>
          </cell>
          <cell r="H6984" t="str">
            <v>AD</v>
          </cell>
        </row>
        <row r="6985">
          <cell r="B6985" t="str">
            <v>Smoke Detector &amp; Heat Detector</v>
          </cell>
          <cell r="D6985" t="str">
            <v>Khadeejah Al Kubrah Primary School</v>
          </cell>
          <cell r="H6985" t="str">
            <v>AD</v>
          </cell>
        </row>
        <row r="6986">
          <cell r="B6986" t="str">
            <v>Smoke Detector &amp; Heat Detector</v>
          </cell>
          <cell r="D6986" t="str">
            <v>Khadeejah Al Kubrah Primary School</v>
          </cell>
          <cell r="H6986" t="str">
            <v>AD</v>
          </cell>
        </row>
        <row r="6987">
          <cell r="B6987" t="str">
            <v>Smoke Detector &amp; Heat Detector</v>
          </cell>
          <cell r="D6987" t="str">
            <v>Khadeejah Al Kubrah Primary School</v>
          </cell>
          <cell r="H6987" t="str">
            <v>AD</v>
          </cell>
        </row>
        <row r="6988">
          <cell r="B6988" t="str">
            <v>Smoke Detector &amp; Heat Detector</v>
          </cell>
          <cell r="D6988" t="str">
            <v>Khadeejah Al Kubrah Primary School</v>
          </cell>
          <cell r="H6988" t="str">
            <v>AD</v>
          </cell>
        </row>
        <row r="6989">
          <cell r="B6989" t="str">
            <v>Smoke Detector &amp; Heat Detector</v>
          </cell>
          <cell r="D6989" t="str">
            <v>Khadeejah Al Kubrah Primary School</v>
          </cell>
          <cell r="H6989" t="str">
            <v>AD</v>
          </cell>
        </row>
        <row r="6990">
          <cell r="B6990" t="str">
            <v>Smoke Detector &amp; Heat Detector</v>
          </cell>
          <cell r="D6990" t="str">
            <v>Khadeejah Al Kubrah Primary School</v>
          </cell>
          <cell r="H6990" t="str">
            <v>AD</v>
          </cell>
        </row>
        <row r="6991">
          <cell r="B6991" t="str">
            <v>Smoke Detector &amp; Heat Detector</v>
          </cell>
          <cell r="D6991" t="str">
            <v>Khadeejah Al Kubrah Primary School</v>
          </cell>
          <cell r="H6991" t="str">
            <v>AD</v>
          </cell>
        </row>
        <row r="6992">
          <cell r="B6992" t="str">
            <v>Smoke Detector &amp; Heat Detector</v>
          </cell>
          <cell r="D6992" t="str">
            <v>Khadeejah Al Kubrah Primary School</v>
          </cell>
          <cell r="H6992" t="str">
            <v>AD</v>
          </cell>
        </row>
        <row r="6993">
          <cell r="B6993" t="str">
            <v>Smoke Detector &amp; Heat Detector</v>
          </cell>
          <cell r="D6993" t="str">
            <v>Khadeejah Al Kubrah Primary School</v>
          </cell>
          <cell r="H6993" t="str">
            <v>AD</v>
          </cell>
        </row>
        <row r="6994">
          <cell r="B6994" t="str">
            <v>Smoke Detector &amp; Heat Detector</v>
          </cell>
          <cell r="D6994" t="str">
            <v>Khadeejah Al Kubrah Primary School</v>
          </cell>
          <cell r="H6994" t="str">
            <v>AD</v>
          </cell>
        </row>
        <row r="6995">
          <cell r="B6995" t="str">
            <v>Smoke Detector &amp; Heat Detector</v>
          </cell>
          <cell r="D6995" t="str">
            <v>Khadeejah Al Kubrah Primary School</v>
          </cell>
          <cell r="H6995" t="str">
            <v>AD</v>
          </cell>
        </row>
        <row r="6996">
          <cell r="B6996" t="str">
            <v>Smoke Detector &amp; Heat Detector</v>
          </cell>
          <cell r="D6996" t="str">
            <v>Khadeejah Al Kubrah Primary School</v>
          </cell>
          <cell r="H6996" t="str">
            <v>AD</v>
          </cell>
        </row>
        <row r="6997">
          <cell r="B6997" t="str">
            <v>Smoke Detector &amp; Heat Detector</v>
          </cell>
          <cell r="D6997" t="str">
            <v>Khadeejah Al Kubrah Primary School</v>
          </cell>
          <cell r="H6997" t="str">
            <v>AD</v>
          </cell>
        </row>
        <row r="6998">
          <cell r="B6998" t="str">
            <v>Smoke Detector &amp; Heat Detector</v>
          </cell>
          <cell r="D6998" t="str">
            <v>Khadeejah Al Kubrah Primary School</v>
          </cell>
          <cell r="H6998" t="str">
            <v>AD</v>
          </cell>
        </row>
        <row r="6999">
          <cell r="B6999" t="str">
            <v>Smoke Detector &amp; Heat Detector</v>
          </cell>
          <cell r="D6999" t="str">
            <v>Khadeejah Al Kubrah Primary School</v>
          </cell>
          <cell r="H6999" t="str">
            <v>AD</v>
          </cell>
        </row>
        <row r="7000">
          <cell r="B7000" t="str">
            <v>Smoke Detector &amp; Heat Detector</v>
          </cell>
          <cell r="D7000" t="str">
            <v>Khadeejah Al Kubrah Primary School</v>
          </cell>
          <cell r="H7000" t="str">
            <v>AD</v>
          </cell>
        </row>
        <row r="7001">
          <cell r="B7001" t="str">
            <v>Smoke Detector &amp; Heat Detector</v>
          </cell>
          <cell r="D7001" t="str">
            <v>Khadeejah Al Kubrah Primary School</v>
          </cell>
          <cell r="H7001" t="str">
            <v>AD</v>
          </cell>
        </row>
        <row r="7002">
          <cell r="B7002" t="str">
            <v>Smoke Detector &amp; Heat Detector</v>
          </cell>
          <cell r="D7002" t="str">
            <v>Khadeejah Al Kubrah Primary School</v>
          </cell>
          <cell r="H7002" t="str">
            <v>AD</v>
          </cell>
        </row>
        <row r="7003">
          <cell r="B7003" t="str">
            <v>Smoke Detector &amp; Heat Detector</v>
          </cell>
          <cell r="D7003" t="str">
            <v>Khadeejah Al Kubrah Primary School</v>
          </cell>
          <cell r="H7003" t="str">
            <v>AD</v>
          </cell>
        </row>
        <row r="7004">
          <cell r="B7004" t="str">
            <v>Smoke Detector &amp; Heat Detector</v>
          </cell>
          <cell r="D7004" t="str">
            <v>Khadeejah Al Kubrah Primary School</v>
          </cell>
          <cell r="H7004" t="str">
            <v>AD</v>
          </cell>
        </row>
        <row r="7005">
          <cell r="B7005" t="str">
            <v>Smoke Detector &amp; Heat Detector</v>
          </cell>
          <cell r="D7005" t="str">
            <v>Khadeejah Al Kubrah Primary School</v>
          </cell>
          <cell r="H7005" t="str">
            <v>AD</v>
          </cell>
        </row>
        <row r="7006">
          <cell r="B7006" t="str">
            <v>Smoke Detector &amp; Heat Detector</v>
          </cell>
          <cell r="D7006" t="str">
            <v>Khadeejah Al Kubrah Primary School</v>
          </cell>
          <cell r="H7006" t="str">
            <v>AD</v>
          </cell>
        </row>
        <row r="7007">
          <cell r="B7007" t="str">
            <v>Smoke Detector &amp; Heat Detector</v>
          </cell>
          <cell r="D7007" t="str">
            <v>Khadeejah Al Kubrah Primary School</v>
          </cell>
          <cell r="H7007" t="str">
            <v>AD</v>
          </cell>
        </row>
        <row r="7008">
          <cell r="B7008" t="str">
            <v>Smoke Detector &amp; Heat Detector</v>
          </cell>
          <cell r="D7008" t="str">
            <v>Khadeejah Al Kubrah Primary School</v>
          </cell>
          <cell r="H7008" t="str">
            <v>AD</v>
          </cell>
        </row>
        <row r="7009">
          <cell r="B7009" t="str">
            <v>Smoke Detector &amp; Heat Detector</v>
          </cell>
          <cell r="D7009" t="str">
            <v>Khadeejah Al Kubrah Primary School</v>
          </cell>
          <cell r="H7009" t="str">
            <v>AD</v>
          </cell>
        </row>
        <row r="7010">
          <cell r="B7010" t="str">
            <v>Smoke Detector &amp; Heat Detector</v>
          </cell>
          <cell r="D7010" t="str">
            <v>Khadeejah Al Kubrah Primary School</v>
          </cell>
          <cell r="H7010" t="str">
            <v>AD</v>
          </cell>
        </row>
        <row r="7011">
          <cell r="B7011" t="str">
            <v>Smoke Detector &amp; Heat Detector</v>
          </cell>
          <cell r="D7011" t="str">
            <v>Khadeejah Al Kubrah Primary School</v>
          </cell>
          <cell r="H7011" t="str">
            <v>AD</v>
          </cell>
        </row>
        <row r="7012">
          <cell r="B7012" t="str">
            <v>Smoke Detector &amp; Heat Detector</v>
          </cell>
          <cell r="D7012" t="str">
            <v>Khadeejah Al Kubrah Primary School</v>
          </cell>
          <cell r="H7012" t="str">
            <v>AD</v>
          </cell>
        </row>
        <row r="7013">
          <cell r="B7013" t="str">
            <v>Smoke Detector &amp; Heat Detector</v>
          </cell>
          <cell r="D7013" t="str">
            <v>Khadeejah Al Kubrah Primary School</v>
          </cell>
          <cell r="H7013" t="str">
            <v>AD</v>
          </cell>
        </row>
        <row r="7014">
          <cell r="B7014" t="str">
            <v>Smoke Detector &amp; Heat Detector</v>
          </cell>
          <cell r="D7014" t="str">
            <v>Khadeejah Al Kubrah Primary School</v>
          </cell>
          <cell r="H7014" t="str">
            <v>AD</v>
          </cell>
        </row>
        <row r="7015">
          <cell r="B7015" t="str">
            <v>Smoke Detector &amp; Heat Detector</v>
          </cell>
          <cell r="D7015" t="str">
            <v>Khadeejah Al Kubrah Primary School</v>
          </cell>
          <cell r="H7015" t="str">
            <v>AD</v>
          </cell>
        </row>
        <row r="7016">
          <cell r="B7016" t="str">
            <v>Smoke Detector &amp; Heat Detector</v>
          </cell>
          <cell r="D7016" t="str">
            <v>Khadeejah Al Kubrah Primary School</v>
          </cell>
          <cell r="H7016" t="str">
            <v>AD</v>
          </cell>
        </row>
        <row r="7017">
          <cell r="B7017" t="str">
            <v>Smoke Detector &amp; Heat Detector</v>
          </cell>
          <cell r="D7017" t="str">
            <v>Khadeejah Al Kubrah Primary School</v>
          </cell>
          <cell r="H7017" t="str">
            <v>AD</v>
          </cell>
        </row>
        <row r="7018">
          <cell r="B7018" t="str">
            <v>Water Tank</v>
          </cell>
          <cell r="D7018" t="str">
            <v>Khadeejah Al Kubrah Primary School</v>
          </cell>
          <cell r="H7018" t="str">
            <v>AD</v>
          </cell>
        </row>
        <row r="7019">
          <cell r="B7019" t="str">
            <v>Water Tank</v>
          </cell>
          <cell r="D7019" t="str">
            <v>Khadeejah Al Kubrah Primary School</v>
          </cell>
          <cell r="H7019" t="str">
            <v>AD</v>
          </cell>
        </row>
        <row r="7020">
          <cell r="B7020" t="str">
            <v>CCTV Camera</v>
          </cell>
          <cell r="D7020" t="str">
            <v xml:space="preserve">Khalifa ben Zayed Sec. School                                               </v>
          </cell>
          <cell r="H7020" t="str">
            <v>AA</v>
          </cell>
        </row>
        <row r="7021">
          <cell r="B7021" t="str">
            <v>CCTV Camera</v>
          </cell>
          <cell r="D7021" t="str">
            <v xml:space="preserve">Khalifa ben Zayed Sec. School                                               </v>
          </cell>
          <cell r="H7021" t="str">
            <v>AA</v>
          </cell>
        </row>
        <row r="7022">
          <cell r="B7022" t="str">
            <v>CCTV Camera</v>
          </cell>
          <cell r="D7022" t="str">
            <v xml:space="preserve">Khalifa ben Zayed Sec. School                                               </v>
          </cell>
          <cell r="H7022" t="str">
            <v>AA</v>
          </cell>
        </row>
        <row r="7023">
          <cell r="B7023" t="str">
            <v>CCTV Camera</v>
          </cell>
          <cell r="D7023" t="str">
            <v xml:space="preserve">Khalifa ben Zayed Sec. School                                               </v>
          </cell>
          <cell r="H7023" t="str">
            <v>AA</v>
          </cell>
        </row>
        <row r="7024">
          <cell r="B7024" t="str">
            <v>CCTV Camera</v>
          </cell>
          <cell r="D7024" t="str">
            <v xml:space="preserve">Khalifa ben Zayed Sec. School                                               </v>
          </cell>
          <cell r="H7024" t="str">
            <v>AA</v>
          </cell>
        </row>
        <row r="7025">
          <cell r="B7025" t="str">
            <v>CCTV Camera</v>
          </cell>
          <cell r="D7025" t="str">
            <v xml:space="preserve">Khalifa ben Zayed Sec. School                                               </v>
          </cell>
          <cell r="H7025" t="str">
            <v>AA</v>
          </cell>
        </row>
        <row r="7026">
          <cell r="B7026" t="str">
            <v>CCTV Camera</v>
          </cell>
          <cell r="D7026" t="str">
            <v xml:space="preserve">Khalifa ben Zayed Sec. School                                               </v>
          </cell>
          <cell r="H7026" t="str">
            <v>AA</v>
          </cell>
        </row>
        <row r="7027">
          <cell r="B7027" t="str">
            <v>Finger Print Machine</v>
          </cell>
          <cell r="D7027" t="str">
            <v xml:space="preserve">Khalifa ben Zayed Sec. School                                               </v>
          </cell>
          <cell r="H7027" t="str">
            <v>AA</v>
          </cell>
        </row>
        <row r="7028">
          <cell r="B7028" t="str">
            <v>Fire Alarm</v>
          </cell>
          <cell r="D7028" t="str">
            <v xml:space="preserve">Khalifa ben Zayed Sec. School                                               </v>
          </cell>
          <cell r="H7028" t="str">
            <v>AA</v>
          </cell>
        </row>
        <row r="7029">
          <cell r="B7029" t="str">
            <v>Fire Alarm</v>
          </cell>
          <cell r="D7029" t="str">
            <v xml:space="preserve">Khalifa ben Zayed Sec. School                                               </v>
          </cell>
          <cell r="H7029" t="str">
            <v>AA</v>
          </cell>
        </row>
        <row r="7030">
          <cell r="B7030" t="str">
            <v>Fire Alarm Panel</v>
          </cell>
          <cell r="D7030" t="str">
            <v xml:space="preserve">Khalifa ben Zayed Sec. School                                               </v>
          </cell>
          <cell r="H7030" t="str">
            <v>AA</v>
          </cell>
        </row>
        <row r="7031">
          <cell r="B7031" t="str">
            <v>Fire Break Glass</v>
          </cell>
          <cell r="D7031" t="str">
            <v xml:space="preserve">Khalifa ben Zayed Sec. School                                               </v>
          </cell>
          <cell r="H7031" t="str">
            <v>AA</v>
          </cell>
        </row>
        <row r="7032">
          <cell r="B7032" t="str">
            <v>Fire Break Glass</v>
          </cell>
          <cell r="D7032" t="str">
            <v xml:space="preserve">Khalifa ben Zayed Sec. School                                               </v>
          </cell>
          <cell r="H7032" t="str">
            <v>AA</v>
          </cell>
        </row>
        <row r="7033">
          <cell r="B7033" t="str">
            <v>Fire Break Glass</v>
          </cell>
          <cell r="D7033" t="str">
            <v xml:space="preserve">Khalifa ben Zayed Sec. School                                               </v>
          </cell>
          <cell r="H7033" t="str">
            <v>AA</v>
          </cell>
        </row>
        <row r="7034">
          <cell r="B7034" t="str">
            <v>Fire Break Glass</v>
          </cell>
          <cell r="D7034" t="str">
            <v xml:space="preserve">Khalifa ben Zayed Sec. School                                               </v>
          </cell>
          <cell r="H7034" t="str">
            <v>AA</v>
          </cell>
        </row>
        <row r="7035">
          <cell r="B7035" t="str">
            <v>Fire Break Glass</v>
          </cell>
          <cell r="D7035" t="str">
            <v xml:space="preserve">Khalifa ben Zayed Sec. School                                               </v>
          </cell>
          <cell r="H7035" t="str">
            <v>AA</v>
          </cell>
        </row>
        <row r="7036">
          <cell r="B7036" t="str">
            <v>Fire Break Glass</v>
          </cell>
          <cell r="D7036" t="str">
            <v xml:space="preserve">Khalifa ben Zayed Sec. School                                               </v>
          </cell>
          <cell r="H7036" t="str">
            <v>AA</v>
          </cell>
        </row>
        <row r="7037">
          <cell r="B7037" t="str">
            <v>Fire Break Glass</v>
          </cell>
          <cell r="D7037" t="str">
            <v xml:space="preserve">Khalifa ben Zayed Sec. School                                               </v>
          </cell>
          <cell r="H7037" t="str">
            <v>AA</v>
          </cell>
        </row>
        <row r="7038">
          <cell r="B7038" t="str">
            <v>Fire Break Glass</v>
          </cell>
          <cell r="D7038" t="str">
            <v xml:space="preserve">Khalifa ben Zayed Sec. School                                               </v>
          </cell>
          <cell r="H7038" t="str">
            <v>AA</v>
          </cell>
        </row>
        <row r="7039">
          <cell r="B7039" t="str">
            <v>Fire Break Glass</v>
          </cell>
          <cell r="D7039" t="str">
            <v xml:space="preserve">Khalifa ben Zayed Sec. School                                               </v>
          </cell>
          <cell r="H7039" t="str">
            <v>AA</v>
          </cell>
        </row>
        <row r="7040">
          <cell r="B7040" t="str">
            <v>Fire Break Glass</v>
          </cell>
          <cell r="D7040" t="str">
            <v xml:space="preserve">Khalifa ben Zayed Sec. School                                               </v>
          </cell>
          <cell r="H7040" t="str">
            <v>AA</v>
          </cell>
        </row>
        <row r="7041">
          <cell r="B7041" t="str">
            <v>Fire Extinguisher</v>
          </cell>
          <cell r="D7041" t="str">
            <v xml:space="preserve">Khalifa ben Zayed Sec. School                                               </v>
          </cell>
          <cell r="H7041" t="str">
            <v>AA</v>
          </cell>
        </row>
        <row r="7042">
          <cell r="B7042" t="str">
            <v>Fire Extinguisher</v>
          </cell>
          <cell r="D7042" t="str">
            <v xml:space="preserve">Khalifa ben Zayed Sec. School                                               </v>
          </cell>
          <cell r="H7042" t="str">
            <v>AA</v>
          </cell>
        </row>
        <row r="7043">
          <cell r="B7043" t="str">
            <v>Fire Extinguisher</v>
          </cell>
          <cell r="D7043" t="str">
            <v xml:space="preserve">Khalifa ben Zayed Sec. School                                               </v>
          </cell>
          <cell r="H7043" t="str">
            <v>AA</v>
          </cell>
        </row>
        <row r="7044">
          <cell r="B7044" t="str">
            <v>Fire Extinguisher</v>
          </cell>
          <cell r="D7044" t="str">
            <v xml:space="preserve">Khalifa ben Zayed Sec. School                                               </v>
          </cell>
          <cell r="H7044" t="str">
            <v>AA</v>
          </cell>
        </row>
        <row r="7045">
          <cell r="B7045" t="str">
            <v>Fire Extinguisher</v>
          </cell>
          <cell r="D7045" t="str">
            <v xml:space="preserve">Khalifa ben Zayed Sec. School                                               </v>
          </cell>
          <cell r="H7045" t="str">
            <v>AA</v>
          </cell>
        </row>
        <row r="7046">
          <cell r="B7046" t="str">
            <v>Fire Extinguisher</v>
          </cell>
          <cell r="D7046" t="str">
            <v xml:space="preserve">Khalifa ben Zayed Sec. School                                               </v>
          </cell>
          <cell r="H7046" t="str">
            <v>AA</v>
          </cell>
        </row>
        <row r="7047">
          <cell r="B7047" t="str">
            <v>Fire Extinguisher</v>
          </cell>
          <cell r="D7047" t="str">
            <v xml:space="preserve">Khalifa ben Zayed Sec. School                                               </v>
          </cell>
          <cell r="H7047" t="str">
            <v>AA</v>
          </cell>
        </row>
        <row r="7048">
          <cell r="B7048" t="str">
            <v>Fire Extinguisher</v>
          </cell>
          <cell r="D7048" t="str">
            <v xml:space="preserve">Khalifa ben Zayed Sec. School                                               </v>
          </cell>
          <cell r="H7048" t="str">
            <v>AA</v>
          </cell>
        </row>
        <row r="7049">
          <cell r="B7049" t="str">
            <v>Fire Extinguisher</v>
          </cell>
          <cell r="D7049" t="str">
            <v xml:space="preserve">Khalifa ben Zayed Sec. School                                               </v>
          </cell>
          <cell r="H7049" t="str">
            <v>AA</v>
          </cell>
        </row>
        <row r="7050">
          <cell r="B7050" t="str">
            <v>Fire Extinguisher</v>
          </cell>
          <cell r="D7050" t="str">
            <v xml:space="preserve">Khalifa ben Zayed Sec. School                                               </v>
          </cell>
          <cell r="H7050" t="str">
            <v>AA</v>
          </cell>
        </row>
        <row r="7051">
          <cell r="B7051" t="str">
            <v>Fire Extinguisher</v>
          </cell>
          <cell r="D7051" t="str">
            <v xml:space="preserve">Khalifa ben Zayed Sec. School                                               </v>
          </cell>
          <cell r="H7051" t="str">
            <v>AA</v>
          </cell>
        </row>
        <row r="7052">
          <cell r="B7052" t="str">
            <v>Fire Extinguisher</v>
          </cell>
          <cell r="D7052" t="str">
            <v xml:space="preserve">Khalifa ben Zayed Sec. School                                               </v>
          </cell>
          <cell r="H7052" t="str">
            <v>AA</v>
          </cell>
        </row>
        <row r="7053">
          <cell r="B7053" t="str">
            <v>Fire Extinguisher</v>
          </cell>
          <cell r="D7053" t="str">
            <v xml:space="preserve">Khalifa ben Zayed Sec. School                                               </v>
          </cell>
          <cell r="H7053" t="str">
            <v>AA</v>
          </cell>
        </row>
        <row r="7054">
          <cell r="B7054" t="str">
            <v>Fire Extinguisher</v>
          </cell>
          <cell r="D7054" t="str">
            <v xml:space="preserve">Khalifa ben Zayed Sec. School                                               </v>
          </cell>
          <cell r="H7054" t="str">
            <v>AA</v>
          </cell>
        </row>
        <row r="7055">
          <cell r="B7055" t="str">
            <v>Fire Extinguisher</v>
          </cell>
          <cell r="D7055" t="str">
            <v xml:space="preserve">Khalifa ben Zayed Sec. School                                               </v>
          </cell>
          <cell r="H7055" t="str">
            <v>AA</v>
          </cell>
        </row>
        <row r="7056">
          <cell r="B7056" t="str">
            <v>Fire Hose Reel</v>
          </cell>
          <cell r="D7056" t="str">
            <v xml:space="preserve">Khalifa ben Zayed Sec. School                                               </v>
          </cell>
          <cell r="H7056" t="str">
            <v>AA</v>
          </cell>
        </row>
        <row r="7057">
          <cell r="B7057" t="str">
            <v>Fire Hose Reel</v>
          </cell>
          <cell r="D7057" t="str">
            <v xml:space="preserve">Khalifa ben Zayed Sec. School                                               </v>
          </cell>
          <cell r="H7057" t="str">
            <v>AA</v>
          </cell>
        </row>
        <row r="7058">
          <cell r="B7058" t="str">
            <v>Fire Hose Reel</v>
          </cell>
          <cell r="D7058" t="str">
            <v xml:space="preserve">Khalifa ben Zayed Sec. School                                               </v>
          </cell>
          <cell r="H7058" t="str">
            <v>AA</v>
          </cell>
        </row>
        <row r="7059">
          <cell r="B7059" t="str">
            <v>Fire Hose Reel</v>
          </cell>
          <cell r="D7059" t="str">
            <v xml:space="preserve">Khalifa ben Zayed Sec. School                                               </v>
          </cell>
          <cell r="H7059" t="str">
            <v>AA</v>
          </cell>
        </row>
        <row r="7060">
          <cell r="B7060" t="str">
            <v>Fire Hose Reel</v>
          </cell>
          <cell r="D7060" t="str">
            <v xml:space="preserve">Khalifa ben Zayed Sec. School                                               </v>
          </cell>
          <cell r="H7060" t="str">
            <v>AA</v>
          </cell>
        </row>
        <row r="7061">
          <cell r="B7061" t="str">
            <v>Fire Hose Reel</v>
          </cell>
          <cell r="D7061" t="str">
            <v xml:space="preserve">Khalifa ben Zayed Sec. School                                               </v>
          </cell>
          <cell r="H7061" t="str">
            <v>AA</v>
          </cell>
        </row>
        <row r="7062">
          <cell r="B7062" t="str">
            <v>Fire Hose Reel</v>
          </cell>
          <cell r="D7062" t="str">
            <v xml:space="preserve">Khalifa ben Zayed Sec. School                                               </v>
          </cell>
          <cell r="H7062" t="str">
            <v>AA</v>
          </cell>
        </row>
        <row r="7063">
          <cell r="B7063" t="str">
            <v>Fire Hose Reel</v>
          </cell>
          <cell r="D7063" t="str">
            <v xml:space="preserve">Khalifa ben Zayed Sec. School                                               </v>
          </cell>
          <cell r="H7063" t="str">
            <v>AA</v>
          </cell>
        </row>
        <row r="7064">
          <cell r="B7064" t="str">
            <v>Fire Hose Reel</v>
          </cell>
          <cell r="D7064" t="str">
            <v xml:space="preserve">Khalifa ben Zayed Sec. School                                               </v>
          </cell>
          <cell r="H7064" t="str">
            <v>AA</v>
          </cell>
        </row>
        <row r="7065">
          <cell r="B7065" t="str">
            <v>Fire Hose Reel</v>
          </cell>
          <cell r="D7065" t="str">
            <v xml:space="preserve">Khalifa ben Zayed Sec. School                                               </v>
          </cell>
          <cell r="H7065" t="str">
            <v>AA</v>
          </cell>
        </row>
        <row r="7066">
          <cell r="B7066" t="str">
            <v>Fire Hose Reel</v>
          </cell>
          <cell r="D7066" t="str">
            <v xml:space="preserve">Khalifa ben Zayed Sec. School                                               </v>
          </cell>
          <cell r="H7066" t="str">
            <v>AA</v>
          </cell>
        </row>
        <row r="7067">
          <cell r="B7067" t="str">
            <v>Fire Hose Reel</v>
          </cell>
          <cell r="D7067" t="str">
            <v xml:space="preserve">Khalifa ben Zayed Sec. School                                               </v>
          </cell>
          <cell r="H7067" t="str">
            <v>AA</v>
          </cell>
        </row>
        <row r="7068">
          <cell r="B7068" t="str">
            <v>Fire Hose Reel</v>
          </cell>
          <cell r="D7068" t="str">
            <v xml:space="preserve">Khalifa ben Zayed Sec. School                                               </v>
          </cell>
          <cell r="H7068" t="str">
            <v>AA</v>
          </cell>
        </row>
        <row r="7069">
          <cell r="B7069" t="str">
            <v>Fire Hose Reel</v>
          </cell>
          <cell r="D7069" t="str">
            <v xml:space="preserve">Khalifa ben Zayed Sec. School                                               </v>
          </cell>
          <cell r="H7069" t="str">
            <v>AA</v>
          </cell>
        </row>
        <row r="7070">
          <cell r="B7070" t="str">
            <v>Fire Hose Reel</v>
          </cell>
          <cell r="D7070" t="str">
            <v xml:space="preserve">Khalifa ben Zayed Sec. School                                               </v>
          </cell>
          <cell r="H7070" t="str">
            <v>AA</v>
          </cell>
        </row>
        <row r="7071">
          <cell r="B7071" t="str">
            <v>Fire Hose Reel</v>
          </cell>
          <cell r="D7071" t="str">
            <v xml:space="preserve">Khalifa ben Zayed Sec. School                                               </v>
          </cell>
          <cell r="H7071" t="str">
            <v>AA</v>
          </cell>
        </row>
        <row r="7072">
          <cell r="B7072" t="str">
            <v>Fire Hose Reel</v>
          </cell>
          <cell r="D7072" t="str">
            <v xml:space="preserve">Khalifa ben Zayed Sec. School                                               </v>
          </cell>
          <cell r="H7072" t="str">
            <v>AA</v>
          </cell>
        </row>
        <row r="7073">
          <cell r="B7073" t="str">
            <v>Fire Hose Reel</v>
          </cell>
          <cell r="D7073" t="str">
            <v xml:space="preserve">Khalifa ben Zayed Sec. School                                               </v>
          </cell>
          <cell r="H7073" t="str">
            <v>AA</v>
          </cell>
        </row>
        <row r="7074">
          <cell r="B7074" t="str">
            <v>Fire Hose Reel</v>
          </cell>
          <cell r="D7074" t="str">
            <v xml:space="preserve">Khalifa ben Zayed Sec. School                                               </v>
          </cell>
          <cell r="H7074" t="str">
            <v>AA</v>
          </cell>
        </row>
        <row r="7075">
          <cell r="B7075" t="str">
            <v>Fire Hose Reel</v>
          </cell>
          <cell r="D7075" t="str">
            <v xml:space="preserve">Khalifa ben Zayed Sec. School                                               </v>
          </cell>
          <cell r="H7075" t="str">
            <v>AA</v>
          </cell>
        </row>
        <row r="7076">
          <cell r="B7076" t="str">
            <v>Fire Hose Reel</v>
          </cell>
          <cell r="D7076" t="str">
            <v xml:space="preserve">Khalifa ben Zayed Sec. School                                               </v>
          </cell>
          <cell r="H7076" t="str">
            <v>AA</v>
          </cell>
        </row>
        <row r="7077">
          <cell r="B7077" t="str">
            <v>Fire Hose Reel</v>
          </cell>
          <cell r="D7077" t="str">
            <v xml:space="preserve">Khalifa ben Zayed Sec. School                                               </v>
          </cell>
          <cell r="H7077" t="str">
            <v>AA</v>
          </cell>
        </row>
        <row r="7078">
          <cell r="B7078" t="str">
            <v>Fire Hose Reel</v>
          </cell>
          <cell r="D7078" t="str">
            <v xml:space="preserve">Khalifa ben Zayed Sec. School                                               </v>
          </cell>
          <cell r="H7078" t="str">
            <v>AA</v>
          </cell>
        </row>
        <row r="7079">
          <cell r="B7079" t="str">
            <v>Fire Hose Reel</v>
          </cell>
          <cell r="D7079" t="str">
            <v xml:space="preserve">Khalifa ben Zayed Sec. School                                               </v>
          </cell>
          <cell r="H7079" t="str">
            <v>AA</v>
          </cell>
        </row>
        <row r="7080">
          <cell r="B7080" t="str">
            <v>Fire Hose Reel</v>
          </cell>
          <cell r="D7080" t="str">
            <v xml:space="preserve">Khalifa ben Zayed Sec. School                                               </v>
          </cell>
          <cell r="H7080" t="str">
            <v>AA</v>
          </cell>
        </row>
        <row r="7081">
          <cell r="B7081" t="str">
            <v>Fire Hose Reel</v>
          </cell>
          <cell r="D7081" t="str">
            <v xml:space="preserve">Khalifa ben Zayed Sec. School                                               </v>
          </cell>
          <cell r="H7081" t="str">
            <v>AA</v>
          </cell>
        </row>
        <row r="7082">
          <cell r="B7082" t="str">
            <v>Fire Hose Reel</v>
          </cell>
          <cell r="D7082" t="str">
            <v xml:space="preserve">Khalifa ben Zayed Sec. School                                               </v>
          </cell>
          <cell r="H7082" t="str">
            <v>AA</v>
          </cell>
        </row>
        <row r="7083">
          <cell r="B7083" t="str">
            <v>Fire Hose Reel Cabinet</v>
          </cell>
          <cell r="D7083" t="str">
            <v xml:space="preserve">Khalifa ben Zayed Sec. School                                               </v>
          </cell>
          <cell r="H7083" t="str">
            <v>AA</v>
          </cell>
        </row>
        <row r="7084">
          <cell r="B7084" t="str">
            <v>Fire Hose Reel Cabinet</v>
          </cell>
          <cell r="D7084" t="str">
            <v xml:space="preserve">Khalifa ben Zayed Sec. School                                               </v>
          </cell>
          <cell r="H7084" t="str">
            <v>AA</v>
          </cell>
        </row>
        <row r="7085">
          <cell r="B7085" t="str">
            <v>Fire Hose Reel Cabinet</v>
          </cell>
          <cell r="D7085" t="str">
            <v xml:space="preserve">Khalifa ben Zayed Sec. School                                               </v>
          </cell>
          <cell r="H7085" t="str">
            <v>AA</v>
          </cell>
        </row>
        <row r="7086">
          <cell r="B7086" t="str">
            <v>Fire Hose Reel Cabinet</v>
          </cell>
          <cell r="D7086" t="str">
            <v xml:space="preserve">Khalifa ben Zayed Sec. School                                               </v>
          </cell>
          <cell r="H7086" t="str">
            <v>AA</v>
          </cell>
        </row>
        <row r="7087">
          <cell r="B7087" t="str">
            <v>Fire Hose Reel Cabinet</v>
          </cell>
          <cell r="D7087" t="str">
            <v xml:space="preserve">Khalifa ben Zayed Sec. School                                               </v>
          </cell>
          <cell r="H7087" t="str">
            <v>AA</v>
          </cell>
        </row>
        <row r="7088">
          <cell r="B7088" t="str">
            <v>Fire Hose Reel Cabinet</v>
          </cell>
          <cell r="D7088" t="str">
            <v xml:space="preserve">Khalifa ben Zayed Sec. School                                               </v>
          </cell>
          <cell r="H7088" t="str">
            <v>AA</v>
          </cell>
        </row>
        <row r="7089">
          <cell r="B7089" t="str">
            <v>Fire Hose Reel Cabinet</v>
          </cell>
          <cell r="D7089" t="str">
            <v xml:space="preserve">Khalifa ben Zayed Sec. School                                               </v>
          </cell>
          <cell r="H7089" t="str">
            <v>AA</v>
          </cell>
        </row>
        <row r="7090">
          <cell r="B7090" t="str">
            <v>Fire Hose Reel Cabinet</v>
          </cell>
          <cell r="D7090" t="str">
            <v xml:space="preserve">Khalifa ben Zayed Sec. School                                               </v>
          </cell>
          <cell r="H7090" t="str">
            <v>AA</v>
          </cell>
        </row>
        <row r="7091">
          <cell r="B7091" t="str">
            <v>Fire Hose Reel Cabinet</v>
          </cell>
          <cell r="D7091" t="str">
            <v xml:space="preserve">Khalifa ben Zayed Sec. School                                               </v>
          </cell>
          <cell r="H7091" t="str">
            <v>AA</v>
          </cell>
        </row>
        <row r="7092">
          <cell r="B7092" t="str">
            <v>Fire Hose Reel Cabinet</v>
          </cell>
          <cell r="D7092" t="str">
            <v xml:space="preserve">Khalifa ben Zayed Sec. School                                               </v>
          </cell>
          <cell r="H7092" t="str">
            <v>AA</v>
          </cell>
        </row>
        <row r="7093">
          <cell r="B7093" t="str">
            <v>Fire Hose Reel Cabinet</v>
          </cell>
          <cell r="D7093" t="str">
            <v xml:space="preserve">Khalifa ben Zayed Sec. School                                               </v>
          </cell>
          <cell r="H7093" t="str">
            <v>AA</v>
          </cell>
        </row>
        <row r="7094">
          <cell r="B7094" t="str">
            <v>Fire Hose Reel Cabinet</v>
          </cell>
          <cell r="D7094" t="str">
            <v xml:space="preserve">Khalifa ben Zayed Sec. School                                               </v>
          </cell>
          <cell r="H7094" t="str">
            <v>AA</v>
          </cell>
        </row>
        <row r="7095">
          <cell r="B7095" t="str">
            <v>Fire Hose Reel Cabinet</v>
          </cell>
          <cell r="D7095" t="str">
            <v xml:space="preserve">Khalifa ben Zayed Sec. School                                               </v>
          </cell>
          <cell r="H7095" t="str">
            <v>AA</v>
          </cell>
        </row>
        <row r="7096">
          <cell r="B7096" t="str">
            <v>Fire Hose Reel Cabinet</v>
          </cell>
          <cell r="D7096" t="str">
            <v xml:space="preserve">Khalifa ben Zayed Sec. School                                               </v>
          </cell>
          <cell r="H7096" t="str">
            <v>AA</v>
          </cell>
        </row>
        <row r="7097">
          <cell r="B7097" t="str">
            <v>Fire Hose Reel Cabinet</v>
          </cell>
          <cell r="D7097" t="str">
            <v xml:space="preserve">Khalifa ben Zayed Sec. School                                               </v>
          </cell>
          <cell r="H7097" t="str">
            <v>AA</v>
          </cell>
        </row>
        <row r="7098">
          <cell r="B7098" t="str">
            <v>Fire Hose Reel Cabinet</v>
          </cell>
          <cell r="D7098" t="str">
            <v xml:space="preserve">Khalifa ben Zayed Sec. School                                               </v>
          </cell>
          <cell r="H7098" t="str">
            <v>AA</v>
          </cell>
        </row>
        <row r="7099">
          <cell r="B7099" t="str">
            <v>Fire Hose Reel Cabinet</v>
          </cell>
          <cell r="D7099" t="str">
            <v xml:space="preserve">Khalifa ben Zayed Sec. School                                               </v>
          </cell>
          <cell r="H7099" t="str">
            <v>AA</v>
          </cell>
        </row>
        <row r="7100">
          <cell r="B7100" t="str">
            <v>Fire Hose Reel Cabinet</v>
          </cell>
          <cell r="D7100" t="str">
            <v xml:space="preserve">Khalifa ben Zayed Sec. School                                               </v>
          </cell>
          <cell r="H7100" t="str">
            <v>AA</v>
          </cell>
        </row>
        <row r="7101">
          <cell r="B7101" t="str">
            <v>Fire Hose Reel Cabinet</v>
          </cell>
          <cell r="D7101" t="str">
            <v xml:space="preserve">Khalifa ben Zayed Sec. School                                               </v>
          </cell>
          <cell r="H7101" t="str">
            <v>AA</v>
          </cell>
        </row>
        <row r="7102">
          <cell r="B7102" t="str">
            <v>Fire Hose Reel Cabinet</v>
          </cell>
          <cell r="D7102" t="str">
            <v xml:space="preserve">Khalifa ben Zayed Sec. School                                               </v>
          </cell>
          <cell r="H7102" t="str">
            <v>AA</v>
          </cell>
        </row>
        <row r="7103">
          <cell r="B7103" t="str">
            <v>Fire Hose Reel Cabinet</v>
          </cell>
          <cell r="D7103" t="str">
            <v xml:space="preserve">Khalifa ben Zayed Sec. School                                               </v>
          </cell>
          <cell r="H7103" t="str">
            <v>AA</v>
          </cell>
        </row>
        <row r="7104">
          <cell r="B7104" t="str">
            <v>Fire Hose Reel Cabinet</v>
          </cell>
          <cell r="D7104" t="str">
            <v xml:space="preserve">Khalifa ben Zayed Sec. School                                               </v>
          </cell>
          <cell r="H7104" t="str">
            <v>AA</v>
          </cell>
        </row>
        <row r="7105">
          <cell r="B7105" t="str">
            <v>Fire Hose Reel Cabinet</v>
          </cell>
          <cell r="D7105" t="str">
            <v xml:space="preserve">Khalifa ben Zayed Sec. School                                               </v>
          </cell>
          <cell r="H7105" t="str">
            <v>AA</v>
          </cell>
        </row>
        <row r="7106">
          <cell r="B7106" t="str">
            <v>Fire Hose Reel Cabinet</v>
          </cell>
          <cell r="D7106" t="str">
            <v xml:space="preserve">Khalifa ben Zayed Sec. School                                               </v>
          </cell>
          <cell r="H7106" t="str">
            <v>AA</v>
          </cell>
        </row>
        <row r="7107">
          <cell r="B7107" t="str">
            <v>Fire Hose Reel Cabinet</v>
          </cell>
          <cell r="D7107" t="str">
            <v xml:space="preserve">Khalifa ben Zayed Sec. School                                               </v>
          </cell>
          <cell r="H7107" t="str">
            <v>AA</v>
          </cell>
        </row>
        <row r="7108">
          <cell r="B7108" t="str">
            <v>Fire Hose Reel Cabinet</v>
          </cell>
          <cell r="D7108" t="str">
            <v xml:space="preserve">Khalifa ben Zayed Sec. School                                               </v>
          </cell>
          <cell r="H7108" t="str">
            <v>AA</v>
          </cell>
        </row>
        <row r="7109">
          <cell r="B7109" t="str">
            <v>Fire Hose Reel Cabinet</v>
          </cell>
          <cell r="D7109" t="str">
            <v xml:space="preserve">Khalifa ben Zayed Sec. School                                               </v>
          </cell>
          <cell r="H7109" t="str">
            <v>AA</v>
          </cell>
        </row>
        <row r="7110">
          <cell r="B7110" t="str">
            <v>Gas Detection System</v>
          </cell>
          <cell r="D7110" t="str">
            <v xml:space="preserve">Khalifa ben Zayed Sec. School                                               </v>
          </cell>
          <cell r="H7110" t="str">
            <v>AA</v>
          </cell>
        </row>
        <row r="7111">
          <cell r="B7111" t="str">
            <v>Gas Detection System</v>
          </cell>
          <cell r="D7111" t="str">
            <v xml:space="preserve">Khalifa ben Zayed Sec. School                                               </v>
          </cell>
          <cell r="H7111" t="str">
            <v>AA</v>
          </cell>
        </row>
        <row r="7112">
          <cell r="B7112" t="str">
            <v>Gas Detection System</v>
          </cell>
          <cell r="D7112" t="str">
            <v xml:space="preserve">Khalifa ben Zayed Sec. School                                               </v>
          </cell>
          <cell r="H7112" t="str">
            <v>AA</v>
          </cell>
        </row>
        <row r="7113">
          <cell r="B7113" t="str">
            <v>Gas Detection System</v>
          </cell>
          <cell r="D7113" t="str">
            <v xml:space="preserve">Khalifa ben Zayed Sec. School                                               </v>
          </cell>
          <cell r="H7113" t="str">
            <v>AA</v>
          </cell>
        </row>
        <row r="7114">
          <cell r="B7114" t="str">
            <v>Gas Detection System</v>
          </cell>
          <cell r="D7114" t="str">
            <v xml:space="preserve">Khalifa ben Zayed Sec. School                                               </v>
          </cell>
          <cell r="H7114" t="str">
            <v>AA</v>
          </cell>
        </row>
        <row r="7115">
          <cell r="B7115" t="str">
            <v>Smoke Detector &amp; Heat Detector</v>
          </cell>
          <cell r="D7115" t="str">
            <v xml:space="preserve">Khalifa ben Zayed Sec. School                                               </v>
          </cell>
          <cell r="H7115" t="str">
            <v>AA</v>
          </cell>
        </row>
        <row r="7116">
          <cell r="B7116" t="str">
            <v>Smoke Detector &amp; Heat Detector</v>
          </cell>
          <cell r="D7116" t="str">
            <v xml:space="preserve">Khalifa ben Zayed Sec. School                                               </v>
          </cell>
          <cell r="H7116" t="str">
            <v>AA</v>
          </cell>
        </row>
        <row r="7117">
          <cell r="B7117" t="str">
            <v>Smoke Detector &amp; Heat Detector</v>
          </cell>
          <cell r="D7117" t="str">
            <v xml:space="preserve">Khalifa ben Zayed Sec. School                                               </v>
          </cell>
          <cell r="H7117" t="str">
            <v>AA</v>
          </cell>
        </row>
        <row r="7118">
          <cell r="B7118" t="str">
            <v>Smoke Detector &amp; Heat Detector</v>
          </cell>
          <cell r="D7118" t="str">
            <v xml:space="preserve">Khalifa ben Zayed Sec. School                                               </v>
          </cell>
          <cell r="H7118" t="str">
            <v>AA</v>
          </cell>
        </row>
        <row r="7119">
          <cell r="B7119" t="str">
            <v>Smoke Detector &amp; Heat Detector</v>
          </cell>
          <cell r="D7119" t="str">
            <v xml:space="preserve">Khalifa ben Zayed Sec. School                                               </v>
          </cell>
          <cell r="H7119" t="str">
            <v>AA</v>
          </cell>
        </row>
        <row r="7120">
          <cell r="B7120" t="str">
            <v>Smoke Detector &amp; Heat Detector</v>
          </cell>
          <cell r="D7120" t="str">
            <v xml:space="preserve">Khalifa ben Zayed Sec. School                                               </v>
          </cell>
          <cell r="H7120" t="str">
            <v>AA</v>
          </cell>
        </row>
        <row r="7121">
          <cell r="B7121" t="str">
            <v>Smoke Detector &amp; Heat Detector</v>
          </cell>
          <cell r="D7121" t="str">
            <v xml:space="preserve">Khalifa ben Zayed Sec. School                                               </v>
          </cell>
          <cell r="H7121" t="str">
            <v>AA</v>
          </cell>
        </row>
        <row r="7122">
          <cell r="B7122" t="str">
            <v>Smoke Detector &amp; Heat Detector</v>
          </cell>
          <cell r="D7122" t="str">
            <v xml:space="preserve">Khalifa ben Zayed Sec. School                                               </v>
          </cell>
          <cell r="H7122" t="str">
            <v>AA</v>
          </cell>
        </row>
        <row r="7123">
          <cell r="B7123" t="str">
            <v>Smoke Detector &amp; Heat Detector</v>
          </cell>
          <cell r="D7123" t="str">
            <v xml:space="preserve">Khalifa ben Zayed Sec. School                                               </v>
          </cell>
          <cell r="H7123" t="str">
            <v>AA</v>
          </cell>
        </row>
        <row r="7124">
          <cell r="B7124" t="str">
            <v>Smoke Detector &amp; Heat Detector</v>
          </cell>
          <cell r="D7124" t="str">
            <v xml:space="preserve">Khalifa ben Zayed Sec. School                                               </v>
          </cell>
          <cell r="H7124" t="str">
            <v>AA</v>
          </cell>
        </row>
        <row r="7125">
          <cell r="B7125" t="str">
            <v>Smoke Detector &amp; Heat Detector</v>
          </cell>
          <cell r="D7125" t="str">
            <v xml:space="preserve">Khalifa ben Zayed Sec. School                                               </v>
          </cell>
          <cell r="H7125" t="str">
            <v>AA</v>
          </cell>
        </row>
        <row r="7126">
          <cell r="B7126" t="str">
            <v>Smoke Detector &amp; Heat Detector</v>
          </cell>
          <cell r="D7126" t="str">
            <v xml:space="preserve">Khalifa ben Zayed Sec. School                                               </v>
          </cell>
          <cell r="H7126" t="str">
            <v>AA</v>
          </cell>
        </row>
        <row r="7127">
          <cell r="B7127" t="str">
            <v>Smoke Detector &amp; Heat Detector</v>
          </cell>
          <cell r="D7127" t="str">
            <v xml:space="preserve">Khalifa ben Zayed Sec. School                                               </v>
          </cell>
          <cell r="H7127" t="str">
            <v>AA</v>
          </cell>
        </row>
        <row r="7128">
          <cell r="B7128" t="str">
            <v>Smoke Detector &amp; Heat Detector</v>
          </cell>
          <cell r="D7128" t="str">
            <v xml:space="preserve">Khalifa ben Zayed Sec. School                                               </v>
          </cell>
          <cell r="H7128" t="str">
            <v>AA</v>
          </cell>
        </row>
        <row r="7129">
          <cell r="B7129" t="str">
            <v>Smoke Detector &amp; Heat Detector</v>
          </cell>
          <cell r="D7129" t="str">
            <v xml:space="preserve">Khalifa ben Zayed Sec. School                                               </v>
          </cell>
          <cell r="H7129" t="str">
            <v>AA</v>
          </cell>
        </row>
        <row r="7130">
          <cell r="B7130" t="str">
            <v>Smoke Detector &amp; Heat Detector</v>
          </cell>
          <cell r="D7130" t="str">
            <v xml:space="preserve">Khalifa ben Zayed Sec. School                                               </v>
          </cell>
          <cell r="H7130" t="str">
            <v>AA</v>
          </cell>
        </row>
        <row r="7131">
          <cell r="B7131" t="str">
            <v>Smoke Detector &amp; Heat Detector</v>
          </cell>
          <cell r="D7131" t="str">
            <v xml:space="preserve">Khalifa ben Zayed Sec. School                                               </v>
          </cell>
          <cell r="H7131" t="str">
            <v>AA</v>
          </cell>
        </row>
        <row r="7132">
          <cell r="B7132" t="str">
            <v>Smoke Detector &amp; Heat Detector</v>
          </cell>
          <cell r="D7132" t="str">
            <v xml:space="preserve">Khalifa ben Zayed Sec. School                                               </v>
          </cell>
          <cell r="H7132" t="str">
            <v>AA</v>
          </cell>
        </row>
        <row r="7133">
          <cell r="B7133" t="str">
            <v>Smoke Detector &amp; Heat Detector</v>
          </cell>
          <cell r="D7133" t="str">
            <v xml:space="preserve">Khalifa ben Zayed Sec. School                                               </v>
          </cell>
          <cell r="H7133" t="str">
            <v>AA</v>
          </cell>
        </row>
        <row r="7134">
          <cell r="B7134" t="str">
            <v>Smoke Detector &amp; Heat Detector</v>
          </cell>
          <cell r="D7134" t="str">
            <v xml:space="preserve">Khalifa ben Zayed Sec. School                                               </v>
          </cell>
          <cell r="H7134" t="str">
            <v>AA</v>
          </cell>
        </row>
        <row r="7135">
          <cell r="B7135" t="str">
            <v>Smoke Detector &amp; Heat Detector</v>
          </cell>
          <cell r="D7135" t="str">
            <v xml:space="preserve">Khalifa ben Zayed Sec. School                                               </v>
          </cell>
          <cell r="H7135" t="str">
            <v>AA</v>
          </cell>
        </row>
        <row r="7136">
          <cell r="B7136" t="str">
            <v>Smoke Detector &amp; Heat Detector</v>
          </cell>
          <cell r="D7136" t="str">
            <v xml:space="preserve">Khalifa ben Zayed Sec. School                                               </v>
          </cell>
          <cell r="H7136" t="str">
            <v>AA</v>
          </cell>
        </row>
        <row r="7137">
          <cell r="B7137" t="str">
            <v>Smoke Detector &amp; Heat Detector</v>
          </cell>
          <cell r="D7137" t="str">
            <v xml:space="preserve">Khalifa ben Zayed Sec. School                                               </v>
          </cell>
          <cell r="H7137" t="str">
            <v>AA</v>
          </cell>
        </row>
        <row r="7138">
          <cell r="B7138" t="str">
            <v>Smoke Detector &amp; Heat Detector</v>
          </cell>
          <cell r="D7138" t="str">
            <v xml:space="preserve">Khalifa ben Zayed Sec. School                                               </v>
          </cell>
          <cell r="H7138" t="str">
            <v>AA</v>
          </cell>
        </row>
        <row r="7139">
          <cell r="B7139" t="str">
            <v>Smoke Detector &amp; Heat Detector</v>
          </cell>
          <cell r="D7139" t="str">
            <v xml:space="preserve">Khalifa ben Zayed Sec. School                                               </v>
          </cell>
          <cell r="H7139" t="str">
            <v>AA</v>
          </cell>
        </row>
        <row r="7140">
          <cell r="B7140" t="str">
            <v>Smoke Detector &amp; Heat Detector</v>
          </cell>
          <cell r="D7140" t="str">
            <v xml:space="preserve">Khalifa ben Zayed Sec. School                                               </v>
          </cell>
          <cell r="H7140" t="str">
            <v>AA</v>
          </cell>
        </row>
        <row r="7141">
          <cell r="B7141" t="str">
            <v>Smoke Detector &amp; Heat Detector</v>
          </cell>
          <cell r="D7141" t="str">
            <v xml:space="preserve">Khalifa ben Zayed Sec. School                                               </v>
          </cell>
          <cell r="H7141" t="str">
            <v>AA</v>
          </cell>
        </row>
        <row r="7142">
          <cell r="B7142" t="str">
            <v>Smoke Detector &amp; Heat Detector</v>
          </cell>
          <cell r="D7142" t="str">
            <v xml:space="preserve">Khalifa ben Zayed Sec. School                                               </v>
          </cell>
          <cell r="H7142" t="str">
            <v>AA</v>
          </cell>
        </row>
        <row r="7143">
          <cell r="B7143" t="str">
            <v>Water Tank</v>
          </cell>
          <cell r="D7143" t="str">
            <v xml:space="preserve">Khalifa ben Zayed Sec. School                                               </v>
          </cell>
          <cell r="H7143" t="str">
            <v>AA</v>
          </cell>
        </row>
        <row r="7144">
          <cell r="B7144" t="str">
            <v>Water Tank</v>
          </cell>
          <cell r="D7144" t="str">
            <v xml:space="preserve">Khalifa ben Zayed Sec. School                                               </v>
          </cell>
          <cell r="H7144" t="str">
            <v>AA</v>
          </cell>
        </row>
        <row r="7145">
          <cell r="B7145" t="str">
            <v>Fire Alarm Break Glass Call Point</v>
          </cell>
          <cell r="D7145" t="str">
            <v>Maryam Bint Omran Primary School</v>
          </cell>
          <cell r="H7145" t="str">
            <v>AD</v>
          </cell>
        </row>
        <row r="7146">
          <cell r="B7146" t="str">
            <v>Fire Alarm Break Glass Call Point</v>
          </cell>
          <cell r="D7146" t="str">
            <v>Maryam Bint Omran Primary School</v>
          </cell>
          <cell r="H7146" t="str">
            <v>AD</v>
          </cell>
        </row>
        <row r="7147">
          <cell r="B7147" t="str">
            <v>Fire Alarm Break Glass Call Point</v>
          </cell>
          <cell r="D7147" t="str">
            <v>Maryam Bint Omran Primary School</v>
          </cell>
          <cell r="H7147" t="str">
            <v>AD</v>
          </cell>
        </row>
        <row r="7148">
          <cell r="B7148" t="str">
            <v>Fire Alarm Break Glass Call Point</v>
          </cell>
          <cell r="D7148" t="str">
            <v>Maryam Bint Omran Primary School</v>
          </cell>
          <cell r="H7148" t="str">
            <v>AD</v>
          </cell>
        </row>
        <row r="7149">
          <cell r="B7149" t="str">
            <v>Fire Alarm Break Glass Call Point</v>
          </cell>
          <cell r="D7149" t="str">
            <v>Maryam Bint Omran Primary School</v>
          </cell>
          <cell r="H7149" t="str">
            <v>AD</v>
          </cell>
        </row>
        <row r="7150">
          <cell r="B7150" t="str">
            <v>Fire Alarm Break Glass Call Point</v>
          </cell>
          <cell r="D7150" t="str">
            <v>Maryam Bint Omran Primary School</v>
          </cell>
          <cell r="H7150" t="str">
            <v>AD</v>
          </cell>
        </row>
        <row r="7151">
          <cell r="B7151" t="str">
            <v>Fire Alarm Break Glass Call Point</v>
          </cell>
          <cell r="D7151" t="str">
            <v>Maryam Bint Omran Primary School</v>
          </cell>
          <cell r="H7151" t="str">
            <v>AD</v>
          </cell>
        </row>
        <row r="7152">
          <cell r="B7152" t="str">
            <v>Fire Alarm Break Glass Call Point</v>
          </cell>
          <cell r="D7152" t="str">
            <v>Maryam Bint Omran Primary School</v>
          </cell>
          <cell r="H7152" t="str">
            <v>AD</v>
          </cell>
        </row>
        <row r="7153">
          <cell r="B7153" t="str">
            <v>Fire Alarm Panel</v>
          </cell>
          <cell r="D7153" t="str">
            <v>Maryam Bint Omran Primary School</v>
          </cell>
          <cell r="H7153" t="str">
            <v>AD</v>
          </cell>
        </row>
        <row r="7154">
          <cell r="B7154" t="str">
            <v>Fire Alarm Sounder, Bell, Light</v>
          </cell>
          <cell r="D7154" t="str">
            <v>Maryam Bint Omran Primary School</v>
          </cell>
          <cell r="H7154" t="str">
            <v>AD</v>
          </cell>
        </row>
        <row r="7155">
          <cell r="B7155" t="str">
            <v>Fire Alarm Sounder, Bell, Light</v>
          </cell>
          <cell r="D7155" t="str">
            <v>Maryam Bint Omran Primary School</v>
          </cell>
          <cell r="H7155" t="str">
            <v>AD</v>
          </cell>
        </row>
        <row r="7156">
          <cell r="B7156" t="str">
            <v>Fire Alarm Sounder, Bell, Light</v>
          </cell>
          <cell r="D7156" t="str">
            <v>Maryam Bint Omran Primary School</v>
          </cell>
          <cell r="H7156" t="str">
            <v>AD</v>
          </cell>
        </row>
        <row r="7157">
          <cell r="B7157" t="str">
            <v>Fire Alarm Sounder, Bell, Light</v>
          </cell>
          <cell r="D7157" t="str">
            <v>Maryam Bint Omran Primary School</v>
          </cell>
          <cell r="H7157" t="str">
            <v>AD</v>
          </cell>
        </row>
        <row r="7158">
          <cell r="B7158" t="str">
            <v>Fire Alarm Sounder, Bell, Light</v>
          </cell>
          <cell r="D7158" t="str">
            <v>Maryam Bint Omran Primary School</v>
          </cell>
          <cell r="H7158" t="str">
            <v>AD</v>
          </cell>
        </row>
        <row r="7159">
          <cell r="B7159" t="str">
            <v>Fire Alarm Sounder, Bell, Light</v>
          </cell>
          <cell r="D7159" t="str">
            <v>Maryam Bint Omran Primary School</v>
          </cell>
          <cell r="H7159" t="str">
            <v>AD</v>
          </cell>
        </row>
        <row r="7160">
          <cell r="B7160" t="str">
            <v>Fire Alarm Sounder, Bell, Light</v>
          </cell>
          <cell r="D7160" t="str">
            <v>Maryam Bint Omran Primary School</v>
          </cell>
          <cell r="H7160" t="str">
            <v>AD</v>
          </cell>
        </row>
        <row r="7161">
          <cell r="B7161" t="str">
            <v>Fire Alarm Sounder, Bell, Light</v>
          </cell>
          <cell r="D7161" t="str">
            <v>Maryam Bint Omran Primary School</v>
          </cell>
          <cell r="H7161" t="str">
            <v>AD</v>
          </cell>
        </row>
        <row r="7162">
          <cell r="B7162" t="str">
            <v>Fire Alarm Sounder, Bell, Light</v>
          </cell>
          <cell r="D7162" t="str">
            <v>Maryam Bint Omran Primary School</v>
          </cell>
          <cell r="H7162" t="str">
            <v>AD</v>
          </cell>
        </row>
        <row r="7163">
          <cell r="B7163" t="str">
            <v>Fire Alarm Sounder, Bell, Light</v>
          </cell>
          <cell r="D7163" t="str">
            <v>Maryam Bint Omran Primary School</v>
          </cell>
          <cell r="H7163" t="str">
            <v>AD</v>
          </cell>
        </row>
        <row r="7164">
          <cell r="B7164" t="str">
            <v>Fire Alarm Sounder, Bell, Light</v>
          </cell>
          <cell r="D7164" t="str">
            <v>Maryam Bint Omran Primary School</v>
          </cell>
          <cell r="H7164" t="str">
            <v>AD</v>
          </cell>
        </row>
        <row r="7165">
          <cell r="B7165" t="str">
            <v>Fire Extinguisher</v>
          </cell>
          <cell r="D7165" t="str">
            <v>Maryam Bint Omran Primary School</v>
          </cell>
          <cell r="H7165" t="str">
            <v>AD</v>
          </cell>
        </row>
        <row r="7166">
          <cell r="B7166" t="str">
            <v>Fire Extinguisher</v>
          </cell>
          <cell r="D7166" t="str">
            <v>Maryam Bint Omran Primary School</v>
          </cell>
          <cell r="H7166" t="str">
            <v>AD</v>
          </cell>
        </row>
        <row r="7167">
          <cell r="B7167" t="str">
            <v>Fire Extinguisher</v>
          </cell>
          <cell r="D7167" t="str">
            <v>Maryam Bint Omran Primary School</v>
          </cell>
          <cell r="H7167" t="str">
            <v>AD</v>
          </cell>
        </row>
        <row r="7168">
          <cell r="B7168" t="str">
            <v>Fire Extinguisher</v>
          </cell>
          <cell r="D7168" t="str">
            <v>Maryam Bint Omran Primary School</v>
          </cell>
          <cell r="H7168" t="str">
            <v>AD</v>
          </cell>
        </row>
        <row r="7169">
          <cell r="B7169" t="str">
            <v>Fire Extinguisher</v>
          </cell>
          <cell r="D7169" t="str">
            <v>Maryam Bint Omran Primary School</v>
          </cell>
          <cell r="H7169" t="str">
            <v>AD</v>
          </cell>
        </row>
        <row r="7170">
          <cell r="B7170" t="str">
            <v>Fire Extinguisher</v>
          </cell>
          <cell r="D7170" t="str">
            <v>Maryam Bint Omran Primary School</v>
          </cell>
          <cell r="H7170" t="str">
            <v>AD</v>
          </cell>
        </row>
        <row r="7171">
          <cell r="B7171" t="str">
            <v>Fire Extinguisher</v>
          </cell>
          <cell r="D7171" t="str">
            <v>Maryam Bint Omran Primary School</v>
          </cell>
          <cell r="H7171" t="str">
            <v>AD</v>
          </cell>
        </row>
        <row r="7172">
          <cell r="B7172" t="str">
            <v>Fire Extinguisher</v>
          </cell>
          <cell r="D7172" t="str">
            <v>Maryam Bint Omran Primary School</v>
          </cell>
          <cell r="H7172" t="str">
            <v>AD</v>
          </cell>
        </row>
        <row r="7173">
          <cell r="B7173" t="str">
            <v>Fire Extinguisher</v>
          </cell>
          <cell r="D7173" t="str">
            <v>Maryam Bint Omran Primary School</v>
          </cell>
          <cell r="H7173" t="str">
            <v>AD</v>
          </cell>
        </row>
        <row r="7174">
          <cell r="B7174" t="str">
            <v>Fire Extinguisher</v>
          </cell>
          <cell r="D7174" t="str">
            <v>Maryam Bint Omran Primary School</v>
          </cell>
          <cell r="H7174" t="str">
            <v>AD</v>
          </cell>
        </row>
        <row r="7175">
          <cell r="B7175" t="str">
            <v>Fire Extinguisher</v>
          </cell>
          <cell r="D7175" t="str">
            <v>Maryam Bint Omran Primary School</v>
          </cell>
          <cell r="H7175" t="str">
            <v>AD</v>
          </cell>
        </row>
        <row r="7176">
          <cell r="B7176" t="str">
            <v>Fire Extinguisher</v>
          </cell>
          <cell r="D7176" t="str">
            <v>Maryam Bint Omran Primary School</v>
          </cell>
          <cell r="H7176" t="str">
            <v>AD</v>
          </cell>
        </row>
        <row r="7177">
          <cell r="B7177" t="str">
            <v>Fire Extinguisher</v>
          </cell>
          <cell r="D7177" t="str">
            <v>Maryam Bint Omran Primary School</v>
          </cell>
          <cell r="H7177" t="str">
            <v>AD</v>
          </cell>
        </row>
        <row r="7178">
          <cell r="B7178" t="str">
            <v>Fire Extinguisher</v>
          </cell>
          <cell r="D7178" t="str">
            <v>Maryam Bint Omran Primary School</v>
          </cell>
          <cell r="H7178" t="str">
            <v>AD</v>
          </cell>
        </row>
        <row r="7179">
          <cell r="B7179" t="str">
            <v>Fire Extinguisher</v>
          </cell>
          <cell r="D7179" t="str">
            <v>Maryam Bint Omran Primary School</v>
          </cell>
          <cell r="H7179" t="str">
            <v>AD</v>
          </cell>
        </row>
        <row r="7180">
          <cell r="B7180" t="str">
            <v>Fire Extinguisher</v>
          </cell>
          <cell r="D7180" t="str">
            <v>Maryam Bint Omran Primary School</v>
          </cell>
          <cell r="H7180" t="str">
            <v>AD</v>
          </cell>
        </row>
        <row r="7181">
          <cell r="B7181" t="str">
            <v>Fire Extinguisher</v>
          </cell>
          <cell r="D7181" t="str">
            <v>Maryam Bint Omran Primary School</v>
          </cell>
          <cell r="H7181" t="str">
            <v>AD</v>
          </cell>
        </row>
        <row r="7182">
          <cell r="B7182" t="str">
            <v>Fire Extinguisher</v>
          </cell>
          <cell r="D7182" t="str">
            <v>Maryam Bint Omran Primary School</v>
          </cell>
          <cell r="H7182" t="str">
            <v>AD</v>
          </cell>
        </row>
        <row r="7183">
          <cell r="B7183" t="str">
            <v>Fire Extinguisher</v>
          </cell>
          <cell r="D7183" t="str">
            <v>Maryam Bint Omran Primary School</v>
          </cell>
          <cell r="H7183" t="str">
            <v>AD</v>
          </cell>
        </row>
        <row r="7184">
          <cell r="B7184" t="str">
            <v>Fire Extinguisher</v>
          </cell>
          <cell r="D7184" t="str">
            <v>Maryam Bint Omran Primary School</v>
          </cell>
          <cell r="H7184" t="str">
            <v>AD</v>
          </cell>
        </row>
        <row r="7185">
          <cell r="B7185" t="str">
            <v>Fire Extinguisher</v>
          </cell>
          <cell r="D7185" t="str">
            <v>Maryam Bint Omran Primary School</v>
          </cell>
          <cell r="H7185" t="str">
            <v>AD</v>
          </cell>
        </row>
        <row r="7186">
          <cell r="B7186" t="str">
            <v>Fire Extinguisher</v>
          </cell>
          <cell r="D7186" t="str">
            <v>Maryam Bint Omran Primary School</v>
          </cell>
          <cell r="H7186" t="str">
            <v>AD</v>
          </cell>
        </row>
        <row r="7187">
          <cell r="B7187" t="str">
            <v>Fire Extinguisher</v>
          </cell>
          <cell r="D7187" t="str">
            <v>Maryam Bint Omran Primary School</v>
          </cell>
          <cell r="H7187" t="str">
            <v>AD</v>
          </cell>
        </row>
        <row r="7188">
          <cell r="B7188" t="str">
            <v>Fire Extinguisher</v>
          </cell>
          <cell r="D7188" t="str">
            <v>Maryam Bint Omran Primary School</v>
          </cell>
          <cell r="H7188" t="str">
            <v>AD</v>
          </cell>
        </row>
        <row r="7189">
          <cell r="B7189" t="str">
            <v>Fire Extinguisher</v>
          </cell>
          <cell r="D7189" t="str">
            <v>Maryam Bint Omran Primary School</v>
          </cell>
          <cell r="H7189" t="str">
            <v>AD</v>
          </cell>
        </row>
        <row r="7190">
          <cell r="B7190" t="str">
            <v>Fire Extinguisher</v>
          </cell>
          <cell r="D7190" t="str">
            <v>Maryam Bint Omran Primary School</v>
          </cell>
          <cell r="H7190" t="str">
            <v>AD</v>
          </cell>
        </row>
        <row r="7191">
          <cell r="B7191" t="str">
            <v>Fire Extinguisher</v>
          </cell>
          <cell r="D7191" t="str">
            <v>Maryam Bint Omran Primary School</v>
          </cell>
          <cell r="H7191" t="str">
            <v>AD</v>
          </cell>
        </row>
        <row r="7192">
          <cell r="B7192" t="str">
            <v>Fire Extinguisher</v>
          </cell>
          <cell r="D7192" t="str">
            <v>Maryam Bint Omran Primary School</v>
          </cell>
          <cell r="H7192" t="str">
            <v>AD</v>
          </cell>
        </row>
        <row r="7193">
          <cell r="B7193" t="str">
            <v>Fire Extinguisher</v>
          </cell>
          <cell r="D7193" t="str">
            <v>Maryam Bint Omran Primary School</v>
          </cell>
          <cell r="H7193" t="str">
            <v>AD</v>
          </cell>
        </row>
        <row r="7194">
          <cell r="B7194" t="str">
            <v>Fire Extinguisher</v>
          </cell>
          <cell r="D7194" t="str">
            <v>Maryam Bint Omran Primary School</v>
          </cell>
          <cell r="H7194" t="str">
            <v>AD</v>
          </cell>
        </row>
        <row r="7195">
          <cell r="B7195" t="str">
            <v>Fire Extinguisher</v>
          </cell>
          <cell r="D7195" t="str">
            <v>Maryam Bint Omran Primary School</v>
          </cell>
          <cell r="H7195" t="str">
            <v>AD</v>
          </cell>
        </row>
        <row r="7196">
          <cell r="B7196" t="str">
            <v>Fire Extinguisher</v>
          </cell>
          <cell r="D7196" t="str">
            <v>Maryam Bint Omran Primary School</v>
          </cell>
          <cell r="H7196" t="str">
            <v>AD</v>
          </cell>
        </row>
        <row r="7197">
          <cell r="B7197" t="str">
            <v>Fire Extinguisher</v>
          </cell>
          <cell r="D7197" t="str">
            <v>Maryam Bint Omran Primary School</v>
          </cell>
          <cell r="H7197" t="str">
            <v>AD</v>
          </cell>
        </row>
        <row r="7198">
          <cell r="B7198" t="str">
            <v>Fire Hose Reel</v>
          </cell>
          <cell r="D7198" t="str">
            <v>Maryam Bint Omran Primary School</v>
          </cell>
          <cell r="H7198" t="str">
            <v>AD</v>
          </cell>
        </row>
        <row r="7199">
          <cell r="B7199" t="str">
            <v>Fire Hose Reel</v>
          </cell>
          <cell r="D7199" t="str">
            <v>Maryam Bint Omran Primary School</v>
          </cell>
          <cell r="H7199" t="str">
            <v>AD</v>
          </cell>
        </row>
        <row r="7200">
          <cell r="B7200" t="str">
            <v>Fire Hose Reel</v>
          </cell>
          <cell r="D7200" t="str">
            <v>Maryam Bint Omran Primary School</v>
          </cell>
          <cell r="H7200" t="str">
            <v>AD</v>
          </cell>
        </row>
        <row r="7201">
          <cell r="B7201" t="str">
            <v>Fire Hose Reel</v>
          </cell>
          <cell r="D7201" t="str">
            <v>Maryam Bint Omran Primary School</v>
          </cell>
          <cell r="H7201" t="str">
            <v>AD</v>
          </cell>
        </row>
        <row r="7202">
          <cell r="B7202" t="str">
            <v>Fire Hose Reel</v>
          </cell>
          <cell r="D7202" t="str">
            <v>Maryam Bint Omran Primary School</v>
          </cell>
          <cell r="H7202" t="str">
            <v>AD</v>
          </cell>
        </row>
        <row r="7203">
          <cell r="B7203" t="str">
            <v>FIRE PUMP - Diesel</v>
          </cell>
          <cell r="D7203" t="str">
            <v>Maryam Bint Omran Primary School</v>
          </cell>
          <cell r="H7203" t="str">
            <v>AD</v>
          </cell>
        </row>
        <row r="7204">
          <cell r="B7204" t="str">
            <v>FIRE PUMP - Electric</v>
          </cell>
          <cell r="D7204" t="str">
            <v>Maryam Bint Omran Primary School</v>
          </cell>
          <cell r="H7204" t="str">
            <v>AD</v>
          </cell>
        </row>
        <row r="7205">
          <cell r="B7205" t="str">
            <v>Fire Smoke / Heat Detector, Sounder</v>
          </cell>
          <cell r="D7205" t="str">
            <v>Maryam Bint Omran Primary School</v>
          </cell>
          <cell r="H7205" t="str">
            <v>AD</v>
          </cell>
        </row>
        <row r="7206">
          <cell r="B7206" t="str">
            <v>Fire Smoke / Heat Detector, Sounder</v>
          </cell>
          <cell r="D7206" t="str">
            <v>Maryam Bint Omran Primary School</v>
          </cell>
          <cell r="H7206" t="str">
            <v>AD</v>
          </cell>
        </row>
        <row r="7207">
          <cell r="B7207" t="str">
            <v>Fire Smoke / Heat Detector, Sounder</v>
          </cell>
          <cell r="D7207" t="str">
            <v>Maryam Bint Omran Primary School</v>
          </cell>
          <cell r="H7207" t="str">
            <v>AD</v>
          </cell>
        </row>
        <row r="7208">
          <cell r="B7208" t="str">
            <v>Fire Smoke / Heat Detector, Sounder</v>
          </cell>
          <cell r="D7208" t="str">
            <v>Maryam Bint Omran Primary School</v>
          </cell>
          <cell r="H7208" t="str">
            <v>AD</v>
          </cell>
        </row>
        <row r="7209">
          <cell r="B7209" t="str">
            <v>Fire Smoke / Heat Detector, Sounder</v>
          </cell>
          <cell r="D7209" t="str">
            <v>Maryam Bint Omran Primary School</v>
          </cell>
          <cell r="H7209" t="str">
            <v>AD</v>
          </cell>
        </row>
        <row r="7210">
          <cell r="B7210" t="str">
            <v>Fire Smoke / Heat Detector, Sounder</v>
          </cell>
          <cell r="D7210" t="str">
            <v>Maryam Bint Omran Primary School</v>
          </cell>
          <cell r="H7210" t="str">
            <v>AD</v>
          </cell>
        </row>
        <row r="7211">
          <cell r="B7211" t="str">
            <v>Fire Smoke / Heat Detector, Sounder</v>
          </cell>
          <cell r="D7211" t="str">
            <v>Maryam Bint Omran Primary School</v>
          </cell>
          <cell r="H7211" t="str">
            <v>AD</v>
          </cell>
        </row>
        <row r="7212">
          <cell r="B7212" t="str">
            <v>Fire Smoke / Heat Detector, Sounder</v>
          </cell>
          <cell r="D7212" t="str">
            <v>Maryam Bint Omran Primary School</v>
          </cell>
          <cell r="H7212" t="str">
            <v>AD</v>
          </cell>
        </row>
        <row r="7213">
          <cell r="B7213" t="str">
            <v>Fire Smoke / Heat Detector, Sounder</v>
          </cell>
          <cell r="D7213" t="str">
            <v>Maryam Bint Omran Primary School</v>
          </cell>
          <cell r="H7213" t="str">
            <v>AD</v>
          </cell>
        </row>
        <row r="7214">
          <cell r="B7214" t="str">
            <v>Fire Smoke / Heat Detector, Sounder</v>
          </cell>
          <cell r="D7214" t="str">
            <v>Maryam Bint Omran Primary School</v>
          </cell>
          <cell r="H7214" t="str">
            <v>AD</v>
          </cell>
        </row>
        <row r="7215">
          <cell r="B7215" t="str">
            <v>Fire Smoke / Heat Detector, Sounder</v>
          </cell>
          <cell r="D7215" t="str">
            <v>Maryam Bint Omran Primary School</v>
          </cell>
          <cell r="H7215" t="str">
            <v>AD</v>
          </cell>
        </row>
        <row r="7216">
          <cell r="B7216" t="str">
            <v>Fire Smoke / Heat Detector, Sounder</v>
          </cell>
          <cell r="D7216" t="str">
            <v>Maryam Bint Omran Primary School</v>
          </cell>
          <cell r="H7216" t="str">
            <v>AD</v>
          </cell>
        </row>
        <row r="7217">
          <cell r="B7217" t="str">
            <v>Fire Smoke / Heat Detector, Sounder</v>
          </cell>
          <cell r="D7217" t="str">
            <v>Maryam Bint Omran Primary School</v>
          </cell>
          <cell r="H7217" t="str">
            <v>AD</v>
          </cell>
        </row>
        <row r="7218">
          <cell r="B7218" t="str">
            <v>Fire Smoke / Heat Detector, Sounder</v>
          </cell>
          <cell r="D7218" t="str">
            <v>Maryam Bint Omran Primary School</v>
          </cell>
          <cell r="H7218" t="str">
            <v>AD</v>
          </cell>
        </row>
        <row r="7219">
          <cell r="B7219" t="str">
            <v>Fire Smoke / Heat Detector, Sounder</v>
          </cell>
          <cell r="D7219" t="str">
            <v>Maryam Bint Omran Primary School</v>
          </cell>
          <cell r="H7219" t="str">
            <v>AD</v>
          </cell>
        </row>
        <row r="7220">
          <cell r="B7220" t="str">
            <v>Fire Smoke / Heat Detector, Sounder</v>
          </cell>
          <cell r="D7220" t="str">
            <v>Maryam Bint Omran Primary School</v>
          </cell>
          <cell r="H7220" t="str">
            <v>AD</v>
          </cell>
        </row>
        <row r="7221">
          <cell r="B7221" t="str">
            <v>Fire Smoke / Heat Detector, Sounder</v>
          </cell>
          <cell r="D7221" t="str">
            <v>Maryam Bint Omran Primary School</v>
          </cell>
          <cell r="H7221" t="str">
            <v>AD</v>
          </cell>
        </row>
        <row r="7222">
          <cell r="B7222" t="str">
            <v>Fire Smoke / Heat Detector, Sounder</v>
          </cell>
          <cell r="D7222" t="str">
            <v>Maryam Bint Omran Primary School</v>
          </cell>
          <cell r="H7222" t="str">
            <v>AD</v>
          </cell>
        </row>
        <row r="7223">
          <cell r="B7223" t="str">
            <v>Fire Smoke / Heat Detector, Sounder</v>
          </cell>
          <cell r="D7223" t="str">
            <v>Maryam Bint Omran Primary School</v>
          </cell>
          <cell r="H7223" t="str">
            <v>AD</v>
          </cell>
        </row>
        <row r="7224">
          <cell r="B7224" t="str">
            <v>Fire Smoke / Heat Detector, Sounder</v>
          </cell>
          <cell r="D7224" t="str">
            <v>Maryam Bint Omran Primary School</v>
          </cell>
          <cell r="H7224" t="str">
            <v>AD</v>
          </cell>
        </row>
        <row r="7225">
          <cell r="B7225" t="str">
            <v>Fire Smoke / Heat Detector, Sounder</v>
          </cell>
          <cell r="D7225" t="str">
            <v>Maryam Bint Omran Primary School</v>
          </cell>
          <cell r="H7225" t="str">
            <v>AD</v>
          </cell>
        </row>
        <row r="7226">
          <cell r="B7226" t="str">
            <v>Fire Smoke / Heat Detector, Sounder</v>
          </cell>
          <cell r="D7226" t="str">
            <v>Maryam Bint Omran Primary School</v>
          </cell>
          <cell r="H7226" t="str">
            <v>AD</v>
          </cell>
        </row>
        <row r="7227">
          <cell r="B7227" t="str">
            <v>Fire Smoke / Heat Detector, Sounder</v>
          </cell>
          <cell r="D7227" t="str">
            <v>Maryam Bint Omran Primary School</v>
          </cell>
          <cell r="H7227" t="str">
            <v>AD</v>
          </cell>
        </row>
        <row r="7228">
          <cell r="B7228" t="str">
            <v>Fire Smoke / Heat Detector, Sounder</v>
          </cell>
          <cell r="D7228" t="str">
            <v>Maryam Bint Omran Primary School</v>
          </cell>
          <cell r="H7228" t="str">
            <v>AD</v>
          </cell>
        </row>
        <row r="7229">
          <cell r="B7229" t="str">
            <v>Fire Smoke / Heat Detector, Sounder</v>
          </cell>
          <cell r="D7229" t="str">
            <v>Maryam Bint Omran Primary School</v>
          </cell>
          <cell r="H7229" t="str">
            <v>AD</v>
          </cell>
        </row>
        <row r="7230">
          <cell r="B7230" t="str">
            <v>Fire Smoke / Heat Detector, Sounder</v>
          </cell>
          <cell r="D7230" t="str">
            <v>Maryam Bint Omran Primary School</v>
          </cell>
          <cell r="H7230" t="str">
            <v>AD</v>
          </cell>
        </row>
        <row r="7231">
          <cell r="B7231" t="str">
            <v>Fire Smoke / Heat Detector, Sounder</v>
          </cell>
          <cell r="D7231" t="str">
            <v>Maryam Bint Omran Primary School</v>
          </cell>
          <cell r="H7231" t="str">
            <v>AD</v>
          </cell>
        </row>
        <row r="7232">
          <cell r="B7232" t="str">
            <v>Fire Smoke / Heat Detector, Sounder</v>
          </cell>
          <cell r="D7232" t="str">
            <v>Maryam Bint Omran Primary School</v>
          </cell>
          <cell r="H7232" t="str">
            <v>AD</v>
          </cell>
        </row>
        <row r="7233">
          <cell r="B7233" t="str">
            <v>Fire Smoke / Heat Detector, Sounder</v>
          </cell>
          <cell r="D7233" t="str">
            <v>Maryam Bint Omran Primary School</v>
          </cell>
          <cell r="H7233" t="str">
            <v>AD</v>
          </cell>
        </row>
        <row r="7234">
          <cell r="B7234" t="str">
            <v>Fire Smoke / Heat Detector, Sounder</v>
          </cell>
          <cell r="D7234" t="str">
            <v>Maryam Bint Omran Primary School</v>
          </cell>
          <cell r="H7234" t="str">
            <v>AD</v>
          </cell>
        </row>
        <row r="7235">
          <cell r="B7235" t="str">
            <v>Fire Smoke / Heat Detector, Sounder</v>
          </cell>
          <cell r="D7235" t="str">
            <v>Maryam Bint Omran Primary School</v>
          </cell>
          <cell r="H7235" t="str">
            <v>AD</v>
          </cell>
        </row>
        <row r="7236">
          <cell r="B7236" t="str">
            <v>Fire Smoke / Heat Detector, Sounder</v>
          </cell>
          <cell r="D7236" t="str">
            <v>Maryam Bint Omran Primary School</v>
          </cell>
          <cell r="H7236" t="str">
            <v>AD</v>
          </cell>
        </row>
        <row r="7237">
          <cell r="B7237" t="str">
            <v>Fire Smoke / Heat Detector, Sounder</v>
          </cell>
          <cell r="D7237" t="str">
            <v>Maryam Bint Omran Primary School</v>
          </cell>
          <cell r="H7237" t="str">
            <v>AD</v>
          </cell>
        </row>
        <row r="7238">
          <cell r="B7238" t="str">
            <v>Fire Smoke / Heat Detector, Sounder</v>
          </cell>
          <cell r="D7238" t="str">
            <v>Maryam Bint Omran Primary School</v>
          </cell>
          <cell r="H7238" t="str">
            <v>AD</v>
          </cell>
        </row>
        <row r="7239">
          <cell r="B7239" t="str">
            <v>Fire Alarm Panel</v>
          </cell>
          <cell r="D7239" t="str">
            <v>Mo'atah (Basic &amp; Secondary Edu. For Girls)</v>
          </cell>
          <cell r="H7239" t="str">
            <v>WR</v>
          </cell>
        </row>
        <row r="7240">
          <cell r="B7240" t="str">
            <v>Fire Alarm Panel</v>
          </cell>
          <cell r="D7240" t="str">
            <v>Mo'atah (Basic &amp; Secondary Edu. For Girls)</v>
          </cell>
          <cell r="H7240" t="str">
            <v>WR</v>
          </cell>
        </row>
        <row r="7241">
          <cell r="B7241" t="str">
            <v>Fire Extinguisher - C02</v>
          </cell>
          <cell r="D7241" t="str">
            <v>Mo'atah (Basic &amp; Secondary Edu. For Girls)</v>
          </cell>
          <cell r="H7241" t="str">
            <v>WR</v>
          </cell>
        </row>
        <row r="7242">
          <cell r="B7242" t="str">
            <v>Fire Extinguisher - C02</v>
          </cell>
          <cell r="D7242" t="str">
            <v>Mo'atah (Basic &amp; Secondary Edu. For Girls)</v>
          </cell>
          <cell r="H7242" t="str">
            <v>WR</v>
          </cell>
        </row>
        <row r="7243">
          <cell r="B7243" t="str">
            <v>Fire Extinguisher - C02</v>
          </cell>
          <cell r="D7243" t="str">
            <v>Mo'atah (Basic &amp; Secondary Edu. For Girls)</v>
          </cell>
          <cell r="H7243" t="str">
            <v>WR</v>
          </cell>
        </row>
        <row r="7244">
          <cell r="B7244" t="str">
            <v>Fire Extinguisher - C02</v>
          </cell>
          <cell r="D7244" t="str">
            <v>Mo'atah (Basic &amp; Secondary Edu. For Girls)</v>
          </cell>
          <cell r="H7244" t="str">
            <v>WR</v>
          </cell>
        </row>
        <row r="7245">
          <cell r="B7245" t="str">
            <v>Fire Extinguisher - C02</v>
          </cell>
          <cell r="D7245" t="str">
            <v>Mo'atah (Basic &amp; Secondary Edu. For Girls)</v>
          </cell>
          <cell r="H7245" t="str">
            <v>WR</v>
          </cell>
        </row>
        <row r="7246">
          <cell r="B7246" t="str">
            <v>Fire Extinguisher - C02</v>
          </cell>
          <cell r="D7246" t="str">
            <v>Mo'atah (Basic &amp; Secondary Edu. For Girls)</v>
          </cell>
          <cell r="H7246" t="str">
            <v>WR</v>
          </cell>
        </row>
        <row r="7247">
          <cell r="B7247" t="str">
            <v>Fire Extinguisher - C02</v>
          </cell>
          <cell r="D7247" t="str">
            <v>Mo'atah (Basic &amp; Secondary Edu. For Girls)</v>
          </cell>
          <cell r="H7247" t="str">
            <v>WR</v>
          </cell>
        </row>
        <row r="7248">
          <cell r="B7248" t="str">
            <v>Fire Extinguisher - C02</v>
          </cell>
          <cell r="D7248" t="str">
            <v>Mo'atah (Basic &amp; Secondary Edu. For Girls)</v>
          </cell>
          <cell r="H7248" t="str">
            <v>WR</v>
          </cell>
        </row>
        <row r="7249">
          <cell r="B7249" t="str">
            <v>Fire Extinguisher - C02</v>
          </cell>
          <cell r="D7249" t="str">
            <v>Mo'atah (Basic &amp; Secondary Edu. For Girls)</v>
          </cell>
          <cell r="H7249" t="str">
            <v>WR</v>
          </cell>
        </row>
        <row r="7250">
          <cell r="B7250" t="str">
            <v>Fire Extinguisher - C02</v>
          </cell>
          <cell r="D7250" t="str">
            <v>Mo'atah (Basic &amp; Secondary Edu. For Girls)</v>
          </cell>
          <cell r="H7250" t="str">
            <v>WR</v>
          </cell>
        </row>
        <row r="7251">
          <cell r="B7251" t="str">
            <v>Fire Extinguisher - C02</v>
          </cell>
          <cell r="D7251" t="str">
            <v>Mo'atah (Basic &amp; Secondary Edu. For Girls)</v>
          </cell>
          <cell r="H7251" t="str">
            <v>WR</v>
          </cell>
        </row>
        <row r="7252">
          <cell r="B7252" t="str">
            <v>Fire Extinguisher - C02</v>
          </cell>
          <cell r="D7252" t="str">
            <v>Mo'atah (Basic &amp; Secondary Edu. For Girls)</v>
          </cell>
          <cell r="H7252" t="str">
            <v>WR</v>
          </cell>
        </row>
        <row r="7253">
          <cell r="B7253" t="str">
            <v>Fire Extinguisher - C02</v>
          </cell>
          <cell r="D7253" t="str">
            <v>Mo'atah (Basic &amp; Secondary Edu. For Girls)</v>
          </cell>
          <cell r="H7253" t="str">
            <v>WR</v>
          </cell>
        </row>
        <row r="7254">
          <cell r="B7254" t="str">
            <v>Fire Extinguisher - Dry</v>
          </cell>
          <cell r="D7254" t="str">
            <v>Mo'atah (Basic &amp; Secondary Edu. For Girls)</v>
          </cell>
          <cell r="H7254" t="str">
            <v>WR</v>
          </cell>
        </row>
        <row r="7255">
          <cell r="B7255" t="str">
            <v>Fire Extinguisher - Dry</v>
          </cell>
          <cell r="D7255" t="str">
            <v>Mo'atah (Basic &amp; Secondary Edu. For Girls)</v>
          </cell>
          <cell r="H7255" t="str">
            <v>WR</v>
          </cell>
        </row>
        <row r="7256">
          <cell r="B7256" t="str">
            <v>Fire Extinguisher - Dry</v>
          </cell>
          <cell r="D7256" t="str">
            <v>Mo'atah (Basic &amp; Secondary Edu. For Girls)</v>
          </cell>
          <cell r="H7256" t="str">
            <v>WR</v>
          </cell>
        </row>
        <row r="7257">
          <cell r="B7257" t="str">
            <v>Fire Extinguisher - Dry</v>
          </cell>
          <cell r="D7257" t="str">
            <v>Mo'atah (Basic &amp; Secondary Edu. For Girls)</v>
          </cell>
          <cell r="H7257" t="str">
            <v>WR</v>
          </cell>
        </row>
        <row r="7258">
          <cell r="B7258" t="str">
            <v>Fire Extinguisher - Dry</v>
          </cell>
          <cell r="D7258" t="str">
            <v>Mo'atah (Basic &amp; Secondary Edu. For Girls)</v>
          </cell>
          <cell r="H7258" t="str">
            <v>WR</v>
          </cell>
        </row>
        <row r="7259">
          <cell r="B7259" t="str">
            <v>Fire Extinguisher - Dry</v>
          </cell>
          <cell r="D7259" t="str">
            <v>Mo'atah (Basic &amp; Secondary Edu. For Girls)</v>
          </cell>
          <cell r="H7259" t="str">
            <v>WR</v>
          </cell>
        </row>
        <row r="7260">
          <cell r="B7260" t="str">
            <v>Fire Extinguisher - Dry</v>
          </cell>
          <cell r="D7260" t="str">
            <v>Mo'atah (Basic &amp; Secondary Edu. For Girls)</v>
          </cell>
          <cell r="H7260" t="str">
            <v>WR</v>
          </cell>
        </row>
        <row r="7261">
          <cell r="B7261" t="str">
            <v>Fire Extinguisher - Dry</v>
          </cell>
          <cell r="D7261" t="str">
            <v>Mo'atah (Basic &amp; Secondary Edu. For Girls)</v>
          </cell>
          <cell r="H7261" t="str">
            <v>WR</v>
          </cell>
        </row>
        <row r="7262">
          <cell r="B7262" t="str">
            <v>Fire Extinguisher - Dry</v>
          </cell>
          <cell r="D7262" t="str">
            <v>Mo'atah (Basic &amp; Secondary Edu. For Girls)</v>
          </cell>
          <cell r="H7262" t="str">
            <v>WR</v>
          </cell>
        </row>
        <row r="7263">
          <cell r="B7263" t="str">
            <v>Fire Extinguisher - Dry</v>
          </cell>
          <cell r="D7263" t="str">
            <v>Mo'atah (Basic &amp; Secondary Edu. For Girls)</v>
          </cell>
          <cell r="H7263" t="str">
            <v>WR</v>
          </cell>
        </row>
        <row r="7264">
          <cell r="B7264" t="str">
            <v>Fire Extinguisher - Dry</v>
          </cell>
          <cell r="D7264" t="str">
            <v>Mo'atah (Basic &amp; Secondary Edu. For Girls)</v>
          </cell>
          <cell r="H7264" t="str">
            <v>WR</v>
          </cell>
        </row>
        <row r="7265">
          <cell r="B7265" t="str">
            <v>Fire Extinguisher - Dry</v>
          </cell>
          <cell r="D7265" t="str">
            <v>Mo'atah (Basic &amp; Secondary Edu. For Girls)</v>
          </cell>
          <cell r="H7265" t="str">
            <v>WR</v>
          </cell>
        </row>
        <row r="7266">
          <cell r="B7266" t="str">
            <v>Fire Pump</v>
          </cell>
          <cell r="D7266" t="str">
            <v>Mo'atah (Basic &amp; Secondary Edu. For Girls)</v>
          </cell>
          <cell r="H7266" t="str">
            <v>WR</v>
          </cell>
        </row>
        <row r="7267">
          <cell r="B7267" t="str">
            <v>FIRE PUMP - Diesel</v>
          </cell>
          <cell r="D7267" t="str">
            <v>Mo'atah (Basic &amp; Secondary Edu. For Girls)</v>
          </cell>
          <cell r="H7267" t="str">
            <v>WR</v>
          </cell>
        </row>
        <row r="7268">
          <cell r="B7268" t="str">
            <v>FIRE PUMP - Electric</v>
          </cell>
          <cell r="D7268" t="str">
            <v>Mo'atah (Basic &amp; Secondary Edu. For Girls)</v>
          </cell>
          <cell r="H7268" t="str">
            <v>WR</v>
          </cell>
        </row>
        <row r="7269">
          <cell r="B7269" t="str">
            <v>Water Tank</v>
          </cell>
          <cell r="D7269" t="str">
            <v>Mo'atah (Basic &amp; Secondary Edu. For Girls)</v>
          </cell>
          <cell r="H7269" t="str">
            <v>WR</v>
          </cell>
        </row>
        <row r="7270">
          <cell r="B7270" t="str">
            <v>Water Tank</v>
          </cell>
          <cell r="D7270" t="str">
            <v>Mo'atah (Basic &amp; Secondary Edu. For Girls)</v>
          </cell>
          <cell r="H7270" t="str">
            <v>WR</v>
          </cell>
        </row>
        <row r="7271">
          <cell r="B7271" t="str">
            <v>Water Tank</v>
          </cell>
          <cell r="D7271" t="str">
            <v>Mo'atah (Basic &amp; Secondary Edu. For Girls)</v>
          </cell>
          <cell r="H7271" t="str">
            <v>WR</v>
          </cell>
        </row>
        <row r="7272">
          <cell r="B7272" t="str">
            <v>Fire Extinguisher - C02</v>
          </cell>
          <cell r="D7272" t="str">
            <v xml:space="preserve">Mohawiya Ben abi Safyan Elementary School           </v>
          </cell>
          <cell r="H7272" t="str">
            <v>AA</v>
          </cell>
        </row>
        <row r="7273">
          <cell r="B7273" t="str">
            <v>Fire Extinguisher - C02</v>
          </cell>
          <cell r="D7273" t="str">
            <v xml:space="preserve">Mohawiya Ben abi Safyan Elementary School           </v>
          </cell>
          <cell r="H7273" t="str">
            <v>AA</v>
          </cell>
        </row>
        <row r="7274">
          <cell r="B7274" t="str">
            <v>Fire Extinguisher - C02</v>
          </cell>
          <cell r="D7274" t="str">
            <v xml:space="preserve">Mohawiya Ben abi Safyan Elementary School           </v>
          </cell>
          <cell r="H7274" t="str">
            <v>AA</v>
          </cell>
        </row>
        <row r="7275">
          <cell r="B7275" t="str">
            <v>Fire Extinguisher - C02</v>
          </cell>
          <cell r="D7275" t="str">
            <v xml:space="preserve">Mohawiya Ben abi Safyan Elementary School           </v>
          </cell>
          <cell r="H7275" t="str">
            <v>AA</v>
          </cell>
        </row>
        <row r="7276">
          <cell r="B7276" t="str">
            <v>Fire Extinguisher - C02</v>
          </cell>
          <cell r="D7276" t="str">
            <v xml:space="preserve">Mohawiya Ben abi Safyan Elementary School           </v>
          </cell>
          <cell r="H7276" t="str">
            <v>AA</v>
          </cell>
        </row>
        <row r="7277">
          <cell r="B7277" t="str">
            <v>Fire Extinguisher - C02</v>
          </cell>
          <cell r="D7277" t="str">
            <v xml:space="preserve">Mohawiya Ben abi Safyan Elementary School           </v>
          </cell>
          <cell r="H7277" t="str">
            <v>AA</v>
          </cell>
        </row>
        <row r="7278">
          <cell r="B7278" t="str">
            <v>Fire Extinguisher - C02</v>
          </cell>
          <cell r="D7278" t="str">
            <v xml:space="preserve">Mohawiya Ben abi Safyan Elementary School           </v>
          </cell>
          <cell r="H7278" t="str">
            <v>AA</v>
          </cell>
        </row>
        <row r="7279">
          <cell r="B7279" t="str">
            <v>Fire Extinguisher - C02</v>
          </cell>
          <cell r="D7279" t="str">
            <v xml:space="preserve">Mohawiya Ben abi Safyan Elementary School           </v>
          </cell>
          <cell r="H7279" t="str">
            <v>AA</v>
          </cell>
        </row>
        <row r="7280">
          <cell r="B7280" t="str">
            <v>Fire Extinguisher - C02</v>
          </cell>
          <cell r="D7280" t="str">
            <v xml:space="preserve">Mohawiya Ben abi Safyan Elementary School           </v>
          </cell>
          <cell r="H7280" t="str">
            <v>AA</v>
          </cell>
        </row>
        <row r="7281">
          <cell r="B7281" t="str">
            <v>Fire Extinguisher - C02</v>
          </cell>
          <cell r="D7281" t="str">
            <v xml:space="preserve">Mohawiya Ben abi Safyan Elementary School           </v>
          </cell>
          <cell r="H7281" t="str">
            <v>AA</v>
          </cell>
        </row>
        <row r="7282">
          <cell r="B7282" t="str">
            <v>Fire Extinguisher - C02</v>
          </cell>
          <cell r="D7282" t="str">
            <v xml:space="preserve">Mohawiya Ben abi Safyan Elementary School           </v>
          </cell>
          <cell r="H7282" t="str">
            <v>AA</v>
          </cell>
        </row>
        <row r="7283">
          <cell r="B7283" t="str">
            <v>Fire Extinguisher - C02</v>
          </cell>
          <cell r="D7283" t="str">
            <v xml:space="preserve">Mohawiya Ben abi Safyan Elementary School           </v>
          </cell>
          <cell r="H7283" t="str">
            <v>AA</v>
          </cell>
        </row>
        <row r="7284">
          <cell r="B7284" t="str">
            <v>Fire Extinguisher - C02</v>
          </cell>
          <cell r="D7284" t="str">
            <v xml:space="preserve">Mohawiya Ben abi Safyan Elementary School           </v>
          </cell>
          <cell r="H7284" t="str">
            <v>AA</v>
          </cell>
        </row>
        <row r="7285">
          <cell r="B7285" t="str">
            <v>Fire Extinguisher - C02</v>
          </cell>
          <cell r="D7285" t="str">
            <v xml:space="preserve">Mohawiya Ben abi Safyan Elementary School           </v>
          </cell>
          <cell r="H7285" t="str">
            <v>AA</v>
          </cell>
        </row>
        <row r="7286">
          <cell r="B7286" t="str">
            <v>Fire Extinguisher - C02</v>
          </cell>
          <cell r="D7286" t="str">
            <v xml:space="preserve">Mohawiya Ben abi Safyan Elementary School           </v>
          </cell>
          <cell r="H7286" t="str">
            <v>AA</v>
          </cell>
        </row>
        <row r="7287">
          <cell r="B7287" t="str">
            <v>Fire Extinguisher - C02</v>
          </cell>
          <cell r="D7287" t="str">
            <v xml:space="preserve">Mohawiya Ben abi Safyan Elementary School           </v>
          </cell>
          <cell r="H7287" t="str">
            <v>AA</v>
          </cell>
        </row>
        <row r="7288">
          <cell r="B7288" t="str">
            <v>Fire Extinguisher - C02</v>
          </cell>
          <cell r="D7288" t="str">
            <v xml:space="preserve">Mohawiya Ben abi Safyan Elementary School           </v>
          </cell>
          <cell r="H7288" t="str">
            <v>AA</v>
          </cell>
        </row>
        <row r="7289">
          <cell r="B7289" t="str">
            <v>Fire Extinguisher - C02</v>
          </cell>
          <cell r="D7289" t="str">
            <v xml:space="preserve">Mohawiya Ben abi Safyan Elementary School           </v>
          </cell>
          <cell r="H7289" t="str">
            <v>AA</v>
          </cell>
        </row>
        <row r="7290">
          <cell r="B7290" t="str">
            <v>Fire Extinguisher - C02</v>
          </cell>
          <cell r="D7290" t="str">
            <v xml:space="preserve">Mohawiya Ben abi Safyan Elementary School           </v>
          </cell>
          <cell r="H7290" t="str">
            <v>AA</v>
          </cell>
        </row>
        <row r="7291">
          <cell r="B7291" t="str">
            <v>Fire Extinguisher - C02</v>
          </cell>
          <cell r="D7291" t="str">
            <v xml:space="preserve">Mohawiya Ben abi Safyan Elementary School           </v>
          </cell>
          <cell r="H7291" t="str">
            <v>AA</v>
          </cell>
        </row>
        <row r="7292">
          <cell r="B7292" t="str">
            <v>Fire Alarm Bell</v>
          </cell>
          <cell r="D7292" t="str">
            <v xml:space="preserve">Mohawiya Ben abi Safyan Elementary School           </v>
          </cell>
          <cell r="H7292" t="str">
            <v>AA</v>
          </cell>
        </row>
        <row r="7293">
          <cell r="B7293" t="str">
            <v>Fire Extinguisher - Dry</v>
          </cell>
          <cell r="D7293" t="str">
            <v xml:space="preserve">Mohawiya Ben abi Safyan Elementary School           </v>
          </cell>
          <cell r="H7293" t="str">
            <v>AA</v>
          </cell>
        </row>
        <row r="7294">
          <cell r="B7294" t="str">
            <v>Fire Extinguisher - Dry</v>
          </cell>
          <cell r="D7294" t="str">
            <v xml:space="preserve">Mohawiya Ben abi Safyan Elementary School           </v>
          </cell>
          <cell r="H7294" t="str">
            <v>AA</v>
          </cell>
        </row>
        <row r="7295">
          <cell r="B7295" t="str">
            <v>Fire Extinguisher - Dry</v>
          </cell>
          <cell r="D7295" t="str">
            <v xml:space="preserve">Mohawiya Ben abi Safyan Elementary School           </v>
          </cell>
          <cell r="H7295" t="str">
            <v>AA</v>
          </cell>
        </row>
        <row r="7296">
          <cell r="B7296" t="str">
            <v>Fire Extinguisher - Dry</v>
          </cell>
          <cell r="D7296" t="str">
            <v xml:space="preserve">Mohawiya Ben abi Safyan Elementary School           </v>
          </cell>
          <cell r="H7296" t="str">
            <v>AA</v>
          </cell>
        </row>
        <row r="7297">
          <cell r="B7297" t="str">
            <v>Fire Extinguisher - Dry</v>
          </cell>
          <cell r="D7297" t="str">
            <v xml:space="preserve">Mohawiya Ben abi Safyan Elementary School           </v>
          </cell>
          <cell r="H7297" t="str">
            <v>AA</v>
          </cell>
        </row>
        <row r="7298">
          <cell r="B7298" t="str">
            <v>Fire Extinguisher - Dry</v>
          </cell>
          <cell r="D7298" t="str">
            <v xml:space="preserve">Mohawiya Ben abi Safyan Elementary School           </v>
          </cell>
          <cell r="H7298" t="str">
            <v>AA</v>
          </cell>
        </row>
        <row r="7299">
          <cell r="B7299" t="str">
            <v>Fire Extinguisher - Dry</v>
          </cell>
          <cell r="D7299" t="str">
            <v xml:space="preserve">Mohawiya Ben abi Safyan Elementary School           </v>
          </cell>
          <cell r="H7299" t="str">
            <v>AA</v>
          </cell>
        </row>
        <row r="7300">
          <cell r="B7300" t="str">
            <v>Fire Extinguisher - Dry</v>
          </cell>
          <cell r="D7300" t="str">
            <v xml:space="preserve">Mohawiya Ben abi Safyan Elementary School           </v>
          </cell>
          <cell r="H7300" t="str">
            <v>AA</v>
          </cell>
        </row>
        <row r="7301">
          <cell r="B7301" t="str">
            <v>Fire Extinguisher - Dry</v>
          </cell>
          <cell r="D7301" t="str">
            <v xml:space="preserve">Mohawiya Ben abi Safyan Elementary School           </v>
          </cell>
          <cell r="H7301" t="str">
            <v>AA</v>
          </cell>
        </row>
        <row r="7302">
          <cell r="B7302" t="str">
            <v>Fire Extinguisher - Dry</v>
          </cell>
          <cell r="D7302" t="str">
            <v xml:space="preserve">Mohawiya Ben abi Safyan Elementary School           </v>
          </cell>
          <cell r="H7302" t="str">
            <v>AA</v>
          </cell>
        </row>
        <row r="7303">
          <cell r="B7303" t="str">
            <v>Fire Extinguisher - Dry</v>
          </cell>
          <cell r="D7303" t="str">
            <v xml:space="preserve">Mohawiya Ben abi Safyan Elementary School           </v>
          </cell>
          <cell r="H7303" t="str">
            <v>AA</v>
          </cell>
        </row>
        <row r="7304">
          <cell r="B7304" t="str">
            <v>Fire Extinguisher - Dry</v>
          </cell>
          <cell r="D7304" t="str">
            <v xml:space="preserve">Mohawiya Ben abi Safyan Elementary School           </v>
          </cell>
          <cell r="H7304" t="str">
            <v>AA</v>
          </cell>
        </row>
        <row r="7305">
          <cell r="B7305" t="str">
            <v>Fire Extinguisher - Dry</v>
          </cell>
          <cell r="D7305" t="str">
            <v xml:space="preserve">Mohawiya Ben abi Safyan Elementary School           </v>
          </cell>
          <cell r="H7305" t="str">
            <v>AA</v>
          </cell>
        </row>
        <row r="7306">
          <cell r="B7306" t="str">
            <v>Fire Extinguisher - Dry</v>
          </cell>
          <cell r="D7306" t="str">
            <v xml:space="preserve">Mohawiya Ben abi Safyan Elementary School           </v>
          </cell>
          <cell r="H7306" t="str">
            <v>AA</v>
          </cell>
        </row>
        <row r="7307">
          <cell r="B7307" t="str">
            <v>Fire Extinguisher - Dry</v>
          </cell>
          <cell r="D7307" t="str">
            <v xml:space="preserve">Mohawiya Ben abi Safyan Elementary School           </v>
          </cell>
          <cell r="H7307" t="str">
            <v>AA</v>
          </cell>
        </row>
        <row r="7308">
          <cell r="B7308" t="str">
            <v>Fire Extinguisher - Dry</v>
          </cell>
          <cell r="D7308" t="str">
            <v xml:space="preserve">Mohawiya Ben abi Safyan Elementary School           </v>
          </cell>
          <cell r="H7308" t="str">
            <v>AA</v>
          </cell>
        </row>
        <row r="7309">
          <cell r="B7309" t="str">
            <v>Fire Extinguisher - Dry</v>
          </cell>
          <cell r="D7309" t="str">
            <v xml:space="preserve">Mohawiya Ben abi Safyan Elementary School           </v>
          </cell>
          <cell r="H7309" t="str">
            <v>AA</v>
          </cell>
        </row>
        <row r="7310">
          <cell r="B7310" t="str">
            <v>Fire Extinguisher - Dry</v>
          </cell>
          <cell r="D7310" t="str">
            <v xml:space="preserve">Mohawiya Ben abi Safyan Elementary School           </v>
          </cell>
          <cell r="H7310" t="str">
            <v>AA</v>
          </cell>
        </row>
        <row r="7311">
          <cell r="B7311" t="str">
            <v>Fire Extinguisher - Dry</v>
          </cell>
          <cell r="D7311" t="str">
            <v xml:space="preserve">Mohawiya Ben abi Safyan Elementary School           </v>
          </cell>
          <cell r="H7311" t="str">
            <v>AA</v>
          </cell>
        </row>
        <row r="7312">
          <cell r="B7312" t="str">
            <v>Fire Extinguisher - Dry</v>
          </cell>
          <cell r="D7312" t="str">
            <v xml:space="preserve">Mohawiya Ben abi Safyan Elementary School           </v>
          </cell>
          <cell r="H7312" t="str">
            <v>AA</v>
          </cell>
        </row>
        <row r="7313">
          <cell r="B7313" t="str">
            <v>Water Tank</v>
          </cell>
          <cell r="D7313" t="str">
            <v xml:space="preserve">Mohawiya Ben abi Safyan Elementary School           </v>
          </cell>
          <cell r="H7313" t="str">
            <v>AA</v>
          </cell>
        </row>
        <row r="7314">
          <cell r="B7314" t="str">
            <v>Water Tank</v>
          </cell>
          <cell r="D7314" t="str">
            <v xml:space="preserve">Mohawiya Ben abi Safyan Elementary School           </v>
          </cell>
          <cell r="H7314" t="str">
            <v>AA</v>
          </cell>
        </row>
        <row r="7315">
          <cell r="B7315" t="str">
            <v>Water Tank</v>
          </cell>
          <cell r="D7315" t="str">
            <v xml:space="preserve">Mohawiya Ben abi Safyan Elementary School           </v>
          </cell>
          <cell r="H7315" t="str">
            <v>AA</v>
          </cell>
        </row>
        <row r="7316">
          <cell r="B7316" t="str">
            <v>Water Tank</v>
          </cell>
          <cell r="D7316" t="str">
            <v xml:space="preserve">Mohawiya Ben abi Safyan Elementary School           </v>
          </cell>
          <cell r="H7316" t="str">
            <v>AA</v>
          </cell>
        </row>
        <row r="7317">
          <cell r="B7317" t="str">
            <v>Water Tank</v>
          </cell>
          <cell r="D7317" t="str">
            <v xml:space="preserve">Mohawiya Ben abi Safyan Elementary School           </v>
          </cell>
          <cell r="H7317" t="str">
            <v>AA</v>
          </cell>
        </row>
        <row r="7318">
          <cell r="B7318" t="str">
            <v>Water Tank</v>
          </cell>
          <cell r="D7318" t="str">
            <v xml:space="preserve">Mohawiya Ben abi Safyan Elementary School           </v>
          </cell>
          <cell r="H7318" t="str">
            <v>AA</v>
          </cell>
        </row>
        <row r="7319">
          <cell r="B7319" t="str">
            <v>Water Tank</v>
          </cell>
          <cell r="D7319" t="str">
            <v xml:space="preserve">Mohawiya Ben abi Safyan Elementary School           </v>
          </cell>
          <cell r="H7319" t="str">
            <v>AA</v>
          </cell>
        </row>
        <row r="7320">
          <cell r="B7320" t="str">
            <v>Water Tank</v>
          </cell>
          <cell r="D7320" t="str">
            <v xml:space="preserve">Mohawiya Ben abi Safyan Elementary School           </v>
          </cell>
          <cell r="H7320" t="str">
            <v>AA</v>
          </cell>
        </row>
        <row r="7321">
          <cell r="B7321" t="str">
            <v>Water Tank</v>
          </cell>
          <cell r="D7321" t="str">
            <v xml:space="preserve">Mohawiya Ben abi Safyan Elementary School           </v>
          </cell>
          <cell r="H7321" t="str">
            <v>AA</v>
          </cell>
        </row>
        <row r="7322">
          <cell r="B7322" t="str">
            <v>Water Tank</v>
          </cell>
          <cell r="D7322" t="str">
            <v xml:space="preserve">Mohawiya Ben abi Safyan Elementary School           </v>
          </cell>
          <cell r="H7322" t="str">
            <v>AA</v>
          </cell>
        </row>
        <row r="7323">
          <cell r="B7323" t="str">
            <v>Water Tank</v>
          </cell>
          <cell r="D7323" t="str">
            <v xml:space="preserve">Mohawiya Ben abi Safyan Elementary School           </v>
          </cell>
          <cell r="H7323" t="str">
            <v>AA</v>
          </cell>
        </row>
        <row r="7324">
          <cell r="B7324" t="str">
            <v>Chiller Unit</v>
          </cell>
          <cell r="D7324" t="str">
            <v xml:space="preserve">Mohawiya swimming pool School           </v>
          </cell>
          <cell r="H7324" t="str">
            <v>AA</v>
          </cell>
        </row>
        <row r="7325">
          <cell r="B7325" t="str">
            <v>Chiller Unit</v>
          </cell>
          <cell r="D7325" t="str">
            <v xml:space="preserve">Mohawiya swimming pool School           </v>
          </cell>
          <cell r="H7325" t="str">
            <v>AA</v>
          </cell>
        </row>
        <row r="7326">
          <cell r="B7326" t="str">
            <v>Chiller Unit  Panel Board</v>
          </cell>
          <cell r="D7326" t="str">
            <v xml:space="preserve">Mohawiya swimming pool School           </v>
          </cell>
          <cell r="H7326" t="str">
            <v>AA</v>
          </cell>
        </row>
        <row r="7327">
          <cell r="B7327" t="str">
            <v>Chiller Unit  Panel Board</v>
          </cell>
          <cell r="D7327" t="str">
            <v xml:space="preserve">Mohawiya swimming pool School           </v>
          </cell>
          <cell r="H7327" t="str">
            <v>AA</v>
          </cell>
        </row>
        <row r="7328">
          <cell r="B7328" t="str">
            <v>Dry Riser Breeching Outlet</v>
          </cell>
          <cell r="D7328" t="str">
            <v xml:space="preserve">Mohawiya swimming pool School           </v>
          </cell>
          <cell r="H7328" t="str">
            <v>AA</v>
          </cell>
        </row>
        <row r="7329">
          <cell r="B7329" t="str">
            <v>Dry Riser Breeching Outlet</v>
          </cell>
          <cell r="D7329" t="str">
            <v xml:space="preserve">Mohawiya swimming pool School           </v>
          </cell>
          <cell r="H7329" t="str">
            <v>AA</v>
          </cell>
        </row>
        <row r="7330">
          <cell r="B7330" t="str">
            <v>Dry Riser Breeching Outlet Cabinet</v>
          </cell>
          <cell r="D7330" t="str">
            <v xml:space="preserve">Mohawiya swimming pool School           </v>
          </cell>
          <cell r="H7330" t="str">
            <v>AA</v>
          </cell>
        </row>
        <row r="7331">
          <cell r="B7331" t="str">
            <v>Dry Riser Breeching Outlet Cabinet</v>
          </cell>
          <cell r="D7331" t="str">
            <v xml:space="preserve">Mohawiya swimming pool School           </v>
          </cell>
          <cell r="H7331" t="str">
            <v>AA</v>
          </cell>
        </row>
        <row r="7332">
          <cell r="B7332" t="str">
            <v>Fire Alarm Bell</v>
          </cell>
          <cell r="D7332" t="str">
            <v xml:space="preserve">Mohawiya swimming pool School           </v>
          </cell>
          <cell r="H7332" t="str">
            <v>AA</v>
          </cell>
        </row>
        <row r="7333">
          <cell r="B7333" t="str">
            <v>Fire Alarm Bell</v>
          </cell>
          <cell r="D7333" t="str">
            <v xml:space="preserve">Mohawiya swimming pool School           </v>
          </cell>
          <cell r="H7333" t="str">
            <v>AA</v>
          </cell>
        </row>
        <row r="7334">
          <cell r="B7334" t="str">
            <v>Fire Alarm Bell</v>
          </cell>
          <cell r="D7334" t="str">
            <v xml:space="preserve">Mohawiya swimming pool School           </v>
          </cell>
          <cell r="H7334" t="str">
            <v>AA</v>
          </cell>
        </row>
        <row r="7335">
          <cell r="B7335" t="str">
            <v>Fire Alarm Bell</v>
          </cell>
          <cell r="D7335" t="str">
            <v xml:space="preserve">Mohawiya swimming pool School           </v>
          </cell>
          <cell r="H7335" t="str">
            <v>AA</v>
          </cell>
        </row>
        <row r="7336">
          <cell r="B7336" t="str">
            <v>Fire Alarm Bell</v>
          </cell>
          <cell r="D7336" t="str">
            <v xml:space="preserve">Mohawiya swimming pool School           </v>
          </cell>
          <cell r="H7336" t="str">
            <v>AA</v>
          </cell>
        </row>
        <row r="7337">
          <cell r="B7337" t="str">
            <v>Fire Alarm Control Panel Board</v>
          </cell>
          <cell r="D7337" t="str">
            <v xml:space="preserve">Mohawiya swimming pool School           </v>
          </cell>
          <cell r="H7337" t="str">
            <v>AA</v>
          </cell>
        </row>
        <row r="7338">
          <cell r="B7338" t="str">
            <v>Fire Extinguisher</v>
          </cell>
          <cell r="D7338" t="str">
            <v xml:space="preserve">Mohawiya swimming pool School           </v>
          </cell>
          <cell r="H7338" t="str">
            <v>AA</v>
          </cell>
        </row>
        <row r="7339">
          <cell r="B7339" t="str">
            <v>Fire Extinguisher</v>
          </cell>
          <cell r="D7339" t="str">
            <v xml:space="preserve">Mohawiya swimming pool School           </v>
          </cell>
          <cell r="H7339" t="str">
            <v>AA</v>
          </cell>
        </row>
        <row r="7340">
          <cell r="B7340" t="str">
            <v>Fire Extinguisher</v>
          </cell>
          <cell r="D7340" t="str">
            <v xml:space="preserve">Mohawiya swimming pool School           </v>
          </cell>
          <cell r="H7340" t="str">
            <v>AA</v>
          </cell>
        </row>
        <row r="7341">
          <cell r="B7341" t="str">
            <v>Fire Extinguisher</v>
          </cell>
          <cell r="D7341" t="str">
            <v xml:space="preserve">Mohawiya swimming pool School           </v>
          </cell>
          <cell r="H7341" t="str">
            <v>AA</v>
          </cell>
        </row>
        <row r="7342">
          <cell r="B7342" t="str">
            <v>Fire Extinguisher</v>
          </cell>
          <cell r="D7342" t="str">
            <v xml:space="preserve">Mohawiya swimming pool School           </v>
          </cell>
          <cell r="H7342" t="str">
            <v>AA</v>
          </cell>
        </row>
        <row r="7343">
          <cell r="B7343" t="str">
            <v>Fire Extinguisher</v>
          </cell>
          <cell r="D7343" t="str">
            <v xml:space="preserve">Mohawiya swimming pool School           </v>
          </cell>
          <cell r="H7343" t="str">
            <v>AA</v>
          </cell>
        </row>
        <row r="7344">
          <cell r="B7344" t="str">
            <v>Fire Extinguisher</v>
          </cell>
          <cell r="D7344" t="str">
            <v xml:space="preserve">Mohawiya swimming pool School           </v>
          </cell>
          <cell r="H7344" t="str">
            <v>AA</v>
          </cell>
        </row>
        <row r="7345">
          <cell r="B7345" t="str">
            <v>Fire Extinguisher</v>
          </cell>
          <cell r="D7345" t="str">
            <v xml:space="preserve">Mohawiya swimming pool School           </v>
          </cell>
          <cell r="H7345" t="str">
            <v>AA</v>
          </cell>
        </row>
        <row r="7346">
          <cell r="B7346" t="str">
            <v>Fire Extinguisher</v>
          </cell>
          <cell r="D7346" t="str">
            <v xml:space="preserve">Mohawiya swimming pool School           </v>
          </cell>
          <cell r="H7346" t="str">
            <v>AA</v>
          </cell>
        </row>
        <row r="7347">
          <cell r="B7347" t="str">
            <v>Fire Extinguisher</v>
          </cell>
          <cell r="D7347" t="str">
            <v xml:space="preserve">Mohawiya swimming pool School           </v>
          </cell>
          <cell r="H7347" t="str">
            <v>AA</v>
          </cell>
        </row>
        <row r="7348">
          <cell r="B7348" t="str">
            <v>Fire Extinguisher</v>
          </cell>
          <cell r="D7348" t="str">
            <v xml:space="preserve">Mohawiya swimming pool School           </v>
          </cell>
          <cell r="H7348" t="str">
            <v>AA</v>
          </cell>
        </row>
        <row r="7349">
          <cell r="B7349" t="str">
            <v>Fire Extinguisher</v>
          </cell>
          <cell r="D7349" t="str">
            <v xml:space="preserve">Mohawiya swimming pool School           </v>
          </cell>
          <cell r="H7349" t="str">
            <v>AA</v>
          </cell>
        </row>
        <row r="7350">
          <cell r="B7350" t="str">
            <v>Fire Extinguisher</v>
          </cell>
          <cell r="D7350" t="str">
            <v xml:space="preserve">Mohawiya swimming pool School           </v>
          </cell>
          <cell r="H7350" t="str">
            <v>AA</v>
          </cell>
        </row>
        <row r="7351">
          <cell r="B7351" t="str">
            <v>Fire Extinguisher</v>
          </cell>
          <cell r="D7351" t="str">
            <v xml:space="preserve">Mohawiya swimming pool School           </v>
          </cell>
          <cell r="H7351" t="str">
            <v>AA</v>
          </cell>
        </row>
        <row r="7352">
          <cell r="B7352" t="str">
            <v>Fire Extinguisher</v>
          </cell>
          <cell r="D7352" t="str">
            <v xml:space="preserve">Mohawiya swimming pool School           </v>
          </cell>
          <cell r="H7352" t="str">
            <v>AA</v>
          </cell>
        </row>
        <row r="7353">
          <cell r="B7353" t="str">
            <v>Fire Extinguisher</v>
          </cell>
          <cell r="D7353" t="str">
            <v xml:space="preserve">Mohawiya swimming pool School           </v>
          </cell>
          <cell r="H7353" t="str">
            <v>AA</v>
          </cell>
        </row>
        <row r="7354">
          <cell r="B7354" t="str">
            <v>Fire Extinguisher</v>
          </cell>
          <cell r="D7354" t="str">
            <v xml:space="preserve">Mohawiya swimming pool School           </v>
          </cell>
          <cell r="H7354" t="str">
            <v>AA</v>
          </cell>
        </row>
        <row r="7355">
          <cell r="B7355" t="str">
            <v>Fire Extinguisher</v>
          </cell>
          <cell r="D7355" t="str">
            <v xml:space="preserve">Mohawiya swimming pool School           </v>
          </cell>
          <cell r="H7355" t="str">
            <v>AA</v>
          </cell>
        </row>
        <row r="7356">
          <cell r="B7356" t="str">
            <v>Fire Extinguisher Cabinet</v>
          </cell>
          <cell r="D7356" t="str">
            <v xml:space="preserve">Mohawiya swimming pool School           </v>
          </cell>
          <cell r="H7356" t="str">
            <v>AA</v>
          </cell>
        </row>
        <row r="7357">
          <cell r="B7357" t="str">
            <v>Fire Extinguisher Cabinet</v>
          </cell>
          <cell r="D7357" t="str">
            <v xml:space="preserve">Mohawiya swimming pool School           </v>
          </cell>
          <cell r="H7357" t="str">
            <v>AA</v>
          </cell>
        </row>
        <row r="7358">
          <cell r="B7358" t="str">
            <v>Fire Extinguisher Cabinet</v>
          </cell>
          <cell r="D7358" t="str">
            <v xml:space="preserve">Mohawiya swimming pool School           </v>
          </cell>
          <cell r="H7358" t="str">
            <v>AA</v>
          </cell>
        </row>
        <row r="7359">
          <cell r="B7359" t="str">
            <v>Fire Extinguisher Cabinet</v>
          </cell>
          <cell r="D7359" t="str">
            <v xml:space="preserve">Mohawiya swimming pool School           </v>
          </cell>
          <cell r="H7359" t="str">
            <v>AA</v>
          </cell>
        </row>
        <row r="7360">
          <cell r="B7360" t="str">
            <v>Fire Extinguisher Cabinet</v>
          </cell>
          <cell r="D7360" t="str">
            <v xml:space="preserve">Mohawiya swimming pool School           </v>
          </cell>
          <cell r="H7360" t="str">
            <v>AA</v>
          </cell>
        </row>
        <row r="7361">
          <cell r="B7361" t="str">
            <v>Fire Extinguisher Cabinet</v>
          </cell>
          <cell r="D7361" t="str">
            <v xml:space="preserve">Mohawiya swimming pool School           </v>
          </cell>
          <cell r="H7361" t="str">
            <v>AA</v>
          </cell>
        </row>
        <row r="7362">
          <cell r="B7362" t="str">
            <v>Fire Extinguisher Cabinet</v>
          </cell>
          <cell r="D7362" t="str">
            <v xml:space="preserve">Mohawiya swimming pool School           </v>
          </cell>
          <cell r="H7362" t="str">
            <v>AA</v>
          </cell>
        </row>
        <row r="7363">
          <cell r="B7363" t="str">
            <v>Fire Extinguisher Cabinet</v>
          </cell>
          <cell r="D7363" t="str">
            <v xml:space="preserve">Mohawiya swimming pool School           </v>
          </cell>
          <cell r="H7363" t="str">
            <v>AA</v>
          </cell>
        </row>
        <row r="7364">
          <cell r="B7364" t="str">
            <v>Fire Hose Reel</v>
          </cell>
          <cell r="D7364" t="str">
            <v xml:space="preserve">Mohawiya swimming pool School           </v>
          </cell>
          <cell r="H7364" t="str">
            <v>AA</v>
          </cell>
        </row>
        <row r="7365">
          <cell r="B7365" t="str">
            <v>Fire Hose Reel</v>
          </cell>
          <cell r="D7365" t="str">
            <v xml:space="preserve">Mohawiya swimming pool School           </v>
          </cell>
          <cell r="H7365" t="str">
            <v>AA</v>
          </cell>
        </row>
        <row r="7366">
          <cell r="B7366" t="str">
            <v>Fire Hose Reel Cabinet</v>
          </cell>
          <cell r="D7366" t="str">
            <v xml:space="preserve">Mohawiya swimming pool School           </v>
          </cell>
          <cell r="H7366" t="str">
            <v>AA</v>
          </cell>
        </row>
        <row r="7367">
          <cell r="B7367" t="str">
            <v>Fire Hose Reel Cabinet</v>
          </cell>
          <cell r="D7367" t="str">
            <v xml:space="preserve">Mohawiya swimming pool School           </v>
          </cell>
          <cell r="H7367" t="str">
            <v>AA</v>
          </cell>
        </row>
        <row r="7368">
          <cell r="B7368" t="str">
            <v>Smoke Detector &amp; Heat Detector</v>
          </cell>
          <cell r="D7368" t="str">
            <v xml:space="preserve">Mohawiya swimming pool School           </v>
          </cell>
          <cell r="H7368" t="str">
            <v>AA</v>
          </cell>
        </row>
        <row r="7369">
          <cell r="B7369" t="str">
            <v>Smoke Detector &amp; Heat Detector</v>
          </cell>
          <cell r="D7369" t="str">
            <v xml:space="preserve">Mohawiya swimming pool School           </v>
          </cell>
          <cell r="H7369" t="str">
            <v>AA</v>
          </cell>
        </row>
        <row r="7370">
          <cell r="B7370" t="str">
            <v>Smoke Detector &amp; Heat Detector</v>
          </cell>
          <cell r="D7370" t="str">
            <v xml:space="preserve">Mohawiya swimming pool School           </v>
          </cell>
          <cell r="H7370" t="str">
            <v>AA</v>
          </cell>
        </row>
        <row r="7371">
          <cell r="B7371" t="str">
            <v>Smoke Detector &amp; Heat Detector</v>
          </cell>
          <cell r="D7371" t="str">
            <v xml:space="preserve">Mohawiya swimming pool School           </v>
          </cell>
          <cell r="H7371" t="str">
            <v>AA</v>
          </cell>
        </row>
        <row r="7372">
          <cell r="B7372" t="str">
            <v>Smoke Detector &amp; Heat Detector</v>
          </cell>
          <cell r="D7372" t="str">
            <v xml:space="preserve">Mohawiya swimming pool School           </v>
          </cell>
          <cell r="H7372" t="str">
            <v>AA</v>
          </cell>
        </row>
        <row r="7373">
          <cell r="B7373" t="str">
            <v>Smoke Detector &amp; Heat Detector</v>
          </cell>
          <cell r="D7373" t="str">
            <v xml:space="preserve">Mohawiya swimming pool School           </v>
          </cell>
          <cell r="H7373" t="str">
            <v>AA</v>
          </cell>
        </row>
        <row r="7374">
          <cell r="B7374" t="str">
            <v>Smoke Detector &amp; Heat Detector</v>
          </cell>
          <cell r="D7374" t="str">
            <v xml:space="preserve">Mohawiya swimming pool School           </v>
          </cell>
          <cell r="H7374" t="str">
            <v>AA</v>
          </cell>
        </row>
        <row r="7375">
          <cell r="B7375" t="str">
            <v>Water Tank</v>
          </cell>
          <cell r="D7375" t="str">
            <v xml:space="preserve">Mohawiya swimming pool School           </v>
          </cell>
          <cell r="H7375" t="str">
            <v>AA</v>
          </cell>
        </row>
        <row r="7376">
          <cell r="B7376" t="str">
            <v>Water Tank</v>
          </cell>
          <cell r="D7376" t="str">
            <v xml:space="preserve">Mohawiya swimming pool School           </v>
          </cell>
          <cell r="H7376" t="str">
            <v>AA</v>
          </cell>
        </row>
        <row r="7377">
          <cell r="B7377" t="str">
            <v>Water Tank</v>
          </cell>
          <cell r="D7377" t="str">
            <v xml:space="preserve">Mohawiya swimming pool School           </v>
          </cell>
          <cell r="H7377" t="str">
            <v>AA</v>
          </cell>
        </row>
        <row r="7378">
          <cell r="B7378" t="str">
            <v>Water Tank</v>
          </cell>
          <cell r="D7378" t="str">
            <v xml:space="preserve">Mohawiya swimming pool School           </v>
          </cell>
          <cell r="H7378" t="str">
            <v>AA</v>
          </cell>
        </row>
        <row r="7379">
          <cell r="B7379" t="str">
            <v>Water Tank</v>
          </cell>
          <cell r="D7379" t="str">
            <v xml:space="preserve">Mohawiya swimming pool School           </v>
          </cell>
          <cell r="H7379" t="str">
            <v>AA</v>
          </cell>
        </row>
        <row r="7380">
          <cell r="B7380" t="str">
            <v>Automatic Fire Hose Reel</v>
          </cell>
          <cell r="D7380" t="str">
            <v xml:space="preserve">Mreyjeb Sec. School                                                           </v>
          </cell>
          <cell r="H7380" t="str">
            <v>AA</v>
          </cell>
        </row>
        <row r="7381">
          <cell r="B7381" t="str">
            <v>Automatic Fire Hose Reel</v>
          </cell>
          <cell r="D7381" t="str">
            <v xml:space="preserve">Mreyjeb Sec. School                                                           </v>
          </cell>
          <cell r="H7381" t="str">
            <v>AA</v>
          </cell>
        </row>
        <row r="7382">
          <cell r="B7382" t="str">
            <v>Automatic Fire Hose Reel</v>
          </cell>
          <cell r="D7382" t="str">
            <v xml:space="preserve">Mreyjeb Sec. School                                                           </v>
          </cell>
          <cell r="H7382" t="str">
            <v>AA</v>
          </cell>
        </row>
        <row r="7383">
          <cell r="B7383" t="str">
            <v>Automatic Fire Hose Reel</v>
          </cell>
          <cell r="D7383" t="str">
            <v xml:space="preserve">Mreyjeb Sec. School                                                           </v>
          </cell>
          <cell r="H7383" t="str">
            <v>AA</v>
          </cell>
        </row>
        <row r="7384">
          <cell r="B7384" t="str">
            <v>Automatic Fire Hose Reel</v>
          </cell>
          <cell r="D7384" t="str">
            <v xml:space="preserve">Mreyjeb Sec. School                                                           </v>
          </cell>
          <cell r="H7384" t="str">
            <v>AA</v>
          </cell>
        </row>
        <row r="7385">
          <cell r="B7385" t="str">
            <v>Automatic Fire Hose Reel</v>
          </cell>
          <cell r="D7385" t="str">
            <v xml:space="preserve">Mreyjeb Sec. School                                                           </v>
          </cell>
          <cell r="H7385" t="str">
            <v>AA</v>
          </cell>
        </row>
        <row r="7386">
          <cell r="B7386" t="str">
            <v>Automatic Fire Hose Reel</v>
          </cell>
          <cell r="D7386" t="str">
            <v xml:space="preserve">Mreyjeb Sec. School                                                           </v>
          </cell>
          <cell r="H7386" t="str">
            <v>AA</v>
          </cell>
        </row>
        <row r="7387">
          <cell r="B7387" t="str">
            <v>Automatic Fire Hose Reel</v>
          </cell>
          <cell r="D7387" t="str">
            <v xml:space="preserve">Mreyjeb Sec. School                                                           </v>
          </cell>
          <cell r="H7387" t="str">
            <v>AA</v>
          </cell>
        </row>
        <row r="7388">
          <cell r="B7388" t="str">
            <v>Automatic Fire Hose Reel</v>
          </cell>
          <cell r="D7388" t="str">
            <v xml:space="preserve">Mreyjeb Sec. School                                                           </v>
          </cell>
          <cell r="H7388" t="str">
            <v>AA</v>
          </cell>
        </row>
        <row r="7389">
          <cell r="B7389" t="str">
            <v>Automatic Fire Hose Reel</v>
          </cell>
          <cell r="D7389" t="str">
            <v xml:space="preserve">Mreyjeb Sec. School                                                           </v>
          </cell>
          <cell r="H7389" t="str">
            <v>AA</v>
          </cell>
        </row>
        <row r="7390">
          <cell r="B7390" t="str">
            <v>Automatic Fire Hose Reel</v>
          </cell>
          <cell r="D7390" t="str">
            <v xml:space="preserve">Mreyjeb Sec. School                                                           </v>
          </cell>
          <cell r="H7390" t="str">
            <v>AA</v>
          </cell>
        </row>
        <row r="7391">
          <cell r="B7391" t="str">
            <v>Automatic Fire Hose Reel</v>
          </cell>
          <cell r="D7391" t="str">
            <v xml:space="preserve">Mreyjeb Sec. School                                                           </v>
          </cell>
          <cell r="H7391" t="str">
            <v>AA</v>
          </cell>
        </row>
        <row r="7392">
          <cell r="B7392" t="str">
            <v>Automatic Fire Hose Reel</v>
          </cell>
          <cell r="D7392" t="str">
            <v xml:space="preserve">Mreyjeb Sec. School                                                           </v>
          </cell>
          <cell r="H7392" t="str">
            <v>AA</v>
          </cell>
        </row>
        <row r="7393">
          <cell r="B7393" t="str">
            <v>Automatic Fire Hose Reel</v>
          </cell>
          <cell r="D7393" t="str">
            <v xml:space="preserve">Mreyjeb Sec. School                                                           </v>
          </cell>
          <cell r="H7393" t="str">
            <v>AA</v>
          </cell>
        </row>
        <row r="7394">
          <cell r="B7394" t="str">
            <v>Automatic Fire Hose Reel</v>
          </cell>
          <cell r="D7394" t="str">
            <v xml:space="preserve">Mreyjeb Sec. School                                                           </v>
          </cell>
          <cell r="H7394" t="str">
            <v>AA</v>
          </cell>
        </row>
        <row r="7395">
          <cell r="B7395" t="str">
            <v>Automatic Fire Hose Reel</v>
          </cell>
          <cell r="D7395" t="str">
            <v xml:space="preserve">Mreyjeb Sec. School                                                           </v>
          </cell>
          <cell r="H7395" t="str">
            <v>AA</v>
          </cell>
        </row>
        <row r="7396">
          <cell r="B7396" t="str">
            <v>Automatic Fire Hose Reel</v>
          </cell>
          <cell r="D7396" t="str">
            <v xml:space="preserve">Mreyjeb Sec. School                                                           </v>
          </cell>
          <cell r="H7396" t="str">
            <v>AA</v>
          </cell>
        </row>
        <row r="7397">
          <cell r="B7397" t="str">
            <v>Fire Extinguisher - C02</v>
          </cell>
          <cell r="D7397" t="str">
            <v xml:space="preserve">Mreyjeb Sec. School                                                           </v>
          </cell>
          <cell r="H7397" t="str">
            <v>AA</v>
          </cell>
        </row>
        <row r="7398">
          <cell r="B7398" t="str">
            <v>Fire Extinguisher - C02</v>
          </cell>
          <cell r="D7398" t="str">
            <v xml:space="preserve">Mreyjeb Sec. School                                                           </v>
          </cell>
          <cell r="H7398" t="str">
            <v>AA</v>
          </cell>
        </row>
        <row r="7399">
          <cell r="B7399" t="str">
            <v>Fire Extinguisher - C02</v>
          </cell>
          <cell r="D7399" t="str">
            <v xml:space="preserve">Mreyjeb Sec. School                                                           </v>
          </cell>
          <cell r="H7399" t="str">
            <v>AA</v>
          </cell>
        </row>
        <row r="7400">
          <cell r="B7400" t="str">
            <v>Fire Extinguisher - C02</v>
          </cell>
          <cell r="D7400" t="str">
            <v xml:space="preserve">Mreyjeb Sec. School                                                           </v>
          </cell>
          <cell r="H7400" t="str">
            <v>AA</v>
          </cell>
        </row>
        <row r="7401">
          <cell r="B7401" t="str">
            <v>Fire Extinguisher - C02</v>
          </cell>
          <cell r="D7401" t="str">
            <v xml:space="preserve">Mreyjeb Sec. School                                                           </v>
          </cell>
          <cell r="H7401" t="str">
            <v>AA</v>
          </cell>
        </row>
        <row r="7402">
          <cell r="B7402" t="str">
            <v>Fire Extinguisher - C02</v>
          </cell>
          <cell r="D7402" t="str">
            <v xml:space="preserve">Mreyjeb Sec. School                                                           </v>
          </cell>
          <cell r="H7402" t="str">
            <v>AA</v>
          </cell>
        </row>
        <row r="7403">
          <cell r="B7403" t="str">
            <v>Fire Extinguisher - C02</v>
          </cell>
          <cell r="D7403" t="str">
            <v xml:space="preserve">Mreyjeb Sec. School                                                           </v>
          </cell>
          <cell r="H7403" t="str">
            <v>AA</v>
          </cell>
        </row>
        <row r="7404">
          <cell r="B7404" t="str">
            <v>Fire Extinguisher - C02</v>
          </cell>
          <cell r="D7404" t="str">
            <v xml:space="preserve">Mreyjeb Sec. School                                                           </v>
          </cell>
          <cell r="H7404" t="str">
            <v>AA</v>
          </cell>
        </row>
        <row r="7405">
          <cell r="B7405" t="str">
            <v>Fire Extinguisher - C02</v>
          </cell>
          <cell r="D7405" t="str">
            <v xml:space="preserve">Mreyjeb Sec. School                                                           </v>
          </cell>
          <cell r="H7405" t="str">
            <v>AA</v>
          </cell>
        </row>
        <row r="7406">
          <cell r="B7406" t="str">
            <v>Fire Extinguisher - C02</v>
          </cell>
          <cell r="D7406" t="str">
            <v xml:space="preserve">Mreyjeb Sec. School                                                           </v>
          </cell>
          <cell r="H7406" t="str">
            <v>AA</v>
          </cell>
        </row>
        <row r="7407">
          <cell r="B7407" t="str">
            <v>Fire Extinguisher - C02</v>
          </cell>
          <cell r="D7407" t="str">
            <v xml:space="preserve">Mreyjeb Sec. School                                                           </v>
          </cell>
          <cell r="H7407" t="str">
            <v>AA</v>
          </cell>
        </row>
        <row r="7408">
          <cell r="B7408" t="str">
            <v>Fire Extinguisher - C02</v>
          </cell>
          <cell r="D7408" t="str">
            <v xml:space="preserve">Mreyjeb Sec. School                                                           </v>
          </cell>
          <cell r="H7408" t="str">
            <v>AA</v>
          </cell>
        </row>
        <row r="7409">
          <cell r="B7409" t="str">
            <v>CCTV Camera</v>
          </cell>
          <cell r="D7409" t="str">
            <v xml:space="preserve">Mreyjeb Sec. School                                                           </v>
          </cell>
          <cell r="H7409" t="str">
            <v>AA</v>
          </cell>
        </row>
        <row r="7410">
          <cell r="B7410" t="str">
            <v>CCTV Camera</v>
          </cell>
          <cell r="D7410" t="str">
            <v xml:space="preserve">Mreyjeb Sec. School                                                           </v>
          </cell>
          <cell r="H7410" t="str">
            <v>AA</v>
          </cell>
        </row>
        <row r="7411">
          <cell r="B7411" t="str">
            <v>Dry Riser Inlet</v>
          </cell>
          <cell r="D7411" t="str">
            <v xml:space="preserve">Mreyjeb Sec. School                                                           </v>
          </cell>
          <cell r="H7411" t="str">
            <v>AA</v>
          </cell>
        </row>
        <row r="7412">
          <cell r="B7412" t="str">
            <v>Dry Riser Inlet</v>
          </cell>
          <cell r="D7412" t="str">
            <v xml:space="preserve">Mreyjeb Sec. School                                                           </v>
          </cell>
          <cell r="H7412" t="str">
            <v>AA</v>
          </cell>
        </row>
        <row r="7413">
          <cell r="B7413" t="str">
            <v>Dry Riser Inlet</v>
          </cell>
          <cell r="D7413" t="str">
            <v xml:space="preserve">Mreyjeb Sec. School                                                           </v>
          </cell>
          <cell r="H7413" t="str">
            <v>AA</v>
          </cell>
        </row>
        <row r="7414">
          <cell r="B7414" t="str">
            <v>Dry Riser Inlet</v>
          </cell>
          <cell r="D7414" t="str">
            <v xml:space="preserve">Mreyjeb Sec. School                                                           </v>
          </cell>
          <cell r="H7414" t="str">
            <v>AA</v>
          </cell>
        </row>
        <row r="7415">
          <cell r="B7415" t="str">
            <v>Dry Riser Inlet</v>
          </cell>
          <cell r="D7415" t="str">
            <v xml:space="preserve">Mreyjeb Sec. School                                                           </v>
          </cell>
          <cell r="H7415" t="str">
            <v>AA</v>
          </cell>
        </row>
        <row r="7416">
          <cell r="B7416" t="str">
            <v>Dry Riser Inlet</v>
          </cell>
          <cell r="D7416" t="str">
            <v xml:space="preserve">Mreyjeb Sec. School                                                           </v>
          </cell>
          <cell r="H7416" t="str">
            <v>AA</v>
          </cell>
        </row>
        <row r="7417">
          <cell r="B7417" t="str">
            <v>Dry Riser Inlet</v>
          </cell>
          <cell r="D7417" t="str">
            <v xml:space="preserve">Mreyjeb Sec. School                                                           </v>
          </cell>
          <cell r="H7417" t="str">
            <v>AA</v>
          </cell>
        </row>
        <row r="7418">
          <cell r="B7418" t="str">
            <v>Dry Riser Inlet</v>
          </cell>
          <cell r="D7418" t="str">
            <v xml:space="preserve">Mreyjeb Sec. School                                                           </v>
          </cell>
          <cell r="H7418" t="str">
            <v>AA</v>
          </cell>
        </row>
        <row r="7419">
          <cell r="B7419" t="str">
            <v>Dry Riser Inlet</v>
          </cell>
          <cell r="D7419" t="str">
            <v xml:space="preserve">Mreyjeb Sec. School                                                           </v>
          </cell>
          <cell r="H7419" t="str">
            <v>AA</v>
          </cell>
        </row>
        <row r="7420">
          <cell r="B7420" t="str">
            <v>Dry Riser Inlet</v>
          </cell>
          <cell r="D7420" t="str">
            <v xml:space="preserve">Mreyjeb Sec. School                                                           </v>
          </cell>
          <cell r="H7420" t="str">
            <v>AA</v>
          </cell>
        </row>
        <row r="7421">
          <cell r="B7421" t="str">
            <v>Dry Riser Inlet</v>
          </cell>
          <cell r="D7421" t="str">
            <v xml:space="preserve">Mreyjeb Sec. School                                                           </v>
          </cell>
          <cell r="H7421" t="str">
            <v>AA</v>
          </cell>
        </row>
        <row r="7422">
          <cell r="B7422" t="str">
            <v>Dry Riser Inlet</v>
          </cell>
          <cell r="D7422" t="str">
            <v xml:space="preserve">Mreyjeb Sec. School                                                           </v>
          </cell>
          <cell r="H7422" t="str">
            <v>AA</v>
          </cell>
        </row>
        <row r="7423">
          <cell r="B7423" t="str">
            <v>Dry Riser Inlet</v>
          </cell>
          <cell r="D7423" t="str">
            <v xml:space="preserve">Mreyjeb Sec. School                                                           </v>
          </cell>
          <cell r="H7423" t="str">
            <v>AA</v>
          </cell>
        </row>
        <row r="7424">
          <cell r="B7424" t="str">
            <v>Dry Riser Inlet</v>
          </cell>
          <cell r="D7424" t="str">
            <v xml:space="preserve">Mreyjeb Sec. School                                                           </v>
          </cell>
          <cell r="H7424" t="str">
            <v>AA</v>
          </cell>
        </row>
        <row r="7425">
          <cell r="B7425" t="str">
            <v>Dry Riser Outlet Cabinet</v>
          </cell>
          <cell r="D7425" t="str">
            <v xml:space="preserve">Mreyjeb Sec. School                                                           </v>
          </cell>
          <cell r="H7425" t="str">
            <v>AA</v>
          </cell>
        </row>
        <row r="7426">
          <cell r="B7426" t="str">
            <v>Dry Riser Outlet Cabinet</v>
          </cell>
          <cell r="D7426" t="str">
            <v xml:space="preserve">Mreyjeb Sec. School                                                           </v>
          </cell>
          <cell r="H7426" t="str">
            <v>AA</v>
          </cell>
        </row>
        <row r="7427">
          <cell r="B7427" t="str">
            <v>Dry Riser Outlet Cabinet</v>
          </cell>
          <cell r="D7427" t="str">
            <v xml:space="preserve">Mreyjeb Sec. School                                                           </v>
          </cell>
          <cell r="H7427" t="str">
            <v>AA</v>
          </cell>
        </row>
        <row r="7428">
          <cell r="B7428" t="str">
            <v>Dry Riser Outlet Cabinet</v>
          </cell>
          <cell r="D7428" t="str">
            <v xml:space="preserve">Mreyjeb Sec. School                                                           </v>
          </cell>
          <cell r="H7428" t="str">
            <v>AA</v>
          </cell>
        </row>
        <row r="7429">
          <cell r="B7429" t="str">
            <v>Dry Riser Outlet Cabinet</v>
          </cell>
          <cell r="D7429" t="str">
            <v xml:space="preserve">Mreyjeb Sec. School                                                           </v>
          </cell>
          <cell r="H7429" t="str">
            <v>AA</v>
          </cell>
        </row>
        <row r="7430">
          <cell r="B7430" t="str">
            <v>Dry Riser Outlet Cabinet</v>
          </cell>
          <cell r="D7430" t="str">
            <v xml:space="preserve">Mreyjeb Sec. School                                                           </v>
          </cell>
          <cell r="H7430" t="str">
            <v>AA</v>
          </cell>
        </row>
        <row r="7431">
          <cell r="B7431" t="str">
            <v>Dry Riser Outlet Cabinet</v>
          </cell>
          <cell r="D7431" t="str">
            <v xml:space="preserve">Mreyjeb Sec. School                                                           </v>
          </cell>
          <cell r="H7431" t="str">
            <v>AA</v>
          </cell>
        </row>
        <row r="7432">
          <cell r="B7432" t="str">
            <v>Dry Riser Outlet Cabinet</v>
          </cell>
          <cell r="D7432" t="str">
            <v xml:space="preserve">Mreyjeb Sec. School                                                           </v>
          </cell>
          <cell r="H7432" t="str">
            <v>AA</v>
          </cell>
        </row>
        <row r="7433">
          <cell r="B7433" t="str">
            <v>Dry Riser Outlet Cabinet</v>
          </cell>
          <cell r="D7433" t="str">
            <v xml:space="preserve">Mreyjeb Sec. School                                                           </v>
          </cell>
          <cell r="H7433" t="str">
            <v>AA</v>
          </cell>
        </row>
        <row r="7434">
          <cell r="B7434" t="str">
            <v>Dry Riser Outlet Cabinet</v>
          </cell>
          <cell r="D7434" t="str">
            <v xml:space="preserve">Mreyjeb Sec. School                                                           </v>
          </cell>
          <cell r="H7434" t="str">
            <v>AA</v>
          </cell>
        </row>
        <row r="7435">
          <cell r="B7435" t="str">
            <v>Dry Riser Outlet Cabinet</v>
          </cell>
          <cell r="D7435" t="str">
            <v xml:space="preserve">Mreyjeb Sec. School                                                           </v>
          </cell>
          <cell r="H7435" t="str">
            <v>AA</v>
          </cell>
        </row>
        <row r="7436">
          <cell r="B7436" t="str">
            <v>Dry Riser Outlet Cabinet</v>
          </cell>
          <cell r="D7436" t="str">
            <v xml:space="preserve">Mreyjeb Sec. School                                                           </v>
          </cell>
          <cell r="H7436" t="str">
            <v>AA</v>
          </cell>
        </row>
        <row r="7437">
          <cell r="B7437" t="str">
            <v>Dry Riser Outlet Cabinet</v>
          </cell>
          <cell r="D7437" t="str">
            <v xml:space="preserve">Mreyjeb Sec. School                                                           </v>
          </cell>
          <cell r="H7437" t="str">
            <v>AA</v>
          </cell>
        </row>
        <row r="7438">
          <cell r="B7438" t="str">
            <v>Fire Alarm Control Panel Board</v>
          </cell>
          <cell r="D7438" t="str">
            <v xml:space="preserve">Mreyjeb Sec. School                                                           </v>
          </cell>
          <cell r="H7438" t="str">
            <v>AA</v>
          </cell>
        </row>
        <row r="7439">
          <cell r="B7439" t="str">
            <v>Fire Alarm System</v>
          </cell>
          <cell r="D7439" t="str">
            <v xml:space="preserve">Mreyjeb Sec. School                                                           </v>
          </cell>
          <cell r="H7439" t="str">
            <v>AA</v>
          </cell>
        </row>
        <row r="7440">
          <cell r="B7440" t="str">
            <v>Fire Extinguisher - Dry</v>
          </cell>
          <cell r="D7440" t="str">
            <v xml:space="preserve">Mreyjeb Sec. School                                                           </v>
          </cell>
          <cell r="H7440" t="str">
            <v>AA</v>
          </cell>
        </row>
        <row r="7441">
          <cell r="B7441" t="str">
            <v>Fire Extinguisher - Dry</v>
          </cell>
          <cell r="D7441" t="str">
            <v xml:space="preserve">Mreyjeb Sec. School                                                           </v>
          </cell>
          <cell r="H7441" t="str">
            <v>AA</v>
          </cell>
        </row>
        <row r="7442">
          <cell r="B7442" t="str">
            <v>Fire Extinguisher - Dry</v>
          </cell>
          <cell r="D7442" t="str">
            <v xml:space="preserve">Mreyjeb Sec. School                                                           </v>
          </cell>
          <cell r="H7442" t="str">
            <v>AA</v>
          </cell>
        </row>
        <row r="7443">
          <cell r="B7443" t="str">
            <v>Fire Extinguisher - Dry</v>
          </cell>
          <cell r="D7443" t="str">
            <v xml:space="preserve">Mreyjeb Sec. School                                                           </v>
          </cell>
          <cell r="H7443" t="str">
            <v>AA</v>
          </cell>
        </row>
        <row r="7444">
          <cell r="B7444" t="str">
            <v>Fire Extinguisher - Dry</v>
          </cell>
          <cell r="D7444" t="str">
            <v xml:space="preserve">Mreyjeb Sec. School                                                           </v>
          </cell>
          <cell r="H7444" t="str">
            <v>AA</v>
          </cell>
        </row>
        <row r="7445">
          <cell r="B7445" t="str">
            <v>Fire Extinguisher - Dry</v>
          </cell>
          <cell r="D7445" t="str">
            <v xml:space="preserve">Mreyjeb Sec. School                                                           </v>
          </cell>
          <cell r="H7445" t="str">
            <v>AA</v>
          </cell>
        </row>
        <row r="7446">
          <cell r="B7446" t="str">
            <v>Fire Extinguisher - Dry</v>
          </cell>
          <cell r="D7446" t="str">
            <v xml:space="preserve">Mreyjeb Sec. School                                                           </v>
          </cell>
          <cell r="H7446" t="str">
            <v>AA</v>
          </cell>
        </row>
        <row r="7447">
          <cell r="B7447" t="str">
            <v>Fire Extinguisher - Dry</v>
          </cell>
          <cell r="D7447" t="str">
            <v xml:space="preserve">Mreyjeb Sec. School                                                           </v>
          </cell>
          <cell r="H7447" t="str">
            <v>AA</v>
          </cell>
        </row>
        <row r="7448">
          <cell r="B7448" t="str">
            <v>Fire Extinguisher - Dry</v>
          </cell>
          <cell r="D7448" t="str">
            <v xml:space="preserve">Mreyjeb Sec. School                                                           </v>
          </cell>
          <cell r="H7448" t="str">
            <v>AA</v>
          </cell>
        </row>
        <row r="7449">
          <cell r="B7449" t="str">
            <v>Fire Extinguisher - Dry</v>
          </cell>
          <cell r="D7449" t="str">
            <v xml:space="preserve">Mreyjeb Sec. School                                                           </v>
          </cell>
          <cell r="H7449" t="str">
            <v>AA</v>
          </cell>
        </row>
        <row r="7450">
          <cell r="B7450" t="str">
            <v>Fire Extinguisher - Dry</v>
          </cell>
          <cell r="D7450" t="str">
            <v xml:space="preserve">Mreyjeb Sec. School                                                           </v>
          </cell>
          <cell r="H7450" t="str">
            <v>AA</v>
          </cell>
        </row>
        <row r="7451">
          <cell r="B7451" t="str">
            <v>Fire Extinguisher - Dry</v>
          </cell>
          <cell r="D7451" t="str">
            <v xml:space="preserve">Mreyjeb Sec. School                                                           </v>
          </cell>
          <cell r="H7451" t="str">
            <v>AA</v>
          </cell>
        </row>
        <row r="7452">
          <cell r="B7452" t="str">
            <v>Fire Extinguisher - Dry</v>
          </cell>
          <cell r="D7452" t="str">
            <v xml:space="preserve">Mreyjeb Sec. School                                                           </v>
          </cell>
          <cell r="H7452" t="str">
            <v>AA</v>
          </cell>
        </row>
        <row r="7453">
          <cell r="B7453" t="str">
            <v>Fire Extinguisher - Dry</v>
          </cell>
          <cell r="D7453" t="str">
            <v xml:space="preserve">Mreyjeb Sec. School                                                           </v>
          </cell>
          <cell r="H7453" t="str">
            <v>AA</v>
          </cell>
        </row>
        <row r="7454">
          <cell r="B7454" t="str">
            <v>Fire Extinguisher - Dry</v>
          </cell>
          <cell r="D7454" t="str">
            <v xml:space="preserve">Mreyjeb Sec. School                                                           </v>
          </cell>
          <cell r="H7454" t="str">
            <v>AA</v>
          </cell>
        </row>
        <row r="7455">
          <cell r="B7455" t="str">
            <v>Fire Extinguisher - Dry</v>
          </cell>
          <cell r="D7455" t="str">
            <v xml:space="preserve">Mreyjeb Sec. School                                                           </v>
          </cell>
          <cell r="H7455" t="str">
            <v>AA</v>
          </cell>
        </row>
        <row r="7456">
          <cell r="B7456" t="str">
            <v>Fire Extinguisher - Dry</v>
          </cell>
          <cell r="D7456" t="str">
            <v xml:space="preserve">Mreyjeb Sec. School                                                           </v>
          </cell>
          <cell r="H7456" t="str">
            <v>AA</v>
          </cell>
        </row>
        <row r="7457">
          <cell r="B7457" t="str">
            <v>Fire Extinguisher - Dry</v>
          </cell>
          <cell r="D7457" t="str">
            <v xml:space="preserve">Mreyjeb Sec. School                                                           </v>
          </cell>
          <cell r="H7457" t="str">
            <v>AA</v>
          </cell>
        </row>
        <row r="7458">
          <cell r="B7458" t="str">
            <v>Fire Extinguisher - Dry</v>
          </cell>
          <cell r="D7458" t="str">
            <v xml:space="preserve">Mreyjeb Sec. School                                                           </v>
          </cell>
          <cell r="H7458" t="str">
            <v>AA</v>
          </cell>
        </row>
        <row r="7459">
          <cell r="B7459" t="str">
            <v>Fire Pump</v>
          </cell>
          <cell r="D7459" t="str">
            <v xml:space="preserve">Mreyjeb Sec. School                                                           </v>
          </cell>
          <cell r="H7459" t="str">
            <v>AA</v>
          </cell>
        </row>
        <row r="7460">
          <cell r="B7460" t="str">
            <v>Fire Pump Panel Board</v>
          </cell>
          <cell r="D7460" t="str">
            <v xml:space="preserve">Mreyjeb Sec. School                                                           </v>
          </cell>
          <cell r="H7460" t="str">
            <v>AA</v>
          </cell>
        </row>
        <row r="7461">
          <cell r="B7461" t="str">
            <v>Gas Alarm</v>
          </cell>
          <cell r="D7461" t="str">
            <v xml:space="preserve">Mreyjeb Sec. School                                                           </v>
          </cell>
          <cell r="H7461" t="str">
            <v>AA</v>
          </cell>
        </row>
        <row r="7462">
          <cell r="B7462" t="str">
            <v>Gas Alarm</v>
          </cell>
          <cell r="D7462" t="str">
            <v xml:space="preserve">Mreyjeb Sec. School                                                           </v>
          </cell>
          <cell r="H7462" t="str">
            <v>AA</v>
          </cell>
        </row>
        <row r="7463">
          <cell r="B7463" t="str">
            <v>Gas Alarm</v>
          </cell>
          <cell r="D7463" t="str">
            <v xml:space="preserve">Mreyjeb Sec. School                                                           </v>
          </cell>
          <cell r="H7463" t="str">
            <v>AA</v>
          </cell>
        </row>
        <row r="7464">
          <cell r="B7464" t="str">
            <v>Gas Alarm</v>
          </cell>
          <cell r="D7464" t="str">
            <v xml:space="preserve">Mreyjeb Sec. School                                                           </v>
          </cell>
          <cell r="H7464" t="str">
            <v>AA</v>
          </cell>
        </row>
        <row r="7465">
          <cell r="B7465" t="str">
            <v>Smoke Detector &amp; Heat Detector</v>
          </cell>
          <cell r="D7465" t="str">
            <v xml:space="preserve">Mreyjeb Sec. School                                                           </v>
          </cell>
          <cell r="H7465" t="str">
            <v>AA</v>
          </cell>
        </row>
        <row r="7466">
          <cell r="B7466" t="str">
            <v>Smoke Detector &amp; Heat Detector</v>
          </cell>
          <cell r="D7466" t="str">
            <v xml:space="preserve">Mreyjeb Sec. School                                                           </v>
          </cell>
          <cell r="H7466" t="str">
            <v>AA</v>
          </cell>
        </row>
        <row r="7467">
          <cell r="B7467" t="str">
            <v>Smoke Detector &amp; Heat Detector</v>
          </cell>
          <cell r="D7467" t="str">
            <v xml:space="preserve">Mreyjeb Sec. School                                                           </v>
          </cell>
          <cell r="H7467" t="str">
            <v>AA</v>
          </cell>
        </row>
        <row r="7468">
          <cell r="B7468" t="str">
            <v>Smoke Detector &amp; Heat Detector</v>
          </cell>
          <cell r="D7468" t="str">
            <v xml:space="preserve">Mreyjeb Sec. School                                                           </v>
          </cell>
          <cell r="H7468" t="str">
            <v>AA</v>
          </cell>
        </row>
        <row r="7469">
          <cell r="B7469" t="str">
            <v>Smoke Detector &amp; Heat Detector</v>
          </cell>
          <cell r="D7469" t="str">
            <v xml:space="preserve">Mreyjeb Sec. School                                                           </v>
          </cell>
          <cell r="H7469" t="str">
            <v>AA</v>
          </cell>
        </row>
        <row r="7470">
          <cell r="B7470" t="str">
            <v>Smoke Detector &amp; Heat Detector</v>
          </cell>
          <cell r="D7470" t="str">
            <v xml:space="preserve">Mreyjeb Sec. School                                                           </v>
          </cell>
          <cell r="H7470" t="str">
            <v>AA</v>
          </cell>
        </row>
        <row r="7471">
          <cell r="B7471" t="str">
            <v>Smoke Detector &amp; Heat Detector</v>
          </cell>
          <cell r="D7471" t="str">
            <v xml:space="preserve">Mreyjeb Sec. School                                                           </v>
          </cell>
          <cell r="H7471" t="str">
            <v>AA</v>
          </cell>
        </row>
        <row r="7472">
          <cell r="B7472" t="str">
            <v>Smoke Detector &amp; Heat Detector</v>
          </cell>
          <cell r="D7472" t="str">
            <v xml:space="preserve">Mreyjeb Sec. School                                                           </v>
          </cell>
          <cell r="H7472" t="str">
            <v>AA</v>
          </cell>
        </row>
        <row r="7473">
          <cell r="B7473" t="str">
            <v>Smoke Detector &amp; Heat Detector</v>
          </cell>
          <cell r="D7473" t="str">
            <v xml:space="preserve">Mreyjeb Sec. School                                                           </v>
          </cell>
          <cell r="H7473" t="str">
            <v>AA</v>
          </cell>
        </row>
        <row r="7474">
          <cell r="B7474" t="str">
            <v>Smoke Detector &amp; Heat Detector</v>
          </cell>
          <cell r="D7474" t="str">
            <v xml:space="preserve">Mreyjeb Sec. School                                                           </v>
          </cell>
          <cell r="H7474" t="str">
            <v>AA</v>
          </cell>
        </row>
        <row r="7475">
          <cell r="B7475" t="str">
            <v>Smoke Detector &amp; Heat Detector</v>
          </cell>
          <cell r="D7475" t="str">
            <v xml:space="preserve">Mreyjeb Sec. School                                                           </v>
          </cell>
          <cell r="H7475" t="str">
            <v>AA</v>
          </cell>
        </row>
        <row r="7476">
          <cell r="B7476" t="str">
            <v>Smoke Detector &amp; Heat Detector</v>
          </cell>
          <cell r="D7476" t="str">
            <v xml:space="preserve">Mreyjeb Sec. School                                                           </v>
          </cell>
          <cell r="H7476" t="str">
            <v>AA</v>
          </cell>
        </row>
        <row r="7477">
          <cell r="B7477" t="str">
            <v>Smoke Detector &amp; Heat Detector</v>
          </cell>
          <cell r="D7477" t="str">
            <v xml:space="preserve">Mreyjeb Sec. School                                                           </v>
          </cell>
          <cell r="H7477" t="str">
            <v>AA</v>
          </cell>
        </row>
        <row r="7478">
          <cell r="B7478" t="str">
            <v>Smoke Detector &amp; Heat Detector</v>
          </cell>
          <cell r="D7478" t="str">
            <v xml:space="preserve">Mreyjeb Sec. School                                                           </v>
          </cell>
          <cell r="H7478" t="str">
            <v>AA</v>
          </cell>
        </row>
        <row r="7479">
          <cell r="B7479" t="str">
            <v>Smoke Detector &amp; Heat Detector</v>
          </cell>
          <cell r="D7479" t="str">
            <v xml:space="preserve">Mreyjeb Sec. School                                                           </v>
          </cell>
          <cell r="H7479" t="str">
            <v>AA</v>
          </cell>
        </row>
        <row r="7480">
          <cell r="B7480" t="str">
            <v>Smoke Detector &amp; Heat Detector</v>
          </cell>
          <cell r="D7480" t="str">
            <v xml:space="preserve">Mreyjeb Sec. School                                                           </v>
          </cell>
          <cell r="H7480" t="str">
            <v>AA</v>
          </cell>
        </row>
        <row r="7481">
          <cell r="B7481" t="str">
            <v>Smoke Detector &amp; Heat Detector</v>
          </cell>
          <cell r="D7481" t="str">
            <v xml:space="preserve">Mreyjeb Sec. School                                                           </v>
          </cell>
          <cell r="H7481" t="str">
            <v>AA</v>
          </cell>
        </row>
        <row r="7482">
          <cell r="B7482" t="str">
            <v>Smoke Detector &amp; Heat Detector</v>
          </cell>
          <cell r="D7482" t="str">
            <v xml:space="preserve">Mreyjeb Sec. School                                                           </v>
          </cell>
          <cell r="H7482" t="str">
            <v>AA</v>
          </cell>
        </row>
        <row r="7483">
          <cell r="B7483" t="str">
            <v>Smoke Detector &amp; Heat Detector</v>
          </cell>
          <cell r="D7483" t="str">
            <v xml:space="preserve">Mreyjeb Sec. School                                                           </v>
          </cell>
          <cell r="H7483" t="str">
            <v>AA</v>
          </cell>
        </row>
        <row r="7484">
          <cell r="B7484" t="str">
            <v>Smoke Detector &amp; Heat Detector</v>
          </cell>
          <cell r="D7484" t="str">
            <v xml:space="preserve">Mreyjeb Sec. School                                                           </v>
          </cell>
          <cell r="H7484" t="str">
            <v>AA</v>
          </cell>
        </row>
        <row r="7485">
          <cell r="B7485" t="str">
            <v>Smoke Detector &amp; Heat Detector</v>
          </cell>
          <cell r="D7485" t="str">
            <v xml:space="preserve">Mreyjeb Sec. School                                                           </v>
          </cell>
          <cell r="H7485" t="str">
            <v>AA</v>
          </cell>
        </row>
        <row r="7486">
          <cell r="B7486" t="str">
            <v>Smoke Detector &amp; Heat Detector</v>
          </cell>
          <cell r="D7486" t="str">
            <v xml:space="preserve">Mreyjeb Sec. School                                                           </v>
          </cell>
          <cell r="H7486" t="str">
            <v>AA</v>
          </cell>
        </row>
        <row r="7487">
          <cell r="B7487" t="str">
            <v>Smoke Detector &amp; Heat Detector</v>
          </cell>
          <cell r="D7487" t="str">
            <v xml:space="preserve">Mreyjeb Sec. School                                                           </v>
          </cell>
          <cell r="H7487" t="str">
            <v>AA</v>
          </cell>
        </row>
        <row r="7488">
          <cell r="B7488" t="str">
            <v>Smoke Detector &amp; Heat Detector</v>
          </cell>
          <cell r="D7488" t="str">
            <v xml:space="preserve">Mreyjeb Sec. School                                                           </v>
          </cell>
          <cell r="H7488" t="str">
            <v>AA</v>
          </cell>
        </row>
        <row r="7489">
          <cell r="B7489" t="str">
            <v>Smoke Detector &amp; Heat Detector</v>
          </cell>
          <cell r="D7489" t="str">
            <v xml:space="preserve">Mreyjeb Sec. School                                                           </v>
          </cell>
          <cell r="H7489" t="str">
            <v>AA</v>
          </cell>
        </row>
        <row r="7490">
          <cell r="B7490" t="str">
            <v>Smoke Detector &amp; Heat Detector</v>
          </cell>
          <cell r="D7490" t="str">
            <v xml:space="preserve">Mreyjeb Sec. School                                                           </v>
          </cell>
          <cell r="H7490" t="str">
            <v>AA</v>
          </cell>
        </row>
        <row r="7491">
          <cell r="B7491" t="str">
            <v>Smoke Detector &amp; Heat Detector</v>
          </cell>
          <cell r="D7491" t="str">
            <v xml:space="preserve">Mreyjeb Sec. School                                                           </v>
          </cell>
          <cell r="H7491" t="str">
            <v>AA</v>
          </cell>
        </row>
        <row r="7492">
          <cell r="B7492" t="str">
            <v>Smoke Detector &amp; Heat Detector</v>
          </cell>
          <cell r="D7492" t="str">
            <v xml:space="preserve">Mreyjeb Sec. School                                                           </v>
          </cell>
          <cell r="H7492" t="str">
            <v>AA</v>
          </cell>
        </row>
        <row r="7493">
          <cell r="B7493" t="str">
            <v>Water Tank</v>
          </cell>
          <cell r="D7493" t="str">
            <v xml:space="preserve">Mreyjeb Sec. School                                                           </v>
          </cell>
          <cell r="H7493" t="str">
            <v>AA</v>
          </cell>
        </row>
        <row r="7494">
          <cell r="B7494" t="str">
            <v>Water Tank</v>
          </cell>
          <cell r="D7494" t="str">
            <v xml:space="preserve">old exams printing house  </v>
          </cell>
          <cell r="H7494" t="str">
            <v>AA</v>
          </cell>
        </row>
        <row r="7495">
          <cell r="B7495" t="str">
            <v>Water Tank</v>
          </cell>
          <cell r="D7495" t="str">
            <v xml:space="preserve">old exams printing house  </v>
          </cell>
          <cell r="H7495" t="str">
            <v>AA</v>
          </cell>
        </row>
        <row r="7496">
          <cell r="B7496" t="str">
            <v>Fire Alarm Break Glass Call Point</v>
          </cell>
          <cell r="D7496" t="str">
            <v>Omamah Bint Al Harith Secondary School</v>
          </cell>
          <cell r="H7496" t="str">
            <v>AD</v>
          </cell>
        </row>
        <row r="7497">
          <cell r="B7497" t="str">
            <v>Fire Alarm Break Glass Call Point</v>
          </cell>
          <cell r="D7497" t="str">
            <v>Omamah Bint Al Harith Secondary School</v>
          </cell>
          <cell r="H7497" t="str">
            <v>AD</v>
          </cell>
        </row>
        <row r="7498">
          <cell r="B7498" t="str">
            <v>Fire Alarm Break Glass Call Point</v>
          </cell>
          <cell r="D7498" t="str">
            <v>Omamah Bint Al Harith Secondary School</v>
          </cell>
          <cell r="H7498" t="str">
            <v>AD</v>
          </cell>
        </row>
        <row r="7499">
          <cell r="B7499" t="str">
            <v>Fire Alarm Break Glass Call Point</v>
          </cell>
          <cell r="D7499" t="str">
            <v>Omamah Bint Al Harith Secondary School</v>
          </cell>
          <cell r="H7499" t="str">
            <v>AD</v>
          </cell>
        </row>
        <row r="7500">
          <cell r="B7500" t="str">
            <v>Fire Alarm Break Glass Call Point</v>
          </cell>
          <cell r="D7500" t="str">
            <v>Omamah Bint Al Harith Secondary School</v>
          </cell>
          <cell r="H7500" t="str">
            <v>AD</v>
          </cell>
        </row>
        <row r="7501">
          <cell r="B7501" t="str">
            <v>Fire Alarm Break Glass Call Point</v>
          </cell>
          <cell r="D7501" t="str">
            <v>Omamah Bint Al Harith Secondary School</v>
          </cell>
          <cell r="H7501" t="str">
            <v>AD</v>
          </cell>
        </row>
        <row r="7502">
          <cell r="B7502" t="str">
            <v>Fire Alarm Break Glass Call Point</v>
          </cell>
          <cell r="D7502" t="str">
            <v>Omamah Bint Al Harith Secondary School</v>
          </cell>
          <cell r="H7502" t="str">
            <v>AD</v>
          </cell>
        </row>
        <row r="7503">
          <cell r="B7503" t="str">
            <v>Fire Alarm Break Glass Call Point</v>
          </cell>
          <cell r="D7503" t="str">
            <v>Omamah Bint Al Harith Secondary School</v>
          </cell>
          <cell r="H7503" t="str">
            <v>AD</v>
          </cell>
        </row>
        <row r="7504">
          <cell r="B7504" t="str">
            <v>Fire Alarm Break Glass Call Point</v>
          </cell>
          <cell r="D7504" t="str">
            <v>Omamah Bint Al Harith Secondary School</v>
          </cell>
          <cell r="H7504" t="str">
            <v>AD</v>
          </cell>
        </row>
        <row r="7505">
          <cell r="B7505" t="str">
            <v>Fire Alarm Break Glass Call Point</v>
          </cell>
          <cell r="D7505" t="str">
            <v>Omamah Bint Al Harith Secondary School</v>
          </cell>
          <cell r="H7505" t="str">
            <v>AD</v>
          </cell>
        </row>
        <row r="7506">
          <cell r="B7506" t="str">
            <v>Fire Alarm Break Glass Call Point</v>
          </cell>
          <cell r="D7506" t="str">
            <v>Omamah Bint Al Harith Secondary School</v>
          </cell>
          <cell r="H7506" t="str">
            <v>AD</v>
          </cell>
        </row>
        <row r="7507">
          <cell r="B7507" t="str">
            <v>Fire Alarm Break Glass Call Point</v>
          </cell>
          <cell r="D7507" t="str">
            <v>Omamah Bint Al Harith Secondary School</v>
          </cell>
          <cell r="H7507" t="str">
            <v>AD</v>
          </cell>
        </row>
        <row r="7508">
          <cell r="B7508" t="str">
            <v>Fire Alarm Break Glass Call Point</v>
          </cell>
          <cell r="D7508" t="str">
            <v>Omamah Bint Al Harith Secondary School</v>
          </cell>
          <cell r="H7508" t="str">
            <v>AD</v>
          </cell>
        </row>
        <row r="7509">
          <cell r="B7509" t="str">
            <v>Fire Alarm Break Glass Call Point</v>
          </cell>
          <cell r="D7509" t="str">
            <v>Omamah Bint Al Harith Secondary School</v>
          </cell>
          <cell r="H7509" t="str">
            <v>AD</v>
          </cell>
        </row>
        <row r="7510">
          <cell r="B7510" t="str">
            <v>Fire Alarm Break Glass Call Point</v>
          </cell>
          <cell r="D7510" t="str">
            <v>Omamah Bint Al Harith Secondary School</v>
          </cell>
          <cell r="H7510" t="str">
            <v>AD</v>
          </cell>
        </row>
        <row r="7511">
          <cell r="B7511" t="str">
            <v>Fire Alarm Break Glass Call Point</v>
          </cell>
          <cell r="D7511" t="str">
            <v>Omamah Bint Al Harith Secondary School</v>
          </cell>
          <cell r="H7511" t="str">
            <v>AD</v>
          </cell>
        </row>
        <row r="7512">
          <cell r="B7512" t="str">
            <v>Fire Alarm Break Glass Call Point</v>
          </cell>
          <cell r="D7512" t="str">
            <v>Omamah Bint Al Harith Secondary School</v>
          </cell>
          <cell r="H7512" t="str">
            <v>AD</v>
          </cell>
        </row>
        <row r="7513">
          <cell r="B7513" t="str">
            <v>Fire Alarm Panel</v>
          </cell>
          <cell r="D7513" t="str">
            <v>Omamah Bint Al Harith Secondary School</v>
          </cell>
          <cell r="H7513" t="str">
            <v>AD</v>
          </cell>
        </row>
        <row r="7514">
          <cell r="B7514" t="str">
            <v>Fire Alarm Sounder, Bell, Light</v>
          </cell>
          <cell r="D7514" t="str">
            <v>Omamah Bint Al Harith Secondary School</v>
          </cell>
          <cell r="H7514" t="str">
            <v>AD</v>
          </cell>
        </row>
        <row r="7515">
          <cell r="B7515" t="str">
            <v>Fire Alarm Sounder, Bell, Light</v>
          </cell>
          <cell r="D7515" t="str">
            <v>Omamah Bint Al Harith Secondary School</v>
          </cell>
          <cell r="H7515" t="str">
            <v>AD</v>
          </cell>
        </row>
        <row r="7516">
          <cell r="B7516" t="str">
            <v>Fire Alarm Sounder, Bell, Light</v>
          </cell>
          <cell r="D7516" t="str">
            <v>Omamah Bint Al Harith Secondary School</v>
          </cell>
          <cell r="H7516" t="str">
            <v>AD</v>
          </cell>
        </row>
        <row r="7517">
          <cell r="B7517" t="str">
            <v>Fire Alarm Sounder, Bell, Light</v>
          </cell>
          <cell r="D7517" t="str">
            <v>Omamah Bint Al Harith Secondary School</v>
          </cell>
          <cell r="H7517" t="str">
            <v>AD</v>
          </cell>
        </row>
        <row r="7518">
          <cell r="B7518" t="str">
            <v>Fire Alarm Sounder, Bell, Light</v>
          </cell>
          <cell r="D7518" t="str">
            <v>Omamah Bint Al Harith Secondary School</v>
          </cell>
          <cell r="H7518" t="str">
            <v>AD</v>
          </cell>
        </row>
        <row r="7519">
          <cell r="B7519" t="str">
            <v>Fire Alarm Sounder, Bell, Light</v>
          </cell>
          <cell r="D7519" t="str">
            <v>Omamah Bint Al Harith Secondary School</v>
          </cell>
          <cell r="H7519" t="str">
            <v>AD</v>
          </cell>
        </row>
        <row r="7520">
          <cell r="B7520" t="str">
            <v>Fire Alarm Sounder, Bell, Light</v>
          </cell>
          <cell r="D7520" t="str">
            <v>Omamah Bint Al Harith Secondary School</v>
          </cell>
          <cell r="H7520" t="str">
            <v>AD</v>
          </cell>
        </row>
        <row r="7521">
          <cell r="B7521" t="str">
            <v>Fire Alarm Sounder, Bell, Light</v>
          </cell>
          <cell r="D7521" t="str">
            <v>Omamah Bint Al Harith Secondary School</v>
          </cell>
          <cell r="H7521" t="str">
            <v>AD</v>
          </cell>
        </row>
        <row r="7522">
          <cell r="B7522" t="str">
            <v>Fire Alarm Sounder, Bell, Light</v>
          </cell>
          <cell r="D7522" t="str">
            <v>Omamah Bint Al Harith Secondary School</v>
          </cell>
          <cell r="H7522" t="str">
            <v>AD</v>
          </cell>
        </row>
        <row r="7523">
          <cell r="B7523" t="str">
            <v>Fire Alarm Sounder, Bell, Light</v>
          </cell>
          <cell r="D7523" t="str">
            <v>Omamah Bint Al Harith Secondary School</v>
          </cell>
          <cell r="H7523" t="str">
            <v>AD</v>
          </cell>
        </row>
        <row r="7524">
          <cell r="B7524" t="str">
            <v>Fire Alarm Sounder, Bell, Light</v>
          </cell>
          <cell r="D7524" t="str">
            <v>Omamah Bint Al Harith Secondary School</v>
          </cell>
          <cell r="H7524" t="str">
            <v>AD</v>
          </cell>
        </row>
        <row r="7525">
          <cell r="B7525" t="str">
            <v>Fire Alarm Sounder, Bell, Light</v>
          </cell>
          <cell r="D7525" t="str">
            <v>Omamah Bint Al Harith Secondary School</v>
          </cell>
          <cell r="H7525" t="str">
            <v>AD</v>
          </cell>
        </row>
        <row r="7526">
          <cell r="B7526" t="str">
            <v>Fire Alarm Sounder, Bell, Light</v>
          </cell>
          <cell r="D7526" t="str">
            <v>Omamah Bint Al Harith Secondary School</v>
          </cell>
          <cell r="H7526" t="str">
            <v>AD</v>
          </cell>
        </row>
        <row r="7527">
          <cell r="B7527" t="str">
            <v>Fire Alarm Sounder, Bell, Light</v>
          </cell>
          <cell r="D7527" t="str">
            <v>Omamah Bint Al Harith Secondary School</v>
          </cell>
          <cell r="H7527" t="str">
            <v>AD</v>
          </cell>
        </row>
        <row r="7528">
          <cell r="B7528" t="str">
            <v>Fire Alarm Sounder, Bell, Light</v>
          </cell>
          <cell r="D7528" t="str">
            <v>Omamah Bint Al Harith Secondary School</v>
          </cell>
          <cell r="H7528" t="str">
            <v>AD</v>
          </cell>
        </row>
        <row r="7529">
          <cell r="B7529" t="str">
            <v>Fire Alarm Sounder, Bell, Light</v>
          </cell>
          <cell r="D7529" t="str">
            <v>Omamah Bint Al Harith Secondary School</v>
          </cell>
          <cell r="H7529" t="str">
            <v>AD</v>
          </cell>
        </row>
        <row r="7530">
          <cell r="B7530" t="str">
            <v>Fire Alarm Sounder, Bell, Light</v>
          </cell>
          <cell r="D7530" t="str">
            <v>Omamah Bint Al Harith Secondary School</v>
          </cell>
          <cell r="H7530" t="str">
            <v>AD</v>
          </cell>
        </row>
        <row r="7531">
          <cell r="B7531" t="str">
            <v>Fire Alarm Sounder, Bell, Light</v>
          </cell>
          <cell r="D7531" t="str">
            <v>Omamah Bint Al Harith Secondary School</v>
          </cell>
          <cell r="H7531" t="str">
            <v>AD</v>
          </cell>
        </row>
        <row r="7532">
          <cell r="B7532" t="str">
            <v>Fire Alarm Sounder, Bell, Light</v>
          </cell>
          <cell r="D7532" t="str">
            <v>Omamah Bint Al Harith Secondary School</v>
          </cell>
          <cell r="H7532" t="str">
            <v>AD</v>
          </cell>
        </row>
        <row r="7533">
          <cell r="B7533" t="str">
            <v>Fire Alarm Sounder, Bell, Light</v>
          </cell>
          <cell r="D7533" t="str">
            <v>Omamah Bint Al Harith Secondary School</v>
          </cell>
          <cell r="H7533" t="str">
            <v>AD</v>
          </cell>
        </row>
        <row r="7534">
          <cell r="B7534" t="str">
            <v>Fire Alarm Sounder, Bell, Light</v>
          </cell>
          <cell r="D7534" t="str">
            <v>Omamah Bint Al Harith Secondary School</v>
          </cell>
          <cell r="H7534" t="str">
            <v>AD</v>
          </cell>
        </row>
        <row r="7535">
          <cell r="B7535" t="str">
            <v>Fire Alarm Sounder, Bell, Light</v>
          </cell>
          <cell r="D7535" t="str">
            <v>Omamah Bint Al Harith Secondary School</v>
          </cell>
          <cell r="H7535" t="str">
            <v>AD</v>
          </cell>
        </row>
        <row r="7536">
          <cell r="B7536" t="str">
            <v>Fire Alarm Sounder, Bell, Light</v>
          </cell>
          <cell r="D7536" t="str">
            <v>Omamah Bint Al Harith Secondary School</v>
          </cell>
          <cell r="H7536" t="str">
            <v>AD</v>
          </cell>
        </row>
        <row r="7537">
          <cell r="B7537" t="str">
            <v>Fire Alarm Sounder, Bell, Light</v>
          </cell>
          <cell r="D7537" t="str">
            <v>Omamah Bint Al Harith Secondary School</v>
          </cell>
          <cell r="H7537" t="str">
            <v>AD</v>
          </cell>
        </row>
        <row r="7538">
          <cell r="B7538" t="str">
            <v>Fire Alarm Sounder, Bell, Light</v>
          </cell>
          <cell r="D7538" t="str">
            <v>Omamah Bint Al Harith Secondary School</v>
          </cell>
          <cell r="H7538" t="str">
            <v>AD</v>
          </cell>
        </row>
        <row r="7539">
          <cell r="B7539" t="str">
            <v>Fire Alarm Sounder, Bell, Light</v>
          </cell>
          <cell r="D7539" t="str">
            <v>Omamah Bint Al Harith Secondary School</v>
          </cell>
          <cell r="H7539" t="str">
            <v>AD</v>
          </cell>
        </row>
        <row r="7540">
          <cell r="B7540" t="str">
            <v>Fire Alarm Sounder, Bell, Light</v>
          </cell>
          <cell r="D7540" t="str">
            <v>Omamah Bint Al Harith Secondary School</v>
          </cell>
          <cell r="H7540" t="str">
            <v>AD</v>
          </cell>
        </row>
        <row r="7541">
          <cell r="B7541" t="str">
            <v>Fire Alarm Sounder, Bell, Light</v>
          </cell>
          <cell r="D7541" t="str">
            <v>Omamah Bint Al Harith Secondary School</v>
          </cell>
          <cell r="H7541" t="str">
            <v>AD</v>
          </cell>
        </row>
        <row r="7542">
          <cell r="B7542" t="str">
            <v>Fire Alarm Sounder, Bell, Light</v>
          </cell>
          <cell r="D7542" t="str">
            <v>Omamah Bint Al Harith Secondary School</v>
          </cell>
          <cell r="H7542" t="str">
            <v>AD</v>
          </cell>
        </row>
        <row r="7543">
          <cell r="B7543" t="str">
            <v>Fire Alarm Sounder, Bell, Light</v>
          </cell>
          <cell r="D7543" t="str">
            <v>Omamah Bint Al Harith Secondary School</v>
          </cell>
          <cell r="H7543" t="str">
            <v>AD</v>
          </cell>
        </row>
        <row r="7544">
          <cell r="B7544" t="str">
            <v>Fire Alarm Sounder, Bell, Light</v>
          </cell>
          <cell r="D7544" t="str">
            <v>Omamah Bint Al Harith Secondary School</v>
          </cell>
          <cell r="H7544" t="str">
            <v>AD</v>
          </cell>
        </row>
        <row r="7545">
          <cell r="B7545" t="str">
            <v>Fire Alarm Sounder, Bell, Light</v>
          </cell>
          <cell r="D7545" t="str">
            <v>Omamah Bint Al Harith Secondary School</v>
          </cell>
          <cell r="H7545" t="str">
            <v>AD</v>
          </cell>
        </row>
        <row r="7546">
          <cell r="B7546" t="str">
            <v>Fire Extinguisher</v>
          </cell>
          <cell r="D7546" t="str">
            <v>Omamah Bint Al Harith Secondary School</v>
          </cell>
          <cell r="H7546" t="str">
            <v>AD</v>
          </cell>
        </row>
        <row r="7547">
          <cell r="B7547" t="str">
            <v>Fire Extinguisher</v>
          </cell>
          <cell r="D7547" t="str">
            <v>Omamah Bint Al Harith Secondary School</v>
          </cell>
          <cell r="H7547" t="str">
            <v>AD</v>
          </cell>
        </row>
        <row r="7548">
          <cell r="B7548" t="str">
            <v>Fire Extinguisher</v>
          </cell>
          <cell r="D7548" t="str">
            <v>Omamah Bint Al Harith Secondary School</v>
          </cell>
          <cell r="H7548" t="str">
            <v>AD</v>
          </cell>
        </row>
        <row r="7549">
          <cell r="B7549" t="str">
            <v>Fire Extinguisher</v>
          </cell>
          <cell r="D7549" t="str">
            <v>Omamah Bint Al Harith Secondary School</v>
          </cell>
          <cell r="H7549" t="str">
            <v>AD</v>
          </cell>
        </row>
        <row r="7550">
          <cell r="B7550" t="str">
            <v>Fire Extinguisher</v>
          </cell>
          <cell r="D7550" t="str">
            <v>Omamah Bint Al Harith Secondary School</v>
          </cell>
          <cell r="H7550" t="str">
            <v>AD</v>
          </cell>
        </row>
        <row r="7551">
          <cell r="B7551" t="str">
            <v>Fire Extinguisher</v>
          </cell>
          <cell r="D7551" t="str">
            <v>Omamah Bint Al Harith Secondary School</v>
          </cell>
          <cell r="H7551" t="str">
            <v>AD</v>
          </cell>
        </row>
        <row r="7552">
          <cell r="B7552" t="str">
            <v>Fire Extinguisher</v>
          </cell>
          <cell r="D7552" t="str">
            <v>Omamah Bint Al Harith Secondary School</v>
          </cell>
          <cell r="H7552" t="str">
            <v>AD</v>
          </cell>
        </row>
        <row r="7553">
          <cell r="B7553" t="str">
            <v>Fire Extinguisher</v>
          </cell>
          <cell r="D7553" t="str">
            <v>Omamah Bint Al Harith Secondary School</v>
          </cell>
          <cell r="H7553" t="str">
            <v>AD</v>
          </cell>
        </row>
        <row r="7554">
          <cell r="B7554" t="str">
            <v>Fire Extinguisher</v>
          </cell>
          <cell r="D7554" t="str">
            <v>Omamah Bint Al Harith Secondary School</v>
          </cell>
          <cell r="H7554" t="str">
            <v>AD</v>
          </cell>
        </row>
        <row r="7555">
          <cell r="B7555" t="str">
            <v>Fire Extinguisher</v>
          </cell>
          <cell r="D7555" t="str">
            <v>Omamah Bint Al Harith Secondary School</v>
          </cell>
          <cell r="H7555" t="str">
            <v>AD</v>
          </cell>
        </row>
        <row r="7556">
          <cell r="B7556" t="str">
            <v>Fire Extinguisher</v>
          </cell>
          <cell r="D7556" t="str">
            <v>Omamah Bint Al Harith Secondary School</v>
          </cell>
          <cell r="H7556" t="str">
            <v>AD</v>
          </cell>
        </row>
        <row r="7557">
          <cell r="B7557" t="str">
            <v>Fire Extinguisher</v>
          </cell>
          <cell r="D7557" t="str">
            <v>Omamah Bint Al Harith Secondary School</v>
          </cell>
          <cell r="H7557" t="str">
            <v>AD</v>
          </cell>
        </row>
        <row r="7558">
          <cell r="B7558" t="str">
            <v>Fire Extinguisher</v>
          </cell>
          <cell r="D7558" t="str">
            <v>Omamah Bint Al Harith Secondary School</v>
          </cell>
          <cell r="H7558" t="str">
            <v>AD</v>
          </cell>
        </row>
        <row r="7559">
          <cell r="B7559" t="str">
            <v>Fire Extinguisher</v>
          </cell>
          <cell r="D7559" t="str">
            <v>Omamah Bint Al Harith Secondary School</v>
          </cell>
          <cell r="H7559" t="str">
            <v>AD</v>
          </cell>
        </row>
        <row r="7560">
          <cell r="B7560" t="str">
            <v>Fire Extinguisher</v>
          </cell>
          <cell r="D7560" t="str">
            <v>Omamah Bint Al Harith Secondary School</v>
          </cell>
          <cell r="H7560" t="str">
            <v>AD</v>
          </cell>
        </row>
        <row r="7561">
          <cell r="B7561" t="str">
            <v>Fire Extinguisher</v>
          </cell>
          <cell r="D7561" t="str">
            <v>Omamah Bint Al Harith Secondary School</v>
          </cell>
          <cell r="H7561" t="str">
            <v>AD</v>
          </cell>
        </row>
        <row r="7562">
          <cell r="B7562" t="str">
            <v>Fire Extinguisher</v>
          </cell>
          <cell r="D7562" t="str">
            <v>Omamah Bint Al Harith Secondary School</v>
          </cell>
          <cell r="H7562" t="str">
            <v>AD</v>
          </cell>
        </row>
        <row r="7563">
          <cell r="B7563" t="str">
            <v>Fire Extinguisher</v>
          </cell>
          <cell r="D7563" t="str">
            <v>Omamah Bint Al Harith Secondary School</v>
          </cell>
          <cell r="H7563" t="str">
            <v>AD</v>
          </cell>
        </row>
        <row r="7564">
          <cell r="B7564" t="str">
            <v>Fire Extinguisher</v>
          </cell>
          <cell r="D7564" t="str">
            <v>Omamah Bint Al Harith Secondary School</v>
          </cell>
          <cell r="H7564" t="str">
            <v>AD</v>
          </cell>
        </row>
        <row r="7565">
          <cell r="B7565" t="str">
            <v>Fire Extinguisher</v>
          </cell>
          <cell r="D7565" t="str">
            <v>Omamah Bint Al Harith Secondary School</v>
          </cell>
          <cell r="H7565" t="str">
            <v>AD</v>
          </cell>
        </row>
        <row r="7566">
          <cell r="B7566" t="str">
            <v>Fire Extinguisher</v>
          </cell>
          <cell r="D7566" t="str">
            <v>Omamah Bint Al Harith Secondary School</v>
          </cell>
          <cell r="H7566" t="str">
            <v>AD</v>
          </cell>
        </row>
        <row r="7567">
          <cell r="B7567" t="str">
            <v>Fire Extinguisher</v>
          </cell>
          <cell r="D7567" t="str">
            <v>Omamah Bint Al Harith Secondary School</v>
          </cell>
          <cell r="H7567" t="str">
            <v>AD</v>
          </cell>
        </row>
        <row r="7568">
          <cell r="B7568" t="str">
            <v>Fire Extinguisher</v>
          </cell>
          <cell r="D7568" t="str">
            <v>Omamah Bint Al Harith Secondary School</v>
          </cell>
          <cell r="H7568" t="str">
            <v>AD</v>
          </cell>
        </row>
        <row r="7569">
          <cell r="B7569" t="str">
            <v>Fire Extinguisher</v>
          </cell>
          <cell r="D7569" t="str">
            <v>Omamah Bint Al Harith Secondary School</v>
          </cell>
          <cell r="H7569" t="str">
            <v>AD</v>
          </cell>
        </row>
        <row r="7570">
          <cell r="B7570" t="str">
            <v>Fire Extinguisher</v>
          </cell>
          <cell r="D7570" t="str">
            <v>Omamah Bint Al Harith Secondary School</v>
          </cell>
          <cell r="H7570" t="str">
            <v>AD</v>
          </cell>
        </row>
        <row r="7571">
          <cell r="B7571" t="str">
            <v>Fire Extinguisher</v>
          </cell>
          <cell r="D7571" t="str">
            <v>Omamah Bint Al Harith Secondary School</v>
          </cell>
          <cell r="H7571" t="str">
            <v>AD</v>
          </cell>
        </row>
        <row r="7572">
          <cell r="B7572" t="str">
            <v>Fire Extinguisher</v>
          </cell>
          <cell r="D7572" t="str">
            <v>Omamah Bint Al Harith Secondary School</v>
          </cell>
          <cell r="H7572" t="str">
            <v>AD</v>
          </cell>
        </row>
        <row r="7573">
          <cell r="B7573" t="str">
            <v>Fire Extinguisher</v>
          </cell>
          <cell r="D7573" t="str">
            <v>Omamah Bint Al Harith Secondary School</v>
          </cell>
          <cell r="H7573" t="str">
            <v>AD</v>
          </cell>
        </row>
        <row r="7574">
          <cell r="B7574" t="str">
            <v>Fire Extinguisher</v>
          </cell>
          <cell r="D7574" t="str">
            <v>Omamah Bint Al Harith Secondary School</v>
          </cell>
          <cell r="H7574" t="str">
            <v>AD</v>
          </cell>
        </row>
        <row r="7575">
          <cell r="B7575" t="str">
            <v>Fire Extinguisher</v>
          </cell>
          <cell r="D7575" t="str">
            <v>Omamah Bint Al Harith Secondary School</v>
          </cell>
          <cell r="H7575" t="str">
            <v>AD</v>
          </cell>
        </row>
        <row r="7576">
          <cell r="B7576" t="str">
            <v>Fire Extinguisher</v>
          </cell>
          <cell r="D7576" t="str">
            <v>Omamah Bint Al Harith Secondary School</v>
          </cell>
          <cell r="H7576" t="str">
            <v>AD</v>
          </cell>
        </row>
        <row r="7577">
          <cell r="B7577" t="str">
            <v>Fire Extinguisher</v>
          </cell>
          <cell r="D7577" t="str">
            <v>Omamah Bint Al Harith Secondary School</v>
          </cell>
          <cell r="H7577" t="str">
            <v>AD</v>
          </cell>
        </row>
        <row r="7578">
          <cell r="B7578" t="str">
            <v>Fire Extinguisher</v>
          </cell>
          <cell r="D7578" t="str">
            <v>Omamah Bint Al Harith Secondary School</v>
          </cell>
          <cell r="H7578" t="str">
            <v>AD</v>
          </cell>
        </row>
        <row r="7579">
          <cell r="B7579" t="str">
            <v>Fire Extinguisher</v>
          </cell>
          <cell r="D7579" t="str">
            <v>Omamah Bint Al Harith Secondary School</v>
          </cell>
          <cell r="H7579" t="str">
            <v>AD</v>
          </cell>
        </row>
        <row r="7580">
          <cell r="B7580" t="str">
            <v>Fire Extinguisher</v>
          </cell>
          <cell r="D7580" t="str">
            <v>Omamah Bint Al Harith Secondary School</v>
          </cell>
          <cell r="H7580" t="str">
            <v>AD</v>
          </cell>
        </row>
        <row r="7581">
          <cell r="B7581" t="str">
            <v>Fire Extinguisher</v>
          </cell>
          <cell r="D7581" t="str">
            <v>Omamah Bint Al Harith Secondary School</v>
          </cell>
          <cell r="H7581" t="str">
            <v>AD</v>
          </cell>
        </row>
        <row r="7582">
          <cell r="B7582" t="str">
            <v>Fire Extinguisher</v>
          </cell>
          <cell r="D7582" t="str">
            <v>Omamah Bint Al Harith Secondary School</v>
          </cell>
          <cell r="H7582" t="str">
            <v>AD</v>
          </cell>
        </row>
        <row r="7583">
          <cell r="B7583" t="str">
            <v>Fire Extinguisher</v>
          </cell>
          <cell r="D7583" t="str">
            <v>Omamah Bint Al Harith Secondary School</v>
          </cell>
          <cell r="H7583" t="str">
            <v>AD</v>
          </cell>
        </row>
        <row r="7584">
          <cell r="B7584" t="str">
            <v>Fire Extinguisher</v>
          </cell>
          <cell r="D7584" t="str">
            <v>Omamah Bint Al Harith Secondary School</v>
          </cell>
          <cell r="H7584" t="str">
            <v>AD</v>
          </cell>
        </row>
        <row r="7585">
          <cell r="B7585" t="str">
            <v>Fire Extinguisher</v>
          </cell>
          <cell r="D7585" t="str">
            <v>Omamah Bint Al Harith Secondary School</v>
          </cell>
          <cell r="H7585" t="str">
            <v>AD</v>
          </cell>
        </row>
        <row r="7586">
          <cell r="B7586" t="str">
            <v>Fire Extinguisher</v>
          </cell>
          <cell r="D7586" t="str">
            <v>Omamah Bint Al Harith Secondary School</v>
          </cell>
          <cell r="H7586" t="str">
            <v>AD</v>
          </cell>
        </row>
        <row r="7587">
          <cell r="B7587" t="str">
            <v>Fire Extinguisher</v>
          </cell>
          <cell r="D7587" t="str">
            <v>Omamah Bint Al Harith Secondary School</v>
          </cell>
          <cell r="H7587" t="str">
            <v>AD</v>
          </cell>
        </row>
        <row r="7588">
          <cell r="B7588" t="str">
            <v>Fire Extinguisher</v>
          </cell>
          <cell r="D7588" t="str">
            <v>Omamah Bint Al Harith Secondary School</v>
          </cell>
          <cell r="H7588" t="str">
            <v>AD</v>
          </cell>
        </row>
        <row r="7589">
          <cell r="B7589" t="str">
            <v>Fire Extinguisher</v>
          </cell>
          <cell r="D7589" t="str">
            <v>Omamah Bint Al Harith Secondary School</v>
          </cell>
          <cell r="H7589" t="str">
            <v>AD</v>
          </cell>
        </row>
        <row r="7590">
          <cell r="B7590" t="str">
            <v>Fire Extinguisher</v>
          </cell>
          <cell r="D7590" t="str">
            <v>Omamah Bint Al Harith Secondary School</v>
          </cell>
          <cell r="H7590" t="str">
            <v>AD</v>
          </cell>
        </row>
        <row r="7591">
          <cell r="B7591" t="str">
            <v>Fire Extinguisher</v>
          </cell>
          <cell r="D7591" t="str">
            <v>Omamah Bint Al Harith Secondary School</v>
          </cell>
          <cell r="H7591" t="str">
            <v>AD</v>
          </cell>
        </row>
        <row r="7592">
          <cell r="B7592" t="str">
            <v>Fire Extinguisher</v>
          </cell>
          <cell r="D7592" t="str">
            <v>Omamah Bint Al Harith Secondary School</v>
          </cell>
          <cell r="H7592" t="str">
            <v>AD</v>
          </cell>
        </row>
        <row r="7593">
          <cell r="B7593" t="str">
            <v>Fire Extinguisher</v>
          </cell>
          <cell r="D7593" t="str">
            <v>Omamah Bint Al Harith Secondary School</v>
          </cell>
          <cell r="H7593" t="str">
            <v>AD</v>
          </cell>
        </row>
        <row r="7594">
          <cell r="B7594" t="str">
            <v>Fire Extinguisher</v>
          </cell>
          <cell r="D7594" t="str">
            <v>Omamah Bint Al Harith Secondary School</v>
          </cell>
          <cell r="H7594" t="str">
            <v>AD</v>
          </cell>
        </row>
        <row r="7595">
          <cell r="B7595" t="str">
            <v>Fire Extinguisher</v>
          </cell>
          <cell r="D7595" t="str">
            <v>Omamah Bint Al Harith Secondary School</v>
          </cell>
          <cell r="H7595" t="str">
            <v>AD</v>
          </cell>
        </row>
        <row r="7596">
          <cell r="B7596" t="str">
            <v>Fire Extinguisher</v>
          </cell>
          <cell r="D7596" t="str">
            <v>Omamah Bint Al Harith Secondary School</v>
          </cell>
          <cell r="H7596" t="str">
            <v>AD</v>
          </cell>
        </row>
        <row r="7597">
          <cell r="B7597" t="str">
            <v>Fire Extinguisher</v>
          </cell>
          <cell r="D7597" t="str">
            <v>Omamah Bint Al Harith Secondary School</v>
          </cell>
          <cell r="H7597" t="str">
            <v>AD</v>
          </cell>
        </row>
        <row r="7598">
          <cell r="B7598" t="str">
            <v>Fire Extinguisher</v>
          </cell>
          <cell r="D7598" t="str">
            <v>Omamah Bint Al Harith Secondary School</v>
          </cell>
          <cell r="H7598" t="str">
            <v>AD</v>
          </cell>
        </row>
        <row r="7599">
          <cell r="B7599" t="str">
            <v>Fire Extinguisher</v>
          </cell>
          <cell r="D7599" t="str">
            <v>Omamah Bint Al Harith Secondary School</v>
          </cell>
          <cell r="H7599" t="str">
            <v>AD</v>
          </cell>
        </row>
        <row r="7600">
          <cell r="B7600" t="str">
            <v>Fire Extinguisher</v>
          </cell>
          <cell r="D7600" t="str">
            <v>Omamah Bint Al Harith Secondary School</v>
          </cell>
          <cell r="H7600" t="str">
            <v>AD</v>
          </cell>
        </row>
        <row r="7601">
          <cell r="B7601" t="str">
            <v>Fire Extinguisher</v>
          </cell>
          <cell r="D7601" t="str">
            <v>Omamah Bint Al Harith Secondary School</v>
          </cell>
          <cell r="H7601" t="str">
            <v>AD</v>
          </cell>
        </row>
        <row r="7602">
          <cell r="B7602" t="str">
            <v>Fire Extinguisher</v>
          </cell>
          <cell r="D7602" t="str">
            <v>Omamah Bint Al Harith Secondary School</v>
          </cell>
          <cell r="H7602" t="str">
            <v>AD</v>
          </cell>
        </row>
        <row r="7603">
          <cell r="B7603" t="str">
            <v>Fire Extinguisher</v>
          </cell>
          <cell r="D7603" t="str">
            <v>Omamah Bint Al Harith Secondary School</v>
          </cell>
          <cell r="H7603" t="str">
            <v>AD</v>
          </cell>
        </row>
        <row r="7604">
          <cell r="B7604" t="str">
            <v>Fire Extinguisher</v>
          </cell>
          <cell r="D7604" t="str">
            <v>Omamah Bint Al Harith Secondary School</v>
          </cell>
          <cell r="H7604" t="str">
            <v>AD</v>
          </cell>
        </row>
        <row r="7605">
          <cell r="B7605" t="str">
            <v>Fire Extinguisher</v>
          </cell>
          <cell r="D7605" t="str">
            <v>Omamah Bint Al Harith Secondary School</v>
          </cell>
          <cell r="H7605" t="str">
            <v>AD</v>
          </cell>
        </row>
        <row r="7606">
          <cell r="B7606" t="str">
            <v>Fire Extinguisher</v>
          </cell>
          <cell r="D7606" t="str">
            <v>Omamah Bint Al Harith Secondary School</v>
          </cell>
          <cell r="H7606" t="str">
            <v>AD</v>
          </cell>
        </row>
        <row r="7607">
          <cell r="B7607" t="str">
            <v>Fire Extinguisher</v>
          </cell>
          <cell r="D7607" t="str">
            <v>Omamah Bint Al Harith Secondary School</v>
          </cell>
          <cell r="H7607" t="str">
            <v>AD</v>
          </cell>
        </row>
        <row r="7608">
          <cell r="B7608" t="str">
            <v>Fire Extinguisher</v>
          </cell>
          <cell r="D7608" t="str">
            <v>Omamah Bint Al Harith Secondary School</v>
          </cell>
          <cell r="H7608" t="str">
            <v>AD</v>
          </cell>
        </row>
        <row r="7609">
          <cell r="B7609" t="str">
            <v>Fire Extinguisher</v>
          </cell>
          <cell r="D7609" t="str">
            <v>Omamah Bint Al Harith Secondary School</v>
          </cell>
          <cell r="H7609" t="str">
            <v>AD</v>
          </cell>
        </row>
        <row r="7610">
          <cell r="B7610" t="str">
            <v>Fire Extinguisher</v>
          </cell>
          <cell r="D7610" t="str">
            <v>Omamah Bint Al Harith Secondary School</v>
          </cell>
          <cell r="H7610" t="str">
            <v>AD</v>
          </cell>
        </row>
        <row r="7611">
          <cell r="B7611" t="str">
            <v>Fire Extinguisher</v>
          </cell>
          <cell r="D7611" t="str">
            <v>Omamah Bint Al Harith Secondary School</v>
          </cell>
          <cell r="H7611" t="str">
            <v>AD</v>
          </cell>
        </row>
        <row r="7612">
          <cell r="B7612" t="str">
            <v>Fire Extinguisher</v>
          </cell>
          <cell r="D7612" t="str">
            <v>Omamah Bint Al Harith Secondary School</v>
          </cell>
          <cell r="H7612" t="str">
            <v>AD</v>
          </cell>
        </row>
        <row r="7613">
          <cell r="B7613" t="str">
            <v>Fire Extinguisher</v>
          </cell>
          <cell r="D7613" t="str">
            <v>Omamah Bint Al Harith Secondary School</v>
          </cell>
          <cell r="H7613" t="str">
            <v>AD</v>
          </cell>
        </row>
        <row r="7614">
          <cell r="B7614" t="str">
            <v>Fire Extinguisher</v>
          </cell>
          <cell r="D7614" t="str">
            <v>Omamah Bint Al Harith Secondary School</v>
          </cell>
          <cell r="H7614" t="str">
            <v>AD</v>
          </cell>
        </row>
        <row r="7615">
          <cell r="B7615" t="str">
            <v>Fire Extinguisher</v>
          </cell>
          <cell r="D7615" t="str">
            <v>Omamah Bint Al Harith Secondary School</v>
          </cell>
          <cell r="H7615" t="str">
            <v>AD</v>
          </cell>
        </row>
        <row r="7616">
          <cell r="B7616" t="str">
            <v>Fire Extinguisher</v>
          </cell>
          <cell r="D7616" t="str">
            <v>Omamah Bint Al Harith Secondary School</v>
          </cell>
          <cell r="H7616" t="str">
            <v>AD</v>
          </cell>
        </row>
        <row r="7617">
          <cell r="B7617" t="str">
            <v>Fire Extinguisher</v>
          </cell>
          <cell r="D7617" t="str">
            <v>Omamah Bint Al Harith Secondary School</v>
          </cell>
          <cell r="H7617" t="str">
            <v>AD</v>
          </cell>
        </row>
        <row r="7618">
          <cell r="B7618" t="str">
            <v>Fire Extinguisher</v>
          </cell>
          <cell r="D7618" t="str">
            <v>Omamah Bint Al Harith Secondary School</v>
          </cell>
          <cell r="H7618" t="str">
            <v>AD</v>
          </cell>
        </row>
        <row r="7619">
          <cell r="B7619" t="str">
            <v>Fire Extinguisher</v>
          </cell>
          <cell r="D7619" t="str">
            <v>Omamah Bint Al Harith Secondary School</v>
          </cell>
          <cell r="H7619" t="str">
            <v>AD</v>
          </cell>
        </row>
        <row r="7620">
          <cell r="B7620" t="str">
            <v>Fire Extinguisher</v>
          </cell>
          <cell r="D7620" t="str">
            <v>Omamah Bint Al Harith Secondary School</v>
          </cell>
          <cell r="H7620" t="str">
            <v>AD</v>
          </cell>
        </row>
        <row r="7621">
          <cell r="B7621" t="str">
            <v>Fire Extinguisher</v>
          </cell>
          <cell r="D7621" t="str">
            <v>Omamah Bint Al Harith Secondary School</v>
          </cell>
          <cell r="H7621" t="str">
            <v>AD</v>
          </cell>
        </row>
        <row r="7622">
          <cell r="B7622" t="str">
            <v>Fire Extinguisher</v>
          </cell>
          <cell r="D7622" t="str">
            <v>Omamah Bint Al Harith Secondary School</v>
          </cell>
          <cell r="H7622" t="str">
            <v>AD</v>
          </cell>
        </row>
        <row r="7623">
          <cell r="B7623" t="str">
            <v>Fire Extinguisher</v>
          </cell>
          <cell r="D7623" t="str">
            <v>Omamah Bint Al Harith Secondary School</v>
          </cell>
          <cell r="H7623" t="str">
            <v>AD</v>
          </cell>
        </row>
        <row r="7624">
          <cell r="B7624" t="str">
            <v>Fire Extinguisher</v>
          </cell>
          <cell r="D7624" t="str">
            <v>Omamah Bint Al Harith Secondary School</v>
          </cell>
          <cell r="H7624" t="str">
            <v>AD</v>
          </cell>
        </row>
        <row r="7625">
          <cell r="B7625" t="str">
            <v>Fire Extinguisher</v>
          </cell>
          <cell r="D7625" t="str">
            <v>Omamah Bint Al Harith Secondary School</v>
          </cell>
          <cell r="H7625" t="str">
            <v>AD</v>
          </cell>
        </row>
        <row r="7626">
          <cell r="B7626" t="str">
            <v>Fire Extinguisher</v>
          </cell>
          <cell r="D7626" t="str">
            <v>Omamah Bint Al Harith Secondary School</v>
          </cell>
          <cell r="H7626" t="str">
            <v>AD</v>
          </cell>
        </row>
        <row r="7627">
          <cell r="B7627" t="str">
            <v>Fire Extinguisher</v>
          </cell>
          <cell r="D7627" t="str">
            <v>Omamah Bint Al Harith Secondary School</v>
          </cell>
          <cell r="H7627" t="str">
            <v>AD</v>
          </cell>
        </row>
        <row r="7628">
          <cell r="B7628" t="str">
            <v>Fire Extinguisher</v>
          </cell>
          <cell r="D7628" t="str">
            <v>Omamah Bint Al Harith Secondary School</v>
          </cell>
          <cell r="H7628" t="str">
            <v>AD</v>
          </cell>
        </row>
        <row r="7629">
          <cell r="B7629" t="str">
            <v>Fire Extinguisher</v>
          </cell>
          <cell r="D7629" t="str">
            <v>Omamah Bint Al Harith Secondary School</v>
          </cell>
          <cell r="H7629" t="str">
            <v>AD</v>
          </cell>
        </row>
        <row r="7630">
          <cell r="B7630" t="str">
            <v>Fire Hose Reel</v>
          </cell>
          <cell r="D7630" t="str">
            <v>Omamah Bint Al Harith Secondary School</v>
          </cell>
          <cell r="H7630" t="str">
            <v>AD</v>
          </cell>
        </row>
        <row r="7631">
          <cell r="B7631" t="str">
            <v>Fire Hose Reel</v>
          </cell>
          <cell r="D7631" t="str">
            <v>Omamah Bint Al Harith Secondary School</v>
          </cell>
          <cell r="H7631" t="str">
            <v>AD</v>
          </cell>
        </row>
        <row r="7632">
          <cell r="B7632" t="str">
            <v>Fire Hose Reel</v>
          </cell>
          <cell r="D7632" t="str">
            <v>Omamah Bint Al Harith Secondary School</v>
          </cell>
          <cell r="H7632" t="str">
            <v>AD</v>
          </cell>
        </row>
        <row r="7633">
          <cell r="B7633" t="str">
            <v>Fire Hose Reel</v>
          </cell>
          <cell r="D7633" t="str">
            <v>Omamah Bint Al Harith Secondary School</v>
          </cell>
          <cell r="H7633" t="str">
            <v>AD</v>
          </cell>
        </row>
        <row r="7634">
          <cell r="B7634" t="str">
            <v>Fire Hose Reel</v>
          </cell>
          <cell r="D7634" t="str">
            <v>Omamah Bint Al Harith Secondary School</v>
          </cell>
          <cell r="H7634" t="str">
            <v>AD</v>
          </cell>
        </row>
        <row r="7635">
          <cell r="B7635" t="str">
            <v>Fire Hose Reel</v>
          </cell>
          <cell r="D7635" t="str">
            <v>Omamah Bint Al Harith Secondary School</v>
          </cell>
          <cell r="H7635" t="str">
            <v>AD</v>
          </cell>
        </row>
        <row r="7636">
          <cell r="B7636" t="str">
            <v>Fire Hose Reel</v>
          </cell>
          <cell r="D7636" t="str">
            <v>Omamah Bint Al Harith Secondary School</v>
          </cell>
          <cell r="H7636" t="str">
            <v>AD</v>
          </cell>
        </row>
        <row r="7637">
          <cell r="B7637" t="str">
            <v>Fire Hose Reel</v>
          </cell>
          <cell r="D7637" t="str">
            <v>Omamah Bint Al Harith Secondary School</v>
          </cell>
          <cell r="H7637" t="str">
            <v>AD</v>
          </cell>
        </row>
        <row r="7638">
          <cell r="B7638" t="str">
            <v>Fire Hose Reel</v>
          </cell>
          <cell r="D7638" t="str">
            <v>Omamah Bint Al Harith Secondary School</v>
          </cell>
          <cell r="H7638" t="str">
            <v>AD</v>
          </cell>
        </row>
        <row r="7639">
          <cell r="B7639" t="str">
            <v>Fire Hose Reel</v>
          </cell>
          <cell r="D7639" t="str">
            <v>Omamah Bint Al Harith Secondary School</v>
          </cell>
          <cell r="H7639" t="str">
            <v>AD</v>
          </cell>
        </row>
        <row r="7640">
          <cell r="B7640" t="str">
            <v>Fire Hose Reel</v>
          </cell>
          <cell r="D7640" t="str">
            <v>Omamah Bint Al Harith Secondary School</v>
          </cell>
          <cell r="H7640" t="str">
            <v>AD</v>
          </cell>
        </row>
        <row r="7641">
          <cell r="B7641" t="str">
            <v>Fire Hose Reel</v>
          </cell>
          <cell r="D7641" t="str">
            <v>Omamah Bint Al Harith Secondary School</v>
          </cell>
          <cell r="H7641" t="str">
            <v>AD</v>
          </cell>
        </row>
        <row r="7642">
          <cell r="B7642" t="str">
            <v>Fire Hose Reel</v>
          </cell>
          <cell r="D7642" t="str">
            <v>Omamah Bint Al Harith Secondary School</v>
          </cell>
          <cell r="H7642" t="str">
            <v>AD</v>
          </cell>
        </row>
        <row r="7643">
          <cell r="B7643" t="str">
            <v>Fire Smoke / Heat Detector, Sounder</v>
          </cell>
          <cell r="D7643" t="str">
            <v>Omamah Bint Al Harith Secondary School</v>
          </cell>
          <cell r="H7643" t="str">
            <v>AD</v>
          </cell>
        </row>
        <row r="7644">
          <cell r="B7644" t="str">
            <v>Fire Smoke / Heat Detector, Sounder</v>
          </cell>
          <cell r="D7644" t="str">
            <v>Omamah Bint Al Harith Secondary School</v>
          </cell>
          <cell r="H7644" t="str">
            <v>AD</v>
          </cell>
        </row>
        <row r="7645">
          <cell r="B7645" t="str">
            <v>Fire Smoke / Heat Detector, Sounder</v>
          </cell>
          <cell r="D7645" t="str">
            <v>Omamah Bint Al Harith Secondary School</v>
          </cell>
          <cell r="H7645" t="str">
            <v>AD</v>
          </cell>
        </row>
        <row r="7646">
          <cell r="B7646" t="str">
            <v>Fire Smoke / Heat Detector, Sounder</v>
          </cell>
          <cell r="D7646" t="str">
            <v>Omamah Bint Al Harith Secondary School</v>
          </cell>
          <cell r="H7646" t="str">
            <v>AD</v>
          </cell>
        </row>
        <row r="7647">
          <cell r="B7647" t="str">
            <v>Fire Smoke / Heat Detector, Sounder</v>
          </cell>
          <cell r="D7647" t="str">
            <v>Omamah Bint Al Harith Secondary School</v>
          </cell>
          <cell r="H7647" t="str">
            <v>AD</v>
          </cell>
        </row>
        <row r="7648">
          <cell r="B7648" t="str">
            <v>Fire Smoke / Heat Detector, Sounder</v>
          </cell>
          <cell r="D7648" t="str">
            <v>Omamah Bint Al Harith Secondary School</v>
          </cell>
          <cell r="H7648" t="str">
            <v>AD</v>
          </cell>
        </row>
        <row r="7649">
          <cell r="B7649" t="str">
            <v>Fire Smoke / Heat Detector, Sounder</v>
          </cell>
          <cell r="D7649" t="str">
            <v>Omamah Bint Al Harith Secondary School</v>
          </cell>
          <cell r="H7649" t="str">
            <v>AD</v>
          </cell>
        </row>
        <row r="7650">
          <cell r="B7650" t="str">
            <v>Fire Smoke / Heat Detector, Sounder</v>
          </cell>
          <cell r="D7650" t="str">
            <v>Omamah Bint Al Harith Secondary School</v>
          </cell>
          <cell r="H7650" t="str">
            <v>AD</v>
          </cell>
        </row>
        <row r="7651">
          <cell r="B7651" t="str">
            <v>Fire Smoke / Heat Detector, Sounder</v>
          </cell>
          <cell r="D7651" t="str">
            <v>Omamah Bint Al Harith Secondary School</v>
          </cell>
          <cell r="H7651" t="str">
            <v>AD</v>
          </cell>
        </row>
        <row r="7652">
          <cell r="B7652" t="str">
            <v>Fire Smoke / Heat Detector, Sounder</v>
          </cell>
          <cell r="D7652" t="str">
            <v>Omamah Bint Al Harith Secondary School</v>
          </cell>
          <cell r="H7652" t="str">
            <v>AD</v>
          </cell>
        </row>
        <row r="7653">
          <cell r="B7653" t="str">
            <v>Fire Smoke / Heat Detector, Sounder</v>
          </cell>
          <cell r="D7653" t="str">
            <v>Omamah Bint Al Harith Secondary School</v>
          </cell>
          <cell r="H7653" t="str">
            <v>AD</v>
          </cell>
        </row>
        <row r="7654">
          <cell r="B7654" t="str">
            <v>Fire Smoke / Heat Detector, Sounder</v>
          </cell>
          <cell r="D7654" t="str">
            <v>Omamah Bint Al Harith Secondary School</v>
          </cell>
          <cell r="H7654" t="str">
            <v>AD</v>
          </cell>
        </row>
        <row r="7655">
          <cell r="B7655" t="str">
            <v>Fire Smoke / Heat Detector, Sounder</v>
          </cell>
          <cell r="D7655" t="str">
            <v>Omamah Bint Al Harith Secondary School</v>
          </cell>
          <cell r="H7655" t="str">
            <v>AD</v>
          </cell>
        </row>
        <row r="7656">
          <cell r="B7656" t="str">
            <v>Fire Smoke / Heat Detector, Sounder</v>
          </cell>
          <cell r="D7656" t="str">
            <v>Omamah Bint Al Harith Secondary School</v>
          </cell>
          <cell r="H7656" t="str">
            <v>AD</v>
          </cell>
        </row>
        <row r="7657">
          <cell r="B7657" t="str">
            <v>Fire Smoke / Heat Detector, Sounder</v>
          </cell>
          <cell r="D7657" t="str">
            <v>Omamah Bint Al Harith Secondary School</v>
          </cell>
          <cell r="H7657" t="str">
            <v>AD</v>
          </cell>
        </row>
        <row r="7658">
          <cell r="B7658" t="str">
            <v>Fire Smoke / Heat Detector, Sounder</v>
          </cell>
          <cell r="D7658" t="str">
            <v>Omamah Bint Al Harith Secondary School</v>
          </cell>
          <cell r="H7658" t="str">
            <v>AD</v>
          </cell>
        </row>
        <row r="7659">
          <cell r="B7659" t="str">
            <v>Fire Smoke / Heat Detector, Sounder</v>
          </cell>
          <cell r="D7659" t="str">
            <v>Omamah Bint Al Harith Secondary School</v>
          </cell>
          <cell r="H7659" t="str">
            <v>AD</v>
          </cell>
        </row>
        <row r="7660">
          <cell r="B7660" t="str">
            <v>Fire Smoke / Heat Detector, Sounder</v>
          </cell>
          <cell r="D7660" t="str">
            <v>Omamah Bint Al Harith Secondary School</v>
          </cell>
          <cell r="H7660" t="str">
            <v>AD</v>
          </cell>
        </row>
        <row r="7661">
          <cell r="B7661" t="str">
            <v>Fire Smoke / Heat Detector, Sounder</v>
          </cell>
          <cell r="D7661" t="str">
            <v>Omamah Bint Al Harith Secondary School</v>
          </cell>
          <cell r="H7661" t="str">
            <v>AD</v>
          </cell>
        </row>
        <row r="7662">
          <cell r="B7662" t="str">
            <v>Fire Smoke / Heat Detector, Sounder</v>
          </cell>
          <cell r="D7662" t="str">
            <v>Omamah Bint Al Harith Secondary School</v>
          </cell>
          <cell r="H7662" t="str">
            <v>AD</v>
          </cell>
        </row>
        <row r="7663">
          <cell r="B7663" t="str">
            <v>Fire Smoke / Heat Detector, Sounder</v>
          </cell>
          <cell r="D7663" t="str">
            <v>Omamah Bint Al Harith Secondary School</v>
          </cell>
          <cell r="H7663" t="str">
            <v>AD</v>
          </cell>
        </row>
        <row r="7664">
          <cell r="B7664" t="str">
            <v>Fire Smoke / Heat Detector, Sounder</v>
          </cell>
          <cell r="D7664" t="str">
            <v>Omamah Bint Al Harith Secondary School</v>
          </cell>
          <cell r="H7664" t="str">
            <v>AD</v>
          </cell>
        </row>
        <row r="7665">
          <cell r="B7665" t="str">
            <v>Fire Smoke / Heat Detector, Sounder</v>
          </cell>
          <cell r="D7665" t="str">
            <v>Omamah Bint Al Harith Secondary School</v>
          </cell>
          <cell r="H7665" t="str">
            <v>AD</v>
          </cell>
        </row>
        <row r="7666">
          <cell r="B7666" t="str">
            <v>Fire Smoke / Heat Detector, Sounder</v>
          </cell>
          <cell r="D7666" t="str">
            <v>Omamah Bint Al Harith Secondary School</v>
          </cell>
          <cell r="H7666" t="str">
            <v>AD</v>
          </cell>
        </row>
        <row r="7667">
          <cell r="B7667" t="str">
            <v>Fire Smoke / Heat Detector, Sounder</v>
          </cell>
          <cell r="D7667" t="str">
            <v>Omamah Bint Al Harith Secondary School</v>
          </cell>
          <cell r="H7667" t="str">
            <v>AD</v>
          </cell>
        </row>
        <row r="7668">
          <cell r="B7668" t="str">
            <v>Fire Smoke / Heat Detector, Sounder</v>
          </cell>
          <cell r="D7668" t="str">
            <v>Omamah Bint Al Harith Secondary School</v>
          </cell>
          <cell r="H7668" t="str">
            <v>AD</v>
          </cell>
        </row>
        <row r="7669">
          <cell r="B7669" t="str">
            <v>Fire Smoke / Heat Detector, Sounder</v>
          </cell>
          <cell r="D7669" t="str">
            <v>Omamah Bint Al Harith Secondary School</v>
          </cell>
          <cell r="H7669" t="str">
            <v>AD</v>
          </cell>
        </row>
        <row r="7670">
          <cell r="B7670" t="str">
            <v>Fire Smoke / Heat Detector, Sounder</v>
          </cell>
          <cell r="D7670" t="str">
            <v>Omamah Bint Al Harith Secondary School</v>
          </cell>
          <cell r="H7670" t="str">
            <v>AD</v>
          </cell>
        </row>
        <row r="7671">
          <cell r="B7671" t="str">
            <v>Fire Smoke / Heat Detector, Sounder</v>
          </cell>
          <cell r="D7671" t="str">
            <v>Omamah Bint Al Harith Secondary School</v>
          </cell>
          <cell r="H7671" t="str">
            <v>AD</v>
          </cell>
        </row>
        <row r="7672">
          <cell r="B7672" t="str">
            <v>Fire Smoke / Heat Detector, Sounder</v>
          </cell>
          <cell r="D7672" t="str">
            <v>Omamah Bint Al Harith Secondary School</v>
          </cell>
          <cell r="H7672" t="str">
            <v>AD</v>
          </cell>
        </row>
        <row r="7673">
          <cell r="B7673" t="str">
            <v>Fire Smoke / Heat Detector, Sounder</v>
          </cell>
          <cell r="D7673" t="str">
            <v>Omamah Bint Al Harith Secondary School</v>
          </cell>
          <cell r="H7673" t="str">
            <v>AD</v>
          </cell>
        </row>
        <row r="7674">
          <cell r="B7674" t="str">
            <v>Fire Smoke / Heat Detector, Sounder</v>
          </cell>
          <cell r="D7674" t="str">
            <v>Omamah Bint Al Harith Secondary School</v>
          </cell>
          <cell r="H7674" t="str">
            <v>AD</v>
          </cell>
        </row>
        <row r="7675">
          <cell r="B7675" t="str">
            <v>Fire Smoke / Heat Detector, Sounder</v>
          </cell>
          <cell r="D7675" t="str">
            <v>Omamah Bint Al Harith Secondary School</v>
          </cell>
          <cell r="H7675" t="str">
            <v>AD</v>
          </cell>
        </row>
        <row r="7676">
          <cell r="B7676" t="str">
            <v>Fire Smoke / Heat Detector, Sounder</v>
          </cell>
          <cell r="D7676" t="str">
            <v>Omamah Bint Al Harith Secondary School</v>
          </cell>
          <cell r="H7676" t="str">
            <v>AD</v>
          </cell>
        </row>
        <row r="7677">
          <cell r="B7677" t="str">
            <v>Fire Smoke / Heat Detector, Sounder</v>
          </cell>
          <cell r="D7677" t="str">
            <v>Omamah Bint Al Harith Secondary School</v>
          </cell>
          <cell r="H7677" t="str">
            <v>AD</v>
          </cell>
        </row>
        <row r="7678">
          <cell r="B7678" t="str">
            <v>Fire Smoke / Heat Detector, Sounder</v>
          </cell>
          <cell r="D7678" t="str">
            <v>Omamah Bint Al Harith Secondary School</v>
          </cell>
          <cell r="H7678" t="str">
            <v>AD</v>
          </cell>
        </row>
        <row r="7679">
          <cell r="B7679" t="str">
            <v>Fire Smoke / Heat Detector, Sounder</v>
          </cell>
          <cell r="D7679" t="str">
            <v>Omamah Bint Al Harith Secondary School</v>
          </cell>
          <cell r="H7679" t="str">
            <v>AD</v>
          </cell>
        </row>
        <row r="7680">
          <cell r="B7680" t="str">
            <v>Fire Smoke / Heat Detector, Sounder</v>
          </cell>
          <cell r="D7680" t="str">
            <v>Omamah Bint Al Harith Secondary School</v>
          </cell>
          <cell r="H7680" t="str">
            <v>AD</v>
          </cell>
        </row>
        <row r="7681">
          <cell r="B7681" t="str">
            <v>Fire Smoke / Heat Detector, Sounder</v>
          </cell>
          <cell r="D7681" t="str">
            <v>Omamah Bint Al Harith Secondary School</v>
          </cell>
          <cell r="H7681" t="str">
            <v>AD</v>
          </cell>
        </row>
        <row r="7682">
          <cell r="B7682" t="str">
            <v>Fire Smoke / Heat Detector, Sounder</v>
          </cell>
          <cell r="D7682" t="str">
            <v>Omamah Bint Al Harith Secondary School</v>
          </cell>
          <cell r="H7682" t="str">
            <v>AD</v>
          </cell>
        </row>
        <row r="7683">
          <cell r="B7683" t="str">
            <v>Fire Smoke / Heat Detector, Sounder</v>
          </cell>
          <cell r="D7683" t="str">
            <v>Omamah Bint Al Harith Secondary School</v>
          </cell>
          <cell r="H7683" t="str">
            <v>AD</v>
          </cell>
        </row>
        <row r="7684">
          <cell r="B7684" t="str">
            <v>Fire Smoke / Heat Detector, Sounder</v>
          </cell>
          <cell r="D7684" t="str">
            <v>Omamah Bint Al Harith Secondary School</v>
          </cell>
          <cell r="H7684" t="str">
            <v>AD</v>
          </cell>
        </row>
        <row r="7685">
          <cell r="B7685" t="str">
            <v>Fire Smoke / Heat Detector, Sounder</v>
          </cell>
          <cell r="D7685" t="str">
            <v>Omamah Bint Al Harith Secondary School</v>
          </cell>
          <cell r="H7685" t="str">
            <v>AD</v>
          </cell>
        </row>
        <row r="7686">
          <cell r="B7686" t="str">
            <v>Fire Smoke / Heat Detector, Sounder</v>
          </cell>
          <cell r="D7686" t="str">
            <v>Omamah Bint Al Harith Secondary School</v>
          </cell>
          <cell r="H7686" t="str">
            <v>AD</v>
          </cell>
        </row>
        <row r="7687">
          <cell r="B7687" t="str">
            <v>Fire Smoke / Heat Detector, Sounder</v>
          </cell>
          <cell r="D7687" t="str">
            <v>Omamah Bint Al Harith Secondary School</v>
          </cell>
          <cell r="H7687" t="str">
            <v>AD</v>
          </cell>
        </row>
        <row r="7688">
          <cell r="B7688" t="str">
            <v>Fire Smoke / Heat Detector, Sounder</v>
          </cell>
          <cell r="D7688" t="str">
            <v>Omamah Bint Al Harith Secondary School</v>
          </cell>
          <cell r="H7688" t="str">
            <v>AD</v>
          </cell>
        </row>
        <row r="7689">
          <cell r="B7689" t="str">
            <v>Fire Smoke / Heat Detector, Sounder</v>
          </cell>
          <cell r="D7689" t="str">
            <v>Omamah Bint Al Harith Secondary School</v>
          </cell>
          <cell r="H7689" t="str">
            <v>AD</v>
          </cell>
        </row>
        <row r="7690">
          <cell r="B7690" t="str">
            <v>Fire Smoke / Heat Detector, Sounder</v>
          </cell>
          <cell r="D7690" t="str">
            <v>Omamah Bint Al Harith Secondary School</v>
          </cell>
          <cell r="H7690" t="str">
            <v>AD</v>
          </cell>
        </row>
        <row r="7691">
          <cell r="B7691" t="str">
            <v>Fire Smoke / Heat Detector, Sounder</v>
          </cell>
          <cell r="D7691" t="str">
            <v>Omamah Bint Al Harith Secondary School</v>
          </cell>
          <cell r="H7691" t="str">
            <v>AD</v>
          </cell>
        </row>
        <row r="7692">
          <cell r="B7692" t="str">
            <v>Fire Smoke / Heat Detector, Sounder</v>
          </cell>
          <cell r="D7692" t="str">
            <v>Omamah Bint Al Harith Secondary School</v>
          </cell>
          <cell r="H7692" t="str">
            <v>AD</v>
          </cell>
        </row>
        <row r="7693">
          <cell r="B7693" t="str">
            <v>Fire Smoke / Heat Detector, Sounder</v>
          </cell>
          <cell r="D7693" t="str">
            <v>Omamah Bint Al Harith Secondary School</v>
          </cell>
          <cell r="H7693" t="str">
            <v>AD</v>
          </cell>
        </row>
        <row r="7694">
          <cell r="B7694" t="str">
            <v>Fire Smoke / Heat Detector, Sounder</v>
          </cell>
          <cell r="D7694" t="str">
            <v>Omamah Bint Al Harith Secondary School</v>
          </cell>
          <cell r="H7694" t="str">
            <v>AD</v>
          </cell>
        </row>
        <row r="7695">
          <cell r="B7695" t="str">
            <v>Fire Smoke / Heat Detector, Sounder</v>
          </cell>
          <cell r="D7695" t="str">
            <v>Omamah Bint Al Harith Secondary School</v>
          </cell>
          <cell r="H7695" t="str">
            <v>AD</v>
          </cell>
        </row>
        <row r="7696">
          <cell r="B7696" t="str">
            <v>Fire Smoke / Heat Detector, Sounder</v>
          </cell>
          <cell r="D7696" t="str">
            <v>Omamah Bint Al Harith Secondary School</v>
          </cell>
          <cell r="H7696" t="str">
            <v>AD</v>
          </cell>
        </row>
        <row r="7697">
          <cell r="B7697" t="str">
            <v>Fire Smoke / Heat Detector, Sounder</v>
          </cell>
          <cell r="D7697" t="str">
            <v>Omamah Bint Al Harith Secondary School</v>
          </cell>
          <cell r="H7697" t="str">
            <v>AD</v>
          </cell>
        </row>
        <row r="7698">
          <cell r="B7698" t="str">
            <v>Fire Smoke / Heat Detector, Sounder</v>
          </cell>
          <cell r="D7698" t="str">
            <v>Omamah Bint Al Harith Secondary School</v>
          </cell>
          <cell r="H7698" t="str">
            <v>AD</v>
          </cell>
        </row>
        <row r="7699">
          <cell r="B7699" t="str">
            <v>Fire Smoke / Heat Detector, Sounder</v>
          </cell>
          <cell r="D7699" t="str">
            <v>Omamah Bint Al Harith Secondary School</v>
          </cell>
          <cell r="H7699" t="str">
            <v>AD</v>
          </cell>
        </row>
        <row r="7700">
          <cell r="B7700" t="str">
            <v>Fire Smoke / Heat Detector, Sounder</v>
          </cell>
          <cell r="D7700" t="str">
            <v>Omamah Bint Al Harith Secondary School</v>
          </cell>
          <cell r="H7700" t="str">
            <v>AD</v>
          </cell>
        </row>
        <row r="7701">
          <cell r="B7701" t="str">
            <v>Fire Smoke / Heat Detector, Sounder</v>
          </cell>
          <cell r="D7701" t="str">
            <v>Omamah Bint Al Harith Secondary School</v>
          </cell>
          <cell r="H7701" t="str">
            <v>AD</v>
          </cell>
        </row>
        <row r="7702">
          <cell r="B7702" t="str">
            <v>Fire Smoke / Heat Detector, Sounder</v>
          </cell>
          <cell r="D7702" t="str">
            <v>Omamah Bint Al Harith Secondary School</v>
          </cell>
          <cell r="H7702" t="str">
            <v>AD</v>
          </cell>
        </row>
        <row r="7703">
          <cell r="B7703" t="str">
            <v>Fire Smoke / Heat Detector, Sounder</v>
          </cell>
          <cell r="D7703" t="str">
            <v>Omamah Bint Al Harith Secondary School</v>
          </cell>
          <cell r="H7703" t="str">
            <v>AD</v>
          </cell>
        </row>
        <row r="7704">
          <cell r="B7704" t="str">
            <v>Fire Smoke / Heat Detector, Sounder</v>
          </cell>
          <cell r="D7704" t="str">
            <v>Omamah Bint Al Harith Secondary School</v>
          </cell>
          <cell r="H7704" t="str">
            <v>AD</v>
          </cell>
        </row>
        <row r="7705">
          <cell r="B7705" t="str">
            <v>Fire Smoke / Heat Detector, Sounder</v>
          </cell>
          <cell r="D7705" t="str">
            <v>Omamah Bint Al Harith Secondary School</v>
          </cell>
          <cell r="H7705" t="str">
            <v>AD</v>
          </cell>
        </row>
        <row r="7706">
          <cell r="B7706" t="str">
            <v>Fire Smoke / Heat Detector, Sounder</v>
          </cell>
          <cell r="D7706" t="str">
            <v>Omamah Bint Al Harith Secondary School</v>
          </cell>
          <cell r="H7706" t="str">
            <v>AD</v>
          </cell>
        </row>
        <row r="7707">
          <cell r="B7707" t="str">
            <v>Fire Smoke / Heat Detector, Sounder</v>
          </cell>
          <cell r="D7707" t="str">
            <v>Omamah Bint Al Harith Secondary School</v>
          </cell>
          <cell r="H7707" t="str">
            <v>AD</v>
          </cell>
        </row>
        <row r="7708">
          <cell r="B7708" t="str">
            <v>Fire Smoke / Heat Detector, Sounder</v>
          </cell>
          <cell r="D7708" t="str">
            <v>Omamah Bint Al Harith Secondary School</v>
          </cell>
          <cell r="H7708" t="str">
            <v>AD</v>
          </cell>
        </row>
        <row r="7709">
          <cell r="B7709" t="str">
            <v>Fire Smoke / Heat Detector, Sounder</v>
          </cell>
          <cell r="D7709" t="str">
            <v>Omamah Bint Al Harith Secondary School</v>
          </cell>
          <cell r="H7709" t="str">
            <v>AD</v>
          </cell>
        </row>
        <row r="7710">
          <cell r="B7710" t="str">
            <v>Fire Smoke / Heat Detector, Sounder</v>
          </cell>
          <cell r="D7710" t="str">
            <v>Omamah Bint Al Harith Secondary School</v>
          </cell>
          <cell r="H7710" t="str">
            <v>AD</v>
          </cell>
        </row>
        <row r="7711">
          <cell r="B7711" t="str">
            <v>Fire Smoke / Heat Detector, Sounder</v>
          </cell>
          <cell r="D7711" t="str">
            <v>Omamah Bint Al Harith Secondary School</v>
          </cell>
          <cell r="H7711" t="str">
            <v>AD</v>
          </cell>
        </row>
        <row r="7712">
          <cell r="B7712" t="str">
            <v>Fire Smoke / Heat Detector, Sounder</v>
          </cell>
          <cell r="D7712" t="str">
            <v>Omamah Bint Al Harith Secondary School</v>
          </cell>
          <cell r="H7712" t="str">
            <v>AD</v>
          </cell>
        </row>
        <row r="7713">
          <cell r="B7713" t="str">
            <v>Fire Smoke / Heat Detector, Sounder</v>
          </cell>
          <cell r="D7713" t="str">
            <v>Omamah Bint Al Harith Secondary School</v>
          </cell>
          <cell r="H7713" t="str">
            <v>AD</v>
          </cell>
        </row>
        <row r="7714">
          <cell r="B7714" t="str">
            <v>Fire Smoke / Heat Detector, Sounder</v>
          </cell>
          <cell r="D7714" t="str">
            <v>Omamah Bint Al Harith Secondary School</v>
          </cell>
          <cell r="H7714" t="str">
            <v>AD</v>
          </cell>
        </row>
        <row r="7715">
          <cell r="B7715" t="str">
            <v>Fire Smoke / Heat Detector, Sounder</v>
          </cell>
          <cell r="D7715" t="str">
            <v>Omamah Bint Al Harith Secondary School</v>
          </cell>
          <cell r="H7715" t="str">
            <v>AD</v>
          </cell>
        </row>
        <row r="7716">
          <cell r="B7716" t="str">
            <v>Fire Smoke / Heat Detector, Sounder</v>
          </cell>
          <cell r="D7716" t="str">
            <v>Omamah Bint Al Harith Secondary School</v>
          </cell>
          <cell r="H7716" t="str">
            <v>AD</v>
          </cell>
        </row>
        <row r="7717">
          <cell r="B7717" t="str">
            <v>Fire Smoke / Heat Detector, Sounder</v>
          </cell>
          <cell r="D7717" t="str">
            <v>Omamah Bint Al Harith Secondary School</v>
          </cell>
          <cell r="H7717" t="str">
            <v>AD</v>
          </cell>
        </row>
        <row r="7718">
          <cell r="B7718" t="str">
            <v>Fire Smoke / Heat Detector, Sounder</v>
          </cell>
          <cell r="D7718" t="str">
            <v>Omamah Bint Al Harith Secondary School</v>
          </cell>
          <cell r="H7718" t="str">
            <v>AD</v>
          </cell>
        </row>
        <row r="7719">
          <cell r="B7719" t="str">
            <v>Fire Smoke / Heat Detector, Sounder</v>
          </cell>
          <cell r="D7719" t="str">
            <v>Omamah Bint Al Harith Secondary School</v>
          </cell>
          <cell r="H7719" t="str">
            <v>AD</v>
          </cell>
        </row>
        <row r="7720">
          <cell r="B7720" t="str">
            <v>Fire Smoke / Heat Detector, Sounder</v>
          </cell>
          <cell r="D7720" t="str">
            <v>Omamah Bint Al Harith Secondary School</v>
          </cell>
          <cell r="H7720" t="str">
            <v>AD</v>
          </cell>
        </row>
        <row r="7721">
          <cell r="B7721" t="str">
            <v>Fire Smoke / Heat Detector, Sounder</v>
          </cell>
          <cell r="D7721" t="str">
            <v>Omamah Bint Al Harith Secondary School</v>
          </cell>
          <cell r="H7721" t="str">
            <v>AD</v>
          </cell>
        </row>
        <row r="7722">
          <cell r="B7722" t="str">
            <v>Fire Smoke / Heat Detector, Sounder</v>
          </cell>
          <cell r="D7722" t="str">
            <v>Omamah Bint Al Harith Secondary School</v>
          </cell>
          <cell r="H7722" t="str">
            <v>AD</v>
          </cell>
        </row>
        <row r="7723">
          <cell r="B7723" t="str">
            <v>Fire Smoke / Heat Detector, Sounder</v>
          </cell>
          <cell r="D7723" t="str">
            <v>Omamah Bint Al Harith Secondary School</v>
          </cell>
          <cell r="H7723" t="str">
            <v>AD</v>
          </cell>
        </row>
        <row r="7724">
          <cell r="B7724" t="str">
            <v>Fire Smoke / Heat Detector, Sounder</v>
          </cell>
          <cell r="D7724" t="str">
            <v>Omamah Bint Al Harith Secondary School</v>
          </cell>
          <cell r="H7724" t="str">
            <v>AD</v>
          </cell>
        </row>
        <row r="7725">
          <cell r="B7725" t="str">
            <v>Fire Smoke / Heat Detector, Sounder</v>
          </cell>
          <cell r="D7725" t="str">
            <v>Omamah Bint Al Harith Secondary School</v>
          </cell>
          <cell r="H7725" t="str">
            <v>AD</v>
          </cell>
        </row>
        <row r="7726">
          <cell r="B7726" t="str">
            <v>Fire Smoke / Heat Detector, Sounder</v>
          </cell>
          <cell r="D7726" t="str">
            <v>Omamah Bint Al Harith Secondary School</v>
          </cell>
          <cell r="H7726" t="str">
            <v>AD</v>
          </cell>
        </row>
        <row r="7727">
          <cell r="B7727" t="str">
            <v>Fire Smoke / Heat Detector, Sounder</v>
          </cell>
          <cell r="D7727" t="str">
            <v>Omamah Bint Al Harith Secondary School</v>
          </cell>
          <cell r="H7727" t="str">
            <v>AD</v>
          </cell>
        </row>
        <row r="7728">
          <cell r="B7728" t="str">
            <v>Fire Smoke / Heat Detector, Sounder</v>
          </cell>
          <cell r="D7728" t="str">
            <v>Omamah Bint Al Harith Secondary School</v>
          </cell>
          <cell r="H7728" t="str">
            <v>AD</v>
          </cell>
        </row>
        <row r="7729">
          <cell r="B7729" t="str">
            <v>Fire Smoke / Heat Detector, Sounder</v>
          </cell>
          <cell r="D7729" t="str">
            <v>Omamah Bint Al Harith Secondary School</v>
          </cell>
          <cell r="H7729" t="str">
            <v>AD</v>
          </cell>
        </row>
        <row r="7730">
          <cell r="B7730" t="str">
            <v>Fire Smoke / Heat Detector, Sounder</v>
          </cell>
          <cell r="D7730" t="str">
            <v>Omamah Bint Al Harith Secondary School</v>
          </cell>
          <cell r="H7730" t="str">
            <v>AD</v>
          </cell>
        </row>
        <row r="7731">
          <cell r="B7731" t="str">
            <v>Fire Smoke / Heat Detector, Sounder</v>
          </cell>
          <cell r="D7731" t="str">
            <v>Omamah Bint Al Harith Secondary School</v>
          </cell>
          <cell r="H7731" t="str">
            <v>AD</v>
          </cell>
        </row>
        <row r="7732">
          <cell r="B7732" t="str">
            <v>Fire Smoke / Heat Detector, Sounder</v>
          </cell>
          <cell r="D7732" t="str">
            <v>Omamah Bint Al Harith Secondary School</v>
          </cell>
          <cell r="H7732" t="str">
            <v>AD</v>
          </cell>
        </row>
        <row r="7733">
          <cell r="B7733" t="str">
            <v>Fire Smoke / Heat Detector, Sounder</v>
          </cell>
          <cell r="D7733" t="str">
            <v>Omamah Bint Al Harith Secondary School</v>
          </cell>
          <cell r="H7733" t="str">
            <v>AD</v>
          </cell>
        </row>
        <row r="7734">
          <cell r="B7734" t="str">
            <v>Fire Smoke / Heat Detector, Sounder</v>
          </cell>
          <cell r="D7734" t="str">
            <v>Omamah Bint Al Harith Secondary School</v>
          </cell>
          <cell r="H7734" t="str">
            <v>AD</v>
          </cell>
        </row>
        <row r="7735">
          <cell r="B7735" t="str">
            <v>Fire Smoke / Heat Detector, Sounder</v>
          </cell>
          <cell r="D7735" t="str">
            <v>Omamah Bint Al Harith Secondary School</v>
          </cell>
          <cell r="H7735" t="str">
            <v>AD</v>
          </cell>
        </row>
        <row r="7736">
          <cell r="B7736" t="str">
            <v>Fire Alarm Break Glass Call Point</v>
          </cell>
          <cell r="D7736" t="str">
            <v xml:space="preserve">Oum Al-Fadel Elementary School Girls                    </v>
          </cell>
          <cell r="H7736" t="str">
            <v>AA</v>
          </cell>
        </row>
        <row r="7737">
          <cell r="B7737" t="str">
            <v>Fire Alarm Break Glass Call Point</v>
          </cell>
          <cell r="D7737" t="str">
            <v xml:space="preserve">Oum Al-Fadel Elementary School Girls                    </v>
          </cell>
          <cell r="H7737" t="str">
            <v>AA</v>
          </cell>
        </row>
        <row r="7738">
          <cell r="B7738" t="str">
            <v>Fire Alarm Break Glass Call Point</v>
          </cell>
          <cell r="D7738" t="str">
            <v xml:space="preserve">Oum Al-Fadel Elementary School Girls                    </v>
          </cell>
          <cell r="H7738" t="str">
            <v>AA</v>
          </cell>
        </row>
        <row r="7739">
          <cell r="B7739" t="str">
            <v>Fire Alarm Break Glass Call Point</v>
          </cell>
          <cell r="D7739" t="str">
            <v xml:space="preserve">Oum Al-Fadel Elementary School Girls                    </v>
          </cell>
          <cell r="H7739" t="str">
            <v>AA</v>
          </cell>
        </row>
        <row r="7740">
          <cell r="B7740" t="str">
            <v>Fire Alarm Break Glass Call Point</v>
          </cell>
          <cell r="D7740" t="str">
            <v xml:space="preserve">Oum Al-Fadel Elementary School Girls                    </v>
          </cell>
          <cell r="H7740" t="str">
            <v>AA</v>
          </cell>
        </row>
        <row r="7741">
          <cell r="B7741" t="str">
            <v>Fire Alarm Break Glass Call Point</v>
          </cell>
          <cell r="D7741" t="str">
            <v xml:space="preserve">Oum Al-Fadel Elementary School Girls                    </v>
          </cell>
          <cell r="H7741" t="str">
            <v>AA</v>
          </cell>
        </row>
        <row r="7742">
          <cell r="B7742" t="str">
            <v>Fire Alarm Break Glass Call Point</v>
          </cell>
          <cell r="D7742" t="str">
            <v xml:space="preserve">Oum Al-Fadel Elementary School Girls                    </v>
          </cell>
          <cell r="H7742" t="str">
            <v>AA</v>
          </cell>
        </row>
        <row r="7743">
          <cell r="B7743" t="str">
            <v>Fire Alarm Break Glass Call Point</v>
          </cell>
          <cell r="D7743" t="str">
            <v xml:space="preserve">Oum Al-Fadel Elementary School Girls                    </v>
          </cell>
          <cell r="H7743" t="str">
            <v>AA</v>
          </cell>
        </row>
        <row r="7744">
          <cell r="B7744" t="str">
            <v>Fire Alarm Sounder, Bell, Light</v>
          </cell>
          <cell r="D7744" t="str">
            <v xml:space="preserve">Oum Al-Fadel Elementary School Girls                    </v>
          </cell>
          <cell r="H7744" t="str">
            <v>AA</v>
          </cell>
        </row>
        <row r="7745">
          <cell r="B7745" t="str">
            <v>Fire Alarm Sounder, Bell, Light</v>
          </cell>
          <cell r="D7745" t="str">
            <v xml:space="preserve">Oum Al-Fadel Elementary School Girls                    </v>
          </cell>
          <cell r="H7745" t="str">
            <v>AA</v>
          </cell>
        </row>
        <row r="7746">
          <cell r="B7746" t="str">
            <v>Fire Alarm Sounder, Bell, Light</v>
          </cell>
          <cell r="D7746" t="str">
            <v xml:space="preserve">Oum Al-Fadel Elementary School Girls                    </v>
          </cell>
          <cell r="H7746" t="str">
            <v>AA</v>
          </cell>
        </row>
        <row r="7747">
          <cell r="B7747" t="str">
            <v>Fire Alarm Sounder, Bell, Light</v>
          </cell>
          <cell r="D7747" t="str">
            <v xml:space="preserve">Oum Al-Fadel Elementary School Girls                    </v>
          </cell>
          <cell r="H7747" t="str">
            <v>AA</v>
          </cell>
        </row>
        <row r="7748">
          <cell r="B7748" t="str">
            <v>Fire Alarm Sounder, Bell, Light</v>
          </cell>
          <cell r="D7748" t="str">
            <v xml:space="preserve">Oum Al-Fadel Elementary School Girls                    </v>
          </cell>
          <cell r="H7748" t="str">
            <v>AA</v>
          </cell>
        </row>
        <row r="7749">
          <cell r="B7749" t="str">
            <v>Fire Alarm Sounder, Bell, Light</v>
          </cell>
          <cell r="D7749" t="str">
            <v xml:space="preserve">Oum Al-Fadel Elementary School Girls                    </v>
          </cell>
          <cell r="H7749" t="str">
            <v>AA</v>
          </cell>
        </row>
        <row r="7750">
          <cell r="B7750" t="str">
            <v>Fire Alarm Sounder, Bell, Light</v>
          </cell>
          <cell r="D7750" t="str">
            <v xml:space="preserve">Oum Al-Fadel Elementary School Girls                    </v>
          </cell>
          <cell r="H7750" t="str">
            <v>AA</v>
          </cell>
        </row>
        <row r="7751">
          <cell r="B7751" t="str">
            <v>Fire Alarm Sounder, Bell, Light</v>
          </cell>
          <cell r="D7751" t="str">
            <v xml:space="preserve">Oum Al-Fadel Elementary School Girls                    </v>
          </cell>
          <cell r="H7751" t="str">
            <v>AA</v>
          </cell>
        </row>
        <row r="7752">
          <cell r="B7752" t="str">
            <v>Fire Alarm Sounder, Bell, Light</v>
          </cell>
          <cell r="D7752" t="str">
            <v xml:space="preserve">Oum Al-Fadel Elementary School Girls                    </v>
          </cell>
          <cell r="H7752" t="str">
            <v>AA</v>
          </cell>
        </row>
        <row r="7753">
          <cell r="B7753" t="str">
            <v>Fire Alarm Sounder, Bell, Light</v>
          </cell>
          <cell r="D7753" t="str">
            <v xml:space="preserve">Oum Al-Fadel Elementary School Girls                    </v>
          </cell>
          <cell r="H7753" t="str">
            <v>AA</v>
          </cell>
        </row>
        <row r="7754">
          <cell r="B7754" t="str">
            <v>Fire Extinguisher</v>
          </cell>
          <cell r="D7754" t="str">
            <v xml:space="preserve">Oum Al-Fadel Elementary School Girls                    </v>
          </cell>
          <cell r="H7754" t="str">
            <v>AA</v>
          </cell>
        </row>
        <row r="7755">
          <cell r="B7755" t="str">
            <v>Fire Extinguisher</v>
          </cell>
          <cell r="D7755" t="str">
            <v xml:space="preserve">Oum Al-Fadel Elementary School Girls                    </v>
          </cell>
          <cell r="H7755" t="str">
            <v>AA</v>
          </cell>
        </row>
        <row r="7756">
          <cell r="B7756" t="str">
            <v>Fire Extinguisher</v>
          </cell>
          <cell r="D7756" t="str">
            <v xml:space="preserve">Oum Al-Fadel Elementary School Girls                    </v>
          </cell>
          <cell r="H7756" t="str">
            <v>AA</v>
          </cell>
        </row>
        <row r="7757">
          <cell r="B7757" t="str">
            <v>Fire Extinguisher</v>
          </cell>
          <cell r="D7757" t="str">
            <v xml:space="preserve">Oum Al-Fadel Elementary School Girls                    </v>
          </cell>
          <cell r="H7757" t="str">
            <v>AA</v>
          </cell>
        </row>
        <row r="7758">
          <cell r="B7758" t="str">
            <v>Fire Extinguisher</v>
          </cell>
          <cell r="D7758" t="str">
            <v xml:space="preserve">Oum Al-Fadel Elementary School Girls                    </v>
          </cell>
          <cell r="H7758" t="str">
            <v>AA</v>
          </cell>
        </row>
        <row r="7759">
          <cell r="B7759" t="str">
            <v>Fire Extinguisher</v>
          </cell>
          <cell r="D7759" t="str">
            <v xml:space="preserve">Oum Al-Fadel Elementary School Girls                    </v>
          </cell>
          <cell r="H7759" t="str">
            <v>AA</v>
          </cell>
        </row>
        <row r="7760">
          <cell r="B7760" t="str">
            <v>Fire Extinguisher</v>
          </cell>
          <cell r="D7760" t="str">
            <v xml:space="preserve">Oum Al-Fadel Elementary School Girls                    </v>
          </cell>
          <cell r="H7760" t="str">
            <v>AA</v>
          </cell>
        </row>
        <row r="7761">
          <cell r="B7761" t="str">
            <v>Fire Extinguisher</v>
          </cell>
          <cell r="D7761" t="str">
            <v xml:space="preserve">Oum Al-Fadel Elementary School Girls                    </v>
          </cell>
          <cell r="H7761" t="str">
            <v>AA</v>
          </cell>
        </row>
        <row r="7762">
          <cell r="B7762" t="str">
            <v>Fire Extinguisher</v>
          </cell>
          <cell r="D7762" t="str">
            <v xml:space="preserve">Oum Al-Fadel Elementary School Girls                    </v>
          </cell>
          <cell r="H7762" t="str">
            <v>AA</v>
          </cell>
        </row>
        <row r="7763">
          <cell r="B7763" t="str">
            <v>Fire Extinguisher</v>
          </cell>
          <cell r="D7763" t="str">
            <v xml:space="preserve">Oum Al-Fadel Elementary School Girls                    </v>
          </cell>
          <cell r="H7763" t="str">
            <v>AA</v>
          </cell>
        </row>
        <row r="7764">
          <cell r="B7764" t="str">
            <v>Fire Extinguisher</v>
          </cell>
          <cell r="D7764" t="str">
            <v xml:space="preserve">Oum Al-Fadel Elementary School Girls                    </v>
          </cell>
          <cell r="H7764" t="str">
            <v>AA</v>
          </cell>
        </row>
        <row r="7765">
          <cell r="B7765" t="str">
            <v>Fire Extinguisher</v>
          </cell>
          <cell r="D7765" t="str">
            <v xml:space="preserve">Oum Al-Fadel Elementary School Girls                    </v>
          </cell>
          <cell r="H7765" t="str">
            <v>AA</v>
          </cell>
        </row>
        <row r="7766">
          <cell r="B7766" t="str">
            <v>Fire Extinguisher</v>
          </cell>
          <cell r="D7766" t="str">
            <v xml:space="preserve">Oum Al-Fadel Elementary School Girls                    </v>
          </cell>
          <cell r="H7766" t="str">
            <v>AA</v>
          </cell>
        </row>
        <row r="7767">
          <cell r="B7767" t="str">
            <v>Fire Extinguisher</v>
          </cell>
          <cell r="D7767" t="str">
            <v xml:space="preserve">Oum Al-Fadel Elementary School Girls                    </v>
          </cell>
          <cell r="H7767" t="str">
            <v>AA</v>
          </cell>
        </row>
        <row r="7768">
          <cell r="B7768" t="str">
            <v>Fire Extinguisher</v>
          </cell>
          <cell r="D7768" t="str">
            <v xml:space="preserve">Oum Al-Fadel Elementary School Girls                    </v>
          </cell>
          <cell r="H7768" t="str">
            <v>AA</v>
          </cell>
        </row>
        <row r="7769">
          <cell r="B7769" t="str">
            <v>Fire Extinguisher</v>
          </cell>
          <cell r="D7769" t="str">
            <v xml:space="preserve">Oum Al-Fadel Elementary School Girls                    </v>
          </cell>
          <cell r="H7769" t="str">
            <v>AA</v>
          </cell>
        </row>
        <row r="7770">
          <cell r="B7770" t="str">
            <v>Fire Extinguisher</v>
          </cell>
          <cell r="D7770" t="str">
            <v xml:space="preserve">Oum Al-Fadel Elementary School Girls                    </v>
          </cell>
          <cell r="H7770" t="str">
            <v>AA</v>
          </cell>
        </row>
        <row r="7771">
          <cell r="B7771" t="str">
            <v>Fire Extinguisher</v>
          </cell>
          <cell r="D7771" t="str">
            <v xml:space="preserve">Oum Al-Fadel Elementary School Girls                    </v>
          </cell>
          <cell r="H7771" t="str">
            <v>AA</v>
          </cell>
        </row>
        <row r="7772">
          <cell r="B7772" t="str">
            <v>Fire Hose Reel</v>
          </cell>
          <cell r="D7772" t="str">
            <v xml:space="preserve">Oum Al-Fadel Elementary School Girls                    </v>
          </cell>
          <cell r="H7772" t="str">
            <v>AA</v>
          </cell>
        </row>
        <row r="7773">
          <cell r="B7773" t="str">
            <v>Fire Hose Reel</v>
          </cell>
          <cell r="D7773" t="str">
            <v xml:space="preserve">Oum Al-Fadel Elementary School Girls                    </v>
          </cell>
          <cell r="H7773" t="str">
            <v>AA</v>
          </cell>
        </row>
        <row r="7774">
          <cell r="B7774" t="str">
            <v>Fire Hose Reel</v>
          </cell>
          <cell r="D7774" t="str">
            <v xml:space="preserve">Oum Al-Fadel Elementary School Girls                    </v>
          </cell>
          <cell r="H7774" t="str">
            <v>AA</v>
          </cell>
        </row>
        <row r="7775">
          <cell r="B7775" t="str">
            <v>Fire Hose Reel</v>
          </cell>
          <cell r="D7775" t="str">
            <v xml:space="preserve">Oum Al-Fadel Elementary School Girls                    </v>
          </cell>
          <cell r="H7775" t="str">
            <v>AA</v>
          </cell>
        </row>
        <row r="7776">
          <cell r="B7776" t="str">
            <v>Fire Hose Reel</v>
          </cell>
          <cell r="D7776" t="str">
            <v xml:space="preserve">Oum Al-Fadel Elementary School Girls                    </v>
          </cell>
          <cell r="H7776" t="str">
            <v>AA</v>
          </cell>
        </row>
        <row r="7777">
          <cell r="B7777" t="str">
            <v>Fire Hose Reel</v>
          </cell>
          <cell r="D7777" t="str">
            <v xml:space="preserve">Oum Al-Fadel Elementary School Girls                    </v>
          </cell>
          <cell r="H7777" t="str">
            <v>AA</v>
          </cell>
        </row>
        <row r="7778">
          <cell r="B7778" t="str">
            <v>Fire Hose Reel</v>
          </cell>
          <cell r="D7778" t="str">
            <v xml:space="preserve">Oum Al-Fadel Elementary School Girls                    </v>
          </cell>
          <cell r="H7778" t="str">
            <v>AA</v>
          </cell>
        </row>
        <row r="7779">
          <cell r="B7779" t="str">
            <v>Fire Hose Reel</v>
          </cell>
          <cell r="D7779" t="str">
            <v xml:space="preserve">Oum Al-Fadel Elementary School Girls                    </v>
          </cell>
          <cell r="H7779" t="str">
            <v>AA</v>
          </cell>
        </row>
        <row r="7780">
          <cell r="B7780" t="str">
            <v>FIRE PUMP - Diesel</v>
          </cell>
          <cell r="D7780" t="str">
            <v xml:space="preserve">Oum Al-Fadel Elementary School Girls                    </v>
          </cell>
          <cell r="H7780" t="str">
            <v>AA</v>
          </cell>
        </row>
        <row r="7781">
          <cell r="B7781" t="str">
            <v>FIRE PUMP - Electric</v>
          </cell>
          <cell r="D7781" t="str">
            <v xml:space="preserve">Oum Al-Fadel Elementary School Girls                    </v>
          </cell>
          <cell r="H7781" t="str">
            <v>AA</v>
          </cell>
        </row>
        <row r="7782">
          <cell r="B7782" t="str">
            <v>Fire Smoke / Heat Detector, Sounder</v>
          </cell>
          <cell r="D7782" t="str">
            <v xml:space="preserve">Oum Al-Fadel Elementary School Girls                    </v>
          </cell>
          <cell r="H7782" t="str">
            <v>AA</v>
          </cell>
        </row>
        <row r="7783">
          <cell r="B7783" t="str">
            <v>Fire Smoke / Heat Detector, Sounder</v>
          </cell>
          <cell r="D7783" t="str">
            <v xml:space="preserve">Oum Al-Fadel Elementary School Girls                    </v>
          </cell>
          <cell r="H7783" t="str">
            <v>AA</v>
          </cell>
        </row>
        <row r="7784">
          <cell r="B7784" t="str">
            <v>Fire Smoke / Heat Detector, Sounder</v>
          </cell>
          <cell r="D7784" t="str">
            <v xml:space="preserve">Oum Al-Fadel Elementary School Girls                    </v>
          </cell>
          <cell r="H7784" t="str">
            <v>AA</v>
          </cell>
        </row>
        <row r="7785">
          <cell r="B7785" t="str">
            <v>Fire Smoke / Heat Detector, Sounder</v>
          </cell>
          <cell r="D7785" t="str">
            <v xml:space="preserve">Oum Al-Fadel Elementary School Girls                    </v>
          </cell>
          <cell r="H7785" t="str">
            <v>AA</v>
          </cell>
        </row>
        <row r="7786">
          <cell r="B7786" t="str">
            <v>Fire Smoke / Heat Detector, Sounder</v>
          </cell>
          <cell r="D7786" t="str">
            <v xml:space="preserve">Oum Al-Fadel Elementary School Girls                    </v>
          </cell>
          <cell r="H7786" t="str">
            <v>AA</v>
          </cell>
        </row>
        <row r="7787">
          <cell r="B7787" t="str">
            <v>Fire Smoke / Heat Detector, Sounder</v>
          </cell>
          <cell r="D7787" t="str">
            <v xml:space="preserve">Oum Al-Fadel Elementary School Girls                    </v>
          </cell>
          <cell r="H7787" t="str">
            <v>AA</v>
          </cell>
        </row>
        <row r="7788">
          <cell r="B7788" t="str">
            <v>Fire Smoke / Heat Detector, Sounder</v>
          </cell>
          <cell r="D7788" t="str">
            <v xml:space="preserve">Oum Al-Fadel Elementary School Girls                    </v>
          </cell>
          <cell r="H7788" t="str">
            <v>AA</v>
          </cell>
        </row>
        <row r="7789">
          <cell r="B7789" t="str">
            <v>Fire Smoke / Heat Detector, Sounder</v>
          </cell>
          <cell r="D7789" t="str">
            <v xml:space="preserve">Oum Al-Fadel Elementary School Girls                    </v>
          </cell>
          <cell r="H7789" t="str">
            <v>AA</v>
          </cell>
        </row>
        <row r="7790">
          <cell r="B7790" t="str">
            <v>Fire Alarm Panel</v>
          </cell>
          <cell r="D7790" t="str">
            <v>Qatr Al Nada Secondary School</v>
          </cell>
          <cell r="H7790" t="str">
            <v>WR</v>
          </cell>
        </row>
        <row r="7791">
          <cell r="B7791" t="str">
            <v>Fire Alarm Panel</v>
          </cell>
          <cell r="D7791" t="str">
            <v>Qatr Al Nada Secondary School</v>
          </cell>
          <cell r="H7791" t="str">
            <v>WR</v>
          </cell>
        </row>
        <row r="7792">
          <cell r="B7792" t="str">
            <v>Fire Extinguisher - Dry</v>
          </cell>
          <cell r="D7792" t="str">
            <v>Qatr Al Nada Secondary School</v>
          </cell>
          <cell r="H7792" t="str">
            <v>WR</v>
          </cell>
        </row>
        <row r="7793">
          <cell r="B7793" t="str">
            <v>Fire Extinguisher - Dry</v>
          </cell>
          <cell r="D7793" t="str">
            <v>Qatr Al Nada Secondary School</v>
          </cell>
          <cell r="H7793" t="str">
            <v>WR</v>
          </cell>
        </row>
        <row r="7794">
          <cell r="B7794" t="str">
            <v>Fire Extinguisher - Dry</v>
          </cell>
          <cell r="D7794" t="str">
            <v>Qatr Al Nada Secondary School</v>
          </cell>
          <cell r="H7794" t="str">
            <v>WR</v>
          </cell>
        </row>
        <row r="7795">
          <cell r="B7795" t="str">
            <v>Fire Extinguisher - Dry</v>
          </cell>
          <cell r="D7795" t="str">
            <v>Qatr Al Nada Secondary School</v>
          </cell>
          <cell r="H7795" t="str">
            <v>WR</v>
          </cell>
        </row>
        <row r="7796">
          <cell r="B7796" t="str">
            <v>Fire Extinguisher - Dry</v>
          </cell>
          <cell r="D7796" t="str">
            <v>Qatr Al Nada Secondary School</v>
          </cell>
          <cell r="H7796" t="str">
            <v>WR</v>
          </cell>
        </row>
        <row r="7797">
          <cell r="B7797" t="str">
            <v>Fire Extinguisher - Dry</v>
          </cell>
          <cell r="D7797" t="str">
            <v>Qatr Al Nada Secondary School</v>
          </cell>
          <cell r="H7797" t="str">
            <v>WR</v>
          </cell>
        </row>
        <row r="7798">
          <cell r="B7798" t="str">
            <v>Fire Extinguisher - Dry</v>
          </cell>
          <cell r="D7798" t="str">
            <v>Qatr Al Nada Secondary School</v>
          </cell>
          <cell r="H7798" t="str">
            <v>WR</v>
          </cell>
        </row>
        <row r="7799">
          <cell r="B7799" t="str">
            <v>Fire Extinguisher - Dry</v>
          </cell>
          <cell r="D7799" t="str">
            <v>Qatr Al Nada Secondary School</v>
          </cell>
          <cell r="H7799" t="str">
            <v>WR</v>
          </cell>
        </row>
        <row r="7800">
          <cell r="B7800" t="str">
            <v>Fire Extinguisher - Dry</v>
          </cell>
          <cell r="D7800" t="str">
            <v>Qatr Al Nada Secondary School</v>
          </cell>
          <cell r="H7800" t="str">
            <v>WR</v>
          </cell>
        </row>
        <row r="7801">
          <cell r="B7801" t="str">
            <v>Fire Extinguisher - Dry</v>
          </cell>
          <cell r="D7801" t="str">
            <v>Qatr Al Nada Secondary School</v>
          </cell>
          <cell r="H7801" t="str">
            <v>WR</v>
          </cell>
        </row>
        <row r="7802">
          <cell r="B7802" t="str">
            <v>Fire Extinguisher - Dry</v>
          </cell>
          <cell r="D7802" t="str">
            <v>Qatr Al Nada Secondary School</v>
          </cell>
          <cell r="H7802" t="str">
            <v>WR</v>
          </cell>
        </row>
        <row r="7803">
          <cell r="B7803" t="str">
            <v>Fire Extinguisher - Dry</v>
          </cell>
          <cell r="D7803" t="str">
            <v>Qatr Al Nada Secondary School</v>
          </cell>
          <cell r="H7803" t="str">
            <v>WR</v>
          </cell>
        </row>
        <row r="7804">
          <cell r="B7804" t="str">
            <v>Fire Extinguisher - Dry</v>
          </cell>
          <cell r="D7804" t="str">
            <v>Qatr Al Nada Secondary School</v>
          </cell>
          <cell r="H7804" t="str">
            <v>WR</v>
          </cell>
        </row>
        <row r="7805">
          <cell r="B7805" t="str">
            <v>Fire Extinguisher - Dry</v>
          </cell>
          <cell r="D7805" t="str">
            <v>Qatr Al Nada Secondary School</v>
          </cell>
          <cell r="H7805" t="str">
            <v>WR</v>
          </cell>
        </row>
        <row r="7806">
          <cell r="B7806" t="str">
            <v>Fire Extinguisher - Dry</v>
          </cell>
          <cell r="D7806" t="str">
            <v>Qatr Al Nada Secondary School</v>
          </cell>
          <cell r="H7806" t="str">
            <v>WR</v>
          </cell>
        </row>
        <row r="7807">
          <cell r="B7807" t="str">
            <v>Fire Extinguisher - Dry</v>
          </cell>
          <cell r="D7807" t="str">
            <v>Qatr Al Nada Secondary School</v>
          </cell>
          <cell r="H7807" t="str">
            <v>WR</v>
          </cell>
        </row>
        <row r="7808">
          <cell r="B7808" t="str">
            <v>Fire Extinguisher - Dry</v>
          </cell>
          <cell r="D7808" t="str">
            <v>Qatr Al Nada Secondary School</v>
          </cell>
          <cell r="H7808" t="str">
            <v>WR</v>
          </cell>
        </row>
        <row r="7809">
          <cell r="B7809" t="str">
            <v>Fire Extinguisher - Dry</v>
          </cell>
          <cell r="D7809" t="str">
            <v>Qatr Al Nada Secondary School</v>
          </cell>
          <cell r="H7809" t="str">
            <v>WR</v>
          </cell>
        </row>
        <row r="7810">
          <cell r="B7810" t="str">
            <v>Fire Extinguisher - Dry</v>
          </cell>
          <cell r="D7810" t="str">
            <v>Qatr Al Nada Secondary School</v>
          </cell>
          <cell r="H7810" t="str">
            <v>WR</v>
          </cell>
        </row>
        <row r="7811">
          <cell r="B7811" t="str">
            <v>Fire Extinguisher - Dry</v>
          </cell>
          <cell r="D7811" t="str">
            <v>Qatr Al Nada Secondary School</v>
          </cell>
          <cell r="H7811" t="str">
            <v>WR</v>
          </cell>
        </row>
        <row r="7812">
          <cell r="B7812" t="str">
            <v>Fire Extinguisher - Dry</v>
          </cell>
          <cell r="D7812" t="str">
            <v>Qatr Al Nada Secondary School</v>
          </cell>
          <cell r="H7812" t="str">
            <v>WR</v>
          </cell>
        </row>
        <row r="7813">
          <cell r="B7813" t="str">
            <v>FIRE HOSE REEL</v>
          </cell>
          <cell r="D7813" t="str">
            <v>Qatr Al Nada Secondary School</v>
          </cell>
          <cell r="H7813" t="str">
            <v>WR</v>
          </cell>
        </row>
        <row r="7814">
          <cell r="B7814" t="str">
            <v>FIRE HOSE REEL</v>
          </cell>
          <cell r="D7814" t="str">
            <v>Qatr Al Nada Secondary School</v>
          </cell>
          <cell r="H7814" t="str">
            <v>WR</v>
          </cell>
        </row>
        <row r="7815">
          <cell r="B7815" t="str">
            <v>FIRE HOSE REEL</v>
          </cell>
          <cell r="D7815" t="str">
            <v>Qatr Al Nada Secondary School</v>
          </cell>
          <cell r="H7815" t="str">
            <v>WR</v>
          </cell>
        </row>
        <row r="7816">
          <cell r="B7816" t="str">
            <v>FIRE HOSE REEL</v>
          </cell>
          <cell r="D7816" t="str">
            <v>Qatr Al Nada Secondary School</v>
          </cell>
          <cell r="H7816" t="str">
            <v>WR</v>
          </cell>
        </row>
        <row r="7817">
          <cell r="B7817" t="str">
            <v>FIRE HOSE REEL</v>
          </cell>
          <cell r="D7817" t="str">
            <v>Qatr Al Nada Secondary School</v>
          </cell>
          <cell r="H7817" t="str">
            <v>WR</v>
          </cell>
        </row>
        <row r="7818">
          <cell r="B7818" t="str">
            <v>FIRE HOSE REEL</v>
          </cell>
          <cell r="D7818" t="str">
            <v>Qatr Al Nada Secondary School</v>
          </cell>
          <cell r="H7818" t="str">
            <v>WR</v>
          </cell>
        </row>
        <row r="7819">
          <cell r="B7819" t="str">
            <v>FIRE HOSE REEL</v>
          </cell>
          <cell r="D7819" t="str">
            <v>Qatr Al Nada Secondary School</v>
          </cell>
          <cell r="H7819" t="str">
            <v>WR</v>
          </cell>
        </row>
        <row r="7820">
          <cell r="B7820" t="str">
            <v>FIRE HOSE REEL</v>
          </cell>
          <cell r="D7820" t="str">
            <v>Qatr Al Nada Secondary School</v>
          </cell>
          <cell r="H7820" t="str">
            <v>WR</v>
          </cell>
        </row>
        <row r="7821">
          <cell r="B7821" t="str">
            <v>FIRE HOSE REEL</v>
          </cell>
          <cell r="D7821" t="str">
            <v>Qatr Al Nada Secondary School</v>
          </cell>
          <cell r="H7821" t="str">
            <v>WR</v>
          </cell>
        </row>
        <row r="7822">
          <cell r="B7822" t="str">
            <v>FIRE HOSE REEL</v>
          </cell>
          <cell r="D7822" t="str">
            <v>Qatr Al Nada Secondary School</v>
          </cell>
          <cell r="H7822" t="str">
            <v>WR</v>
          </cell>
        </row>
        <row r="7823">
          <cell r="B7823" t="str">
            <v>FIRE HOSE REEL</v>
          </cell>
          <cell r="D7823" t="str">
            <v>Qatr Al Nada Secondary School</v>
          </cell>
          <cell r="H7823" t="str">
            <v>WR</v>
          </cell>
        </row>
        <row r="7824">
          <cell r="B7824" t="str">
            <v>FIRE HOSE REEL</v>
          </cell>
          <cell r="D7824" t="str">
            <v>Qatr Al Nada Secondary School</v>
          </cell>
          <cell r="H7824" t="str">
            <v>WR</v>
          </cell>
        </row>
        <row r="7825">
          <cell r="B7825" t="str">
            <v>FIRE HOSE REEL</v>
          </cell>
          <cell r="D7825" t="str">
            <v>Qatr Al Nada Secondary School</v>
          </cell>
          <cell r="H7825" t="str">
            <v>WR</v>
          </cell>
        </row>
        <row r="7826">
          <cell r="B7826" t="str">
            <v>FIRE HOSE REEL</v>
          </cell>
          <cell r="D7826" t="str">
            <v>Qatr Al Nada Secondary School</v>
          </cell>
          <cell r="H7826" t="str">
            <v>WR</v>
          </cell>
        </row>
        <row r="7827">
          <cell r="B7827" t="str">
            <v>FIRE HOSE REEL</v>
          </cell>
          <cell r="D7827" t="str">
            <v>Qatr Al Nada Secondary School</v>
          </cell>
          <cell r="H7827" t="str">
            <v>WR</v>
          </cell>
        </row>
        <row r="7828">
          <cell r="B7828" t="str">
            <v>FIRE HOSE REEL</v>
          </cell>
          <cell r="D7828" t="str">
            <v>Qatr Al Nada Secondary School</v>
          </cell>
          <cell r="H7828" t="str">
            <v>WR</v>
          </cell>
        </row>
        <row r="7829">
          <cell r="B7829" t="str">
            <v>FIRE HOSE REEL</v>
          </cell>
          <cell r="D7829" t="str">
            <v>Qatr Al Nada Secondary School</v>
          </cell>
          <cell r="H7829" t="str">
            <v>WR</v>
          </cell>
        </row>
        <row r="7830">
          <cell r="B7830" t="str">
            <v>FIRE HOSE REEL</v>
          </cell>
          <cell r="D7830" t="str">
            <v>Qatr Al Nada Secondary School</v>
          </cell>
          <cell r="H7830" t="str">
            <v>WR</v>
          </cell>
        </row>
        <row r="7831">
          <cell r="B7831" t="str">
            <v>FIRE HOSE REEL</v>
          </cell>
          <cell r="D7831" t="str">
            <v>Qatr Al Nada Secondary School</v>
          </cell>
          <cell r="H7831" t="str">
            <v>WR</v>
          </cell>
        </row>
        <row r="7832">
          <cell r="B7832" t="str">
            <v>FIRE HOSE REEL</v>
          </cell>
          <cell r="D7832" t="str">
            <v>Qatr Al Nada Secondary School</v>
          </cell>
          <cell r="H7832" t="str">
            <v>WR</v>
          </cell>
        </row>
        <row r="7833">
          <cell r="B7833" t="str">
            <v>FIRE HOSE REEL</v>
          </cell>
          <cell r="D7833" t="str">
            <v>Qatr Al Nada Secondary School</v>
          </cell>
          <cell r="H7833" t="str">
            <v>WR</v>
          </cell>
        </row>
        <row r="7834">
          <cell r="B7834" t="str">
            <v>FIRE HOSE REEL</v>
          </cell>
          <cell r="D7834" t="str">
            <v>Qatr Al Nada Secondary School</v>
          </cell>
          <cell r="H7834" t="str">
            <v>WR</v>
          </cell>
        </row>
        <row r="7835">
          <cell r="B7835" t="str">
            <v>FIRE HOSE REEL</v>
          </cell>
          <cell r="D7835" t="str">
            <v>Qatr Al Nada Secondary School</v>
          </cell>
          <cell r="H7835" t="str">
            <v>WR</v>
          </cell>
        </row>
        <row r="7836">
          <cell r="B7836" t="str">
            <v>FIRE HOSE REEL</v>
          </cell>
          <cell r="D7836" t="str">
            <v>Qatr Al Nada Secondary School</v>
          </cell>
          <cell r="H7836" t="str">
            <v>WR</v>
          </cell>
        </row>
        <row r="7837">
          <cell r="B7837" t="str">
            <v>FIRE HOSE REEL</v>
          </cell>
          <cell r="D7837" t="str">
            <v>Qatr Al Nada Secondary School</v>
          </cell>
          <cell r="H7837" t="str">
            <v>WR</v>
          </cell>
        </row>
        <row r="7838">
          <cell r="B7838" t="str">
            <v>FIRE HOSE REEL</v>
          </cell>
          <cell r="D7838" t="str">
            <v>Qatr Al Nada Secondary School</v>
          </cell>
          <cell r="H7838" t="str">
            <v>WR</v>
          </cell>
        </row>
        <row r="7839">
          <cell r="B7839" t="str">
            <v>FIRE HOSE REEL</v>
          </cell>
          <cell r="D7839" t="str">
            <v>Qatr Al Nada Secondary School</v>
          </cell>
          <cell r="H7839" t="str">
            <v>WR</v>
          </cell>
        </row>
        <row r="7840">
          <cell r="B7840" t="str">
            <v>FIRE HOSE REEL</v>
          </cell>
          <cell r="D7840" t="str">
            <v>Qatr Al Nada Secondary School</v>
          </cell>
          <cell r="H7840" t="str">
            <v>WR</v>
          </cell>
        </row>
        <row r="7841">
          <cell r="B7841" t="str">
            <v>FIRE HOSE REEL</v>
          </cell>
          <cell r="D7841" t="str">
            <v>Qatr Al Nada Secondary School</v>
          </cell>
          <cell r="H7841" t="str">
            <v>WR</v>
          </cell>
        </row>
        <row r="7842">
          <cell r="B7842" t="str">
            <v>FIRE HOSE REEL</v>
          </cell>
          <cell r="D7842" t="str">
            <v>Qatr Al Nada Secondary School</v>
          </cell>
          <cell r="H7842" t="str">
            <v>WR</v>
          </cell>
        </row>
        <row r="7843">
          <cell r="B7843" t="str">
            <v>FIRE HOSE REEL</v>
          </cell>
          <cell r="D7843" t="str">
            <v>Qatr Al Nada Secondary School</v>
          </cell>
          <cell r="H7843" t="str">
            <v>WR</v>
          </cell>
        </row>
        <row r="7844">
          <cell r="B7844" t="str">
            <v>FIRE HOSE REEL</v>
          </cell>
          <cell r="D7844" t="str">
            <v>Qatr Al Nada Secondary School</v>
          </cell>
          <cell r="H7844" t="str">
            <v>WR</v>
          </cell>
        </row>
        <row r="7845">
          <cell r="B7845" t="str">
            <v>FIRE HOSE REEL</v>
          </cell>
          <cell r="D7845" t="str">
            <v>Qatr Al Nada Secondary School</v>
          </cell>
          <cell r="H7845" t="str">
            <v>WR</v>
          </cell>
        </row>
        <row r="7846">
          <cell r="B7846" t="str">
            <v>FIRE HOSE REEL</v>
          </cell>
          <cell r="D7846" t="str">
            <v>Qatr Al Nada Secondary School</v>
          </cell>
          <cell r="H7846" t="str">
            <v>WR</v>
          </cell>
        </row>
        <row r="7847">
          <cell r="B7847" t="str">
            <v>FIRE HOSE REEL</v>
          </cell>
          <cell r="D7847" t="str">
            <v>Qatr Al Nada Secondary School</v>
          </cell>
          <cell r="H7847" t="str">
            <v>WR</v>
          </cell>
        </row>
        <row r="7848">
          <cell r="B7848" t="str">
            <v>FIRE HOSE REEL</v>
          </cell>
          <cell r="D7848" t="str">
            <v>Qatr Al Nada Secondary School</v>
          </cell>
          <cell r="H7848" t="str">
            <v>WR</v>
          </cell>
        </row>
        <row r="7849">
          <cell r="B7849" t="str">
            <v>FIRE HOSE REEL</v>
          </cell>
          <cell r="D7849" t="str">
            <v>Qatr Al Nada Secondary School</v>
          </cell>
          <cell r="H7849" t="str">
            <v>WR</v>
          </cell>
        </row>
        <row r="7850">
          <cell r="B7850" t="str">
            <v>FIRE PUMP - Diesel</v>
          </cell>
          <cell r="D7850" t="str">
            <v>Qatr Al Nada Secondary School</v>
          </cell>
          <cell r="H7850" t="str">
            <v>WR</v>
          </cell>
        </row>
        <row r="7851">
          <cell r="B7851" t="str">
            <v>FIRE PUMP - Electric</v>
          </cell>
          <cell r="D7851" t="str">
            <v>Qatr Al Nada Secondary School</v>
          </cell>
          <cell r="H7851" t="str">
            <v>WR</v>
          </cell>
        </row>
        <row r="7852">
          <cell r="B7852" t="str">
            <v>Water Tank</v>
          </cell>
          <cell r="D7852" t="str">
            <v>Qatr Al Nada Secondary School</v>
          </cell>
          <cell r="H7852" t="str">
            <v>WR</v>
          </cell>
        </row>
        <row r="7853">
          <cell r="B7853" t="str">
            <v>Water Tank</v>
          </cell>
          <cell r="D7853" t="str">
            <v>Qatr Al Nada Secondary School</v>
          </cell>
          <cell r="H7853" t="str">
            <v>WR</v>
          </cell>
        </row>
        <row r="7854">
          <cell r="B7854" t="str">
            <v>Fire Alarm Bell</v>
          </cell>
          <cell r="D7854" t="str">
            <v>Secret Print</v>
          </cell>
          <cell r="H7854" t="str">
            <v>AD</v>
          </cell>
        </row>
        <row r="7855">
          <cell r="B7855" t="str">
            <v>Fire Alarm Bell</v>
          </cell>
          <cell r="D7855" t="str">
            <v>Secret Print</v>
          </cell>
          <cell r="H7855" t="str">
            <v>AD</v>
          </cell>
        </row>
        <row r="7856">
          <cell r="B7856" t="str">
            <v>Fire Alarm Bell</v>
          </cell>
          <cell r="D7856" t="str">
            <v>Secret Print</v>
          </cell>
          <cell r="H7856" t="str">
            <v>AD</v>
          </cell>
        </row>
        <row r="7857">
          <cell r="B7857" t="str">
            <v>Fire Alarm Control Panel Board</v>
          </cell>
          <cell r="D7857" t="str">
            <v>Secret Print</v>
          </cell>
          <cell r="H7857" t="str">
            <v>AD</v>
          </cell>
        </row>
        <row r="7858">
          <cell r="B7858" t="str">
            <v>Fire Extinguisher</v>
          </cell>
          <cell r="D7858" t="str">
            <v>Secret Print</v>
          </cell>
          <cell r="H7858" t="str">
            <v>AD</v>
          </cell>
        </row>
        <row r="7859">
          <cell r="B7859" t="str">
            <v>Fire Extinguisher</v>
          </cell>
          <cell r="D7859" t="str">
            <v>Secret Print</v>
          </cell>
          <cell r="H7859" t="str">
            <v>AD</v>
          </cell>
        </row>
        <row r="7860">
          <cell r="B7860" t="str">
            <v>Fire Extinguisher</v>
          </cell>
          <cell r="D7860" t="str">
            <v>Secret Print</v>
          </cell>
          <cell r="H7860" t="str">
            <v>AD</v>
          </cell>
        </row>
        <row r="7861">
          <cell r="B7861" t="str">
            <v>Fire Extinguisher</v>
          </cell>
          <cell r="D7861" t="str">
            <v>Secret Print</v>
          </cell>
          <cell r="H7861" t="str">
            <v>AD</v>
          </cell>
        </row>
        <row r="7862">
          <cell r="B7862" t="str">
            <v>Fire Extinguisher</v>
          </cell>
          <cell r="D7862" t="str">
            <v>Secret Print</v>
          </cell>
          <cell r="H7862" t="str">
            <v>AD</v>
          </cell>
        </row>
        <row r="7863">
          <cell r="B7863" t="str">
            <v>Fire Extinguisher</v>
          </cell>
          <cell r="D7863" t="str">
            <v>Secret Print</v>
          </cell>
          <cell r="H7863" t="str">
            <v>AD</v>
          </cell>
        </row>
        <row r="7864">
          <cell r="B7864" t="str">
            <v>Fire Extinguisher</v>
          </cell>
          <cell r="D7864" t="str">
            <v>Secret Print</v>
          </cell>
          <cell r="H7864" t="str">
            <v>AD</v>
          </cell>
        </row>
        <row r="7865">
          <cell r="B7865" t="str">
            <v>Fire Extinguisher</v>
          </cell>
          <cell r="D7865" t="str">
            <v>Secret Print</v>
          </cell>
          <cell r="H7865" t="str">
            <v>AD</v>
          </cell>
        </row>
        <row r="7866">
          <cell r="B7866" t="str">
            <v>Fire Extinguisher</v>
          </cell>
          <cell r="D7866" t="str">
            <v>Secret Print</v>
          </cell>
          <cell r="H7866" t="str">
            <v>AD</v>
          </cell>
        </row>
        <row r="7867">
          <cell r="B7867" t="str">
            <v>Fire Extinguisher</v>
          </cell>
          <cell r="D7867" t="str">
            <v>Secret Print</v>
          </cell>
          <cell r="H7867" t="str">
            <v>AD</v>
          </cell>
        </row>
        <row r="7868">
          <cell r="B7868" t="str">
            <v>Fire Extinguisher</v>
          </cell>
          <cell r="D7868" t="str">
            <v>Secret Print</v>
          </cell>
          <cell r="H7868" t="str">
            <v>AD</v>
          </cell>
        </row>
        <row r="7869">
          <cell r="B7869" t="str">
            <v>Fire Extinguisher</v>
          </cell>
          <cell r="D7869" t="str">
            <v>Secret Print</v>
          </cell>
          <cell r="H7869" t="str">
            <v>AD</v>
          </cell>
        </row>
        <row r="7870">
          <cell r="B7870" t="str">
            <v>Fire Extinguisher</v>
          </cell>
          <cell r="D7870" t="str">
            <v>Secret Print</v>
          </cell>
          <cell r="H7870" t="str">
            <v>AD</v>
          </cell>
        </row>
        <row r="7871">
          <cell r="B7871" t="str">
            <v>Fire Extinguisher Cabinet</v>
          </cell>
          <cell r="D7871" t="str">
            <v>Secret Print</v>
          </cell>
          <cell r="H7871" t="str">
            <v>AD</v>
          </cell>
        </row>
        <row r="7872">
          <cell r="B7872" t="str">
            <v>Fire Extinguisher Cabinet</v>
          </cell>
          <cell r="D7872" t="str">
            <v>Secret Print</v>
          </cell>
          <cell r="H7872" t="str">
            <v>AD</v>
          </cell>
        </row>
        <row r="7873">
          <cell r="B7873" t="str">
            <v>Fire Extinguisher Cabinet</v>
          </cell>
          <cell r="D7873" t="str">
            <v>Secret Print</v>
          </cell>
          <cell r="H7873" t="str">
            <v>AD</v>
          </cell>
        </row>
        <row r="7874">
          <cell r="B7874" t="str">
            <v>Fire Extinguisher Cabinet</v>
          </cell>
          <cell r="D7874" t="str">
            <v>Secret Print</v>
          </cell>
          <cell r="H7874" t="str">
            <v>AD</v>
          </cell>
        </row>
        <row r="7875">
          <cell r="B7875" t="str">
            <v>Fire Hose Reel</v>
          </cell>
          <cell r="D7875" t="str">
            <v>Secret Print</v>
          </cell>
          <cell r="H7875" t="str">
            <v>AD</v>
          </cell>
        </row>
        <row r="7876">
          <cell r="B7876" t="str">
            <v>Fire Hose Reel</v>
          </cell>
          <cell r="D7876" t="str">
            <v>Secret Print</v>
          </cell>
          <cell r="H7876" t="str">
            <v>AD</v>
          </cell>
        </row>
        <row r="7877">
          <cell r="B7877" t="str">
            <v>Fire Hose Reel Cabinet</v>
          </cell>
          <cell r="D7877" t="str">
            <v>Secret Print</v>
          </cell>
          <cell r="H7877" t="str">
            <v>AD</v>
          </cell>
        </row>
        <row r="7878">
          <cell r="B7878" t="str">
            <v>Fire Hose Reel Cabinet</v>
          </cell>
          <cell r="D7878" t="str">
            <v>Secret Print</v>
          </cell>
          <cell r="H7878" t="str">
            <v>AD</v>
          </cell>
        </row>
        <row r="7879">
          <cell r="B7879" t="str">
            <v>Smoke Detector &amp; Heat Detector</v>
          </cell>
          <cell r="D7879" t="str">
            <v>Secret Print</v>
          </cell>
          <cell r="H7879" t="str">
            <v>AD</v>
          </cell>
        </row>
        <row r="7880">
          <cell r="B7880" t="str">
            <v>Smoke Detector &amp; Heat Detector</v>
          </cell>
          <cell r="D7880" t="str">
            <v>Secret Print</v>
          </cell>
          <cell r="H7880" t="str">
            <v>AD</v>
          </cell>
        </row>
        <row r="7881">
          <cell r="B7881" t="str">
            <v>Smoke Detector &amp; Heat Detector</v>
          </cell>
          <cell r="D7881" t="str">
            <v>Secret Print</v>
          </cell>
          <cell r="H7881" t="str">
            <v>AD</v>
          </cell>
        </row>
        <row r="7882">
          <cell r="B7882" t="str">
            <v>Smoke Detector &amp; Heat Detector</v>
          </cell>
          <cell r="D7882" t="str">
            <v>Secret Print</v>
          </cell>
          <cell r="H7882" t="str">
            <v>AD</v>
          </cell>
        </row>
        <row r="7883">
          <cell r="B7883" t="str">
            <v>Smoke Detector &amp; Heat Detector</v>
          </cell>
          <cell r="D7883" t="str">
            <v>Secret Print</v>
          </cell>
          <cell r="H7883" t="str">
            <v>AD</v>
          </cell>
        </row>
        <row r="7884">
          <cell r="B7884" t="str">
            <v>Smoke Detector &amp; Heat Detector</v>
          </cell>
          <cell r="D7884" t="str">
            <v>Secret Print</v>
          </cell>
          <cell r="H7884" t="str">
            <v>AD</v>
          </cell>
        </row>
        <row r="7885">
          <cell r="B7885" t="str">
            <v>Smoke Detector &amp; Heat Detector</v>
          </cell>
          <cell r="D7885" t="str">
            <v>Secret Print</v>
          </cell>
          <cell r="H7885" t="str">
            <v>AD</v>
          </cell>
        </row>
        <row r="7886">
          <cell r="B7886" t="str">
            <v>Smoke Detector &amp; Heat Detector</v>
          </cell>
          <cell r="D7886" t="str">
            <v>Secret Print</v>
          </cell>
          <cell r="H7886" t="str">
            <v>AD</v>
          </cell>
        </row>
        <row r="7887">
          <cell r="B7887" t="str">
            <v>Smoke Detector &amp; Heat Detector</v>
          </cell>
          <cell r="D7887" t="str">
            <v>Secret Print</v>
          </cell>
          <cell r="H7887" t="str">
            <v>AD</v>
          </cell>
        </row>
        <row r="7888">
          <cell r="B7888" t="str">
            <v>Smoke Detector &amp; Heat Detector</v>
          </cell>
          <cell r="D7888" t="str">
            <v>Secret Print</v>
          </cell>
          <cell r="H7888" t="str">
            <v>AD</v>
          </cell>
        </row>
        <row r="7889">
          <cell r="B7889" t="str">
            <v>Water Tank</v>
          </cell>
          <cell r="D7889" t="str">
            <v>Secret Print</v>
          </cell>
          <cell r="H7889" t="str">
            <v>AD</v>
          </cell>
        </row>
        <row r="7890">
          <cell r="B7890" t="str">
            <v>Water Tank</v>
          </cell>
          <cell r="D7890" t="str">
            <v>Secret Print</v>
          </cell>
          <cell r="H7890" t="str">
            <v>AD</v>
          </cell>
        </row>
        <row r="7891">
          <cell r="B7891" t="str">
            <v>Automatic Sliding Door</v>
          </cell>
          <cell r="D7891" t="str">
            <v xml:space="preserve">Shamah Bent Mohammed Elementary School                       </v>
          </cell>
          <cell r="H7891" t="str">
            <v>AA</v>
          </cell>
        </row>
        <row r="7892">
          <cell r="B7892" t="str">
            <v>Dry Riser Inlet</v>
          </cell>
          <cell r="D7892" t="str">
            <v xml:space="preserve">Shamah Bent Mohammed Elementary School                       </v>
          </cell>
          <cell r="H7892" t="str">
            <v>AA</v>
          </cell>
        </row>
        <row r="7893">
          <cell r="B7893" t="str">
            <v>Dry Riser Inlet</v>
          </cell>
          <cell r="D7893" t="str">
            <v xml:space="preserve">Shamah Bent Mohammed Elementary School                       </v>
          </cell>
          <cell r="H7893" t="str">
            <v>AA</v>
          </cell>
        </row>
        <row r="7894">
          <cell r="B7894" t="str">
            <v>Dry Riser Inlet</v>
          </cell>
          <cell r="D7894" t="str">
            <v xml:space="preserve">Shamah Bent Mohammed Elementary School                       </v>
          </cell>
          <cell r="H7894" t="str">
            <v>AA</v>
          </cell>
        </row>
        <row r="7895">
          <cell r="B7895" t="str">
            <v>Dry Riser Inlet</v>
          </cell>
          <cell r="D7895" t="str">
            <v xml:space="preserve">Shamah Bent Mohammed Elementary School                       </v>
          </cell>
          <cell r="H7895" t="str">
            <v>AA</v>
          </cell>
        </row>
        <row r="7896">
          <cell r="B7896" t="str">
            <v>Dry Riser Inlet</v>
          </cell>
          <cell r="D7896" t="str">
            <v xml:space="preserve">Shamah Bent Mohammed Elementary School                       </v>
          </cell>
          <cell r="H7896" t="str">
            <v>AA</v>
          </cell>
        </row>
        <row r="7897">
          <cell r="B7897" t="str">
            <v>Dry Riser Inlet</v>
          </cell>
          <cell r="D7897" t="str">
            <v xml:space="preserve">Shamah Bent Mohammed Elementary School                       </v>
          </cell>
          <cell r="H7897" t="str">
            <v>AA</v>
          </cell>
        </row>
        <row r="7898">
          <cell r="B7898" t="str">
            <v>Dry Riser Inlet</v>
          </cell>
          <cell r="D7898" t="str">
            <v xml:space="preserve">Shamah Bent Mohammed Elementary School                       </v>
          </cell>
          <cell r="H7898" t="str">
            <v>AA</v>
          </cell>
        </row>
        <row r="7899">
          <cell r="B7899" t="str">
            <v>Dry Riser Inlet</v>
          </cell>
          <cell r="D7899" t="str">
            <v xml:space="preserve">Shamah Bent Mohammed Elementary School                       </v>
          </cell>
          <cell r="H7899" t="str">
            <v>AA</v>
          </cell>
        </row>
        <row r="7900">
          <cell r="B7900" t="str">
            <v>Dry Riser Inlet</v>
          </cell>
          <cell r="D7900" t="str">
            <v xml:space="preserve">Shamah Bent Mohammed Elementary School                       </v>
          </cell>
          <cell r="H7900" t="str">
            <v>AA</v>
          </cell>
        </row>
        <row r="7901">
          <cell r="B7901" t="str">
            <v>Dry Riser Inlet</v>
          </cell>
          <cell r="D7901" t="str">
            <v xml:space="preserve">Shamah Bent Mohammed Elementary School                       </v>
          </cell>
          <cell r="H7901" t="str">
            <v>AA</v>
          </cell>
        </row>
        <row r="7902">
          <cell r="B7902" t="str">
            <v>Fire Alarm Bell</v>
          </cell>
          <cell r="D7902" t="str">
            <v xml:space="preserve">Shamah Bent Mohammed Elementary School                       </v>
          </cell>
          <cell r="H7902" t="str">
            <v>AA</v>
          </cell>
        </row>
        <row r="7903">
          <cell r="B7903" t="str">
            <v>Fire Alarm Bell</v>
          </cell>
          <cell r="D7903" t="str">
            <v xml:space="preserve">Shamah Bent Mohammed Elementary School                       </v>
          </cell>
          <cell r="H7903" t="str">
            <v>AA</v>
          </cell>
        </row>
        <row r="7904">
          <cell r="B7904" t="str">
            <v>Fire Alarm Bell</v>
          </cell>
          <cell r="D7904" t="str">
            <v xml:space="preserve">Shamah Bent Mohammed Elementary School                       </v>
          </cell>
          <cell r="H7904" t="str">
            <v>AA</v>
          </cell>
        </row>
        <row r="7905">
          <cell r="B7905" t="str">
            <v>Fire Alarm Bell</v>
          </cell>
          <cell r="D7905" t="str">
            <v xml:space="preserve">Shamah Bent Mohammed Elementary School                       </v>
          </cell>
          <cell r="H7905" t="str">
            <v>AA</v>
          </cell>
        </row>
        <row r="7906">
          <cell r="B7906" t="str">
            <v>Fire Alarm Control Panel Board</v>
          </cell>
          <cell r="D7906" t="str">
            <v xml:space="preserve">Shamah Bent Mohammed Elementary School                       </v>
          </cell>
          <cell r="H7906" t="str">
            <v>AA</v>
          </cell>
        </row>
        <row r="7907">
          <cell r="B7907" t="str">
            <v>Fire Alarm Control Panel Board</v>
          </cell>
          <cell r="D7907" t="str">
            <v xml:space="preserve">Shamah Bent Mohammed Elementary School                       </v>
          </cell>
          <cell r="H7907" t="str">
            <v>AA</v>
          </cell>
        </row>
        <row r="7908">
          <cell r="B7908" t="str">
            <v>Fire Blanket</v>
          </cell>
          <cell r="D7908" t="str">
            <v xml:space="preserve">Shamah Bent Mohammed Elementary School                       </v>
          </cell>
          <cell r="H7908" t="str">
            <v>AA</v>
          </cell>
        </row>
        <row r="7909">
          <cell r="B7909" t="str">
            <v>Fire Extinguisher Cabinet</v>
          </cell>
          <cell r="D7909" t="str">
            <v xml:space="preserve">Shamah Bent Mohammed Elementary School                       </v>
          </cell>
          <cell r="H7909" t="str">
            <v>AA</v>
          </cell>
        </row>
        <row r="7910">
          <cell r="B7910" t="str">
            <v>Fire Extinguisher Cabinet</v>
          </cell>
          <cell r="D7910" t="str">
            <v xml:space="preserve">Shamah Bent Mohammed Elementary School                       </v>
          </cell>
          <cell r="H7910" t="str">
            <v>AA</v>
          </cell>
        </row>
        <row r="7911">
          <cell r="B7911" t="str">
            <v>Fire Extinguisher Cabinet</v>
          </cell>
          <cell r="D7911" t="str">
            <v xml:space="preserve">Shamah Bent Mohammed Elementary School                       </v>
          </cell>
          <cell r="H7911" t="str">
            <v>AA</v>
          </cell>
        </row>
        <row r="7912">
          <cell r="B7912" t="str">
            <v>Fire Extinguisher Cabinet</v>
          </cell>
          <cell r="D7912" t="str">
            <v xml:space="preserve">Shamah Bent Mohammed Elementary School                       </v>
          </cell>
          <cell r="H7912" t="str">
            <v>AA</v>
          </cell>
        </row>
        <row r="7913">
          <cell r="B7913" t="str">
            <v>Fire Extinguisher Cabinet</v>
          </cell>
          <cell r="D7913" t="str">
            <v xml:space="preserve">Shamah Bent Mohammed Elementary School                       </v>
          </cell>
          <cell r="H7913" t="str">
            <v>AA</v>
          </cell>
        </row>
        <row r="7914">
          <cell r="B7914" t="str">
            <v>Fire Extinguisher Cabinet</v>
          </cell>
          <cell r="D7914" t="str">
            <v xml:space="preserve">Shamah Bent Mohammed Elementary School                       </v>
          </cell>
          <cell r="H7914" t="str">
            <v>AA</v>
          </cell>
        </row>
        <row r="7915">
          <cell r="B7915" t="str">
            <v>Fire Extinguisher Cabinet</v>
          </cell>
          <cell r="D7915" t="str">
            <v xml:space="preserve">Shamah Bent Mohammed Elementary School                       </v>
          </cell>
          <cell r="H7915" t="str">
            <v>AA</v>
          </cell>
        </row>
        <row r="7916">
          <cell r="B7916" t="str">
            <v>Fire Extinguisher Cabinet</v>
          </cell>
          <cell r="D7916" t="str">
            <v xml:space="preserve">Shamah Bent Mohammed Elementary School                       </v>
          </cell>
          <cell r="H7916" t="str">
            <v>AA</v>
          </cell>
        </row>
        <row r="7917">
          <cell r="B7917" t="str">
            <v>Fire Hose Cabinet</v>
          </cell>
          <cell r="D7917" t="str">
            <v xml:space="preserve">Shamah Bent Mohammed Elementary School                       </v>
          </cell>
          <cell r="H7917" t="str">
            <v>AA</v>
          </cell>
        </row>
        <row r="7918">
          <cell r="B7918" t="str">
            <v>Fire Hose Cabinet</v>
          </cell>
          <cell r="D7918" t="str">
            <v xml:space="preserve">Shamah Bent Mohammed Elementary School                       </v>
          </cell>
          <cell r="H7918" t="str">
            <v>AA</v>
          </cell>
        </row>
        <row r="7919">
          <cell r="B7919" t="str">
            <v>Fire Hose Cabinet</v>
          </cell>
          <cell r="D7919" t="str">
            <v xml:space="preserve">Shamah Bent Mohammed Elementary School                       </v>
          </cell>
          <cell r="H7919" t="str">
            <v>AA</v>
          </cell>
        </row>
        <row r="7920">
          <cell r="B7920" t="str">
            <v>Fire Hose Cabinet</v>
          </cell>
          <cell r="D7920" t="str">
            <v xml:space="preserve">Shamah Bent Mohammed Elementary School                       </v>
          </cell>
          <cell r="H7920" t="str">
            <v>AA</v>
          </cell>
        </row>
        <row r="7921">
          <cell r="B7921" t="str">
            <v>Fire Hose Cabinet</v>
          </cell>
          <cell r="D7921" t="str">
            <v xml:space="preserve">Shamah Bent Mohammed Elementary School                       </v>
          </cell>
          <cell r="H7921" t="str">
            <v>AA</v>
          </cell>
        </row>
        <row r="7922">
          <cell r="B7922" t="str">
            <v>Fire Hose Cabinet</v>
          </cell>
          <cell r="D7922" t="str">
            <v xml:space="preserve">Shamah Bent Mohammed Elementary School                       </v>
          </cell>
          <cell r="H7922" t="str">
            <v>AA</v>
          </cell>
        </row>
        <row r="7923">
          <cell r="B7923" t="str">
            <v>Fire Hose Cabinet</v>
          </cell>
          <cell r="D7923" t="str">
            <v xml:space="preserve">Shamah Bent Mohammed Elementary School                       </v>
          </cell>
          <cell r="H7923" t="str">
            <v>AA</v>
          </cell>
        </row>
        <row r="7924">
          <cell r="B7924" t="str">
            <v>Fire Hose Cabinet</v>
          </cell>
          <cell r="D7924" t="str">
            <v xml:space="preserve">Shamah Bent Mohammed Elementary School                       </v>
          </cell>
          <cell r="H7924" t="str">
            <v>AA</v>
          </cell>
        </row>
        <row r="7925">
          <cell r="B7925" t="str">
            <v>Fire Hose Cabinet</v>
          </cell>
          <cell r="D7925" t="str">
            <v xml:space="preserve">Shamah Bent Mohammed Elementary School                       </v>
          </cell>
          <cell r="H7925" t="str">
            <v>AA</v>
          </cell>
        </row>
        <row r="7926">
          <cell r="B7926" t="str">
            <v>Fire Hose Cabinet</v>
          </cell>
          <cell r="D7926" t="str">
            <v xml:space="preserve">Shamah Bent Mohammed Elementary School                       </v>
          </cell>
          <cell r="H7926" t="str">
            <v>AA</v>
          </cell>
        </row>
        <row r="7927">
          <cell r="B7927" t="str">
            <v>Fire Hose Cabinet</v>
          </cell>
          <cell r="D7927" t="str">
            <v xml:space="preserve">Shamah Bent Mohammed Elementary School                       </v>
          </cell>
          <cell r="H7927" t="str">
            <v>AA</v>
          </cell>
        </row>
        <row r="7928">
          <cell r="B7928" t="str">
            <v>Fire Hose Cabinet</v>
          </cell>
          <cell r="D7928" t="str">
            <v xml:space="preserve">Shamah Bent Mohammed Elementary School                       </v>
          </cell>
          <cell r="H7928" t="str">
            <v>AA</v>
          </cell>
        </row>
        <row r="7929">
          <cell r="B7929" t="str">
            <v>Fire Hose Cabinet</v>
          </cell>
          <cell r="D7929" t="str">
            <v xml:space="preserve">Shamah Bent Mohammed Elementary School                       </v>
          </cell>
          <cell r="H7929" t="str">
            <v>AA</v>
          </cell>
        </row>
        <row r="7930">
          <cell r="B7930" t="str">
            <v>Fire Hose Cabinet</v>
          </cell>
          <cell r="D7930" t="str">
            <v xml:space="preserve">Shamah Bent Mohammed Elementary School                       </v>
          </cell>
          <cell r="H7930" t="str">
            <v>AA</v>
          </cell>
        </row>
        <row r="7931">
          <cell r="B7931" t="str">
            <v>Fire Hose Cabinet</v>
          </cell>
          <cell r="D7931" t="str">
            <v xml:space="preserve">Shamah Bent Mohammed Elementary School                       </v>
          </cell>
          <cell r="H7931" t="str">
            <v>AA</v>
          </cell>
        </row>
        <row r="7932">
          <cell r="B7932" t="str">
            <v>Fire Hose Cabinet</v>
          </cell>
          <cell r="D7932" t="str">
            <v xml:space="preserve">Shamah Bent Mohammed Elementary School                       </v>
          </cell>
          <cell r="H7932" t="str">
            <v>AA</v>
          </cell>
        </row>
        <row r="7933">
          <cell r="B7933" t="str">
            <v>Fire Hose Cabinet</v>
          </cell>
          <cell r="D7933" t="str">
            <v xml:space="preserve">Shamah Bent Mohammed Elementary School                       </v>
          </cell>
          <cell r="H7933" t="str">
            <v>AA</v>
          </cell>
        </row>
        <row r="7934">
          <cell r="B7934" t="str">
            <v>Fire Hose Cabinet</v>
          </cell>
          <cell r="D7934" t="str">
            <v xml:space="preserve">Shamah Bent Mohammed Elementary School                       </v>
          </cell>
          <cell r="H7934" t="str">
            <v>AA</v>
          </cell>
        </row>
        <row r="7935">
          <cell r="B7935" t="str">
            <v>Fire Hose Cabinet</v>
          </cell>
          <cell r="D7935" t="str">
            <v xml:space="preserve">Shamah Bent Mohammed Elementary School                       </v>
          </cell>
          <cell r="H7935" t="str">
            <v>AA</v>
          </cell>
        </row>
        <row r="7936">
          <cell r="B7936" t="str">
            <v>Fire Hose Cabinet</v>
          </cell>
          <cell r="D7936" t="str">
            <v xml:space="preserve">Shamah Bent Mohammed Elementary School                       </v>
          </cell>
          <cell r="H7936" t="str">
            <v>AA</v>
          </cell>
        </row>
        <row r="7937">
          <cell r="B7937" t="str">
            <v>Fire Hose Cabinet</v>
          </cell>
          <cell r="D7937" t="str">
            <v xml:space="preserve">Shamah Bent Mohammed Elementary School                       </v>
          </cell>
          <cell r="H7937" t="str">
            <v>AA</v>
          </cell>
        </row>
        <row r="7938">
          <cell r="B7938" t="str">
            <v>Fire Hose Reel</v>
          </cell>
          <cell r="D7938" t="str">
            <v xml:space="preserve">Shamah Bent Mohammed Elementary School                       </v>
          </cell>
          <cell r="H7938" t="str">
            <v>AA</v>
          </cell>
        </row>
        <row r="7939">
          <cell r="B7939" t="str">
            <v>Fire Hose Reel</v>
          </cell>
          <cell r="D7939" t="str">
            <v xml:space="preserve">Shamah Bent Mohammed Elementary School                       </v>
          </cell>
          <cell r="H7939" t="str">
            <v>AA</v>
          </cell>
        </row>
        <row r="7940">
          <cell r="B7940" t="str">
            <v>Fire Hose Reel</v>
          </cell>
          <cell r="D7940" t="str">
            <v xml:space="preserve">Shamah Bent Mohammed Elementary School                       </v>
          </cell>
          <cell r="H7940" t="str">
            <v>AA</v>
          </cell>
        </row>
        <row r="7941">
          <cell r="B7941" t="str">
            <v>Fire Hose Reel</v>
          </cell>
          <cell r="D7941" t="str">
            <v xml:space="preserve">Shamah Bent Mohammed Elementary School                       </v>
          </cell>
          <cell r="H7941" t="str">
            <v>AA</v>
          </cell>
        </row>
        <row r="7942">
          <cell r="B7942" t="str">
            <v>Fire Hose Reel</v>
          </cell>
          <cell r="D7942" t="str">
            <v xml:space="preserve">Shamah Bent Mohammed Elementary School                       </v>
          </cell>
          <cell r="H7942" t="str">
            <v>AA</v>
          </cell>
        </row>
        <row r="7943">
          <cell r="B7943" t="str">
            <v>Fire Hose Reel</v>
          </cell>
          <cell r="D7943" t="str">
            <v xml:space="preserve">Shamah Bent Mohammed Elementary School                       </v>
          </cell>
          <cell r="H7943" t="str">
            <v>AA</v>
          </cell>
        </row>
        <row r="7944">
          <cell r="B7944" t="str">
            <v>Fire Hose Reel</v>
          </cell>
          <cell r="D7944" t="str">
            <v xml:space="preserve">Shamah Bent Mohammed Elementary School                       </v>
          </cell>
          <cell r="H7944" t="str">
            <v>AA</v>
          </cell>
        </row>
        <row r="7945">
          <cell r="B7945" t="str">
            <v>Fire Hose Reel</v>
          </cell>
          <cell r="D7945" t="str">
            <v xml:space="preserve">Shamah Bent Mohammed Elementary School                       </v>
          </cell>
          <cell r="H7945" t="str">
            <v>AA</v>
          </cell>
        </row>
        <row r="7946">
          <cell r="B7946" t="str">
            <v>Fire Hose Reel</v>
          </cell>
          <cell r="D7946" t="str">
            <v xml:space="preserve">Shamah Bent Mohammed Elementary School                       </v>
          </cell>
          <cell r="H7946" t="str">
            <v>AA</v>
          </cell>
        </row>
        <row r="7947">
          <cell r="B7947" t="str">
            <v>Fire Hose Reel</v>
          </cell>
          <cell r="D7947" t="str">
            <v xml:space="preserve">Shamah Bent Mohammed Elementary School                       </v>
          </cell>
          <cell r="H7947" t="str">
            <v>AA</v>
          </cell>
        </row>
        <row r="7948">
          <cell r="B7948" t="str">
            <v>Fire Hose Reel</v>
          </cell>
          <cell r="D7948" t="str">
            <v xml:space="preserve">Shamah Bent Mohammed Elementary School                       </v>
          </cell>
          <cell r="H7948" t="str">
            <v>AA</v>
          </cell>
        </row>
        <row r="7949">
          <cell r="B7949" t="str">
            <v>Fire Hose Reel</v>
          </cell>
          <cell r="D7949" t="str">
            <v xml:space="preserve">Shamah Bent Mohammed Elementary School                       </v>
          </cell>
          <cell r="H7949" t="str">
            <v>AA</v>
          </cell>
        </row>
        <row r="7950">
          <cell r="B7950" t="str">
            <v>Fire Hose Reel</v>
          </cell>
          <cell r="D7950" t="str">
            <v xml:space="preserve">Shamah Bent Mohammed Elementary School                       </v>
          </cell>
          <cell r="H7950" t="str">
            <v>AA</v>
          </cell>
        </row>
        <row r="7951">
          <cell r="B7951" t="str">
            <v>Fire Hose Reel</v>
          </cell>
          <cell r="D7951" t="str">
            <v xml:space="preserve">Shamah Bent Mohammed Elementary School                       </v>
          </cell>
          <cell r="H7951" t="str">
            <v>AA</v>
          </cell>
        </row>
        <row r="7952">
          <cell r="B7952" t="str">
            <v>Fire Hose Reel</v>
          </cell>
          <cell r="D7952" t="str">
            <v xml:space="preserve">Shamah Bent Mohammed Elementary School                       </v>
          </cell>
          <cell r="H7952" t="str">
            <v>AA</v>
          </cell>
        </row>
        <row r="7953">
          <cell r="B7953" t="str">
            <v>Fire Hose Reel</v>
          </cell>
          <cell r="D7953" t="str">
            <v xml:space="preserve">Shamah Bent Mohammed Elementary School                       </v>
          </cell>
          <cell r="H7953" t="str">
            <v>AA</v>
          </cell>
        </row>
        <row r="7954">
          <cell r="B7954" t="str">
            <v>Fire Hose Reel</v>
          </cell>
          <cell r="D7954" t="str">
            <v xml:space="preserve">Shamah Bent Mohammed Elementary School                       </v>
          </cell>
          <cell r="H7954" t="str">
            <v>AA</v>
          </cell>
        </row>
        <row r="7955">
          <cell r="B7955" t="str">
            <v>Fire Hose Reel</v>
          </cell>
          <cell r="D7955" t="str">
            <v xml:space="preserve">Shamah Bent Mohammed Elementary School                       </v>
          </cell>
          <cell r="H7955" t="str">
            <v>AA</v>
          </cell>
        </row>
        <row r="7956">
          <cell r="B7956" t="str">
            <v>Fire Hose Reel</v>
          </cell>
          <cell r="D7956" t="str">
            <v xml:space="preserve">Shamah Bent Mohammed Elementary School                       </v>
          </cell>
          <cell r="H7956" t="str">
            <v>AA</v>
          </cell>
        </row>
        <row r="7957">
          <cell r="B7957" t="str">
            <v>FIRE PUMP - Diesel</v>
          </cell>
          <cell r="D7957" t="str">
            <v xml:space="preserve">Shamah Bent Mohammed Elementary School                       </v>
          </cell>
          <cell r="H7957" t="str">
            <v>AA</v>
          </cell>
        </row>
        <row r="7958">
          <cell r="B7958" t="str">
            <v>FIRE PUMP - Electric</v>
          </cell>
          <cell r="D7958" t="str">
            <v xml:space="preserve">Shamah Bent Mohammed Elementary School                       </v>
          </cell>
          <cell r="H7958" t="str">
            <v>AA</v>
          </cell>
        </row>
        <row r="7959">
          <cell r="B7959" t="str">
            <v>Fire Pump Panel Board</v>
          </cell>
          <cell r="D7959" t="str">
            <v xml:space="preserve">Shamah Bent Mohammed Elementary School                       </v>
          </cell>
          <cell r="H7959" t="str">
            <v>AA</v>
          </cell>
        </row>
        <row r="7960">
          <cell r="B7960" t="str">
            <v>Smoke Detector &amp; Heat Detector</v>
          </cell>
          <cell r="D7960" t="str">
            <v xml:space="preserve">Shamah Bent Mohammed Elementary School                       </v>
          </cell>
          <cell r="H7960" t="str">
            <v>AA</v>
          </cell>
        </row>
        <row r="7961">
          <cell r="B7961" t="str">
            <v>Smoke Detector &amp; Heat Detector</v>
          </cell>
          <cell r="D7961" t="str">
            <v xml:space="preserve">Shamah Bent Mohammed Elementary School                       </v>
          </cell>
          <cell r="H7961" t="str">
            <v>AA</v>
          </cell>
        </row>
        <row r="7962">
          <cell r="B7962" t="str">
            <v>Smoke Detector &amp; Heat Detector</v>
          </cell>
          <cell r="D7962" t="str">
            <v xml:space="preserve">Shamah Bent Mohammed Elementary School                       </v>
          </cell>
          <cell r="H7962" t="str">
            <v>AA</v>
          </cell>
        </row>
        <row r="7963">
          <cell r="B7963" t="str">
            <v>Smoke Detector &amp; Heat Detector</v>
          </cell>
          <cell r="D7963" t="str">
            <v xml:space="preserve">Shamah Bent Mohammed Elementary School                       </v>
          </cell>
          <cell r="H7963" t="str">
            <v>AA</v>
          </cell>
        </row>
        <row r="7964">
          <cell r="B7964" t="str">
            <v>Smoke Detector &amp; Heat Detector</v>
          </cell>
          <cell r="D7964" t="str">
            <v xml:space="preserve">Shamah Bent Mohammed Elementary School                       </v>
          </cell>
          <cell r="H7964" t="str">
            <v>AA</v>
          </cell>
        </row>
        <row r="7965">
          <cell r="B7965" t="str">
            <v>Smoke Detector &amp; Heat Detector</v>
          </cell>
          <cell r="D7965" t="str">
            <v xml:space="preserve">Shamah Bent Mohammed Elementary School                       </v>
          </cell>
          <cell r="H7965" t="str">
            <v>AA</v>
          </cell>
        </row>
        <row r="7966">
          <cell r="B7966" t="str">
            <v>Smoke Detector &amp; Heat Detector</v>
          </cell>
          <cell r="D7966" t="str">
            <v xml:space="preserve">Shamah Bent Mohammed Elementary School                       </v>
          </cell>
          <cell r="H7966" t="str">
            <v>AA</v>
          </cell>
        </row>
        <row r="7967">
          <cell r="B7967" t="str">
            <v>Smoke Detector &amp; Heat Detector</v>
          </cell>
          <cell r="D7967" t="str">
            <v xml:space="preserve">Shamah Bent Mohammed Elementary School                       </v>
          </cell>
          <cell r="H7967" t="str">
            <v>AA</v>
          </cell>
        </row>
        <row r="7968">
          <cell r="B7968" t="str">
            <v>Smoke Detector &amp; Heat Detector</v>
          </cell>
          <cell r="D7968" t="str">
            <v xml:space="preserve">Shamah Bent Mohammed Elementary School                       </v>
          </cell>
          <cell r="H7968" t="str">
            <v>AA</v>
          </cell>
        </row>
        <row r="7969">
          <cell r="B7969" t="str">
            <v>Smoke Detector &amp; Heat Detector</v>
          </cell>
          <cell r="D7969" t="str">
            <v xml:space="preserve">Shamah Bent Mohammed Elementary School                       </v>
          </cell>
          <cell r="H7969" t="str">
            <v>AA</v>
          </cell>
        </row>
        <row r="7970">
          <cell r="B7970" t="str">
            <v>Smoke Detector &amp; Heat Detector</v>
          </cell>
          <cell r="D7970" t="str">
            <v xml:space="preserve">Shamah Bent Mohammed Elementary School                       </v>
          </cell>
          <cell r="H7970" t="str">
            <v>AA</v>
          </cell>
        </row>
        <row r="7971">
          <cell r="B7971" t="str">
            <v>Smoke Detector &amp; Heat Detector</v>
          </cell>
          <cell r="D7971" t="str">
            <v xml:space="preserve">Shamah Bent Mohammed Elementary School                       </v>
          </cell>
          <cell r="H7971" t="str">
            <v>AA</v>
          </cell>
        </row>
        <row r="7972">
          <cell r="B7972" t="str">
            <v>Smoke Detector &amp; Heat Detector</v>
          </cell>
          <cell r="D7972" t="str">
            <v xml:space="preserve">Shamah Bent Mohammed Elementary School                       </v>
          </cell>
          <cell r="H7972" t="str">
            <v>AA</v>
          </cell>
        </row>
        <row r="7973">
          <cell r="B7973" t="str">
            <v>Smoke Detector &amp; Heat Detector</v>
          </cell>
          <cell r="D7973" t="str">
            <v xml:space="preserve">Shamah Bent Mohammed Elementary School                       </v>
          </cell>
          <cell r="H7973" t="str">
            <v>AA</v>
          </cell>
        </row>
        <row r="7974">
          <cell r="B7974" t="str">
            <v>Smoke Detector &amp; Heat Detector</v>
          </cell>
          <cell r="D7974" t="str">
            <v xml:space="preserve">Shamah Bent Mohammed Elementary School                       </v>
          </cell>
          <cell r="H7974" t="str">
            <v>AA</v>
          </cell>
        </row>
        <row r="7975">
          <cell r="B7975" t="str">
            <v>Water Tank</v>
          </cell>
          <cell r="D7975" t="str">
            <v xml:space="preserve">Shamah Bent Mohammed Elementary School                       </v>
          </cell>
          <cell r="H7975" t="str">
            <v>AA</v>
          </cell>
        </row>
        <row r="7976">
          <cell r="B7976" t="str">
            <v>Water Tank</v>
          </cell>
          <cell r="D7976" t="str">
            <v xml:space="preserve">Shamah Bent Mohammed Elementary School                       </v>
          </cell>
          <cell r="H7976" t="str">
            <v>AA</v>
          </cell>
        </row>
        <row r="7977">
          <cell r="B7977" t="str">
            <v>Water Tank</v>
          </cell>
          <cell r="D7977" t="str">
            <v xml:space="preserve">Shamah Bent Mohammed Elementary School                       </v>
          </cell>
          <cell r="H7977" t="str">
            <v>AA</v>
          </cell>
        </row>
        <row r="7978">
          <cell r="B7978" t="str">
            <v>Water Tank</v>
          </cell>
          <cell r="D7978" t="str">
            <v xml:space="preserve">Shamah Bent Mohammed Elementary School                       </v>
          </cell>
          <cell r="H7978" t="str">
            <v>AA</v>
          </cell>
        </row>
        <row r="7979">
          <cell r="B7979" t="str">
            <v>Water Tank</v>
          </cell>
          <cell r="D7979" t="str">
            <v xml:space="preserve">Shamah Bent Mohammed Elementary School                       </v>
          </cell>
          <cell r="H7979" t="str">
            <v>AA</v>
          </cell>
        </row>
        <row r="7980">
          <cell r="B7980" t="str">
            <v>Water Tank</v>
          </cell>
          <cell r="D7980" t="str">
            <v xml:space="preserve">Shamah Bent Mohammed Elementary School                       </v>
          </cell>
          <cell r="H7980" t="str">
            <v>AA</v>
          </cell>
        </row>
        <row r="7981">
          <cell r="B7981" t="str">
            <v>Water Tank</v>
          </cell>
          <cell r="D7981" t="str">
            <v xml:space="preserve">Shamah Bent Mohammed Elementary School                       </v>
          </cell>
          <cell r="H7981" t="str">
            <v>AA</v>
          </cell>
        </row>
        <row r="7982">
          <cell r="B7982" t="str">
            <v>Water Tank</v>
          </cell>
          <cell r="D7982" t="str">
            <v xml:space="preserve">Shamah Bent Mohammed Elementary School                       </v>
          </cell>
          <cell r="H7982" t="str">
            <v>AA</v>
          </cell>
        </row>
        <row r="7983">
          <cell r="B7983" t="str">
            <v>Fire Alarm Control Panel Board</v>
          </cell>
          <cell r="D7983" t="str">
            <v xml:space="preserve">Sultan Ben Zayed Elementary School                          </v>
          </cell>
          <cell r="H7983" t="str">
            <v>AA</v>
          </cell>
        </row>
        <row r="7984">
          <cell r="B7984" t="str">
            <v>Fire Break Glass</v>
          </cell>
          <cell r="D7984" t="str">
            <v xml:space="preserve">Sultan Ben Zayed Elementary School                          </v>
          </cell>
          <cell r="H7984" t="str">
            <v>AA</v>
          </cell>
        </row>
        <row r="7985">
          <cell r="B7985" t="str">
            <v>Fire Break Glass</v>
          </cell>
          <cell r="D7985" t="str">
            <v xml:space="preserve">Sultan Ben Zayed Elementary School                          </v>
          </cell>
          <cell r="H7985" t="str">
            <v>AA</v>
          </cell>
        </row>
        <row r="7986">
          <cell r="B7986" t="str">
            <v>Fire Break Glass</v>
          </cell>
          <cell r="D7986" t="str">
            <v xml:space="preserve">Sultan Ben Zayed Elementary School                          </v>
          </cell>
          <cell r="H7986" t="str">
            <v>AA</v>
          </cell>
        </row>
        <row r="7987">
          <cell r="B7987" t="str">
            <v>Fire Break Glass</v>
          </cell>
          <cell r="D7987" t="str">
            <v xml:space="preserve">Sultan Ben Zayed Elementary School                          </v>
          </cell>
          <cell r="H7987" t="str">
            <v>AA</v>
          </cell>
        </row>
        <row r="7988">
          <cell r="B7988" t="str">
            <v>Fire Break Glass</v>
          </cell>
          <cell r="D7988" t="str">
            <v xml:space="preserve">Sultan Ben Zayed Elementary School                          </v>
          </cell>
          <cell r="H7988" t="str">
            <v>AA</v>
          </cell>
        </row>
        <row r="7989">
          <cell r="B7989" t="str">
            <v>Fire Break Glass</v>
          </cell>
          <cell r="D7989" t="str">
            <v xml:space="preserve">Sultan Ben Zayed Elementary School                          </v>
          </cell>
          <cell r="H7989" t="str">
            <v>AA</v>
          </cell>
        </row>
        <row r="7990">
          <cell r="B7990" t="str">
            <v>Fire Break Glass</v>
          </cell>
          <cell r="D7990" t="str">
            <v xml:space="preserve">Sultan Ben Zayed Elementary School                          </v>
          </cell>
          <cell r="H7990" t="str">
            <v>AA</v>
          </cell>
        </row>
        <row r="7991">
          <cell r="B7991" t="str">
            <v>Fire Break Glass</v>
          </cell>
          <cell r="D7991" t="str">
            <v xml:space="preserve">Sultan Ben Zayed Elementary School                          </v>
          </cell>
          <cell r="H7991" t="str">
            <v>AA</v>
          </cell>
        </row>
        <row r="7992">
          <cell r="B7992" t="str">
            <v>Fire Break Glass</v>
          </cell>
          <cell r="D7992" t="str">
            <v xml:space="preserve">Sultan Ben Zayed Elementary School                          </v>
          </cell>
          <cell r="H7992" t="str">
            <v>AA</v>
          </cell>
        </row>
        <row r="7993">
          <cell r="B7993" t="str">
            <v>Fire Break Glass</v>
          </cell>
          <cell r="D7993" t="str">
            <v xml:space="preserve">Sultan Ben Zayed Elementary School                          </v>
          </cell>
          <cell r="H7993" t="str">
            <v>AA</v>
          </cell>
        </row>
        <row r="7994">
          <cell r="B7994" t="str">
            <v>Fire Break Glass</v>
          </cell>
          <cell r="D7994" t="str">
            <v xml:space="preserve">Sultan Ben Zayed Elementary School                          </v>
          </cell>
          <cell r="H7994" t="str">
            <v>AA</v>
          </cell>
        </row>
        <row r="7995">
          <cell r="B7995" t="str">
            <v>Fire Extinguisher</v>
          </cell>
          <cell r="D7995" t="str">
            <v xml:space="preserve">Sultan Ben Zayed Elementary School                          </v>
          </cell>
          <cell r="H7995" t="str">
            <v>AA</v>
          </cell>
        </row>
        <row r="7996">
          <cell r="B7996" t="str">
            <v>Fire Extinguisher</v>
          </cell>
          <cell r="D7996" t="str">
            <v xml:space="preserve">Sultan Ben Zayed Elementary School                          </v>
          </cell>
          <cell r="H7996" t="str">
            <v>AA</v>
          </cell>
        </row>
        <row r="7997">
          <cell r="B7997" t="str">
            <v>Fire Extinguisher</v>
          </cell>
          <cell r="D7997" t="str">
            <v xml:space="preserve">Sultan Ben Zayed Elementary School                          </v>
          </cell>
          <cell r="H7997" t="str">
            <v>AA</v>
          </cell>
        </row>
        <row r="7998">
          <cell r="B7998" t="str">
            <v>Fire Extinguisher</v>
          </cell>
          <cell r="D7998" t="str">
            <v xml:space="preserve">Sultan Ben Zayed Elementary School                          </v>
          </cell>
          <cell r="H7998" t="str">
            <v>AA</v>
          </cell>
        </row>
        <row r="7999">
          <cell r="B7999" t="str">
            <v>Fire Extinguisher</v>
          </cell>
          <cell r="D7999" t="str">
            <v xml:space="preserve">Sultan Ben Zayed Elementary School                          </v>
          </cell>
          <cell r="H7999" t="str">
            <v>AA</v>
          </cell>
        </row>
        <row r="8000">
          <cell r="B8000" t="str">
            <v>Fire Extinguisher</v>
          </cell>
          <cell r="D8000" t="str">
            <v xml:space="preserve">Sultan Ben Zayed Elementary School                          </v>
          </cell>
          <cell r="H8000" t="str">
            <v>AA</v>
          </cell>
        </row>
        <row r="8001">
          <cell r="B8001" t="str">
            <v>Fire Extinguisher</v>
          </cell>
          <cell r="D8001" t="str">
            <v xml:space="preserve">Sultan Ben Zayed Elementary School                          </v>
          </cell>
          <cell r="H8001" t="str">
            <v>AA</v>
          </cell>
        </row>
        <row r="8002">
          <cell r="B8002" t="str">
            <v>Fire Extinguisher</v>
          </cell>
          <cell r="D8002" t="str">
            <v xml:space="preserve">Sultan Ben Zayed Elementary School                          </v>
          </cell>
          <cell r="H8002" t="str">
            <v>AA</v>
          </cell>
        </row>
        <row r="8003">
          <cell r="B8003" t="str">
            <v>Fire Extinguisher</v>
          </cell>
          <cell r="D8003" t="str">
            <v xml:space="preserve">Sultan Ben Zayed Elementary School                          </v>
          </cell>
          <cell r="H8003" t="str">
            <v>AA</v>
          </cell>
        </row>
        <row r="8004">
          <cell r="B8004" t="str">
            <v>Fire Extinguisher</v>
          </cell>
          <cell r="D8004" t="str">
            <v xml:space="preserve">Sultan Ben Zayed Elementary School                          </v>
          </cell>
          <cell r="H8004" t="str">
            <v>AA</v>
          </cell>
        </row>
        <row r="8005">
          <cell r="B8005" t="str">
            <v>Fire Extinguisher</v>
          </cell>
          <cell r="D8005" t="str">
            <v xml:space="preserve">Sultan Ben Zayed Elementary School                          </v>
          </cell>
          <cell r="H8005" t="str">
            <v>AA</v>
          </cell>
        </row>
        <row r="8006">
          <cell r="B8006" t="str">
            <v>Fire Extinguisher</v>
          </cell>
          <cell r="D8006" t="str">
            <v xml:space="preserve">Sultan Ben Zayed Elementary School                          </v>
          </cell>
          <cell r="H8006" t="str">
            <v>AA</v>
          </cell>
        </row>
        <row r="8007">
          <cell r="B8007" t="str">
            <v>Fire Extinguisher</v>
          </cell>
          <cell r="D8007" t="str">
            <v xml:space="preserve">Sultan Ben Zayed Elementary School                          </v>
          </cell>
          <cell r="H8007" t="str">
            <v>AA</v>
          </cell>
        </row>
        <row r="8008">
          <cell r="B8008" t="str">
            <v>Fire Extinguisher</v>
          </cell>
          <cell r="D8008" t="str">
            <v xml:space="preserve">Sultan Ben Zayed Elementary School                          </v>
          </cell>
          <cell r="H8008" t="str">
            <v>AA</v>
          </cell>
        </row>
        <row r="8009">
          <cell r="B8009" t="str">
            <v>Fire Extinguisher</v>
          </cell>
          <cell r="D8009" t="str">
            <v xml:space="preserve">Sultan Ben Zayed Elementary School                          </v>
          </cell>
          <cell r="H8009" t="str">
            <v>AA</v>
          </cell>
        </row>
        <row r="8010">
          <cell r="B8010" t="str">
            <v>Fire Extinguisher</v>
          </cell>
          <cell r="D8010" t="str">
            <v xml:space="preserve">Sultan Ben Zayed Elementary School                          </v>
          </cell>
          <cell r="H8010" t="str">
            <v>AA</v>
          </cell>
        </row>
        <row r="8011">
          <cell r="B8011" t="str">
            <v>Fire Extinguisher</v>
          </cell>
          <cell r="D8011" t="str">
            <v xml:space="preserve">Sultan Ben Zayed Elementary School                          </v>
          </cell>
          <cell r="H8011" t="str">
            <v>AA</v>
          </cell>
        </row>
        <row r="8012">
          <cell r="B8012" t="str">
            <v>Fire Extinguisher</v>
          </cell>
          <cell r="D8012" t="str">
            <v xml:space="preserve">Sultan Ben Zayed Elementary School                          </v>
          </cell>
          <cell r="H8012" t="str">
            <v>AA</v>
          </cell>
        </row>
        <row r="8013">
          <cell r="B8013" t="str">
            <v>Fire Extinguisher</v>
          </cell>
          <cell r="D8013" t="str">
            <v xml:space="preserve">Sultan Ben Zayed Elementary School                          </v>
          </cell>
          <cell r="H8013" t="str">
            <v>AA</v>
          </cell>
        </row>
        <row r="8014">
          <cell r="B8014" t="str">
            <v>Fire Extinguisher</v>
          </cell>
          <cell r="D8014" t="str">
            <v xml:space="preserve">Sultan Ben Zayed Elementary School                          </v>
          </cell>
          <cell r="H8014" t="str">
            <v>AA</v>
          </cell>
        </row>
        <row r="8015">
          <cell r="B8015" t="str">
            <v>Fire Extinguisher</v>
          </cell>
          <cell r="D8015" t="str">
            <v xml:space="preserve">Sultan Ben Zayed Elementary School                          </v>
          </cell>
          <cell r="H8015" t="str">
            <v>AA</v>
          </cell>
        </row>
        <row r="8016">
          <cell r="B8016" t="str">
            <v>Fire Extinguisher</v>
          </cell>
          <cell r="D8016" t="str">
            <v xml:space="preserve">Sultan Ben Zayed Elementary School                          </v>
          </cell>
          <cell r="H8016" t="str">
            <v>AA</v>
          </cell>
        </row>
        <row r="8017">
          <cell r="B8017" t="str">
            <v>Fire Extinguisher</v>
          </cell>
          <cell r="D8017" t="str">
            <v xml:space="preserve">Sultan Ben Zayed Elementary School                          </v>
          </cell>
          <cell r="H8017" t="str">
            <v>AA</v>
          </cell>
        </row>
        <row r="8018">
          <cell r="B8018" t="str">
            <v>Fire Extinguisher</v>
          </cell>
          <cell r="D8018" t="str">
            <v xml:space="preserve">Sultan Ben Zayed Elementary School                          </v>
          </cell>
          <cell r="H8018" t="str">
            <v>AA</v>
          </cell>
        </row>
        <row r="8019">
          <cell r="B8019" t="str">
            <v>Fire Extinguisher</v>
          </cell>
          <cell r="D8019" t="str">
            <v xml:space="preserve">Sultan Ben Zayed Elementary School                          </v>
          </cell>
          <cell r="H8019" t="str">
            <v>AA</v>
          </cell>
        </row>
        <row r="8020">
          <cell r="B8020" t="str">
            <v>Fire Extinguisher Cabinet</v>
          </cell>
          <cell r="D8020" t="str">
            <v xml:space="preserve">Sultan Ben Zayed Elementary School                          </v>
          </cell>
          <cell r="H8020" t="str">
            <v>AA</v>
          </cell>
        </row>
        <row r="8021">
          <cell r="B8021" t="str">
            <v>Fire Extinguisher Cabinet</v>
          </cell>
          <cell r="D8021" t="str">
            <v xml:space="preserve">Sultan Ben Zayed Elementary School                          </v>
          </cell>
          <cell r="H8021" t="str">
            <v>AA</v>
          </cell>
        </row>
        <row r="8022">
          <cell r="B8022" t="str">
            <v>Fire Extinguisher Cabinet</v>
          </cell>
          <cell r="D8022" t="str">
            <v xml:space="preserve">Sultan Ben Zayed Elementary School                          </v>
          </cell>
          <cell r="H8022" t="str">
            <v>AA</v>
          </cell>
        </row>
        <row r="8023">
          <cell r="B8023" t="str">
            <v>Fire Extinguisher Cabinet</v>
          </cell>
          <cell r="D8023" t="str">
            <v xml:space="preserve">Sultan Ben Zayed Elementary School                          </v>
          </cell>
          <cell r="H8023" t="str">
            <v>AA</v>
          </cell>
        </row>
        <row r="8024">
          <cell r="B8024" t="str">
            <v>Fire Extinguisher Cabinet</v>
          </cell>
          <cell r="D8024" t="str">
            <v xml:space="preserve">Sultan Ben Zayed Elementary School                          </v>
          </cell>
          <cell r="H8024" t="str">
            <v>AA</v>
          </cell>
        </row>
        <row r="8025">
          <cell r="B8025" t="str">
            <v>Fire Extinguisher Cabinet</v>
          </cell>
          <cell r="D8025" t="str">
            <v xml:space="preserve">Sultan Ben Zayed Elementary School                          </v>
          </cell>
          <cell r="H8025" t="str">
            <v>AA</v>
          </cell>
        </row>
        <row r="8026">
          <cell r="B8026" t="str">
            <v>Fire Extinguisher Cabinet</v>
          </cell>
          <cell r="D8026" t="str">
            <v xml:space="preserve">Sultan Ben Zayed Elementary School                          </v>
          </cell>
          <cell r="H8026" t="str">
            <v>AA</v>
          </cell>
        </row>
        <row r="8027">
          <cell r="B8027" t="str">
            <v>Fire Extinguisher Cabinet</v>
          </cell>
          <cell r="D8027" t="str">
            <v xml:space="preserve">Sultan Ben Zayed Elementary School                          </v>
          </cell>
          <cell r="H8027" t="str">
            <v>AA</v>
          </cell>
        </row>
        <row r="8028">
          <cell r="B8028" t="str">
            <v>Fire Extinguisher Cabinet</v>
          </cell>
          <cell r="D8028" t="str">
            <v xml:space="preserve">Sultan Ben Zayed Elementary School                          </v>
          </cell>
          <cell r="H8028" t="str">
            <v>AA</v>
          </cell>
        </row>
        <row r="8029">
          <cell r="B8029" t="str">
            <v>Fire Extinguisher Cabinet</v>
          </cell>
          <cell r="D8029" t="str">
            <v xml:space="preserve">Sultan Ben Zayed Elementary School                          </v>
          </cell>
          <cell r="H8029" t="str">
            <v>AA</v>
          </cell>
        </row>
        <row r="8030">
          <cell r="B8030" t="str">
            <v>Fire Extinguisher Cabinet</v>
          </cell>
          <cell r="D8030" t="str">
            <v xml:space="preserve">Sultan Ben Zayed Elementary School                          </v>
          </cell>
          <cell r="H8030" t="str">
            <v>AA</v>
          </cell>
        </row>
        <row r="8031">
          <cell r="B8031" t="str">
            <v>Fire Extinguisher Cabinet</v>
          </cell>
          <cell r="D8031" t="str">
            <v xml:space="preserve">Sultan Ben Zayed Elementary School                          </v>
          </cell>
          <cell r="H8031" t="str">
            <v>AA</v>
          </cell>
        </row>
        <row r="8032">
          <cell r="B8032" t="str">
            <v>Fire Extinguisher Cabinet</v>
          </cell>
          <cell r="D8032" t="str">
            <v xml:space="preserve">Sultan Ben Zayed Elementary School                          </v>
          </cell>
          <cell r="H8032" t="str">
            <v>AA</v>
          </cell>
        </row>
        <row r="8033">
          <cell r="B8033" t="str">
            <v>Fire Extinguisher Cabinet</v>
          </cell>
          <cell r="D8033" t="str">
            <v xml:space="preserve">Sultan Ben Zayed Elementary School                          </v>
          </cell>
          <cell r="H8033" t="str">
            <v>AA</v>
          </cell>
        </row>
        <row r="8034">
          <cell r="B8034" t="str">
            <v>Fire Extinguisher Cabinet</v>
          </cell>
          <cell r="D8034" t="str">
            <v xml:space="preserve">Sultan Ben Zayed Elementary School                          </v>
          </cell>
          <cell r="H8034" t="str">
            <v>AA</v>
          </cell>
        </row>
        <row r="8035">
          <cell r="B8035" t="str">
            <v>Fire Extinguisher Cabinet</v>
          </cell>
          <cell r="D8035" t="str">
            <v xml:space="preserve">Sultan Ben Zayed Elementary School                          </v>
          </cell>
          <cell r="H8035" t="str">
            <v>AA</v>
          </cell>
        </row>
        <row r="8036">
          <cell r="B8036" t="str">
            <v>Fire Extinguisher Cabinet</v>
          </cell>
          <cell r="D8036" t="str">
            <v xml:space="preserve">Sultan Ben Zayed Elementary School                          </v>
          </cell>
          <cell r="H8036" t="str">
            <v>AA</v>
          </cell>
        </row>
        <row r="8037">
          <cell r="B8037" t="str">
            <v>Fire Extinguisher Cabinet</v>
          </cell>
          <cell r="D8037" t="str">
            <v xml:space="preserve">Sultan Ben Zayed Elementary School                          </v>
          </cell>
          <cell r="H8037" t="str">
            <v>AA</v>
          </cell>
        </row>
        <row r="8038">
          <cell r="B8038" t="str">
            <v>Fire Extinguisher Cabinet</v>
          </cell>
          <cell r="D8038" t="str">
            <v xml:space="preserve">Sultan Ben Zayed Elementary School                          </v>
          </cell>
          <cell r="H8038" t="str">
            <v>AA</v>
          </cell>
        </row>
        <row r="8039">
          <cell r="B8039" t="str">
            <v>Fire Extinguisher Cabinet</v>
          </cell>
          <cell r="D8039" t="str">
            <v xml:space="preserve">Sultan Ben Zayed Elementary School                          </v>
          </cell>
          <cell r="H8039" t="str">
            <v>AA</v>
          </cell>
        </row>
        <row r="8040">
          <cell r="B8040" t="str">
            <v>Fire Extinguisher Cabinet</v>
          </cell>
          <cell r="D8040" t="str">
            <v xml:space="preserve">Sultan Ben Zayed Elementary School                          </v>
          </cell>
          <cell r="H8040" t="str">
            <v>AA</v>
          </cell>
        </row>
        <row r="8041">
          <cell r="B8041" t="str">
            <v>Fire Hose Reel</v>
          </cell>
          <cell r="D8041" t="str">
            <v xml:space="preserve">Sultan Ben Zayed Elementary School                          </v>
          </cell>
          <cell r="H8041" t="str">
            <v>AA</v>
          </cell>
        </row>
        <row r="8042">
          <cell r="B8042" t="str">
            <v>Fire Hose Reel</v>
          </cell>
          <cell r="D8042" t="str">
            <v xml:space="preserve">Sultan Ben Zayed Elementary School                          </v>
          </cell>
          <cell r="H8042" t="str">
            <v>AA</v>
          </cell>
        </row>
        <row r="8043">
          <cell r="B8043" t="str">
            <v>Fire Hose Reel</v>
          </cell>
          <cell r="D8043" t="str">
            <v xml:space="preserve">Sultan Ben Zayed Elementary School                          </v>
          </cell>
          <cell r="H8043" t="str">
            <v>AA</v>
          </cell>
        </row>
        <row r="8044">
          <cell r="B8044" t="str">
            <v>Fire Hose Reel</v>
          </cell>
          <cell r="D8044" t="str">
            <v xml:space="preserve">Sultan Ben Zayed Elementary School                          </v>
          </cell>
          <cell r="H8044" t="str">
            <v>AA</v>
          </cell>
        </row>
        <row r="8045">
          <cell r="B8045" t="str">
            <v>Fire Hose Reel</v>
          </cell>
          <cell r="D8045" t="str">
            <v xml:space="preserve">Sultan Ben Zayed Elementary School                          </v>
          </cell>
          <cell r="H8045" t="str">
            <v>AA</v>
          </cell>
        </row>
        <row r="8046">
          <cell r="B8046" t="str">
            <v>Fire Hose Reel</v>
          </cell>
          <cell r="D8046" t="str">
            <v xml:space="preserve">Sultan Ben Zayed Elementary School                          </v>
          </cell>
          <cell r="H8046" t="str">
            <v>AA</v>
          </cell>
        </row>
        <row r="8047">
          <cell r="B8047" t="str">
            <v>Fire Hose Reel</v>
          </cell>
          <cell r="D8047" t="str">
            <v xml:space="preserve">Sultan Ben Zayed Elementary School                          </v>
          </cell>
          <cell r="H8047" t="str">
            <v>AA</v>
          </cell>
        </row>
        <row r="8048">
          <cell r="B8048" t="str">
            <v>Fire Hose Reel Cabinet</v>
          </cell>
          <cell r="D8048" t="str">
            <v xml:space="preserve">Sultan Ben Zayed Elementary School                          </v>
          </cell>
          <cell r="H8048" t="str">
            <v>AA</v>
          </cell>
        </row>
        <row r="8049">
          <cell r="B8049" t="str">
            <v>Fire Hose Reel Cabinet</v>
          </cell>
          <cell r="D8049" t="str">
            <v xml:space="preserve">Sultan Ben Zayed Elementary School                          </v>
          </cell>
          <cell r="H8049" t="str">
            <v>AA</v>
          </cell>
        </row>
        <row r="8050">
          <cell r="B8050" t="str">
            <v>Fire Hose Reel Cabinet</v>
          </cell>
          <cell r="D8050" t="str">
            <v xml:space="preserve">Sultan Ben Zayed Elementary School                          </v>
          </cell>
          <cell r="H8050" t="str">
            <v>AA</v>
          </cell>
        </row>
        <row r="8051">
          <cell r="B8051" t="str">
            <v>Fire Hose Reel Cabinet</v>
          </cell>
          <cell r="D8051" t="str">
            <v xml:space="preserve">Sultan Ben Zayed Elementary School                          </v>
          </cell>
          <cell r="H8051" t="str">
            <v>AA</v>
          </cell>
        </row>
        <row r="8052">
          <cell r="B8052" t="str">
            <v>Fire Hose Reel Cabinet</v>
          </cell>
          <cell r="D8052" t="str">
            <v xml:space="preserve">Sultan Ben Zayed Elementary School                          </v>
          </cell>
          <cell r="H8052" t="str">
            <v>AA</v>
          </cell>
        </row>
        <row r="8053">
          <cell r="B8053" t="str">
            <v>Fire Hose Reel Cabinet</v>
          </cell>
          <cell r="D8053" t="str">
            <v xml:space="preserve">Sultan Ben Zayed Elementary School                          </v>
          </cell>
          <cell r="H8053" t="str">
            <v>AA</v>
          </cell>
        </row>
        <row r="8054">
          <cell r="B8054" t="str">
            <v>Fire Hose Reel Cabinet</v>
          </cell>
          <cell r="D8054" t="str">
            <v xml:space="preserve">Sultan Ben Zayed Elementary School                          </v>
          </cell>
          <cell r="H8054" t="str">
            <v>AA</v>
          </cell>
        </row>
        <row r="8055">
          <cell r="B8055" t="str">
            <v>Lift (Elevator Driving Machine)</v>
          </cell>
          <cell r="D8055" t="str">
            <v xml:space="preserve">Sultan Ben Zayed Elementary School                          </v>
          </cell>
          <cell r="H8055" t="str">
            <v>AA</v>
          </cell>
        </row>
        <row r="8056">
          <cell r="B8056" t="str">
            <v>Smoke Detector &amp; Heat Detector</v>
          </cell>
          <cell r="D8056" t="str">
            <v xml:space="preserve">Sultan Ben Zayed Elementary School                          </v>
          </cell>
          <cell r="H8056" t="str">
            <v>AA</v>
          </cell>
        </row>
        <row r="8057">
          <cell r="B8057" t="str">
            <v>Smoke Detector &amp; Heat Detector</v>
          </cell>
          <cell r="D8057" t="str">
            <v xml:space="preserve">Sultan Ben Zayed Elementary School                          </v>
          </cell>
          <cell r="H8057" t="str">
            <v>AA</v>
          </cell>
        </row>
        <row r="8058">
          <cell r="B8058" t="str">
            <v>Smoke Detector &amp; Heat Detector</v>
          </cell>
          <cell r="D8058" t="str">
            <v xml:space="preserve">Sultan Ben Zayed Elementary School                          </v>
          </cell>
          <cell r="H8058" t="str">
            <v>AA</v>
          </cell>
        </row>
        <row r="8059">
          <cell r="B8059" t="str">
            <v>Smoke Detector &amp; Heat Detector</v>
          </cell>
          <cell r="D8059" t="str">
            <v xml:space="preserve">Sultan Ben Zayed Elementary School                          </v>
          </cell>
          <cell r="H8059" t="str">
            <v>AA</v>
          </cell>
        </row>
        <row r="8060">
          <cell r="B8060" t="str">
            <v>Smoke Detector &amp; Heat Detector</v>
          </cell>
          <cell r="D8060" t="str">
            <v xml:space="preserve">Sultan Ben Zayed Elementary School                          </v>
          </cell>
          <cell r="H8060" t="str">
            <v>AA</v>
          </cell>
        </row>
        <row r="8061">
          <cell r="B8061" t="str">
            <v>Smoke Detector &amp; Heat Detector</v>
          </cell>
          <cell r="D8061" t="str">
            <v xml:space="preserve">Sultan Ben Zayed Elementary School                          </v>
          </cell>
          <cell r="H8061" t="str">
            <v>AA</v>
          </cell>
        </row>
        <row r="8062">
          <cell r="B8062" t="str">
            <v>Smoke Detector &amp; Heat Detector</v>
          </cell>
          <cell r="D8062" t="str">
            <v xml:space="preserve">Sultan Ben Zayed Elementary School                          </v>
          </cell>
          <cell r="H8062" t="str">
            <v>AA</v>
          </cell>
        </row>
        <row r="8063">
          <cell r="B8063" t="str">
            <v>Smoke Detector &amp; Heat Detector</v>
          </cell>
          <cell r="D8063" t="str">
            <v xml:space="preserve">Sultan Ben Zayed Elementary School                          </v>
          </cell>
          <cell r="H8063" t="str">
            <v>AA</v>
          </cell>
        </row>
        <row r="8064">
          <cell r="B8064" t="str">
            <v>Smoke Detector &amp; Heat Detector</v>
          </cell>
          <cell r="D8064" t="str">
            <v xml:space="preserve">Sultan Ben Zayed Elementary School                          </v>
          </cell>
          <cell r="H8064" t="str">
            <v>AA</v>
          </cell>
        </row>
        <row r="8065">
          <cell r="B8065" t="str">
            <v>Smoke Detector &amp; Heat Detector</v>
          </cell>
          <cell r="D8065" t="str">
            <v xml:space="preserve">Sultan Ben Zayed Elementary School                          </v>
          </cell>
          <cell r="H8065" t="str">
            <v>AA</v>
          </cell>
        </row>
        <row r="8066">
          <cell r="B8066" t="str">
            <v>Smoke Detector &amp; Heat Detector</v>
          </cell>
          <cell r="D8066" t="str">
            <v xml:space="preserve">Sultan Ben Zayed Elementary School                          </v>
          </cell>
          <cell r="H8066" t="str">
            <v>AA</v>
          </cell>
        </row>
        <row r="8067">
          <cell r="B8067" t="str">
            <v>Smoke Detector &amp; Heat Detector</v>
          </cell>
          <cell r="D8067" t="str">
            <v xml:space="preserve">Sultan Ben Zayed Elementary School                          </v>
          </cell>
          <cell r="H8067" t="str">
            <v>AA</v>
          </cell>
        </row>
        <row r="8068">
          <cell r="B8068" t="str">
            <v>Smoke Detector &amp; Heat Detector</v>
          </cell>
          <cell r="D8068" t="str">
            <v xml:space="preserve">Sultan Ben Zayed Elementary School                          </v>
          </cell>
          <cell r="H8068" t="str">
            <v>AA</v>
          </cell>
        </row>
        <row r="8069">
          <cell r="B8069" t="str">
            <v>Smoke Detector &amp; Heat Detector</v>
          </cell>
          <cell r="D8069" t="str">
            <v xml:space="preserve">Sultan Ben Zayed Elementary School                          </v>
          </cell>
          <cell r="H8069" t="str">
            <v>AA</v>
          </cell>
        </row>
        <row r="8070">
          <cell r="B8070" t="str">
            <v>Smoke Detector &amp; Heat Detector</v>
          </cell>
          <cell r="D8070" t="str">
            <v xml:space="preserve">Sultan Ben Zayed Elementary School                          </v>
          </cell>
          <cell r="H8070" t="str">
            <v>AA</v>
          </cell>
        </row>
        <row r="8071">
          <cell r="B8071" t="str">
            <v>Smoke Detector &amp; Heat Detector</v>
          </cell>
          <cell r="D8071" t="str">
            <v xml:space="preserve">Sultan Ben Zayed Elementary School                          </v>
          </cell>
          <cell r="H8071" t="str">
            <v>AA</v>
          </cell>
        </row>
        <row r="8072">
          <cell r="B8072" t="str">
            <v>Smoke Detector &amp; Heat Detector</v>
          </cell>
          <cell r="D8072" t="str">
            <v xml:space="preserve">Sultan Ben Zayed Elementary School                          </v>
          </cell>
          <cell r="H8072" t="str">
            <v>AA</v>
          </cell>
        </row>
        <row r="8073">
          <cell r="B8073" t="str">
            <v>Smoke Detector &amp; Heat Detector</v>
          </cell>
          <cell r="D8073" t="str">
            <v xml:space="preserve">Sultan Ben Zayed Elementary School                          </v>
          </cell>
          <cell r="H8073" t="str">
            <v>AA</v>
          </cell>
        </row>
        <row r="8074">
          <cell r="B8074" t="str">
            <v>Smoke Detector &amp; Heat Detector</v>
          </cell>
          <cell r="D8074" t="str">
            <v xml:space="preserve">Sultan Ben Zayed Elementary School                          </v>
          </cell>
          <cell r="H8074" t="str">
            <v>AA</v>
          </cell>
        </row>
        <row r="8075">
          <cell r="B8075" t="str">
            <v>Smoke Detector &amp; Heat Detector</v>
          </cell>
          <cell r="D8075" t="str">
            <v xml:space="preserve">Sultan Ben Zayed Elementary School                          </v>
          </cell>
          <cell r="H8075" t="str">
            <v>AA</v>
          </cell>
        </row>
        <row r="8076">
          <cell r="B8076" t="str">
            <v>Smoke Detector &amp; Heat Detector</v>
          </cell>
          <cell r="D8076" t="str">
            <v xml:space="preserve">Sultan Ben Zayed Elementary School                          </v>
          </cell>
          <cell r="H8076" t="str">
            <v>AA</v>
          </cell>
        </row>
        <row r="8077">
          <cell r="B8077" t="str">
            <v>Smoke Detector &amp; Heat Detector</v>
          </cell>
          <cell r="D8077" t="str">
            <v xml:space="preserve">Sultan Ben Zayed Elementary School                          </v>
          </cell>
          <cell r="H8077" t="str">
            <v>AA</v>
          </cell>
        </row>
        <row r="8078">
          <cell r="B8078" t="str">
            <v>Smoke Detector &amp; Heat Detector</v>
          </cell>
          <cell r="D8078" t="str">
            <v xml:space="preserve">Sultan Ben Zayed Elementary School                          </v>
          </cell>
          <cell r="H8078" t="str">
            <v>AA</v>
          </cell>
        </row>
        <row r="8079">
          <cell r="B8079" t="str">
            <v>Smoke Detector &amp; Heat Detector</v>
          </cell>
          <cell r="D8079" t="str">
            <v xml:space="preserve">Sultan Ben Zayed Elementary School                          </v>
          </cell>
          <cell r="H8079" t="str">
            <v>AA</v>
          </cell>
        </row>
        <row r="8080">
          <cell r="B8080" t="str">
            <v>Smoke Detector &amp; Heat Detector</v>
          </cell>
          <cell r="D8080" t="str">
            <v xml:space="preserve">Sultan Ben Zayed Elementary School                          </v>
          </cell>
          <cell r="H8080" t="str">
            <v>AA</v>
          </cell>
        </row>
        <row r="8081">
          <cell r="B8081" t="str">
            <v>Smoke Detector &amp; Heat Detector</v>
          </cell>
          <cell r="D8081" t="str">
            <v xml:space="preserve">Sultan Ben Zayed Elementary School                          </v>
          </cell>
          <cell r="H8081" t="str">
            <v>AA</v>
          </cell>
        </row>
        <row r="8082">
          <cell r="B8082" t="str">
            <v>Smoke Detector &amp; Heat Detector</v>
          </cell>
          <cell r="D8082" t="str">
            <v xml:space="preserve">Sultan Ben Zayed Elementary School                          </v>
          </cell>
          <cell r="H8082" t="str">
            <v>AA</v>
          </cell>
        </row>
        <row r="8083">
          <cell r="B8083" t="str">
            <v>Smoke Detector &amp; Heat Detector</v>
          </cell>
          <cell r="D8083" t="str">
            <v xml:space="preserve">Sultan Ben Zayed Elementary School                          </v>
          </cell>
          <cell r="H8083" t="str">
            <v>AA</v>
          </cell>
        </row>
        <row r="8084">
          <cell r="B8084" t="str">
            <v>Smoke Detector &amp; Heat Detector</v>
          </cell>
          <cell r="D8084" t="str">
            <v xml:space="preserve">Sultan Ben Zayed Elementary School                          </v>
          </cell>
          <cell r="H8084" t="str">
            <v>AA</v>
          </cell>
        </row>
        <row r="8085">
          <cell r="B8085" t="str">
            <v>Smoke Detector &amp; Heat Detector</v>
          </cell>
          <cell r="D8085" t="str">
            <v xml:space="preserve">Sultan Ben Zayed Elementary School                          </v>
          </cell>
          <cell r="H8085" t="str">
            <v>AA</v>
          </cell>
        </row>
        <row r="8086">
          <cell r="B8086" t="str">
            <v>Smoke Detector &amp; Heat Detector</v>
          </cell>
          <cell r="D8086" t="str">
            <v xml:space="preserve">Sultan Ben Zayed Elementary School                          </v>
          </cell>
          <cell r="H8086" t="str">
            <v>AA</v>
          </cell>
        </row>
        <row r="8087">
          <cell r="B8087" t="str">
            <v>Smoke Detector &amp; Heat Detector</v>
          </cell>
          <cell r="D8087" t="str">
            <v xml:space="preserve">Sultan Ben Zayed Elementary School                          </v>
          </cell>
          <cell r="H8087" t="str">
            <v>AA</v>
          </cell>
        </row>
        <row r="8088">
          <cell r="B8088" t="str">
            <v>Smoke Detector &amp; Heat Detector</v>
          </cell>
          <cell r="D8088" t="str">
            <v xml:space="preserve">Sultan Ben Zayed Elementary School                          </v>
          </cell>
          <cell r="H8088" t="str">
            <v>AA</v>
          </cell>
        </row>
        <row r="8089">
          <cell r="B8089" t="str">
            <v>Smoke Detector &amp; Heat Detector</v>
          </cell>
          <cell r="D8089" t="str">
            <v xml:space="preserve">Sultan Ben Zayed Elementary School                          </v>
          </cell>
          <cell r="H8089" t="str">
            <v>AA</v>
          </cell>
        </row>
        <row r="8090">
          <cell r="B8090" t="str">
            <v>Smoke Detector &amp; Heat Detector</v>
          </cell>
          <cell r="D8090" t="str">
            <v xml:space="preserve">Sultan Ben Zayed Elementary School                          </v>
          </cell>
          <cell r="H8090" t="str">
            <v>AA</v>
          </cell>
        </row>
        <row r="8091">
          <cell r="B8091" t="str">
            <v>Smoke Detector &amp; Heat Detector</v>
          </cell>
          <cell r="D8091" t="str">
            <v xml:space="preserve">Sultan Ben Zayed Elementary School                          </v>
          </cell>
          <cell r="H8091" t="str">
            <v>AA</v>
          </cell>
        </row>
        <row r="8092">
          <cell r="B8092" t="str">
            <v>Smoke Detector &amp; Heat Detector</v>
          </cell>
          <cell r="D8092" t="str">
            <v xml:space="preserve">Sultan Ben Zayed Elementary School                          </v>
          </cell>
          <cell r="H8092" t="str">
            <v>AA</v>
          </cell>
        </row>
        <row r="8093">
          <cell r="B8093" t="str">
            <v>Smoke Detector &amp; Heat Detector</v>
          </cell>
          <cell r="D8093" t="str">
            <v xml:space="preserve">Sultan Ben Zayed Elementary School                          </v>
          </cell>
          <cell r="H8093" t="str">
            <v>AA</v>
          </cell>
        </row>
        <row r="8094">
          <cell r="B8094" t="str">
            <v>Smoke Detector &amp; Heat Detector</v>
          </cell>
          <cell r="D8094" t="str">
            <v xml:space="preserve">Sultan Ben Zayed Elementary School                          </v>
          </cell>
          <cell r="H8094" t="str">
            <v>AA</v>
          </cell>
        </row>
        <row r="8095">
          <cell r="B8095" t="str">
            <v>Smoke Detector &amp; Heat Detector</v>
          </cell>
          <cell r="D8095" t="str">
            <v xml:space="preserve">Sultan Ben Zayed Elementary School                          </v>
          </cell>
          <cell r="H8095" t="str">
            <v>AA</v>
          </cell>
        </row>
        <row r="8096">
          <cell r="B8096" t="str">
            <v>Smoke Detector &amp; Heat Detector</v>
          </cell>
          <cell r="D8096" t="str">
            <v xml:space="preserve">Sultan Ben Zayed Elementary School                          </v>
          </cell>
          <cell r="H8096" t="str">
            <v>AA</v>
          </cell>
        </row>
        <row r="8097">
          <cell r="B8097" t="str">
            <v>Smoke Detector &amp; Heat Detector</v>
          </cell>
          <cell r="D8097" t="str">
            <v xml:space="preserve">Sultan Ben Zayed Elementary School                          </v>
          </cell>
          <cell r="H8097" t="str">
            <v>AA</v>
          </cell>
        </row>
        <row r="8098">
          <cell r="B8098" t="str">
            <v>Smoke Detector &amp; Heat Detector</v>
          </cell>
          <cell r="D8098" t="str">
            <v xml:space="preserve">Sultan Ben Zayed Elementary School                          </v>
          </cell>
          <cell r="H8098" t="str">
            <v>AA</v>
          </cell>
        </row>
        <row r="8099">
          <cell r="B8099" t="str">
            <v>Smoke Detector &amp; Heat Detector</v>
          </cell>
          <cell r="D8099" t="str">
            <v xml:space="preserve">Sultan Ben Zayed Elementary School                          </v>
          </cell>
          <cell r="H8099" t="str">
            <v>AA</v>
          </cell>
        </row>
        <row r="8100">
          <cell r="B8100" t="str">
            <v>Smoke Detector &amp; Heat Detector</v>
          </cell>
          <cell r="D8100" t="str">
            <v xml:space="preserve">Sultan Ben Zayed Elementary School                          </v>
          </cell>
          <cell r="H8100" t="str">
            <v>AA</v>
          </cell>
        </row>
        <row r="8101">
          <cell r="B8101" t="str">
            <v>Smoke Detector &amp; Heat Detector</v>
          </cell>
          <cell r="D8101" t="str">
            <v xml:space="preserve">Sultan Ben Zayed Elementary School                          </v>
          </cell>
          <cell r="H8101" t="str">
            <v>AA</v>
          </cell>
        </row>
        <row r="8102">
          <cell r="B8102" t="str">
            <v>Smoke Detector &amp; Heat Detector</v>
          </cell>
          <cell r="D8102" t="str">
            <v xml:space="preserve">Sultan Ben Zayed Elementary School                          </v>
          </cell>
          <cell r="H8102" t="str">
            <v>AA</v>
          </cell>
        </row>
        <row r="8103">
          <cell r="B8103" t="str">
            <v>Smoke Detector &amp; Heat Detector</v>
          </cell>
          <cell r="D8103" t="str">
            <v xml:space="preserve">Sultan Ben Zayed Elementary School                          </v>
          </cell>
          <cell r="H8103" t="str">
            <v>AA</v>
          </cell>
        </row>
        <row r="8104">
          <cell r="B8104" t="str">
            <v>Smoke Detector &amp; Heat Detector</v>
          </cell>
          <cell r="D8104" t="str">
            <v xml:space="preserve">Sultan Ben Zayed Elementary School                          </v>
          </cell>
          <cell r="H8104" t="str">
            <v>AA</v>
          </cell>
        </row>
        <row r="8105">
          <cell r="B8105" t="str">
            <v>Smoke Detector &amp; Heat Detector</v>
          </cell>
          <cell r="D8105" t="str">
            <v xml:space="preserve">Sultan Ben Zayed Elementary School                          </v>
          </cell>
          <cell r="H8105" t="str">
            <v>AA</v>
          </cell>
        </row>
        <row r="8106">
          <cell r="B8106" t="str">
            <v>Smoke Detector &amp; Heat Detector</v>
          </cell>
          <cell r="D8106" t="str">
            <v xml:space="preserve">Sultan Ben Zayed Elementary School                          </v>
          </cell>
          <cell r="H8106" t="str">
            <v>AA</v>
          </cell>
        </row>
        <row r="8107">
          <cell r="B8107" t="str">
            <v>Smoke Detector &amp; Heat Detector</v>
          </cell>
          <cell r="D8107" t="str">
            <v xml:space="preserve">Sultan Ben Zayed Elementary School                          </v>
          </cell>
          <cell r="H8107" t="str">
            <v>AA</v>
          </cell>
        </row>
        <row r="8108">
          <cell r="B8108" t="str">
            <v>Smoke Detector &amp; Heat Detector</v>
          </cell>
          <cell r="D8108" t="str">
            <v xml:space="preserve">Sultan Ben Zayed Elementary School                          </v>
          </cell>
          <cell r="H8108" t="str">
            <v>AA</v>
          </cell>
        </row>
        <row r="8109">
          <cell r="B8109" t="str">
            <v>Water Tank</v>
          </cell>
          <cell r="D8109" t="str">
            <v xml:space="preserve">Sultan Ben Zayed Elementary School                          </v>
          </cell>
          <cell r="H8109" t="str">
            <v>AA</v>
          </cell>
        </row>
        <row r="8110">
          <cell r="B8110" t="str">
            <v>Fire Extinguisher - C02</v>
          </cell>
          <cell r="D8110" t="str">
            <v xml:space="preserve">Supportive educational services center         </v>
          </cell>
          <cell r="H8110" t="str">
            <v>AA</v>
          </cell>
        </row>
        <row r="8111">
          <cell r="B8111" t="str">
            <v>Fire Extinguisher - C02</v>
          </cell>
          <cell r="D8111" t="str">
            <v xml:space="preserve">Supportive educational services center         </v>
          </cell>
          <cell r="H8111" t="str">
            <v>AA</v>
          </cell>
        </row>
        <row r="8112">
          <cell r="B8112" t="str">
            <v>Fire Extinguisher - C02</v>
          </cell>
          <cell r="D8112" t="str">
            <v xml:space="preserve">Supportive educational services center         </v>
          </cell>
          <cell r="H8112" t="str">
            <v>AA</v>
          </cell>
        </row>
        <row r="8113">
          <cell r="B8113" t="str">
            <v>Fire Extinguisher - C02</v>
          </cell>
          <cell r="D8113" t="str">
            <v xml:space="preserve">Supportive educational services center         </v>
          </cell>
          <cell r="H8113" t="str">
            <v>AA</v>
          </cell>
        </row>
        <row r="8114">
          <cell r="B8114" t="str">
            <v>Dry Fire extinguisher</v>
          </cell>
          <cell r="D8114" t="str">
            <v xml:space="preserve">Supportive educational services center         </v>
          </cell>
          <cell r="H8114" t="str">
            <v>AA</v>
          </cell>
        </row>
        <row r="8115">
          <cell r="B8115" t="str">
            <v>Dry Fire extinguisher</v>
          </cell>
          <cell r="D8115" t="str">
            <v xml:space="preserve">Supportive educational services center         </v>
          </cell>
          <cell r="H8115" t="str">
            <v>AA</v>
          </cell>
        </row>
        <row r="8116">
          <cell r="B8116" t="str">
            <v>Dry Fire extinguisher</v>
          </cell>
          <cell r="D8116" t="str">
            <v xml:space="preserve">Supportive educational services center         </v>
          </cell>
          <cell r="H8116" t="str">
            <v>AA</v>
          </cell>
        </row>
        <row r="8117">
          <cell r="B8117" t="str">
            <v>Dry Fire extinguisher</v>
          </cell>
          <cell r="D8117" t="str">
            <v xml:space="preserve">Supportive educational services center         </v>
          </cell>
          <cell r="H8117" t="str">
            <v>AA</v>
          </cell>
        </row>
        <row r="8118">
          <cell r="B8118" t="str">
            <v>Fire Alarm Bell</v>
          </cell>
          <cell r="D8118" t="str">
            <v xml:space="preserve">Supportive educational services center         </v>
          </cell>
          <cell r="H8118" t="str">
            <v>AA</v>
          </cell>
        </row>
        <row r="8119">
          <cell r="B8119" t="str">
            <v>Fire Alarm Control Panel Board</v>
          </cell>
          <cell r="D8119" t="str">
            <v xml:space="preserve">Supportive educational services center         </v>
          </cell>
          <cell r="H8119" t="str">
            <v>AA</v>
          </cell>
        </row>
        <row r="8120">
          <cell r="B8120" t="str">
            <v>Fire Extinguisher Cabinet</v>
          </cell>
          <cell r="D8120" t="str">
            <v xml:space="preserve">Supportive educational services center         </v>
          </cell>
          <cell r="H8120" t="str">
            <v>AA</v>
          </cell>
        </row>
        <row r="8121">
          <cell r="B8121" t="str">
            <v>Fire Hose Reel Cabinet</v>
          </cell>
          <cell r="D8121" t="str">
            <v xml:space="preserve">Supportive educational services center         </v>
          </cell>
          <cell r="H8121" t="str">
            <v>AA</v>
          </cell>
        </row>
        <row r="8122">
          <cell r="B8122" t="str">
            <v>Fire Hose Reel Cabinet</v>
          </cell>
          <cell r="D8122" t="str">
            <v xml:space="preserve">Supportive educational services center         </v>
          </cell>
          <cell r="H8122" t="str">
            <v>AA</v>
          </cell>
        </row>
        <row r="8123">
          <cell r="B8123" t="str">
            <v>Smoke Detector &amp; Heat Detector</v>
          </cell>
          <cell r="D8123" t="str">
            <v xml:space="preserve">Supportive educational services center         </v>
          </cell>
          <cell r="H8123" t="str">
            <v>AA</v>
          </cell>
        </row>
        <row r="8124">
          <cell r="B8124" t="str">
            <v>Smoke Detector &amp; Heat Detector</v>
          </cell>
          <cell r="D8124" t="str">
            <v xml:space="preserve">Supportive educational services center         </v>
          </cell>
          <cell r="H8124" t="str">
            <v>AA</v>
          </cell>
        </row>
        <row r="8125">
          <cell r="B8125" t="str">
            <v>Smoke Detector &amp; Heat Detector</v>
          </cell>
          <cell r="D8125" t="str">
            <v xml:space="preserve">Supportive educational services center         </v>
          </cell>
          <cell r="H8125" t="str">
            <v>AA</v>
          </cell>
        </row>
        <row r="8126">
          <cell r="B8126" t="str">
            <v>Smoke Detector &amp; Heat Detector</v>
          </cell>
          <cell r="D8126" t="str">
            <v xml:space="preserve">Supportive educational services center         </v>
          </cell>
          <cell r="H8126" t="str">
            <v>AA</v>
          </cell>
        </row>
        <row r="8127">
          <cell r="B8127" t="str">
            <v>Smoke Detector &amp; Heat Detector</v>
          </cell>
          <cell r="D8127" t="str">
            <v xml:space="preserve">Supportive educational services center         </v>
          </cell>
          <cell r="H8127" t="str">
            <v>AA</v>
          </cell>
        </row>
        <row r="8128">
          <cell r="B8128" t="str">
            <v>Smoke Detector &amp; Heat Detector</v>
          </cell>
          <cell r="D8128" t="str">
            <v xml:space="preserve">Supportive educational services center         </v>
          </cell>
          <cell r="H8128" t="str">
            <v>AA</v>
          </cell>
        </row>
        <row r="8129">
          <cell r="B8129" t="str">
            <v>Smoke Detector &amp; Heat Detector</v>
          </cell>
          <cell r="D8129" t="str">
            <v xml:space="preserve">Supportive educational services center         </v>
          </cell>
          <cell r="H8129" t="str">
            <v>AA</v>
          </cell>
        </row>
        <row r="8130">
          <cell r="B8130" t="str">
            <v>Smoke Detector &amp; Heat Detector</v>
          </cell>
          <cell r="D8130" t="str">
            <v xml:space="preserve">Supportive educational services center         </v>
          </cell>
          <cell r="H8130" t="str">
            <v>AA</v>
          </cell>
        </row>
        <row r="8131">
          <cell r="B8131" t="str">
            <v>Water Tank</v>
          </cell>
          <cell r="D8131" t="str">
            <v xml:space="preserve">Supportive educational services center         </v>
          </cell>
          <cell r="H8131" t="str">
            <v>AA</v>
          </cell>
        </row>
        <row r="8132">
          <cell r="B8132" t="str">
            <v>Water Tank</v>
          </cell>
          <cell r="D8132" t="str">
            <v xml:space="preserve">Supportive educational services center         </v>
          </cell>
          <cell r="H8132" t="str">
            <v>AA</v>
          </cell>
        </row>
        <row r="8133">
          <cell r="B8133" t="str">
            <v>Water Tank</v>
          </cell>
          <cell r="D8133" t="str">
            <v xml:space="preserve">Supportive educational services center         </v>
          </cell>
          <cell r="H8133" t="str">
            <v>AA</v>
          </cell>
        </row>
        <row r="8134">
          <cell r="B8134" t="str">
            <v>Fire Alarm Break Glass Call Point</v>
          </cell>
          <cell r="D8134" t="str">
            <v>Thee Ghar Primary School</v>
          </cell>
          <cell r="H8134" t="str">
            <v>AD</v>
          </cell>
        </row>
        <row r="8135">
          <cell r="B8135" t="str">
            <v>Fire Alarm Break Glass Call Point</v>
          </cell>
          <cell r="D8135" t="str">
            <v>Thee Ghar Primary School</v>
          </cell>
          <cell r="H8135" t="str">
            <v>AD</v>
          </cell>
        </row>
        <row r="8136">
          <cell r="B8136" t="str">
            <v>Fire Alarm Break Glass Call Point</v>
          </cell>
          <cell r="D8136" t="str">
            <v>Thee Ghar Primary School</v>
          </cell>
          <cell r="H8136" t="str">
            <v>AD</v>
          </cell>
        </row>
        <row r="8137">
          <cell r="B8137" t="str">
            <v>Fire Alarm Break Glass Call Point</v>
          </cell>
          <cell r="D8137" t="str">
            <v>Thee Ghar Primary School</v>
          </cell>
          <cell r="H8137" t="str">
            <v>AD</v>
          </cell>
        </row>
        <row r="8138">
          <cell r="B8138" t="str">
            <v>Fire Alarm Break Glass Call Point</v>
          </cell>
          <cell r="D8138" t="str">
            <v>Thee Ghar Primary School</v>
          </cell>
          <cell r="H8138" t="str">
            <v>AD</v>
          </cell>
        </row>
        <row r="8139">
          <cell r="B8139" t="str">
            <v>Fire Alarm Break Glass Call Point</v>
          </cell>
          <cell r="D8139" t="str">
            <v>Thee Ghar Primary School</v>
          </cell>
          <cell r="H8139" t="str">
            <v>AD</v>
          </cell>
        </row>
        <row r="8140">
          <cell r="B8140" t="str">
            <v>Fire Alarm Break Glass Call Point</v>
          </cell>
          <cell r="D8140" t="str">
            <v>Thee Ghar Primary School</v>
          </cell>
          <cell r="H8140" t="str">
            <v>AD</v>
          </cell>
        </row>
        <row r="8141">
          <cell r="B8141" t="str">
            <v>Fire Alarm Break Glass Call Point</v>
          </cell>
          <cell r="D8141" t="str">
            <v>Thee Ghar Primary School</v>
          </cell>
          <cell r="H8141" t="str">
            <v>AD</v>
          </cell>
        </row>
        <row r="8142">
          <cell r="B8142" t="str">
            <v>Fire Alarm Break Glass Call Point</v>
          </cell>
          <cell r="D8142" t="str">
            <v>Thee Ghar Primary School</v>
          </cell>
          <cell r="H8142" t="str">
            <v>AD</v>
          </cell>
        </row>
        <row r="8143">
          <cell r="B8143" t="str">
            <v>Fire Alarm Break Glass Call Point</v>
          </cell>
          <cell r="D8143" t="str">
            <v>Thee Ghar Primary School</v>
          </cell>
          <cell r="H8143" t="str">
            <v>AD</v>
          </cell>
        </row>
        <row r="8144">
          <cell r="B8144" t="str">
            <v>Fire Alarm Break Glass Call Point</v>
          </cell>
          <cell r="D8144" t="str">
            <v>Thee Ghar Primary School</v>
          </cell>
          <cell r="H8144" t="str">
            <v>AD</v>
          </cell>
        </row>
        <row r="8145">
          <cell r="B8145" t="str">
            <v>Fire Alarm Break Glass Call Point</v>
          </cell>
          <cell r="D8145" t="str">
            <v>Thee Ghar Primary School</v>
          </cell>
          <cell r="H8145" t="str">
            <v>AD</v>
          </cell>
        </row>
        <row r="8146">
          <cell r="B8146" t="str">
            <v>Fire Alarm Break Glass Call Point</v>
          </cell>
          <cell r="D8146" t="str">
            <v>Thee Ghar Primary School</v>
          </cell>
          <cell r="H8146" t="str">
            <v>AD</v>
          </cell>
        </row>
        <row r="8147">
          <cell r="B8147" t="str">
            <v>Fire Alarm Break Glass Call Point</v>
          </cell>
          <cell r="D8147" t="str">
            <v>Thee Ghar Primary School</v>
          </cell>
          <cell r="H8147" t="str">
            <v>AD</v>
          </cell>
        </row>
        <row r="8148">
          <cell r="B8148" t="str">
            <v>Fire Alarm Break Glass Call Point</v>
          </cell>
          <cell r="D8148" t="str">
            <v>Thee Ghar Primary School</v>
          </cell>
          <cell r="H8148" t="str">
            <v>AD</v>
          </cell>
        </row>
        <row r="8149">
          <cell r="B8149" t="str">
            <v>Fire Alarm Panel</v>
          </cell>
          <cell r="D8149" t="str">
            <v>Thee Ghar Primary School</v>
          </cell>
          <cell r="H8149" t="str">
            <v>AD</v>
          </cell>
        </row>
        <row r="8150">
          <cell r="B8150" t="str">
            <v>Fire Alarm Panel</v>
          </cell>
          <cell r="D8150" t="str">
            <v>Thee Ghar Primary School</v>
          </cell>
          <cell r="H8150" t="str">
            <v>AD</v>
          </cell>
        </row>
        <row r="8151">
          <cell r="B8151" t="str">
            <v>Fire Alarm Panel</v>
          </cell>
          <cell r="D8151" t="str">
            <v>Thee Ghar Primary School</v>
          </cell>
          <cell r="H8151" t="str">
            <v>AD</v>
          </cell>
        </row>
        <row r="8152">
          <cell r="B8152" t="str">
            <v>Fire Alarm Sounder, Bell, Light</v>
          </cell>
          <cell r="D8152" t="str">
            <v>Thee Ghar Primary School</v>
          </cell>
          <cell r="H8152" t="str">
            <v>AD</v>
          </cell>
        </row>
        <row r="8153">
          <cell r="B8153" t="str">
            <v>Fire Alarm Sounder, Bell, Light</v>
          </cell>
          <cell r="D8153" t="str">
            <v>Thee Ghar Primary School</v>
          </cell>
          <cell r="H8153" t="str">
            <v>AD</v>
          </cell>
        </row>
        <row r="8154">
          <cell r="B8154" t="str">
            <v>Fire Alarm Sounder, Bell, Light</v>
          </cell>
          <cell r="D8154" t="str">
            <v>Thee Ghar Primary School</v>
          </cell>
          <cell r="H8154" t="str">
            <v>AD</v>
          </cell>
        </row>
        <row r="8155">
          <cell r="B8155" t="str">
            <v>Fire Alarm Sounder, Bell, Light</v>
          </cell>
          <cell r="D8155" t="str">
            <v>Thee Ghar Primary School</v>
          </cell>
          <cell r="H8155" t="str">
            <v>AD</v>
          </cell>
        </row>
        <row r="8156">
          <cell r="B8156" t="str">
            <v>Fire Alarm Sounder, Bell, Light</v>
          </cell>
          <cell r="D8156" t="str">
            <v>Thee Ghar Primary School</v>
          </cell>
          <cell r="H8156" t="str">
            <v>AD</v>
          </cell>
        </row>
        <row r="8157">
          <cell r="B8157" t="str">
            <v>Fire Alarm Sounder, Bell, Light</v>
          </cell>
          <cell r="D8157" t="str">
            <v>Thee Ghar Primary School</v>
          </cell>
          <cell r="H8157" t="str">
            <v>AD</v>
          </cell>
        </row>
        <row r="8158">
          <cell r="B8158" t="str">
            <v>Fire Alarm Sounder, Bell, Light</v>
          </cell>
          <cell r="D8158" t="str">
            <v>Thee Ghar Primary School</v>
          </cell>
          <cell r="H8158" t="str">
            <v>AD</v>
          </cell>
        </row>
        <row r="8159">
          <cell r="B8159" t="str">
            <v>Fire Alarm Sounder, Bell, Light</v>
          </cell>
          <cell r="D8159" t="str">
            <v>Thee Ghar Primary School</v>
          </cell>
          <cell r="H8159" t="str">
            <v>AD</v>
          </cell>
        </row>
        <row r="8160">
          <cell r="B8160" t="str">
            <v>Fire Alarm Sounder, Bell, Light</v>
          </cell>
          <cell r="D8160" t="str">
            <v>Thee Ghar Primary School</v>
          </cell>
          <cell r="H8160" t="str">
            <v>AD</v>
          </cell>
        </row>
        <row r="8161">
          <cell r="B8161" t="str">
            <v>Fire Alarm Sounder, Bell, Light</v>
          </cell>
          <cell r="D8161" t="str">
            <v>Thee Ghar Primary School</v>
          </cell>
          <cell r="H8161" t="str">
            <v>AD</v>
          </cell>
        </row>
        <row r="8162">
          <cell r="B8162" t="str">
            <v>Fire Alarm Sounder, Bell, Light</v>
          </cell>
          <cell r="D8162" t="str">
            <v>Thee Ghar Primary School</v>
          </cell>
          <cell r="H8162" t="str">
            <v>AD</v>
          </cell>
        </row>
        <row r="8163">
          <cell r="B8163" t="str">
            <v>Fire Alarm Sounder, Bell, Light</v>
          </cell>
          <cell r="D8163" t="str">
            <v>Thee Ghar Primary School</v>
          </cell>
          <cell r="H8163" t="str">
            <v>AD</v>
          </cell>
        </row>
        <row r="8164">
          <cell r="B8164" t="str">
            <v>Fire Alarm Sounder, Bell, Light</v>
          </cell>
          <cell r="D8164" t="str">
            <v>Thee Ghar Primary School</v>
          </cell>
          <cell r="H8164" t="str">
            <v>AD</v>
          </cell>
        </row>
        <row r="8165">
          <cell r="B8165" t="str">
            <v>Fire Alarm Sounder, Bell, Light</v>
          </cell>
          <cell r="D8165" t="str">
            <v>Thee Ghar Primary School</v>
          </cell>
          <cell r="H8165" t="str">
            <v>AD</v>
          </cell>
        </row>
        <row r="8166">
          <cell r="B8166" t="str">
            <v>Fire Alarm Sounder, Bell, Light</v>
          </cell>
          <cell r="D8166" t="str">
            <v>Thee Ghar Primary School</v>
          </cell>
          <cell r="H8166" t="str">
            <v>AD</v>
          </cell>
        </row>
        <row r="8167">
          <cell r="B8167" t="str">
            <v>Fire Alarm Sounder, Bell, Light</v>
          </cell>
          <cell r="D8167" t="str">
            <v>Thee Ghar Primary School</v>
          </cell>
          <cell r="H8167" t="str">
            <v>AD</v>
          </cell>
        </row>
        <row r="8168">
          <cell r="B8168" t="str">
            <v>Fire Alarm Sounder, Bell, Light</v>
          </cell>
          <cell r="D8168" t="str">
            <v>Thee Ghar Primary School</v>
          </cell>
          <cell r="H8168" t="str">
            <v>AD</v>
          </cell>
        </row>
        <row r="8169">
          <cell r="B8169" t="str">
            <v>Fire Alarm Sounder, Bell, Light</v>
          </cell>
          <cell r="D8169" t="str">
            <v>Thee Ghar Primary School</v>
          </cell>
          <cell r="H8169" t="str">
            <v>AD</v>
          </cell>
        </row>
        <row r="8170">
          <cell r="B8170" t="str">
            <v>Fire Beam Detector - Receiver</v>
          </cell>
          <cell r="D8170" t="str">
            <v>Thee Ghar Primary School</v>
          </cell>
          <cell r="H8170" t="str">
            <v>AD</v>
          </cell>
        </row>
        <row r="8171">
          <cell r="B8171" t="str">
            <v>Fire Beam Detector - Receiver</v>
          </cell>
          <cell r="D8171" t="str">
            <v>Thee Ghar Primary School</v>
          </cell>
          <cell r="H8171" t="str">
            <v>AD</v>
          </cell>
        </row>
        <row r="8172">
          <cell r="B8172" t="str">
            <v>Fire Extinguisher</v>
          </cell>
          <cell r="D8172" t="str">
            <v>Thee Ghar Primary School</v>
          </cell>
          <cell r="H8172" t="str">
            <v>AD</v>
          </cell>
        </row>
        <row r="8173">
          <cell r="B8173" t="str">
            <v>Fire Extinguisher</v>
          </cell>
          <cell r="D8173" t="str">
            <v>Thee Ghar Primary School</v>
          </cell>
          <cell r="H8173" t="str">
            <v>AD</v>
          </cell>
        </row>
        <row r="8174">
          <cell r="B8174" t="str">
            <v>Fire Extinguisher</v>
          </cell>
          <cell r="D8174" t="str">
            <v>Thee Ghar Primary School</v>
          </cell>
          <cell r="H8174" t="str">
            <v>AD</v>
          </cell>
        </row>
        <row r="8175">
          <cell r="B8175" t="str">
            <v>Fire Extinguisher</v>
          </cell>
          <cell r="D8175" t="str">
            <v>Thee Ghar Primary School</v>
          </cell>
          <cell r="H8175" t="str">
            <v>AD</v>
          </cell>
        </row>
        <row r="8176">
          <cell r="B8176" t="str">
            <v>Fire Extinguisher</v>
          </cell>
          <cell r="D8176" t="str">
            <v>Thee Ghar Primary School</v>
          </cell>
          <cell r="H8176" t="str">
            <v>AD</v>
          </cell>
        </row>
        <row r="8177">
          <cell r="B8177" t="str">
            <v>Fire Extinguisher</v>
          </cell>
          <cell r="D8177" t="str">
            <v>Thee Ghar Primary School</v>
          </cell>
          <cell r="H8177" t="str">
            <v>AD</v>
          </cell>
        </row>
        <row r="8178">
          <cell r="B8178" t="str">
            <v>Fire Extinguisher</v>
          </cell>
          <cell r="D8178" t="str">
            <v>Thee Ghar Primary School</v>
          </cell>
          <cell r="H8178" t="str">
            <v>AD</v>
          </cell>
        </row>
        <row r="8179">
          <cell r="B8179" t="str">
            <v>Fire Extinguisher</v>
          </cell>
          <cell r="D8179" t="str">
            <v>Thee Ghar Primary School</v>
          </cell>
          <cell r="H8179" t="str">
            <v>AD</v>
          </cell>
        </row>
        <row r="8180">
          <cell r="B8180" t="str">
            <v>Fire Extinguisher</v>
          </cell>
          <cell r="D8180" t="str">
            <v>Thee Ghar Primary School</v>
          </cell>
          <cell r="H8180" t="str">
            <v>AD</v>
          </cell>
        </row>
        <row r="8181">
          <cell r="B8181" t="str">
            <v>Fire Extinguisher</v>
          </cell>
          <cell r="D8181" t="str">
            <v>Thee Ghar Primary School</v>
          </cell>
          <cell r="H8181" t="str">
            <v>AD</v>
          </cell>
        </row>
        <row r="8182">
          <cell r="B8182" t="str">
            <v>Fire Extinguisher</v>
          </cell>
          <cell r="D8182" t="str">
            <v>Thee Ghar Primary School</v>
          </cell>
          <cell r="H8182" t="str">
            <v>AD</v>
          </cell>
        </row>
        <row r="8183">
          <cell r="B8183" t="str">
            <v>Fire Extinguisher</v>
          </cell>
          <cell r="D8183" t="str">
            <v>Thee Ghar Primary School</v>
          </cell>
          <cell r="H8183" t="str">
            <v>AD</v>
          </cell>
        </row>
        <row r="8184">
          <cell r="B8184" t="str">
            <v>Fire Extinguisher</v>
          </cell>
          <cell r="D8184" t="str">
            <v>Thee Ghar Primary School</v>
          </cell>
          <cell r="H8184" t="str">
            <v>AD</v>
          </cell>
        </row>
        <row r="8185">
          <cell r="B8185" t="str">
            <v>Fire Extinguisher</v>
          </cell>
          <cell r="D8185" t="str">
            <v>Thee Ghar Primary School</v>
          </cell>
          <cell r="H8185" t="str">
            <v>AD</v>
          </cell>
        </row>
        <row r="8186">
          <cell r="B8186" t="str">
            <v>Fire Extinguisher</v>
          </cell>
          <cell r="D8186" t="str">
            <v>Thee Ghar Primary School</v>
          </cell>
          <cell r="H8186" t="str">
            <v>AD</v>
          </cell>
        </row>
        <row r="8187">
          <cell r="B8187" t="str">
            <v>Fire Extinguisher</v>
          </cell>
          <cell r="D8187" t="str">
            <v>Thee Ghar Primary School</v>
          </cell>
          <cell r="H8187" t="str">
            <v>AD</v>
          </cell>
        </row>
        <row r="8188">
          <cell r="B8188" t="str">
            <v>Fire Extinguisher</v>
          </cell>
          <cell r="D8188" t="str">
            <v>Thee Ghar Primary School</v>
          </cell>
          <cell r="H8188" t="str">
            <v>AD</v>
          </cell>
        </row>
        <row r="8189">
          <cell r="B8189" t="str">
            <v>Fire Extinguisher</v>
          </cell>
          <cell r="D8189" t="str">
            <v>Thee Ghar Primary School</v>
          </cell>
          <cell r="H8189" t="str">
            <v>AD</v>
          </cell>
        </row>
        <row r="8190">
          <cell r="B8190" t="str">
            <v>Fire Extinguisher</v>
          </cell>
          <cell r="D8190" t="str">
            <v>Thee Ghar Primary School</v>
          </cell>
          <cell r="H8190" t="str">
            <v>AD</v>
          </cell>
        </row>
        <row r="8191">
          <cell r="B8191" t="str">
            <v>Fire Extinguisher</v>
          </cell>
          <cell r="D8191" t="str">
            <v>Thee Ghar Primary School</v>
          </cell>
          <cell r="H8191" t="str">
            <v>AD</v>
          </cell>
        </row>
        <row r="8192">
          <cell r="B8192" t="str">
            <v>Fire Hose Reel</v>
          </cell>
          <cell r="D8192" t="str">
            <v>Thee Ghar Primary School</v>
          </cell>
          <cell r="H8192" t="str">
            <v>AD</v>
          </cell>
        </row>
        <row r="8193">
          <cell r="B8193" t="str">
            <v>Fire Hose Reel</v>
          </cell>
          <cell r="D8193" t="str">
            <v>Thee Ghar Primary School</v>
          </cell>
          <cell r="H8193" t="str">
            <v>AD</v>
          </cell>
        </row>
        <row r="8194">
          <cell r="B8194" t="str">
            <v>Fire Hose Reel</v>
          </cell>
          <cell r="D8194" t="str">
            <v>Thee Ghar Primary School</v>
          </cell>
          <cell r="H8194" t="str">
            <v>AD</v>
          </cell>
        </row>
        <row r="8195">
          <cell r="B8195" t="str">
            <v>Fire Hose Reel</v>
          </cell>
          <cell r="D8195" t="str">
            <v>Thee Ghar Primary School</v>
          </cell>
          <cell r="H8195" t="str">
            <v>AD</v>
          </cell>
        </row>
        <row r="8196">
          <cell r="B8196" t="str">
            <v>Fire Hose Reel</v>
          </cell>
          <cell r="D8196" t="str">
            <v>Thee Ghar Primary School</v>
          </cell>
          <cell r="H8196" t="str">
            <v>AD</v>
          </cell>
        </row>
        <row r="8197">
          <cell r="B8197" t="str">
            <v>FIRE PUMP - Diesel</v>
          </cell>
          <cell r="D8197" t="str">
            <v>Thee Ghar Primary School</v>
          </cell>
          <cell r="H8197" t="str">
            <v>AD</v>
          </cell>
        </row>
        <row r="8198">
          <cell r="B8198" t="str">
            <v>FIRE PUMP - Electric</v>
          </cell>
          <cell r="D8198" t="str">
            <v>Thee Ghar Primary School</v>
          </cell>
          <cell r="H8198" t="str">
            <v>AD</v>
          </cell>
        </row>
        <row r="8199">
          <cell r="B8199" t="str">
            <v>Fire Smoke / Heat Detector, Sounder</v>
          </cell>
          <cell r="D8199" t="str">
            <v>Thee Ghar Primary School</v>
          </cell>
          <cell r="H8199" t="str">
            <v>AD</v>
          </cell>
        </row>
        <row r="8200">
          <cell r="B8200" t="str">
            <v>Fire Smoke / Heat Detector, Sounder</v>
          </cell>
          <cell r="D8200" t="str">
            <v>Thee Ghar Primary School</v>
          </cell>
          <cell r="H8200" t="str">
            <v>AD</v>
          </cell>
        </row>
        <row r="8201">
          <cell r="B8201" t="str">
            <v>Fire Smoke / Heat Detector, Sounder</v>
          </cell>
          <cell r="D8201" t="str">
            <v>Thee Ghar Primary School</v>
          </cell>
          <cell r="H8201" t="str">
            <v>AD</v>
          </cell>
        </row>
        <row r="8202">
          <cell r="B8202" t="str">
            <v>Fire Smoke / Heat Detector, Sounder</v>
          </cell>
          <cell r="D8202" t="str">
            <v>Thee Ghar Primary School</v>
          </cell>
          <cell r="H8202" t="str">
            <v>AD</v>
          </cell>
        </row>
        <row r="8203">
          <cell r="B8203" t="str">
            <v>Fire Smoke / Heat Detector, Sounder</v>
          </cell>
          <cell r="D8203" t="str">
            <v>Thee Ghar Primary School</v>
          </cell>
          <cell r="H8203" t="str">
            <v>AD</v>
          </cell>
        </row>
        <row r="8204">
          <cell r="B8204" t="str">
            <v>Fire Smoke / Heat Detector, Sounder</v>
          </cell>
          <cell r="D8204" t="str">
            <v>Thee Ghar Primary School</v>
          </cell>
          <cell r="H8204" t="str">
            <v>AD</v>
          </cell>
        </row>
        <row r="8205">
          <cell r="B8205" t="str">
            <v>Fire Smoke / Heat Detector, Sounder</v>
          </cell>
          <cell r="D8205" t="str">
            <v>Thee Ghar Primary School</v>
          </cell>
          <cell r="H8205" t="str">
            <v>AD</v>
          </cell>
        </row>
        <row r="8206">
          <cell r="B8206" t="str">
            <v>Fire Smoke / Heat Detector, Sounder</v>
          </cell>
          <cell r="D8206" t="str">
            <v>Thee Ghar Primary School</v>
          </cell>
          <cell r="H8206" t="str">
            <v>AD</v>
          </cell>
        </row>
        <row r="8207">
          <cell r="B8207" t="str">
            <v>Fire Smoke / Heat Detector, Sounder</v>
          </cell>
          <cell r="D8207" t="str">
            <v>Thee Ghar Primary School</v>
          </cell>
          <cell r="H8207" t="str">
            <v>AD</v>
          </cell>
        </row>
        <row r="8208">
          <cell r="B8208" t="str">
            <v>Fire Smoke / Heat Detector, Sounder</v>
          </cell>
          <cell r="D8208" t="str">
            <v>Thee Ghar Primary School</v>
          </cell>
          <cell r="H8208" t="str">
            <v>AD</v>
          </cell>
        </row>
        <row r="8209">
          <cell r="B8209" t="str">
            <v>Fire Smoke / Heat Detector, Sounder</v>
          </cell>
          <cell r="D8209" t="str">
            <v>Thee Ghar Primary School</v>
          </cell>
          <cell r="H8209" t="str">
            <v>AD</v>
          </cell>
        </row>
        <row r="8210">
          <cell r="B8210" t="str">
            <v>Fire Smoke / Heat Detector, Sounder</v>
          </cell>
          <cell r="D8210" t="str">
            <v>Thee Ghar Primary School</v>
          </cell>
          <cell r="H8210" t="str">
            <v>AD</v>
          </cell>
        </row>
        <row r="8211">
          <cell r="B8211" t="str">
            <v>Fire Smoke / Heat Detector, Sounder</v>
          </cell>
          <cell r="D8211" t="str">
            <v>Thee Ghar Primary School</v>
          </cell>
          <cell r="H8211" t="str">
            <v>AD</v>
          </cell>
        </row>
        <row r="8212">
          <cell r="B8212" t="str">
            <v>Fire Smoke / Heat Detector, Sounder</v>
          </cell>
          <cell r="D8212" t="str">
            <v>Thee Ghar Primary School</v>
          </cell>
          <cell r="H8212" t="str">
            <v>AD</v>
          </cell>
        </row>
        <row r="8213">
          <cell r="B8213" t="str">
            <v>Fire Smoke / Heat Detector, Sounder</v>
          </cell>
          <cell r="D8213" t="str">
            <v>Thee Ghar Primary School</v>
          </cell>
          <cell r="H8213" t="str">
            <v>AD</v>
          </cell>
        </row>
        <row r="8214">
          <cell r="B8214" t="str">
            <v>Fire Smoke / Heat Detector, Sounder</v>
          </cell>
          <cell r="D8214" t="str">
            <v>Thee Ghar Primary School</v>
          </cell>
          <cell r="H8214" t="str">
            <v>AD</v>
          </cell>
        </row>
        <row r="8215">
          <cell r="B8215" t="str">
            <v>Fire Smoke / Heat Detector, Sounder</v>
          </cell>
          <cell r="D8215" t="str">
            <v>Thee Ghar Primary School</v>
          </cell>
          <cell r="H8215" t="str">
            <v>AD</v>
          </cell>
        </row>
        <row r="8216">
          <cell r="B8216" t="str">
            <v>Fire Smoke / Heat Detector, Sounder</v>
          </cell>
          <cell r="D8216" t="str">
            <v>Thee Ghar Primary School</v>
          </cell>
          <cell r="H8216" t="str">
            <v>AD</v>
          </cell>
        </row>
        <row r="8217">
          <cell r="B8217" t="str">
            <v>Fire Smoke / Heat Detector, Sounder</v>
          </cell>
          <cell r="D8217" t="str">
            <v>Thee Ghar Primary School</v>
          </cell>
          <cell r="H8217" t="str">
            <v>AD</v>
          </cell>
        </row>
        <row r="8218">
          <cell r="B8218" t="str">
            <v>Fire Smoke / Heat Detector, Sounder</v>
          </cell>
          <cell r="D8218" t="str">
            <v>Thee Ghar Primary School</v>
          </cell>
          <cell r="H8218" t="str">
            <v>AD</v>
          </cell>
        </row>
        <row r="8219">
          <cell r="B8219" t="str">
            <v>Fire Smoke / Heat Detector, Sounder</v>
          </cell>
          <cell r="D8219" t="str">
            <v>Thee Ghar Primary School</v>
          </cell>
          <cell r="H8219" t="str">
            <v>AD</v>
          </cell>
        </row>
        <row r="8220">
          <cell r="B8220" t="str">
            <v>Fire Smoke / Heat Detector, Sounder</v>
          </cell>
          <cell r="D8220" t="str">
            <v>Thee Ghar Primary School</v>
          </cell>
          <cell r="H8220" t="str">
            <v>AD</v>
          </cell>
        </row>
        <row r="8221">
          <cell r="B8221" t="str">
            <v>Fire Smoke / Heat Detector, Sounder</v>
          </cell>
          <cell r="D8221" t="str">
            <v>Thee Ghar Primary School</v>
          </cell>
          <cell r="H8221" t="str">
            <v>AD</v>
          </cell>
        </row>
        <row r="8222">
          <cell r="B8222" t="str">
            <v>Fire Smoke / Heat Detector, Sounder</v>
          </cell>
          <cell r="D8222" t="str">
            <v>Thee Ghar Primary School</v>
          </cell>
          <cell r="H8222" t="str">
            <v>AD</v>
          </cell>
        </row>
        <row r="8223">
          <cell r="B8223" t="str">
            <v>Fire Smoke / Heat Detector, Sounder</v>
          </cell>
          <cell r="D8223" t="str">
            <v>Thee Ghar Primary School</v>
          </cell>
          <cell r="H8223" t="str">
            <v>AD</v>
          </cell>
        </row>
        <row r="8224">
          <cell r="B8224" t="str">
            <v>Fire Smoke / Heat Detector, Sounder</v>
          </cell>
          <cell r="D8224" t="str">
            <v>Thee Ghar Primary School</v>
          </cell>
          <cell r="H8224" t="str">
            <v>AD</v>
          </cell>
        </row>
        <row r="8225">
          <cell r="B8225" t="str">
            <v>Fire Smoke / Heat Detector, Sounder</v>
          </cell>
          <cell r="D8225" t="str">
            <v>Thee Ghar Primary School</v>
          </cell>
          <cell r="H8225" t="str">
            <v>AD</v>
          </cell>
        </row>
        <row r="8226">
          <cell r="B8226" t="str">
            <v>Fire Smoke / Heat Detector, Sounder</v>
          </cell>
          <cell r="D8226" t="str">
            <v>Thee Ghar Primary School</v>
          </cell>
          <cell r="H8226" t="str">
            <v>AD</v>
          </cell>
        </row>
        <row r="8227">
          <cell r="B8227" t="str">
            <v>Fire Smoke / Heat Detector, Sounder</v>
          </cell>
          <cell r="D8227" t="str">
            <v>Thee Ghar Primary School</v>
          </cell>
          <cell r="H8227" t="str">
            <v>AD</v>
          </cell>
        </row>
        <row r="8228">
          <cell r="B8228" t="str">
            <v>Fire Smoke / Heat Detector, Sounder</v>
          </cell>
          <cell r="D8228" t="str">
            <v>Thee Ghar Primary School</v>
          </cell>
          <cell r="H8228" t="str">
            <v>AD</v>
          </cell>
        </row>
        <row r="8229">
          <cell r="B8229" t="str">
            <v>Fire Smoke / Heat Detector, Sounder</v>
          </cell>
          <cell r="D8229" t="str">
            <v>Thee Ghar Primary School</v>
          </cell>
          <cell r="H8229" t="str">
            <v>AD</v>
          </cell>
        </row>
        <row r="8230">
          <cell r="B8230" t="str">
            <v>Fire Smoke / Heat Detector, Sounder</v>
          </cell>
          <cell r="D8230" t="str">
            <v>Thee Ghar Primary School</v>
          </cell>
          <cell r="H8230" t="str">
            <v>AD</v>
          </cell>
        </row>
        <row r="8231">
          <cell r="B8231" t="str">
            <v>Fire Smoke / Heat Detector, Sounder</v>
          </cell>
          <cell r="D8231" t="str">
            <v>Thee Ghar Primary School</v>
          </cell>
          <cell r="H8231" t="str">
            <v>AD</v>
          </cell>
        </row>
        <row r="8232">
          <cell r="B8232" t="str">
            <v>Fire Smoke / Heat Detector, Sounder</v>
          </cell>
          <cell r="D8232" t="str">
            <v>Thee Ghar Primary School</v>
          </cell>
          <cell r="H8232" t="str">
            <v>AD</v>
          </cell>
        </row>
        <row r="8233">
          <cell r="B8233" t="str">
            <v>Fire Smoke / Heat Detector, Sounder</v>
          </cell>
          <cell r="D8233" t="str">
            <v>Thee Ghar Primary School</v>
          </cell>
          <cell r="H8233" t="str">
            <v>AD</v>
          </cell>
        </row>
        <row r="8234">
          <cell r="B8234" t="str">
            <v>Fire Smoke / Heat Detector, Sounder</v>
          </cell>
          <cell r="D8234" t="str">
            <v>Thee Ghar Primary School</v>
          </cell>
          <cell r="H8234" t="str">
            <v>AD</v>
          </cell>
        </row>
        <row r="8235">
          <cell r="B8235" t="str">
            <v>Fire Smoke / Heat Detector, Sounder</v>
          </cell>
          <cell r="D8235" t="str">
            <v>Thee Ghar Primary School</v>
          </cell>
          <cell r="H8235" t="str">
            <v>AD</v>
          </cell>
        </row>
        <row r="8236">
          <cell r="B8236" t="str">
            <v>Fire Smoke / Heat Detector, Sounder</v>
          </cell>
          <cell r="D8236" t="str">
            <v>Thee Ghar Primary School</v>
          </cell>
          <cell r="H8236" t="str">
            <v>AD</v>
          </cell>
        </row>
        <row r="8237">
          <cell r="B8237" t="str">
            <v>Fire Smoke / Heat Detector, Sounder</v>
          </cell>
          <cell r="D8237" t="str">
            <v>Thee Ghar Primary School</v>
          </cell>
          <cell r="H8237" t="str">
            <v>AD</v>
          </cell>
        </row>
        <row r="8238">
          <cell r="B8238" t="str">
            <v>Fire Smoke / Heat Detector, Sounder</v>
          </cell>
          <cell r="D8238" t="str">
            <v>Thee Ghar Primary School</v>
          </cell>
          <cell r="H8238" t="str">
            <v>AD</v>
          </cell>
        </row>
        <row r="8239">
          <cell r="B8239" t="str">
            <v>Fire Smoke / Heat Detector, Sounder</v>
          </cell>
          <cell r="D8239" t="str">
            <v>Thee Ghar Primary School</v>
          </cell>
          <cell r="H8239" t="str">
            <v>AD</v>
          </cell>
        </row>
        <row r="8240">
          <cell r="B8240" t="str">
            <v>Fire Smoke / Heat Detector, Sounder</v>
          </cell>
          <cell r="D8240" t="str">
            <v>Thee Ghar Primary School</v>
          </cell>
          <cell r="H8240" t="str">
            <v>AD</v>
          </cell>
        </row>
        <row r="8241">
          <cell r="B8241" t="str">
            <v>Fire Smoke / Heat Detector, Sounder</v>
          </cell>
          <cell r="D8241" t="str">
            <v>Thee Ghar Primary School</v>
          </cell>
          <cell r="H8241" t="str">
            <v>AD</v>
          </cell>
        </row>
        <row r="8242">
          <cell r="B8242" t="str">
            <v>Fire Smoke / Heat Detector, Sounder</v>
          </cell>
          <cell r="D8242" t="str">
            <v>Thee Ghar Primary School</v>
          </cell>
          <cell r="H8242" t="str">
            <v>AD</v>
          </cell>
        </row>
        <row r="8243">
          <cell r="B8243" t="str">
            <v>Fire Smoke / Heat Detector, Sounder</v>
          </cell>
          <cell r="D8243" t="str">
            <v>Thee Ghar Primary School</v>
          </cell>
          <cell r="H8243" t="str">
            <v>AD</v>
          </cell>
        </row>
        <row r="8244">
          <cell r="B8244" t="str">
            <v>Fire Smoke / Heat Detector, Sounder</v>
          </cell>
          <cell r="D8244" t="str">
            <v>Thee Ghar Primary School</v>
          </cell>
          <cell r="H8244" t="str">
            <v>AD</v>
          </cell>
        </row>
        <row r="8245">
          <cell r="B8245" t="str">
            <v>Fire Smoke / Heat Detector, Sounder</v>
          </cell>
          <cell r="D8245" t="str">
            <v>Thee Ghar Primary School</v>
          </cell>
          <cell r="H8245" t="str">
            <v>AD</v>
          </cell>
        </row>
        <row r="8246">
          <cell r="B8246" t="str">
            <v>Fire Smoke / Heat Detector, Sounder</v>
          </cell>
          <cell r="D8246" t="str">
            <v>Thee Ghar Primary School</v>
          </cell>
          <cell r="H8246" t="str">
            <v>AD</v>
          </cell>
        </row>
        <row r="8247">
          <cell r="B8247" t="str">
            <v>Fire Smoke / Heat Detector, Sounder</v>
          </cell>
          <cell r="D8247" t="str">
            <v>Thee Ghar Primary School</v>
          </cell>
          <cell r="H8247" t="str">
            <v>AD</v>
          </cell>
        </row>
        <row r="8248">
          <cell r="B8248" t="str">
            <v>Fire Smoke / Heat Detector, Sounder</v>
          </cell>
          <cell r="D8248" t="str">
            <v>Thee Ghar Primary School</v>
          </cell>
          <cell r="H8248" t="str">
            <v>AD</v>
          </cell>
        </row>
        <row r="8249">
          <cell r="B8249" t="str">
            <v>Fire Smoke / Heat Detector, Sounder</v>
          </cell>
          <cell r="D8249" t="str">
            <v>Thee Ghar Primary School</v>
          </cell>
          <cell r="H8249" t="str">
            <v>AD</v>
          </cell>
        </row>
        <row r="8250">
          <cell r="B8250" t="str">
            <v>Fire Smoke / Heat Detector, Sounder</v>
          </cell>
          <cell r="D8250" t="str">
            <v>Thee Ghar Primary School</v>
          </cell>
          <cell r="H8250" t="str">
            <v>AD</v>
          </cell>
        </row>
        <row r="8251">
          <cell r="B8251" t="str">
            <v>Fire Smoke / Heat Detector, Sounder</v>
          </cell>
          <cell r="D8251" t="str">
            <v>Thee Ghar Primary School</v>
          </cell>
          <cell r="H8251" t="str">
            <v>AD</v>
          </cell>
        </row>
        <row r="8252">
          <cell r="B8252" t="str">
            <v>Fire Smoke / Heat Detector, Sounder</v>
          </cell>
          <cell r="D8252" t="str">
            <v>Thee Ghar Primary School</v>
          </cell>
          <cell r="H8252" t="str">
            <v>AD</v>
          </cell>
        </row>
        <row r="8253">
          <cell r="B8253" t="str">
            <v>Fire Smoke / Heat Detector, Sounder</v>
          </cell>
          <cell r="D8253" t="str">
            <v>Thee Ghar Primary School</v>
          </cell>
          <cell r="H8253" t="str">
            <v>AD</v>
          </cell>
        </row>
        <row r="8254">
          <cell r="B8254" t="str">
            <v>Fire Smoke / Heat Detector, Sounder</v>
          </cell>
          <cell r="D8254" t="str">
            <v>Thee Ghar Primary School</v>
          </cell>
          <cell r="H8254" t="str">
            <v>AD</v>
          </cell>
        </row>
        <row r="8255">
          <cell r="B8255" t="str">
            <v>Chiller Unit</v>
          </cell>
          <cell r="D8255" t="str">
            <v>Um Al Emarat Secondary School - Abu Dhabi</v>
          </cell>
          <cell r="H8255" t="str">
            <v>AD</v>
          </cell>
        </row>
        <row r="8256">
          <cell r="B8256" t="str">
            <v>Chiller Unit</v>
          </cell>
          <cell r="D8256" t="str">
            <v>Um Al Emarat Secondary School - Abu Dhabi</v>
          </cell>
          <cell r="H8256" t="str">
            <v>AD</v>
          </cell>
        </row>
        <row r="8257">
          <cell r="B8257" t="str">
            <v>Chiller Unit</v>
          </cell>
          <cell r="D8257" t="str">
            <v>Um Al Emarat Secondary School - Abu Dhabi</v>
          </cell>
          <cell r="H8257" t="str">
            <v>AD</v>
          </cell>
        </row>
        <row r="8258">
          <cell r="B8258" t="str">
            <v>Fire Alarm Break Glass Call Point</v>
          </cell>
          <cell r="D8258" t="str">
            <v>Um Al Emarat Secondary School - Abu Dhabi</v>
          </cell>
          <cell r="H8258" t="str">
            <v>AD</v>
          </cell>
        </row>
        <row r="8259">
          <cell r="B8259" t="str">
            <v>Fire Alarm Break Glass Call Point</v>
          </cell>
          <cell r="D8259" t="str">
            <v>Um Al Emarat Secondary School - Abu Dhabi</v>
          </cell>
          <cell r="H8259" t="str">
            <v>AD</v>
          </cell>
        </row>
        <row r="8260">
          <cell r="B8260" t="str">
            <v>Fire Alarm Break Glass Call Point</v>
          </cell>
          <cell r="D8260" t="str">
            <v>Um Al Emarat Secondary School - Abu Dhabi</v>
          </cell>
          <cell r="H8260" t="str">
            <v>AD</v>
          </cell>
        </row>
        <row r="8261">
          <cell r="B8261" t="str">
            <v>Fire Alarm Break Glass Call Point</v>
          </cell>
          <cell r="D8261" t="str">
            <v>Um Al Emarat Secondary School - Abu Dhabi</v>
          </cell>
          <cell r="H8261" t="str">
            <v>AD</v>
          </cell>
        </row>
        <row r="8262">
          <cell r="B8262" t="str">
            <v>Fire Alarm Break Glass Call Point</v>
          </cell>
          <cell r="D8262" t="str">
            <v>Um Al Emarat Secondary School - Abu Dhabi</v>
          </cell>
          <cell r="H8262" t="str">
            <v>AD</v>
          </cell>
        </row>
        <row r="8263">
          <cell r="B8263" t="str">
            <v>Fire Alarm Break Glass Call Point</v>
          </cell>
          <cell r="D8263" t="str">
            <v>Um Al Emarat Secondary School - Abu Dhabi</v>
          </cell>
          <cell r="H8263" t="str">
            <v>AD</v>
          </cell>
        </row>
        <row r="8264">
          <cell r="B8264" t="str">
            <v>Fire Alarm Break Glass Call Point</v>
          </cell>
          <cell r="D8264" t="str">
            <v>Um Al Emarat Secondary School - Abu Dhabi</v>
          </cell>
          <cell r="H8264" t="str">
            <v>AD</v>
          </cell>
        </row>
        <row r="8265">
          <cell r="B8265" t="str">
            <v>Fire Alarm Break Glass Call Point</v>
          </cell>
          <cell r="D8265" t="str">
            <v>Um Al Emarat Secondary School - Abu Dhabi</v>
          </cell>
          <cell r="H8265" t="str">
            <v>AD</v>
          </cell>
        </row>
        <row r="8266">
          <cell r="B8266" t="str">
            <v>Fire Alarm Break Glass Call Point</v>
          </cell>
          <cell r="D8266" t="str">
            <v>Um Al Emarat Secondary School - Abu Dhabi</v>
          </cell>
          <cell r="H8266" t="str">
            <v>AD</v>
          </cell>
        </row>
        <row r="8267">
          <cell r="B8267" t="str">
            <v>Fire Alarm Break Glass Call Point</v>
          </cell>
          <cell r="D8267" t="str">
            <v>Um Al Emarat Secondary School - Abu Dhabi</v>
          </cell>
          <cell r="H8267" t="str">
            <v>AD</v>
          </cell>
        </row>
        <row r="8268">
          <cell r="B8268" t="str">
            <v>Fire Alarm Break Glass Call Point</v>
          </cell>
          <cell r="D8268" t="str">
            <v>Um Al Emarat Secondary School - Abu Dhabi</v>
          </cell>
          <cell r="H8268" t="str">
            <v>AD</v>
          </cell>
        </row>
        <row r="8269">
          <cell r="B8269" t="str">
            <v>Fire Alarm Break Glass Call Point</v>
          </cell>
          <cell r="D8269" t="str">
            <v>Um Al Emarat Secondary School - Abu Dhabi</v>
          </cell>
          <cell r="H8269" t="str">
            <v>AD</v>
          </cell>
        </row>
        <row r="8270">
          <cell r="B8270" t="str">
            <v>Fire Alarm Break Glass Call Point</v>
          </cell>
          <cell r="D8270" t="str">
            <v>Um Al Emarat Secondary School - Abu Dhabi</v>
          </cell>
          <cell r="H8270" t="str">
            <v>AD</v>
          </cell>
        </row>
        <row r="8271">
          <cell r="B8271" t="str">
            <v>Fire Alarm Break Glass Call Point</v>
          </cell>
          <cell r="D8271" t="str">
            <v>Um Al Emarat Secondary School - Abu Dhabi</v>
          </cell>
          <cell r="H8271" t="str">
            <v>AD</v>
          </cell>
        </row>
        <row r="8272">
          <cell r="B8272" t="str">
            <v>Fire Alarm Break Glass Call Point</v>
          </cell>
          <cell r="D8272" t="str">
            <v>Um Al Emarat Secondary School - Abu Dhabi</v>
          </cell>
          <cell r="H8272" t="str">
            <v>AD</v>
          </cell>
        </row>
        <row r="8273">
          <cell r="B8273" t="str">
            <v>Fire Alarm Break Glass Call Point</v>
          </cell>
          <cell r="D8273" t="str">
            <v>Um Al Emarat Secondary School - Abu Dhabi</v>
          </cell>
          <cell r="H8273" t="str">
            <v>AD</v>
          </cell>
        </row>
        <row r="8274">
          <cell r="B8274" t="str">
            <v>Fire Alarm Break Glass Call Point</v>
          </cell>
          <cell r="D8274" t="str">
            <v>Um Al Emarat Secondary School - Abu Dhabi</v>
          </cell>
          <cell r="H8274" t="str">
            <v>AD</v>
          </cell>
        </row>
        <row r="8275">
          <cell r="B8275" t="str">
            <v>Fire Alarm Break Glass Call Point</v>
          </cell>
          <cell r="D8275" t="str">
            <v>Um Al Emarat Secondary School - Abu Dhabi</v>
          </cell>
          <cell r="H8275" t="str">
            <v>AD</v>
          </cell>
        </row>
        <row r="8276">
          <cell r="B8276" t="str">
            <v>Fire Alarm Break Glass Call Point</v>
          </cell>
          <cell r="D8276" t="str">
            <v>Um Al Emarat Secondary School - Abu Dhabi</v>
          </cell>
          <cell r="H8276" t="str">
            <v>AD</v>
          </cell>
        </row>
        <row r="8277">
          <cell r="B8277" t="str">
            <v>Fire Alarm Panel</v>
          </cell>
          <cell r="D8277" t="str">
            <v>Um Al Emarat Secondary School - Abu Dhabi</v>
          </cell>
          <cell r="H8277" t="str">
            <v>AD</v>
          </cell>
        </row>
        <row r="8278">
          <cell r="B8278" t="str">
            <v>Fire Alarm Panel</v>
          </cell>
          <cell r="D8278" t="str">
            <v>Um Al Emarat Secondary School - Abu Dhabi</v>
          </cell>
          <cell r="H8278" t="str">
            <v>AD</v>
          </cell>
        </row>
        <row r="8279">
          <cell r="B8279" t="str">
            <v>Fire Alarm Sounder, Bell, Light</v>
          </cell>
          <cell r="D8279" t="str">
            <v>Um Al Emarat Secondary School - Abu Dhabi</v>
          </cell>
          <cell r="H8279" t="str">
            <v>AD</v>
          </cell>
        </row>
        <row r="8280">
          <cell r="B8280" t="str">
            <v>Fire Alarm Sounder, Bell, Light</v>
          </cell>
          <cell r="D8280" t="str">
            <v>Um Al Emarat Secondary School - Abu Dhabi</v>
          </cell>
          <cell r="H8280" t="str">
            <v>AD</v>
          </cell>
        </row>
        <row r="8281">
          <cell r="B8281" t="str">
            <v>Fire Alarm Sounder, Bell, Light</v>
          </cell>
          <cell r="D8281" t="str">
            <v>Um Al Emarat Secondary School - Abu Dhabi</v>
          </cell>
          <cell r="H8281" t="str">
            <v>AD</v>
          </cell>
        </row>
        <row r="8282">
          <cell r="B8282" t="str">
            <v>Fire Alarm Sounder, Bell, Light</v>
          </cell>
          <cell r="D8282" t="str">
            <v>Um Al Emarat Secondary School - Abu Dhabi</v>
          </cell>
          <cell r="H8282" t="str">
            <v>AD</v>
          </cell>
        </row>
        <row r="8283">
          <cell r="B8283" t="str">
            <v>Fire Alarm Sounder, Bell, Light</v>
          </cell>
          <cell r="D8283" t="str">
            <v>Um Al Emarat Secondary School - Abu Dhabi</v>
          </cell>
          <cell r="H8283" t="str">
            <v>AD</v>
          </cell>
        </row>
        <row r="8284">
          <cell r="B8284" t="str">
            <v>Fire Alarm Sounder, Bell, Light</v>
          </cell>
          <cell r="D8284" t="str">
            <v>Um Al Emarat Secondary School - Abu Dhabi</v>
          </cell>
          <cell r="H8284" t="str">
            <v>AD</v>
          </cell>
        </row>
        <row r="8285">
          <cell r="B8285" t="str">
            <v>Fire Alarm Sounder, Bell, Light</v>
          </cell>
          <cell r="D8285" t="str">
            <v>Um Al Emarat Secondary School - Abu Dhabi</v>
          </cell>
          <cell r="H8285" t="str">
            <v>AD</v>
          </cell>
        </row>
        <row r="8286">
          <cell r="B8286" t="str">
            <v>Fire Alarm Sounder, Bell, Light</v>
          </cell>
          <cell r="D8286" t="str">
            <v>Um Al Emarat Secondary School - Abu Dhabi</v>
          </cell>
          <cell r="H8286" t="str">
            <v>AD</v>
          </cell>
        </row>
        <row r="8287">
          <cell r="B8287" t="str">
            <v>Fire Alarm Sounder, Bell, Light</v>
          </cell>
          <cell r="D8287" t="str">
            <v>Um Al Emarat Secondary School - Abu Dhabi</v>
          </cell>
          <cell r="H8287" t="str">
            <v>AD</v>
          </cell>
        </row>
        <row r="8288">
          <cell r="B8288" t="str">
            <v>Fire Alarm Sounder, Bell, Light</v>
          </cell>
          <cell r="D8288" t="str">
            <v>Um Al Emarat Secondary School - Abu Dhabi</v>
          </cell>
          <cell r="H8288" t="str">
            <v>AD</v>
          </cell>
        </row>
        <row r="8289">
          <cell r="B8289" t="str">
            <v>Fire Alarm Sounder, Bell, Light</v>
          </cell>
          <cell r="D8289" t="str">
            <v>Um Al Emarat Secondary School - Abu Dhabi</v>
          </cell>
          <cell r="H8289" t="str">
            <v>AD</v>
          </cell>
        </row>
        <row r="8290">
          <cell r="B8290" t="str">
            <v>Fire Alarm Sounder, Bell, Light</v>
          </cell>
          <cell r="D8290" t="str">
            <v>Um Al Emarat Secondary School - Abu Dhabi</v>
          </cell>
          <cell r="H8290" t="str">
            <v>AD</v>
          </cell>
        </row>
        <row r="8291">
          <cell r="B8291" t="str">
            <v>Fire Alarm Sounder, Bell, Light</v>
          </cell>
          <cell r="D8291" t="str">
            <v>Um Al Emarat Secondary School - Abu Dhabi</v>
          </cell>
          <cell r="H8291" t="str">
            <v>AD</v>
          </cell>
        </row>
        <row r="8292">
          <cell r="B8292" t="str">
            <v>Fire Alarm Sounder, Bell, Light</v>
          </cell>
          <cell r="D8292" t="str">
            <v>Um Al Emarat Secondary School - Abu Dhabi</v>
          </cell>
          <cell r="H8292" t="str">
            <v>AD</v>
          </cell>
        </row>
        <row r="8293">
          <cell r="B8293" t="str">
            <v>Fire Alarm Sounder, Bell, Light</v>
          </cell>
          <cell r="D8293" t="str">
            <v>Um Al Emarat Secondary School - Abu Dhabi</v>
          </cell>
          <cell r="H8293" t="str">
            <v>AD</v>
          </cell>
        </row>
        <row r="8294">
          <cell r="B8294" t="str">
            <v>Fire Alarm Sounder, Bell, Light</v>
          </cell>
          <cell r="D8294" t="str">
            <v>Um Al Emarat Secondary School - Abu Dhabi</v>
          </cell>
          <cell r="H8294" t="str">
            <v>AD</v>
          </cell>
        </row>
        <row r="8295">
          <cell r="B8295" t="str">
            <v>Fire Alarm Sounder, Bell, Light</v>
          </cell>
          <cell r="D8295" t="str">
            <v>Um Al Emarat Secondary School - Abu Dhabi</v>
          </cell>
          <cell r="H8295" t="str">
            <v>AD</v>
          </cell>
        </row>
        <row r="8296">
          <cell r="B8296" t="str">
            <v>Fire Alarm Sounder, Bell, Light</v>
          </cell>
          <cell r="D8296" t="str">
            <v>Um Al Emarat Secondary School - Abu Dhabi</v>
          </cell>
          <cell r="H8296" t="str">
            <v>AD</v>
          </cell>
        </row>
        <row r="8297">
          <cell r="B8297" t="str">
            <v>Fire Alarm Sounder, Bell, Light</v>
          </cell>
          <cell r="D8297" t="str">
            <v>Um Al Emarat Secondary School - Abu Dhabi</v>
          </cell>
          <cell r="H8297" t="str">
            <v>AD</v>
          </cell>
        </row>
        <row r="8298">
          <cell r="B8298" t="str">
            <v>Fire Alarm Sounder, Bell, Light</v>
          </cell>
          <cell r="D8298" t="str">
            <v>Um Al Emarat Secondary School - Abu Dhabi</v>
          </cell>
          <cell r="H8298" t="str">
            <v>AD</v>
          </cell>
        </row>
        <row r="8299">
          <cell r="B8299" t="str">
            <v>Fire Alarm Sounder, Bell, Light</v>
          </cell>
          <cell r="D8299" t="str">
            <v>Um Al Emarat Secondary School - Abu Dhabi</v>
          </cell>
          <cell r="H8299" t="str">
            <v>AD</v>
          </cell>
        </row>
        <row r="8300">
          <cell r="B8300" t="str">
            <v>Fire Alarm Sounder, Bell, Light</v>
          </cell>
          <cell r="D8300" t="str">
            <v>Um Al Emarat Secondary School - Abu Dhabi</v>
          </cell>
          <cell r="H8300" t="str">
            <v>AD</v>
          </cell>
        </row>
        <row r="8301">
          <cell r="B8301" t="str">
            <v>Fire Alarm Sounder, Bell, Light</v>
          </cell>
          <cell r="D8301" t="str">
            <v>Um Al Emarat Secondary School - Abu Dhabi</v>
          </cell>
          <cell r="H8301" t="str">
            <v>AD</v>
          </cell>
        </row>
        <row r="8302">
          <cell r="B8302" t="str">
            <v>Fire Alarm Sounder, Bell, Light</v>
          </cell>
          <cell r="D8302" t="str">
            <v>Um Al Emarat Secondary School - Abu Dhabi</v>
          </cell>
          <cell r="H8302" t="str">
            <v>AD</v>
          </cell>
        </row>
        <row r="8303">
          <cell r="B8303" t="str">
            <v>Fire Alarm Sounder, Bell, Light</v>
          </cell>
          <cell r="D8303" t="str">
            <v>Um Al Emarat Secondary School - Abu Dhabi</v>
          </cell>
          <cell r="H8303" t="str">
            <v>AD</v>
          </cell>
        </row>
        <row r="8304">
          <cell r="B8304" t="str">
            <v>Fire Alarm Sounder, Bell, Light</v>
          </cell>
          <cell r="D8304" t="str">
            <v>Um Al Emarat Secondary School - Abu Dhabi</v>
          </cell>
          <cell r="H8304" t="str">
            <v>AD</v>
          </cell>
        </row>
        <row r="8305">
          <cell r="B8305" t="str">
            <v>Fire Alarm Sounder, Bell, Light</v>
          </cell>
          <cell r="D8305" t="str">
            <v>Um Al Emarat Secondary School - Abu Dhabi</v>
          </cell>
          <cell r="H8305" t="str">
            <v>AD</v>
          </cell>
        </row>
        <row r="8306">
          <cell r="B8306" t="str">
            <v>Fire Alarm Sounder, Bell, Light</v>
          </cell>
          <cell r="D8306" t="str">
            <v>Um Al Emarat Secondary School - Abu Dhabi</v>
          </cell>
          <cell r="H8306" t="str">
            <v>AD</v>
          </cell>
        </row>
        <row r="8307">
          <cell r="B8307" t="str">
            <v>Fire Alarm Sounder, Bell, Light</v>
          </cell>
          <cell r="D8307" t="str">
            <v>Um Al Emarat Secondary School - Abu Dhabi</v>
          </cell>
          <cell r="H8307" t="str">
            <v>AD</v>
          </cell>
        </row>
        <row r="8308">
          <cell r="B8308" t="str">
            <v>Fire Alarm Sounder, Bell, Light</v>
          </cell>
          <cell r="D8308" t="str">
            <v>Um Al Emarat Secondary School - Abu Dhabi</v>
          </cell>
          <cell r="H8308" t="str">
            <v>AD</v>
          </cell>
        </row>
        <row r="8309">
          <cell r="B8309" t="str">
            <v>Fire Alarm Sounder, Bell, Light</v>
          </cell>
          <cell r="D8309" t="str">
            <v>Um Al Emarat Secondary School - Abu Dhabi</v>
          </cell>
          <cell r="H8309" t="str">
            <v>AD</v>
          </cell>
        </row>
        <row r="8310">
          <cell r="B8310" t="str">
            <v>Fire Alarm Sounder, Bell, Light</v>
          </cell>
          <cell r="D8310" t="str">
            <v>Um Al Emarat Secondary School - Abu Dhabi</v>
          </cell>
          <cell r="H8310" t="str">
            <v>AD</v>
          </cell>
        </row>
        <row r="8311">
          <cell r="B8311" t="str">
            <v>Fire Blanket</v>
          </cell>
          <cell r="D8311" t="str">
            <v>Um Al Emarat Secondary School - Abu Dhabi</v>
          </cell>
          <cell r="H8311" t="str">
            <v>AD</v>
          </cell>
        </row>
        <row r="8312">
          <cell r="B8312" t="str">
            <v>Fire Blanket</v>
          </cell>
          <cell r="D8312" t="str">
            <v>Um Al Emarat Secondary School - Abu Dhabi</v>
          </cell>
          <cell r="H8312" t="str">
            <v>AD</v>
          </cell>
        </row>
        <row r="8313">
          <cell r="B8313" t="str">
            <v>Fire Blanket</v>
          </cell>
          <cell r="D8313" t="str">
            <v>Um Al Emarat Secondary School - Abu Dhabi</v>
          </cell>
          <cell r="H8313" t="str">
            <v>AD</v>
          </cell>
        </row>
        <row r="8314">
          <cell r="B8314" t="str">
            <v>Fire Blanket</v>
          </cell>
          <cell r="D8314" t="str">
            <v>Um Al Emarat Secondary School - Abu Dhabi</v>
          </cell>
          <cell r="H8314" t="str">
            <v>AD</v>
          </cell>
        </row>
        <row r="8315">
          <cell r="B8315" t="str">
            <v>Fire Blanket</v>
          </cell>
          <cell r="D8315" t="str">
            <v>Um Al Emarat Secondary School - Abu Dhabi</v>
          </cell>
          <cell r="H8315" t="str">
            <v>AD</v>
          </cell>
        </row>
        <row r="8316">
          <cell r="B8316" t="str">
            <v>Fire Blanket</v>
          </cell>
          <cell r="D8316" t="str">
            <v>Um Al Emarat Secondary School - Abu Dhabi</v>
          </cell>
          <cell r="H8316" t="str">
            <v>AD</v>
          </cell>
        </row>
        <row r="8317">
          <cell r="B8317" t="str">
            <v>Fire Extinguisher</v>
          </cell>
          <cell r="D8317" t="str">
            <v>Um Al Emarat Secondary School - Abu Dhabi</v>
          </cell>
          <cell r="H8317" t="str">
            <v>AD</v>
          </cell>
        </row>
        <row r="8318">
          <cell r="B8318" t="str">
            <v>Fire Extinguisher</v>
          </cell>
          <cell r="D8318" t="str">
            <v>Um Al Emarat Secondary School - Abu Dhabi</v>
          </cell>
          <cell r="H8318" t="str">
            <v>AD</v>
          </cell>
        </row>
        <row r="8319">
          <cell r="B8319" t="str">
            <v>Fire Extinguisher</v>
          </cell>
          <cell r="D8319" t="str">
            <v>Um Al Emarat Secondary School - Abu Dhabi</v>
          </cell>
          <cell r="H8319" t="str">
            <v>AD</v>
          </cell>
        </row>
        <row r="8320">
          <cell r="B8320" t="str">
            <v>Fire Extinguisher</v>
          </cell>
          <cell r="D8320" t="str">
            <v>Um Al Emarat Secondary School - Abu Dhabi</v>
          </cell>
          <cell r="H8320" t="str">
            <v>AD</v>
          </cell>
        </row>
        <row r="8321">
          <cell r="B8321" t="str">
            <v>Fire Extinguisher</v>
          </cell>
          <cell r="D8321" t="str">
            <v>Um Al Emarat Secondary School - Abu Dhabi</v>
          </cell>
          <cell r="H8321" t="str">
            <v>AD</v>
          </cell>
        </row>
        <row r="8322">
          <cell r="B8322" t="str">
            <v>Fire Extinguisher</v>
          </cell>
          <cell r="D8322" t="str">
            <v>Um Al Emarat Secondary School - Abu Dhabi</v>
          </cell>
          <cell r="H8322" t="str">
            <v>AD</v>
          </cell>
        </row>
        <row r="8323">
          <cell r="B8323" t="str">
            <v>Fire Extinguisher</v>
          </cell>
          <cell r="D8323" t="str">
            <v>Um Al Emarat Secondary School - Abu Dhabi</v>
          </cell>
          <cell r="H8323" t="str">
            <v>AD</v>
          </cell>
        </row>
        <row r="8324">
          <cell r="B8324" t="str">
            <v>Fire Extinguisher</v>
          </cell>
          <cell r="D8324" t="str">
            <v>Um Al Emarat Secondary School - Abu Dhabi</v>
          </cell>
          <cell r="H8324" t="str">
            <v>AD</v>
          </cell>
        </row>
        <row r="8325">
          <cell r="B8325" t="str">
            <v>Fire Extinguisher</v>
          </cell>
          <cell r="D8325" t="str">
            <v>Um Al Emarat Secondary School - Abu Dhabi</v>
          </cell>
          <cell r="H8325" t="str">
            <v>AD</v>
          </cell>
        </row>
        <row r="8326">
          <cell r="B8326" t="str">
            <v>Fire Extinguisher</v>
          </cell>
          <cell r="D8326" t="str">
            <v>Um Al Emarat Secondary School - Abu Dhabi</v>
          </cell>
          <cell r="H8326" t="str">
            <v>AD</v>
          </cell>
        </row>
        <row r="8327">
          <cell r="B8327" t="str">
            <v>Fire Extinguisher</v>
          </cell>
          <cell r="D8327" t="str">
            <v>Um Al Emarat Secondary School - Abu Dhabi</v>
          </cell>
          <cell r="H8327" t="str">
            <v>AD</v>
          </cell>
        </row>
        <row r="8328">
          <cell r="B8328" t="str">
            <v>Fire Extinguisher</v>
          </cell>
          <cell r="D8328" t="str">
            <v>Um Al Emarat Secondary School - Abu Dhabi</v>
          </cell>
          <cell r="H8328" t="str">
            <v>AD</v>
          </cell>
        </row>
        <row r="8329">
          <cell r="B8329" t="str">
            <v>Fire Extinguisher</v>
          </cell>
          <cell r="D8329" t="str">
            <v>Um Al Emarat Secondary School - Abu Dhabi</v>
          </cell>
          <cell r="H8329" t="str">
            <v>AD</v>
          </cell>
        </row>
        <row r="8330">
          <cell r="B8330" t="str">
            <v>Fire Extinguisher</v>
          </cell>
          <cell r="D8330" t="str">
            <v>Um Al Emarat Secondary School - Abu Dhabi</v>
          </cell>
          <cell r="H8330" t="str">
            <v>AD</v>
          </cell>
        </row>
        <row r="8331">
          <cell r="B8331" t="str">
            <v>Fire Extinguisher</v>
          </cell>
          <cell r="D8331" t="str">
            <v>Um Al Emarat Secondary School - Abu Dhabi</v>
          </cell>
          <cell r="H8331" t="str">
            <v>AD</v>
          </cell>
        </row>
        <row r="8332">
          <cell r="B8332" t="str">
            <v>Fire Extinguisher</v>
          </cell>
          <cell r="D8332" t="str">
            <v>Um Al Emarat Secondary School - Abu Dhabi</v>
          </cell>
          <cell r="H8332" t="str">
            <v>AD</v>
          </cell>
        </row>
        <row r="8333">
          <cell r="B8333" t="str">
            <v>Fire Extinguisher</v>
          </cell>
          <cell r="D8333" t="str">
            <v>Um Al Emarat Secondary School - Abu Dhabi</v>
          </cell>
          <cell r="H8333" t="str">
            <v>AD</v>
          </cell>
        </row>
        <row r="8334">
          <cell r="B8334" t="str">
            <v>Fire Extinguisher</v>
          </cell>
          <cell r="D8334" t="str">
            <v>Um Al Emarat Secondary School - Abu Dhabi</v>
          </cell>
          <cell r="H8334" t="str">
            <v>AD</v>
          </cell>
        </row>
        <row r="8335">
          <cell r="B8335" t="str">
            <v>Fire Extinguisher</v>
          </cell>
          <cell r="D8335" t="str">
            <v>Um Al Emarat Secondary School - Abu Dhabi</v>
          </cell>
          <cell r="H8335" t="str">
            <v>AD</v>
          </cell>
        </row>
        <row r="8336">
          <cell r="B8336" t="str">
            <v>Fire Extinguisher</v>
          </cell>
          <cell r="D8336" t="str">
            <v>Um Al Emarat Secondary School - Abu Dhabi</v>
          </cell>
          <cell r="H8336" t="str">
            <v>AD</v>
          </cell>
        </row>
        <row r="8337">
          <cell r="B8337" t="str">
            <v>Fire Extinguisher</v>
          </cell>
          <cell r="D8337" t="str">
            <v>Um Al Emarat Secondary School - Abu Dhabi</v>
          </cell>
          <cell r="H8337" t="str">
            <v>AD</v>
          </cell>
        </row>
        <row r="8338">
          <cell r="B8338" t="str">
            <v>Fire Extinguisher</v>
          </cell>
          <cell r="D8338" t="str">
            <v>Um Al Emarat Secondary School - Abu Dhabi</v>
          </cell>
          <cell r="H8338" t="str">
            <v>AD</v>
          </cell>
        </row>
        <row r="8339">
          <cell r="B8339" t="str">
            <v>Fire Extinguisher</v>
          </cell>
          <cell r="D8339" t="str">
            <v>Um Al Emarat Secondary School - Abu Dhabi</v>
          </cell>
          <cell r="H8339" t="str">
            <v>AD</v>
          </cell>
        </row>
        <row r="8340">
          <cell r="B8340" t="str">
            <v>Fire Extinguisher</v>
          </cell>
          <cell r="D8340" t="str">
            <v>Um Al Emarat Secondary School - Abu Dhabi</v>
          </cell>
          <cell r="H8340" t="str">
            <v>AD</v>
          </cell>
        </row>
        <row r="8341">
          <cell r="B8341" t="str">
            <v>Fire Extinguisher</v>
          </cell>
          <cell r="D8341" t="str">
            <v>Um Al Emarat Secondary School - Abu Dhabi</v>
          </cell>
          <cell r="H8341" t="str">
            <v>AD</v>
          </cell>
        </row>
        <row r="8342">
          <cell r="B8342" t="str">
            <v>Fire Extinguisher</v>
          </cell>
          <cell r="D8342" t="str">
            <v>Um Al Emarat Secondary School - Abu Dhabi</v>
          </cell>
          <cell r="H8342" t="str">
            <v>AD</v>
          </cell>
        </row>
        <row r="8343">
          <cell r="B8343" t="str">
            <v>Fire Extinguisher</v>
          </cell>
          <cell r="D8343" t="str">
            <v>Um Al Emarat Secondary School - Abu Dhabi</v>
          </cell>
          <cell r="H8343" t="str">
            <v>AD</v>
          </cell>
        </row>
        <row r="8344">
          <cell r="B8344" t="str">
            <v>Fire Extinguisher</v>
          </cell>
          <cell r="D8344" t="str">
            <v>Um Al Emarat Secondary School - Abu Dhabi</v>
          </cell>
          <cell r="H8344" t="str">
            <v>AD</v>
          </cell>
        </row>
        <row r="8345">
          <cell r="B8345" t="str">
            <v>Fire Extinguisher</v>
          </cell>
          <cell r="D8345" t="str">
            <v>Um Al Emarat Secondary School - Abu Dhabi</v>
          </cell>
          <cell r="H8345" t="str">
            <v>AD</v>
          </cell>
        </row>
        <row r="8346">
          <cell r="B8346" t="str">
            <v>Fire Extinguisher</v>
          </cell>
          <cell r="D8346" t="str">
            <v>Um Al Emarat Secondary School - Abu Dhabi</v>
          </cell>
          <cell r="H8346" t="str">
            <v>AD</v>
          </cell>
        </row>
        <row r="8347">
          <cell r="B8347" t="str">
            <v>Fire Extinguisher</v>
          </cell>
          <cell r="D8347" t="str">
            <v>Um Al Emarat Secondary School - Abu Dhabi</v>
          </cell>
          <cell r="H8347" t="str">
            <v>AD</v>
          </cell>
        </row>
        <row r="8348">
          <cell r="B8348" t="str">
            <v>Fire Extinguisher</v>
          </cell>
          <cell r="D8348" t="str">
            <v>Um Al Emarat Secondary School - Abu Dhabi</v>
          </cell>
          <cell r="H8348" t="str">
            <v>AD</v>
          </cell>
        </row>
        <row r="8349">
          <cell r="B8349" t="str">
            <v>Fire Extinguisher</v>
          </cell>
          <cell r="D8349" t="str">
            <v>Um Al Emarat Secondary School - Abu Dhabi</v>
          </cell>
          <cell r="H8349" t="str">
            <v>AD</v>
          </cell>
        </row>
        <row r="8350">
          <cell r="B8350" t="str">
            <v>Fire Extinguisher</v>
          </cell>
          <cell r="D8350" t="str">
            <v>Um Al Emarat Secondary School - Abu Dhabi</v>
          </cell>
          <cell r="H8350" t="str">
            <v>AD</v>
          </cell>
        </row>
        <row r="8351">
          <cell r="B8351" t="str">
            <v>Fire Extinguisher</v>
          </cell>
          <cell r="D8351" t="str">
            <v>Um Al Emarat Secondary School - Abu Dhabi</v>
          </cell>
          <cell r="H8351" t="str">
            <v>AD</v>
          </cell>
        </row>
        <row r="8352">
          <cell r="B8352" t="str">
            <v>Fire Extinguisher</v>
          </cell>
          <cell r="D8352" t="str">
            <v>Um Al Emarat Secondary School - Abu Dhabi</v>
          </cell>
          <cell r="H8352" t="str">
            <v>AD</v>
          </cell>
        </row>
        <row r="8353">
          <cell r="B8353" t="str">
            <v>Fire Extinguisher</v>
          </cell>
          <cell r="D8353" t="str">
            <v>Um Al Emarat Secondary School - Abu Dhabi</v>
          </cell>
          <cell r="H8353" t="str">
            <v>AD</v>
          </cell>
        </row>
        <row r="8354">
          <cell r="B8354" t="str">
            <v>Fire Extinguisher</v>
          </cell>
          <cell r="D8354" t="str">
            <v>Um Al Emarat Secondary School - Abu Dhabi</v>
          </cell>
          <cell r="H8354" t="str">
            <v>AD</v>
          </cell>
        </row>
        <row r="8355">
          <cell r="B8355" t="str">
            <v>Fire Extinguisher</v>
          </cell>
          <cell r="D8355" t="str">
            <v>Um Al Emarat Secondary School - Abu Dhabi</v>
          </cell>
          <cell r="H8355" t="str">
            <v>AD</v>
          </cell>
        </row>
        <row r="8356">
          <cell r="B8356" t="str">
            <v>Fire Extinguisher</v>
          </cell>
          <cell r="D8356" t="str">
            <v>Um Al Emarat Secondary School - Abu Dhabi</v>
          </cell>
          <cell r="H8356" t="str">
            <v>AD</v>
          </cell>
        </row>
        <row r="8357">
          <cell r="B8357" t="str">
            <v>Fire Extinguisher</v>
          </cell>
          <cell r="D8357" t="str">
            <v>Um Al Emarat Secondary School - Abu Dhabi</v>
          </cell>
          <cell r="H8357" t="str">
            <v>AD</v>
          </cell>
        </row>
        <row r="8358">
          <cell r="B8358" t="str">
            <v>Fire Extinguisher</v>
          </cell>
          <cell r="D8358" t="str">
            <v>Um Al Emarat Secondary School - Abu Dhabi</v>
          </cell>
          <cell r="H8358" t="str">
            <v>AD</v>
          </cell>
        </row>
        <row r="8359">
          <cell r="B8359" t="str">
            <v>Fire Extinguisher</v>
          </cell>
          <cell r="D8359" t="str">
            <v>Um Al Emarat Secondary School - Abu Dhabi</v>
          </cell>
          <cell r="H8359" t="str">
            <v>AD</v>
          </cell>
        </row>
        <row r="8360">
          <cell r="B8360" t="str">
            <v>Fire Extinguisher</v>
          </cell>
          <cell r="D8360" t="str">
            <v>Um Al Emarat Secondary School - Abu Dhabi</v>
          </cell>
          <cell r="H8360" t="str">
            <v>AD</v>
          </cell>
        </row>
        <row r="8361">
          <cell r="B8361" t="str">
            <v>Fire Extinguisher</v>
          </cell>
          <cell r="D8361" t="str">
            <v>Um Al Emarat Secondary School - Abu Dhabi</v>
          </cell>
          <cell r="H8361" t="str">
            <v>AD</v>
          </cell>
        </row>
        <row r="8362">
          <cell r="B8362" t="str">
            <v>Fire Extinguisher</v>
          </cell>
          <cell r="D8362" t="str">
            <v>Um Al Emarat Secondary School - Abu Dhabi</v>
          </cell>
          <cell r="H8362" t="str">
            <v>AD</v>
          </cell>
        </row>
        <row r="8363">
          <cell r="B8363" t="str">
            <v>Fire Extinguisher</v>
          </cell>
          <cell r="D8363" t="str">
            <v>Um Al Emarat Secondary School - Abu Dhabi</v>
          </cell>
          <cell r="H8363" t="str">
            <v>AD</v>
          </cell>
        </row>
        <row r="8364">
          <cell r="B8364" t="str">
            <v>Fire Extinguisher</v>
          </cell>
          <cell r="D8364" t="str">
            <v>Um Al Emarat Secondary School - Abu Dhabi</v>
          </cell>
          <cell r="H8364" t="str">
            <v>AD</v>
          </cell>
        </row>
        <row r="8365">
          <cell r="B8365" t="str">
            <v>Fire Extinguisher</v>
          </cell>
          <cell r="D8365" t="str">
            <v>Um Al Emarat Secondary School - Abu Dhabi</v>
          </cell>
          <cell r="H8365" t="str">
            <v>AD</v>
          </cell>
        </row>
        <row r="8366">
          <cell r="B8366" t="str">
            <v>Fire Extinguisher</v>
          </cell>
          <cell r="D8366" t="str">
            <v>Um Al Emarat Secondary School - Abu Dhabi</v>
          </cell>
          <cell r="H8366" t="str">
            <v>AD</v>
          </cell>
        </row>
        <row r="8367">
          <cell r="B8367" t="str">
            <v>Fire Extinguisher</v>
          </cell>
          <cell r="D8367" t="str">
            <v>Um Al Emarat Secondary School - Abu Dhabi</v>
          </cell>
          <cell r="H8367" t="str">
            <v>AD</v>
          </cell>
        </row>
        <row r="8368">
          <cell r="B8368" t="str">
            <v>Fire Extinguisher</v>
          </cell>
          <cell r="D8368" t="str">
            <v>Um Al Emarat Secondary School - Abu Dhabi</v>
          </cell>
          <cell r="H8368" t="str">
            <v>AD</v>
          </cell>
        </row>
        <row r="8369">
          <cell r="B8369" t="str">
            <v>Fire Extinguisher</v>
          </cell>
          <cell r="D8369" t="str">
            <v>Um Al Emarat Secondary School - Abu Dhabi</v>
          </cell>
          <cell r="H8369" t="str">
            <v>AD</v>
          </cell>
        </row>
        <row r="8370">
          <cell r="B8370" t="str">
            <v>Fire Extinguisher</v>
          </cell>
          <cell r="D8370" t="str">
            <v>Um Al Emarat Secondary School - Abu Dhabi</v>
          </cell>
          <cell r="H8370" t="str">
            <v>AD</v>
          </cell>
        </row>
        <row r="8371">
          <cell r="B8371" t="str">
            <v>Fire Extinguisher</v>
          </cell>
          <cell r="D8371" t="str">
            <v>Um Al Emarat Secondary School - Abu Dhabi</v>
          </cell>
          <cell r="H8371" t="str">
            <v>AD</v>
          </cell>
        </row>
        <row r="8372">
          <cell r="B8372" t="str">
            <v>Fire Extinguisher</v>
          </cell>
          <cell r="D8372" t="str">
            <v>Um Al Emarat Secondary School - Abu Dhabi</v>
          </cell>
          <cell r="H8372" t="str">
            <v>AD</v>
          </cell>
        </row>
        <row r="8373">
          <cell r="B8373" t="str">
            <v>Fire Extinguisher</v>
          </cell>
          <cell r="D8373" t="str">
            <v>Um Al Emarat Secondary School - Abu Dhabi</v>
          </cell>
          <cell r="H8373" t="str">
            <v>AD</v>
          </cell>
        </row>
        <row r="8374">
          <cell r="B8374" t="str">
            <v>Fire Extinguisher</v>
          </cell>
          <cell r="D8374" t="str">
            <v>Um Al Emarat Secondary School - Abu Dhabi</v>
          </cell>
          <cell r="H8374" t="str">
            <v>AD</v>
          </cell>
        </row>
        <row r="8375">
          <cell r="B8375" t="str">
            <v>Fire Extinguisher</v>
          </cell>
          <cell r="D8375" t="str">
            <v>Um Al Emarat Secondary School - Abu Dhabi</v>
          </cell>
          <cell r="H8375" t="str">
            <v>AD</v>
          </cell>
        </row>
        <row r="8376">
          <cell r="B8376" t="str">
            <v>Fire Extinguisher</v>
          </cell>
          <cell r="D8376" t="str">
            <v>Um Al Emarat Secondary School - Abu Dhabi</v>
          </cell>
          <cell r="H8376" t="str">
            <v>AD</v>
          </cell>
        </row>
        <row r="8377">
          <cell r="B8377" t="str">
            <v>Fire Hose Reel</v>
          </cell>
          <cell r="D8377" t="str">
            <v>Um Al Emarat Secondary School - Abu Dhabi</v>
          </cell>
          <cell r="H8377" t="str">
            <v>AD</v>
          </cell>
        </row>
        <row r="8378">
          <cell r="B8378" t="str">
            <v>Fire Hose Reel</v>
          </cell>
          <cell r="D8378" t="str">
            <v>Um Al Emarat Secondary School - Abu Dhabi</v>
          </cell>
          <cell r="H8378" t="str">
            <v>AD</v>
          </cell>
        </row>
        <row r="8379">
          <cell r="B8379" t="str">
            <v>Fire Hose Reel</v>
          </cell>
          <cell r="D8379" t="str">
            <v>Um Al Emarat Secondary School - Abu Dhabi</v>
          </cell>
          <cell r="H8379" t="str">
            <v>AD</v>
          </cell>
        </row>
        <row r="8380">
          <cell r="B8380" t="str">
            <v>Fire Hose Reel</v>
          </cell>
          <cell r="D8380" t="str">
            <v>Um Al Emarat Secondary School - Abu Dhabi</v>
          </cell>
          <cell r="H8380" t="str">
            <v>AD</v>
          </cell>
        </row>
        <row r="8381">
          <cell r="B8381" t="str">
            <v>Fire Hose Reel</v>
          </cell>
          <cell r="D8381" t="str">
            <v>Um Al Emarat Secondary School - Abu Dhabi</v>
          </cell>
          <cell r="H8381" t="str">
            <v>AD</v>
          </cell>
        </row>
        <row r="8382">
          <cell r="B8382" t="str">
            <v>Fire Hose Reel</v>
          </cell>
          <cell r="D8382" t="str">
            <v>Um Al Emarat Secondary School - Abu Dhabi</v>
          </cell>
          <cell r="H8382" t="str">
            <v>AD</v>
          </cell>
        </row>
        <row r="8383">
          <cell r="B8383" t="str">
            <v>Fire Hose Reel</v>
          </cell>
          <cell r="D8383" t="str">
            <v>Um Al Emarat Secondary School - Abu Dhabi</v>
          </cell>
          <cell r="H8383" t="str">
            <v>AD</v>
          </cell>
        </row>
        <row r="8384">
          <cell r="B8384" t="str">
            <v>Fire Hose Reel</v>
          </cell>
          <cell r="D8384" t="str">
            <v>Um Al Emarat Secondary School - Abu Dhabi</v>
          </cell>
          <cell r="H8384" t="str">
            <v>AD</v>
          </cell>
        </row>
        <row r="8385">
          <cell r="B8385" t="str">
            <v>Fire Hose Reel</v>
          </cell>
          <cell r="D8385" t="str">
            <v>Um Al Emarat Secondary School - Abu Dhabi</v>
          </cell>
          <cell r="H8385" t="str">
            <v>AD</v>
          </cell>
        </row>
        <row r="8386">
          <cell r="B8386" t="str">
            <v>Fire Hose Reel</v>
          </cell>
          <cell r="D8386" t="str">
            <v>Um Al Emarat Secondary School - Abu Dhabi</v>
          </cell>
          <cell r="H8386" t="str">
            <v>AD</v>
          </cell>
        </row>
        <row r="8387">
          <cell r="B8387" t="str">
            <v>Fire Hose Reel</v>
          </cell>
          <cell r="D8387" t="str">
            <v>Um Al Emarat Secondary School - Abu Dhabi</v>
          </cell>
          <cell r="H8387" t="str">
            <v>AD</v>
          </cell>
        </row>
        <row r="8388">
          <cell r="B8388" t="str">
            <v>Fire Hose Reel</v>
          </cell>
          <cell r="D8388" t="str">
            <v>Um Al Emarat Secondary School - Abu Dhabi</v>
          </cell>
          <cell r="H8388" t="str">
            <v>AD</v>
          </cell>
        </row>
        <row r="8389">
          <cell r="B8389" t="str">
            <v>FIRE PUMP - Diesel</v>
          </cell>
          <cell r="D8389" t="str">
            <v>Um Al Emarat Secondary School - Abu Dhabi</v>
          </cell>
          <cell r="H8389" t="str">
            <v>AD</v>
          </cell>
        </row>
        <row r="8390">
          <cell r="B8390" t="str">
            <v>FIRE PUMP - Electric</v>
          </cell>
          <cell r="D8390" t="str">
            <v>Um Al Emarat Secondary School - Abu Dhabi</v>
          </cell>
          <cell r="H8390" t="str">
            <v>AD</v>
          </cell>
        </row>
        <row r="8391">
          <cell r="B8391" t="str">
            <v>Fire Smoke / Heat Detector, Sounder</v>
          </cell>
          <cell r="D8391" t="str">
            <v>Um Al Emarat Secondary School - Abu Dhabi</v>
          </cell>
          <cell r="H8391" t="str">
            <v>AD</v>
          </cell>
        </row>
        <row r="8392">
          <cell r="B8392" t="str">
            <v>Fire Smoke / Heat Detector, Sounder</v>
          </cell>
          <cell r="D8392" t="str">
            <v>Um Al Emarat Secondary School - Abu Dhabi</v>
          </cell>
          <cell r="H8392" t="str">
            <v>AD</v>
          </cell>
        </row>
        <row r="8393">
          <cell r="B8393" t="str">
            <v>Fire Smoke / Heat Detector, Sounder</v>
          </cell>
          <cell r="D8393" t="str">
            <v>Um Al Emarat Secondary School - Abu Dhabi</v>
          </cell>
          <cell r="H8393" t="str">
            <v>AD</v>
          </cell>
        </row>
        <row r="8394">
          <cell r="B8394" t="str">
            <v>Fire Smoke / Heat Detector, Sounder</v>
          </cell>
          <cell r="D8394" t="str">
            <v>Um Al Emarat Secondary School - Abu Dhabi</v>
          </cell>
          <cell r="H8394" t="str">
            <v>AD</v>
          </cell>
        </row>
        <row r="8395">
          <cell r="B8395" t="str">
            <v>Fire Smoke / Heat Detector, Sounder</v>
          </cell>
          <cell r="D8395" t="str">
            <v>Um Al Emarat Secondary School - Abu Dhabi</v>
          </cell>
          <cell r="H8395" t="str">
            <v>AD</v>
          </cell>
        </row>
        <row r="8396">
          <cell r="B8396" t="str">
            <v>Fire Smoke / Heat Detector, Sounder</v>
          </cell>
          <cell r="D8396" t="str">
            <v>Um Al Emarat Secondary School - Abu Dhabi</v>
          </cell>
          <cell r="H8396" t="str">
            <v>AD</v>
          </cell>
        </row>
        <row r="8397">
          <cell r="B8397" t="str">
            <v>Fire Smoke / Heat Detector, Sounder</v>
          </cell>
          <cell r="D8397" t="str">
            <v>Um Al Emarat Secondary School - Abu Dhabi</v>
          </cell>
          <cell r="H8397" t="str">
            <v>AD</v>
          </cell>
        </row>
        <row r="8398">
          <cell r="B8398" t="str">
            <v>Fire Smoke / Heat Detector, Sounder</v>
          </cell>
          <cell r="D8398" t="str">
            <v>Um Al Emarat Secondary School - Abu Dhabi</v>
          </cell>
          <cell r="H8398" t="str">
            <v>AD</v>
          </cell>
        </row>
        <row r="8399">
          <cell r="B8399" t="str">
            <v>Fire Smoke / Heat Detector, Sounder</v>
          </cell>
          <cell r="D8399" t="str">
            <v>Um Al Emarat Secondary School - Abu Dhabi</v>
          </cell>
          <cell r="H8399" t="str">
            <v>AD</v>
          </cell>
        </row>
        <row r="8400">
          <cell r="B8400" t="str">
            <v>Fire Smoke / Heat Detector, Sounder</v>
          </cell>
          <cell r="D8400" t="str">
            <v>Um Al Emarat Secondary School - Abu Dhabi</v>
          </cell>
          <cell r="H8400" t="str">
            <v>AD</v>
          </cell>
        </row>
        <row r="8401">
          <cell r="B8401" t="str">
            <v>Fire Smoke / Heat Detector, Sounder</v>
          </cell>
          <cell r="D8401" t="str">
            <v>Um Al Emarat Secondary School - Abu Dhabi</v>
          </cell>
          <cell r="H8401" t="str">
            <v>AD</v>
          </cell>
        </row>
        <row r="8402">
          <cell r="B8402" t="str">
            <v>Fire Smoke / Heat Detector, Sounder</v>
          </cell>
          <cell r="D8402" t="str">
            <v>Um Al Emarat Secondary School - Abu Dhabi</v>
          </cell>
          <cell r="H8402" t="str">
            <v>AD</v>
          </cell>
        </row>
        <row r="8403">
          <cell r="B8403" t="str">
            <v>Fire Smoke / Heat Detector, Sounder</v>
          </cell>
          <cell r="D8403" t="str">
            <v>Um Al Emarat Secondary School - Abu Dhabi</v>
          </cell>
          <cell r="H8403" t="str">
            <v>AD</v>
          </cell>
        </row>
        <row r="8404">
          <cell r="B8404" t="str">
            <v>Fire Smoke / Heat Detector, Sounder</v>
          </cell>
          <cell r="D8404" t="str">
            <v>Um Al Emarat Secondary School - Abu Dhabi</v>
          </cell>
          <cell r="H8404" t="str">
            <v>AD</v>
          </cell>
        </row>
        <row r="8405">
          <cell r="B8405" t="str">
            <v>Fire Smoke / Heat Detector, Sounder</v>
          </cell>
          <cell r="D8405" t="str">
            <v>Um Al Emarat Secondary School - Abu Dhabi</v>
          </cell>
          <cell r="H8405" t="str">
            <v>AD</v>
          </cell>
        </row>
        <row r="8406">
          <cell r="B8406" t="str">
            <v>Fire Smoke / Heat Detector, Sounder</v>
          </cell>
          <cell r="D8406" t="str">
            <v>Um Al Emarat Secondary School - Abu Dhabi</v>
          </cell>
          <cell r="H8406" t="str">
            <v>AD</v>
          </cell>
        </row>
        <row r="8407">
          <cell r="B8407" t="str">
            <v>Fire Smoke / Heat Detector, Sounder</v>
          </cell>
          <cell r="D8407" t="str">
            <v>Um Al Emarat Secondary School - Abu Dhabi</v>
          </cell>
          <cell r="H8407" t="str">
            <v>AD</v>
          </cell>
        </row>
        <row r="8408">
          <cell r="B8408" t="str">
            <v>Fire Smoke / Heat Detector, Sounder</v>
          </cell>
          <cell r="D8408" t="str">
            <v>Um Al Emarat Secondary School - Abu Dhabi</v>
          </cell>
          <cell r="H8408" t="str">
            <v>AD</v>
          </cell>
        </row>
        <row r="8409">
          <cell r="B8409" t="str">
            <v>Fire Smoke / Heat Detector, Sounder</v>
          </cell>
          <cell r="D8409" t="str">
            <v>Um Al Emarat Secondary School - Abu Dhabi</v>
          </cell>
          <cell r="H8409" t="str">
            <v>AD</v>
          </cell>
        </row>
        <row r="8410">
          <cell r="B8410" t="str">
            <v>Fire Smoke / Heat Detector, Sounder</v>
          </cell>
          <cell r="D8410" t="str">
            <v>Um Al Emarat Secondary School - Abu Dhabi</v>
          </cell>
          <cell r="H8410" t="str">
            <v>AD</v>
          </cell>
        </row>
        <row r="8411">
          <cell r="B8411" t="str">
            <v>Fire Smoke / Heat Detector, Sounder</v>
          </cell>
          <cell r="D8411" t="str">
            <v>Um Al Emarat Secondary School - Abu Dhabi</v>
          </cell>
          <cell r="H8411" t="str">
            <v>AD</v>
          </cell>
        </row>
        <row r="8412">
          <cell r="B8412" t="str">
            <v>Fire Smoke / Heat Detector, Sounder</v>
          </cell>
          <cell r="D8412" t="str">
            <v>Um Al Emarat Secondary School - Abu Dhabi</v>
          </cell>
          <cell r="H8412" t="str">
            <v>AD</v>
          </cell>
        </row>
        <row r="8413">
          <cell r="B8413" t="str">
            <v>Fire Smoke / Heat Detector, Sounder</v>
          </cell>
          <cell r="D8413" t="str">
            <v>Um Al Emarat Secondary School - Abu Dhabi</v>
          </cell>
          <cell r="H8413" t="str">
            <v>AD</v>
          </cell>
        </row>
        <row r="8414">
          <cell r="B8414" t="str">
            <v>Fire Smoke / Heat Detector, Sounder</v>
          </cell>
          <cell r="D8414" t="str">
            <v>Um Al Emarat Secondary School - Abu Dhabi</v>
          </cell>
          <cell r="H8414" t="str">
            <v>AD</v>
          </cell>
        </row>
        <row r="8415">
          <cell r="B8415" t="str">
            <v>Fire Smoke / Heat Detector, Sounder</v>
          </cell>
          <cell r="D8415" t="str">
            <v>Um Al Emarat Secondary School - Abu Dhabi</v>
          </cell>
          <cell r="H8415" t="str">
            <v>AD</v>
          </cell>
        </row>
        <row r="8416">
          <cell r="B8416" t="str">
            <v>Fire Smoke / Heat Detector, Sounder</v>
          </cell>
          <cell r="D8416" t="str">
            <v>Um Al Emarat Secondary School - Abu Dhabi</v>
          </cell>
          <cell r="H8416" t="str">
            <v>AD</v>
          </cell>
        </row>
        <row r="8417">
          <cell r="B8417" t="str">
            <v>Fire Smoke / Heat Detector, Sounder</v>
          </cell>
          <cell r="D8417" t="str">
            <v>Um Al Emarat Secondary School - Abu Dhabi</v>
          </cell>
          <cell r="H8417" t="str">
            <v>AD</v>
          </cell>
        </row>
        <row r="8418">
          <cell r="B8418" t="str">
            <v>Fire Smoke / Heat Detector, Sounder</v>
          </cell>
          <cell r="D8418" t="str">
            <v>Um Al Emarat Secondary School - Abu Dhabi</v>
          </cell>
          <cell r="H8418" t="str">
            <v>AD</v>
          </cell>
        </row>
        <row r="8419">
          <cell r="B8419" t="str">
            <v>Fire Smoke / Heat Detector, Sounder</v>
          </cell>
          <cell r="D8419" t="str">
            <v>Um Al Emarat Secondary School - Abu Dhabi</v>
          </cell>
          <cell r="H8419" t="str">
            <v>AD</v>
          </cell>
        </row>
        <row r="8420">
          <cell r="B8420" t="str">
            <v>Fire Smoke / Heat Detector, Sounder</v>
          </cell>
          <cell r="D8420" t="str">
            <v>Um Al Emarat Secondary School - Abu Dhabi</v>
          </cell>
          <cell r="H8420" t="str">
            <v>AD</v>
          </cell>
        </row>
        <row r="8421">
          <cell r="B8421" t="str">
            <v>Fire Smoke / Heat Detector, Sounder</v>
          </cell>
          <cell r="D8421" t="str">
            <v>Um Al Emarat Secondary School - Abu Dhabi</v>
          </cell>
          <cell r="H8421" t="str">
            <v>AD</v>
          </cell>
        </row>
        <row r="8422">
          <cell r="B8422" t="str">
            <v>Fire Smoke / Heat Detector, Sounder</v>
          </cell>
          <cell r="D8422" t="str">
            <v>Um Al Emarat Secondary School - Abu Dhabi</v>
          </cell>
          <cell r="H8422" t="str">
            <v>AD</v>
          </cell>
        </row>
        <row r="8423">
          <cell r="B8423" t="str">
            <v>Fire Smoke / Heat Detector, Sounder</v>
          </cell>
          <cell r="D8423" t="str">
            <v>Um Al Emarat Secondary School - Abu Dhabi</v>
          </cell>
          <cell r="H8423" t="str">
            <v>AD</v>
          </cell>
        </row>
        <row r="8424">
          <cell r="B8424" t="str">
            <v>Fire Smoke / Heat Detector, Sounder</v>
          </cell>
          <cell r="D8424" t="str">
            <v>Um Al Emarat Secondary School - Abu Dhabi</v>
          </cell>
          <cell r="H8424" t="str">
            <v>AD</v>
          </cell>
        </row>
        <row r="8425">
          <cell r="B8425" t="str">
            <v>Fire Smoke / Heat Detector, Sounder</v>
          </cell>
          <cell r="D8425" t="str">
            <v>Um Al Emarat Secondary School - Abu Dhabi</v>
          </cell>
          <cell r="H8425" t="str">
            <v>AD</v>
          </cell>
        </row>
        <row r="8426">
          <cell r="B8426" t="str">
            <v>Fire Smoke / Heat Detector, Sounder</v>
          </cell>
          <cell r="D8426" t="str">
            <v>Um Al Emarat Secondary School - Abu Dhabi</v>
          </cell>
          <cell r="H8426" t="str">
            <v>AD</v>
          </cell>
        </row>
        <row r="8427">
          <cell r="B8427" t="str">
            <v>Fire Smoke / Heat Detector, Sounder</v>
          </cell>
          <cell r="D8427" t="str">
            <v>Um Al Emarat Secondary School - Abu Dhabi</v>
          </cell>
          <cell r="H8427" t="str">
            <v>AD</v>
          </cell>
        </row>
        <row r="8428">
          <cell r="B8428" t="str">
            <v>Fire Smoke / Heat Detector, Sounder</v>
          </cell>
          <cell r="D8428" t="str">
            <v>Um Al Emarat Secondary School - Abu Dhabi</v>
          </cell>
          <cell r="H8428" t="str">
            <v>AD</v>
          </cell>
        </row>
        <row r="8429">
          <cell r="B8429" t="str">
            <v>Fire Smoke / Heat Detector, Sounder</v>
          </cell>
          <cell r="D8429" t="str">
            <v>Um Al Emarat Secondary School - Abu Dhabi</v>
          </cell>
          <cell r="H8429" t="str">
            <v>AD</v>
          </cell>
        </row>
        <row r="8430">
          <cell r="B8430" t="str">
            <v>Fire Smoke / Heat Detector, Sounder</v>
          </cell>
          <cell r="D8430" t="str">
            <v>Um Al Emarat Secondary School - Abu Dhabi</v>
          </cell>
          <cell r="H8430" t="str">
            <v>AD</v>
          </cell>
        </row>
        <row r="8431">
          <cell r="B8431" t="str">
            <v>Fire Smoke / Heat Detector, Sounder</v>
          </cell>
          <cell r="D8431" t="str">
            <v>Um Al Emarat Secondary School - Abu Dhabi</v>
          </cell>
          <cell r="H8431" t="str">
            <v>AD</v>
          </cell>
        </row>
        <row r="8432">
          <cell r="B8432" t="str">
            <v>Fire Smoke / Heat Detector, Sounder</v>
          </cell>
          <cell r="D8432" t="str">
            <v>Um Al Emarat Secondary School - Abu Dhabi</v>
          </cell>
          <cell r="H8432" t="str">
            <v>AD</v>
          </cell>
        </row>
        <row r="8433">
          <cell r="B8433" t="str">
            <v>Fire Smoke / Heat Detector, Sounder</v>
          </cell>
          <cell r="D8433" t="str">
            <v>Um Al Emarat Secondary School - Abu Dhabi</v>
          </cell>
          <cell r="H8433" t="str">
            <v>AD</v>
          </cell>
        </row>
        <row r="8434">
          <cell r="B8434" t="str">
            <v>Fire Smoke / Heat Detector, Sounder</v>
          </cell>
          <cell r="D8434" t="str">
            <v>Um Al Emarat Secondary School - Abu Dhabi</v>
          </cell>
          <cell r="H8434" t="str">
            <v>AD</v>
          </cell>
        </row>
        <row r="8435">
          <cell r="B8435" t="str">
            <v>Fire Smoke / Heat Detector, Sounder</v>
          </cell>
          <cell r="D8435" t="str">
            <v>Um Al Emarat Secondary School - Abu Dhabi</v>
          </cell>
          <cell r="H8435" t="str">
            <v>AD</v>
          </cell>
        </row>
        <row r="8436">
          <cell r="B8436" t="str">
            <v>Fire Smoke / Heat Detector, Sounder</v>
          </cell>
          <cell r="D8436" t="str">
            <v>Um Al Emarat Secondary School - Abu Dhabi</v>
          </cell>
          <cell r="H8436" t="str">
            <v>AD</v>
          </cell>
        </row>
        <row r="8437">
          <cell r="B8437" t="str">
            <v>Fire Smoke / Heat Detector, Sounder</v>
          </cell>
          <cell r="D8437" t="str">
            <v>Um Al Emarat Secondary School - Abu Dhabi</v>
          </cell>
          <cell r="H8437" t="str">
            <v>AD</v>
          </cell>
        </row>
        <row r="8438">
          <cell r="B8438" t="str">
            <v>Fire Smoke / Heat Detector, Sounder</v>
          </cell>
          <cell r="D8438" t="str">
            <v>Um Al Emarat Secondary School - Abu Dhabi</v>
          </cell>
          <cell r="H8438" t="str">
            <v>AD</v>
          </cell>
        </row>
        <row r="8439">
          <cell r="B8439" t="str">
            <v>Fire Smoke / Heat Detector, Sounder</v>
          </cell>
          <cell r="D8439" t="str">
            <v>Um Al Emarat Secondary School - Abu Dhabi</v>
          </cell>
          <cell r="H8439" t="str">
            <v>AD</v>
          </cell>
        </row>
        <row r="8440">
          <cell r="B8440" t="str">
            <v>Fire Smoke / Heat Detector, Sounder</v>
          </cell>
          <cell r="D8440" t="str">
            <v>Um Al Emarat Secondary School - Abu Dhabi</v>
          </cell>
          <cell r="H8440" t="str">
            <v>AD</v>
          </cell>
        </row>
        <row r="8441">
          <cell r="B8441" t="str">
            <v>Fire Smoke / Heat Detector, Sounder</v>
          </cell>
          <cell r="D8441" t="str">
            <v>Um Al Emarat Secondary School - Abu Dhabi</v>
          </cell>
          <cell r="H8441" t="str">
            <v>AD</v>
          </cell>
        </row>
        <row r="8442">
          <cell r="B8442" t="str">
            <v>Fire Smoke / Heat Detector, Sounder</v>
          </cell>
          <cell r="D8442" t="str">
            <v>Um Al Emarat Secondary School - Abu Dhabi</v>
          </cell>
          <cell r="H8442" t="str">
            <v>AD</v>
          </cell>
        </row>
        <row r="8443">
          <cell r="B8443" t="str">
            <v>Fire Smoke / Heat Detector, Sounder</v>
          </cell>
          <cell r="D8443" t="str">
            <v>Um Al Emarat Secondary School - Abu Dhabi</v>
          </cell>
          <cell r="H8443" t="str">
            <v>AD</v>
          </cell>
        </row>
        <row r="8444">
          <cell r="B8444" t="str">
            <v>Fire Smoke / Heat Detector, Sounder</v>
          </cell>
          <cell r="D8444" t="str">
            <v>Um Al Emarat Secondary School - Abu Dhabi</v>
          </cell>
          <cell r="H8444" t="str">
            <v>AD</v>
          </cell>
        </row>
        <row r="8445">
          <cell r="B8445" t="str">
            <v>Fire Smoke / Heat Detector, Sounder</v>
          </cell>
          <cell r="D8445" t="str">
            <v>Um Al Emarat Secondary School - Abu Dhabi</v>
          </cell>
          <cell r="H8445" t="str">
            <v>AD</v>
          </cell>
        </row>
        <row r="8446">
          <cell r="B8446" t="str">
            <v>Fire Smoke / Heat Detector, Sounder</v>
          </cell>
          <cell r="D8446" t="str">
            <v>Um Al Emarat Secondary School - Abu Dhabi</v>
          </cell>
          <cell r="H8446" t="str">
            <v>AD</v>
          </cell>
        </row>
        <row r="8447">
          <cell r="B8447" t="str">
            <v>Fire Smoke / Heat Detector, Sounder</v>
          </cell>
          <cell r="D8447" t="str">
            <v>Um Al Emarat Secondary School - Abu Dhabi</v>
          </cell>
          <cell r="H8447" t="str">
            <v>AD</v>
          </cell>
        </row>
        <row r="8448">
          <cell r="B8448" t="str">
            <v>Fire Smoke / Heat Detector, Sounder</v>
          </cell>
          <cell r="D8448" t="str">
            <v>Um Al Emarat Secondary School - Abu Dhabi</v>
          </cell>
          <cell r="H8448" t="str">
            <v>AD</v>
          </cell>
        </row>
        <row r="8449">
          <cell r="B8449" t="str">
            <v>Fire Smoke / Heat Detector, Sounder</v>
          </cell>
          <cell r="D8449" t="str">
            <v>Um Al Emarat Secondary School - Abu Dhabi</v>
          </cell>
          <cell r="H8449" t="str">
            <v>AD</v>
          </cell>
        </row>
        <row r="8450">
          <cell r="B8450" t="str">
            <v>Fire Smoke / Heat Detector, Sounder</v>
          </cell>
          <cell r="D8450" t="str">
            <v>Um Al Emarat Secondary School - Abu Dhabi</v>
          </cell>
          <cell r="H8450" t="str">
            <v>AD</v>
          </cell>
        </row>
        <row r="8451">
          <cell r="B8451" t="str">
            <v>Fire Smoke / Heat Detector, Sounder</v>
          </cell>
          <cell r="D8451" t="str">
            <v>Um Al Emarat Secondary School - Abu Dhabi</v>
          </cell>
          <cell r="H8451" t="str">
            <v>AD</v>
          </cell>
        </row>
        <row r="8452">
          <cell r="B8452" t="str">
            <v>Fire Smoke / Heat Detector, Sounder</v>
          </cell>
          <cell r="D8452" t="str">
            <v>Um Al Emarat Secondary School - Abu Dhabi</v>
          </cell>
          <cell r="H8452" t="str">
            <v>AD</v>
          </cell>
        </row>
        <row r="8453">
          <cell r="B8453" t="str">
            <v>Fire Smoke / Heat Detector, Sounder</v>
          </cell>
          <cell r="D8453" t="str">
            <v>Um Al Emarat Secondary School - Abu Dhabi</v>
          </cell>
          <cell r="H8453" t="str">
            <v>AD</v>
          </cell>
        </row>
        <row r="8454">
          <cell r="B8454" t="str">
            <v>Fire Smoke / Heat Detector, Sounder</v>
          </cell>
          <cell r="D8454" t="str">
            <v>Um Al Emarat Secondary School - Abu Dhabi</v>
          </cell>
          <cell r="H8454" t="str">
            <v>AD</v>
          </cell>
        </row>
        <row r="8455">
          <cell r="B8455" t="str">
            <v>Fire Smoke / Heat Detector, Sounder</v>
          </cell>
          <cell r="D8455" t="str">
            <v>Um Al Emarat Secondary School - Abu Dhabi</v>
          </cell>
          <cell r="H8455" t="str">
            <v>AD</v>
          </cell>
        </row>
        <row r="8456">
          <cell r="B8456" t="str">
            <v>Fire Smoke / Heat Detector, Sounder</v>
          </cell>
          <cell r="D8456" t="str">
            <v>Um Al Emarat Secondary School - Abu Dhabi</v>
          </cell>
          <cell r="H8456" t="str">
            <v>AD</v>
          </cell>
        </row>
        <row r="8457">
          <cell r="B8457" t="str">
            <v>Fire Smoke / Heat Detector, Sounder</v>
          </cell>
          <cell r="D8457" t="str">
            <v>Um Al Emarat Secondary School - Abu Dhabi</v>
          </cell>
          <cell r="H8457" t="str">
            <v>AD</v>
          </cell>
        </row>
        <row r="8458">
          <cell r="B8458" t="str">
            <v>Fire Smoke / Heat Detector, Sounder</v>
          </cell>
          <cell r="D8458" t="str">
            <v>Um Al Emarat Secondary School - Abu Dhabi</v>
          </cell>
          <cell r="H8458" t="str">
            <v>AD</v>
          </cell>
        </row>
        <row r="8459">
          <cell r="B8459" t="str">
            <v>Fire Smoke / Heat Detector, Sounder</v>
          </cell>
          <cell r="D8459" t="str">
            <v>Um Al Emarat Secondary School - Abu Dhabi</v>
          </cell>
          <cell r="H8459" t="str">
            <v>AD</v>
          </cell>
        </row>
        <row r="8460">
          <cell r="B8460" t="str">
            <v>Fire Smoke / Heat Detector, Sounder</v>
          </cell>
          <cell r="D8460" t="str">
            <v>Um Al Emarat Secondary School - Abu Dhabi</v>
          </cell>
          <cell r="H8460" t="str">
            <v>AD</v>
          </cell>
        </row>
        <row r="8461">
          <cell r="B8461" t="str">
            <v>Fire Smoke / Heat Detector, Sounder</v>
          </cell>
          <cell r="D8461" t="str">
            <v>Um Al Emarat Secondary School - Abu Dhabi</v>
          </cell>
          <cell r="H8461" t="str">
            <v>AD</v>
          </cell>
        </row>
        <row r="8462">
          <cell r="B8462" t="str">
            <v>Fire Smoke / Heat Detector, Sounder</v>
          </cell>
          <cell r="D8462" t="str">
            <v>Um Al Emarat Secondary School - Abu Dhabi</v>
          </cell>
          <cell r="H8462" t="str">
            <v>AD</v>
          </cell>
        </row>
        <row r="8463">
          <cell r="B8463" t="str">
            <v>Fire Smoke / Heat Detector, Sounder</v>
          </cell>
          <cell r="D8463" t="str">
            <v>Um Al Emarat Secondary School - Abu Dhabi</v>
          </cell>
          <cell r="H8463" t="str">
            <v>AD</v>
          </cell>
        </row>
        <row r="8464">
          <cell r="B8464" t="str">
            <v>Fire Smoke / Heat Detector, Sounder</v>
          </cell>
          <cell r="D8464" t="str">
            <v>Um Al Emarat Secondary School - Abu Dhabi</v>
          </cell>
          <cell r="H8464" t="str">
            <v>AD</v>
          </cell>
        </row>
        <row r="8465">
          <cell r="B8465" t="str">
            <v>Fire Smoke / Heat Detector, Sounder</v>
          </cell>
          <cell r="D8465" t="str">
            <v>Um Al Emarat Secondary School - Abu Dhabi</v>
          </cell>
          <cell r="H8465" t="str">
            <v>AD</v>
          </cell>
        </row>
        <row r="8466">
          <cell r="B8466" t="str">
            <v>Fire Smoke / Heat Detector, Sounder</v>
          </cell>
          <cell r="D8466" t="str">
            <v>Um Al Emarat Secondary School - Abu Dhabi</v>
          </cell>
          <cell r="H8466" t="str">
            <v>AD</v>
          </cell>
        </row>
        <row r="8467">
          <cell r="B8467" t="str">
            <v>Fire Smoke / Heat Detector, Sounder</v>
          </cell>
          <cell r="D8467" t="str">
            <v>Um Al Emarat Secondary School - Abu Dhabi</v>
          </cell>
          <cell r="H8467" t="str">
            <v>AD</v>
          </cell>
        </row>
        <row r="8468">
          <cell r="B8468" t="str">
            <v>Fire Smoke / Heat Detector, Sounder</v>
          </cell>
          <cell r="D8468" t="str">
            <v>Um Al Emarat Secondary School - Abu Dhabi</v>
          </cell>
          <cell r="H8468" t="str">
            <v>AD</v>
          </cell>
        </row>
        <row r="8469">
          <cell r="B8469" t="str">
            <v>Fire Smoke / Heat Detector, Sounder</v>
          </cell>
          <cell r="D8469" t="str">
            <v>Um Al Emarat Secondary School - Abu Dhabi</v>
          </cell>
          <cell r="H8469" t="str">
            <v>AD</v>
          </cell>
        </row>
        <row r="8470">
          <cell r="B8470" t="str">
            <v>Fire Smoke / Heat Detector, Sounder</v>
          </cell>
          <cell r="D8470" t="str">
            <v>Um Al Emarat Secondary School - Abu Dhabi</v>
          </cell>
          <cell r="H8470" t="str">
            <v>AD</v>
          </cell>
        </row>
        <row r="8471">
          <cell r="B8471" t="str">
            <v>Fire Smoke / Heat Detector, Sounder</v>
          </cell>
          <cell r="D8471" t="str">
            <v>Um Al Emarat Secondary School - Abu Dhabi</v>
          </cell>
          <cell r="H8471" t="str">
            <v>AD</v>
          </cell>
        </row>
        <row r="8472">
          <cell r="B8472" t="str">
            <v>Fire Smoke / Heat Detector, Sounder</v>
          </cell>
          <cell r="D8472" t="str">
            <v>Um Al Emarat Secondary School - Abu Dhabi</v>
          </cell>
          <cell r="H8472" t="str">
            <v>AD</v>
          </cell>
        </row>
        <row r="8473">
          <cell r="B8473" t="str">
            <v>Fire Smoke / Heat Detector, Sounder</v>
          </cell>
          <cell r="D8473" t="str">
            <v>Um Al Emarat Secondary School - Abu Dhabi</v>
          </cell>
          <cell r="H8473" t="str">
            <v>AD</v>
          </cell>
        </row>
        <row r="8474">
          <cell r="B8474" t="str">
            <v>Fire Smoke / Heat Detector, Sounder</v>
          </cell>
          <cell r="D8474" t="str">
            <v>Um Al Emarat Secondary School - Abu Dhabi</v>
          </cell>
          <cell r="H8474" t="str">
            <v>AD</v>
          </cell>
        </row>
        <row r="8475">
          <cell r="B8475" t="str">
            <v>Fire Smoke / Heat Detector, Sounder</v>
          </cell>
          <cell r="D8475" t="str">
            <v>Um Al Emarat Secondary School - Abu Dhabi</v>
          </cell>
          <cell r="H8475" t="str">
            <v>AD</v>
          </cell>
        </row>
        <row r="8476">
          <cell r="B8476" t="str">
            <v>Fire Smoke / Heat Detector, Sounder</v>
          </cell>
          <cell r="D8476" t="str">
            <v>Um Al Emarat Secondary School - Abu Dhabi</v>
          </cell>
          <cell r="H8476" t="str">
            <v>AD</v>
          </cell>
        </row>
        <row r="8477">
          <cell r="B8477" t="str">
            <v>Fire Smoke / Heat Detector, Sounder</v>
          </cell>
          <cell r="D8477" t="str">
            <v>Um Al Emarat Secondary School - Abu Dhabi</v>
          </cell>
          <cell r="H8477" t="str">
            <v>AD</v>
          </cell>
        </row>
        <row r="8478">
          <cell r="B8478" t="str">
            <v>Fire Smoke / Heat Detector, Sounder</v>
          </cell>
          <cell r="D8478" t="str">
            <v>Um Al Emarat Secondary School - Abu Dhabi</v>
          </cell>
          <cell r="H8478" t="str">
            <v>AD</v>
          </cell>
        </row>
        <row r="8479">
          <cell r="B8479" t="str">
            <v>Fire Smoke / Heat Detector, Sounder</v>
          </cell>
          <cell r="D8479" t="str">
            <v>Um Al Emarat Secondary School - Abu Dhabi</v>
          </cell>
          <cell r="H8479" t="str">
            <v>AD</v>
          </cell>
        </row>
        <row r="8480">
          <cell r="B8480" t="str">
            <v>Fire Smoke / Heat Detector, Sounder</v>
          </cell>
          <cell r="D8480" t="str">
            <v>Um Al Emarat Secondary School - Abu Dhabi</v>
          </cell>
          <cell r="H8480" t="str">
            <v>AD</v>
          </cell>
        </row>
        <row r="8481">
          <cell r="B8481" t="str">
            <v>Fire Smoke / Heat Detector, Sounder</v>
          </cell>
          <cell r="D8481" t="str">
            <v>Um Al Emarat Secondary School - Abu Dhabi</v>
          </cell>
          <cell r="H8481" t="str">
            <v>AD</v>
          </cell>
        </row>
        <row r="8482">
          <cell r="B8482" t="str">
            <v>Fire Smoke / Heat Detector, Sounder</v>
          </cell>
          <cell r="D8482" t="str">
            <v>Um Al Emarat Secondary School - Abu Dhabi</v>
          </cell>
          <cell r="H8482" t="str">
            <v>AD</v>
          </cell>
        </row>
        <row r="8483">
          <cell r="B8483" t="str">
            <v>Fire Smoke / Heat Detector, Sounder</v>
          </cell>
          <cell r="D8483" t="str">
            <v>Um Al Emarat Secondary School - Abu Dhabi</v>
          </cell>
          <cell r="H8483" t="str">
            <v>AD</v>
          </cell>
        </row>
        <row r="8484">
          <cell r="B8484" t="str">
            <v>Fire Smoke / Heat Detector, Sounder</v>
          </cell>
          <cell r="D8484" t="str">
            <v>Um Al Emarat Secondary School - Abu Dhabi</v>
          </cell>
          <cell r="H8484" t="str">
            <v>AD</v>
          </cell>
        </row>
        <row r="8485">
          <cell r="B8485" t="str">
            <v>Fire Smoke / Heat Detector, Sounder</v>
          </cell>
          <cell r="D8485" t="str">
            <v>Um Al Emarat Secondary School - Abu Dhabi</v>
          </cell>
          <cell r="H8485" t="str">
            <v>AD</v>
          </cell>
        </row>
        <row r="8486">
          <cell r="B8486" t="str">
            <v>Fire Smoke / Heat Detector, Sounder</v>
          </cell>
          <cell r="D8486" t="str">
            <v>Um Al Emarat Secondary School - Abu Dhabi</v>
          </cell>
          <cell r="H8486" t="str">
            <v>AD</v>
          </cell>
        </row>
        <row r="8487">
          <cell r="B8487" t="str">
            <v>Fire Smoke / Heat Detector, Sounder</v>
          </cell>
          <cell r="D8487" t="str">
            <v>Um Al Emarat Secondary School - Abu Dhabi</v>
          </cell>
          <cell r="H8487" t="str">
            <v>AD</v>
          </cell>
        </row>
        <row r="8488">
          <cell r="B8488" t="str">
            <v>Fire Smoke / Heat Detector, Sounder</v>
          </cell>
          <cell r="D8488" t="str">
            <v>Um Al Emarat Secondary School - Abu Dhabi</v>
          </cell>
          <cell r="H8488" t="str">
            <v>AD</v>
          </cell>
        </row>
        <row r="8489">
          <cell r="B8489" t="str">
            <v>Fire Smoke / Heat Detector, Sounder</v>
          </cell>
          <cell r="D8489" t="str">
            <v>Um Al Emarat Secondary School - Abu Dhabi</v>
          </cell>
          <cell r="H8489" t="str">
            <v>AD</v>
          </cell>
        </row>
        <row r="8490">
          <cell r="B8490" t="str">
            <v>Fire Smoke / Heat Detector, Sounder</v>
          </cell>
          <cell r="D8490" t="str">
            <v>Um Al Emarat Secondary School - Abu Dhabi</v>
          </cell>
          <cell r="H8490" t="str">
            <v>AD</v>
          </cell>
        </row>
        <row r="8491">
          <cell r="B8491" t="str">
            <v>Fire Smoke / Heat Detector, Sounder</v>
          </cell>
          <cell r="D8491" t="str">
            <v>Um Al Emarat Secondary School - Abu Dhabi</v>
          </cell>
          <cell r="H8491" t="str">
            <v>AD</v>
          </cell>
        </row>
        <row r="8492">
          <cell r="B8492" t="str">
            <v>Fire Smoke / Heat Detector, Sounder</v>
          </cell>
          <cell r="D8492" t="str">
            <v>Um Al Emarat Secondary School - Abu Dhabi</v>
          </cell>
          <cell r="H8492" t="str">
            <v>AD</v>
          </cell>
        </row>
        <row r="8493">
          <cell r="B8493" t="str">
            <v>Fire Smoke / Heat Detector, Sounder</v>
          </cell>
          <cell r="D8493" t="str">
            <v>Um Al Emarat Secondary School - Abu Dhabi</v>
          </cell>
          <cell r="H8493" t="str">
            <v>AD</v>
          </cell>
        </row>
        <row r="8494">
          <cell r="B8494" t="str">
            <v>Fire Smoke / Heat Detector, Sounder</v>
          </cell>
          <cell r="D8494" t="str">
            <v>Um Al Emarat Secondary School - Abu Dhabi</v>
          </cell>
          <cell r="H8494" t="str">
            <v>AD</v>
          </cell>
        </row>
        <row r="8495">
          <cell r="B8495" t="str">
            <v>Fire Smoke / Heat Detector, Sounder</v>
          </cell>
          <cell r="D8495" t="str">
            <v>Um Al Emarat Secondary School - Abu Dhabi</v>
          </cell>
          <cell r="H8495" t="str">
            <v>AD</v>
          </cell>
        </row>
        <row r="8496">
          <cell r="B8496" t="str">
            <v>Fire Smoke / Heat Detector, Sounder</v>
          </cell>
          <cell r="D8496" t="str">
            <v>Um Al Emarat Secondary School - Abu Dhabi</v>
          </cell>
          <cell r="H8496" t="str">
            <v>AD</v>
          </cell>
        </row>
        <row r="8497">
          <cell r="B8497" t="str">
            <v>Fire Smoke / Heat Detector, Sounder</v>
          </cell>
          <cell r="D8497" t="str">
            <v>Um Al Emarat Secondary School - Abu Dhabi</v>
          </cell>
          <cell r="H8497" t="str">
            <v>AD</v>
          </cell>
        </row>
        <row r="8498">
          <cell r="B8498" t="str">
            <v>Fire Smoke / Heat Detector, Sounder</v>
          </cell>
          <cell r="D8498" t="str">
            <v>Um Al Emarat Secondary School - Abu Dhabi</v>
          </cell>
          <cell r="H8498" t="str">
            <v>AD</v>
          </cell>
        </row>
        <row r="8499">
          <cell r="B8499" t="str">
            <v>Fire Smoke / Heat Detector, Sounder</v>
          </cell>
          <cell r="D8499" t="str">
            <v>Um Al Emarat Secondary School - Abu Dhabi</v>
          </cell>
          <cell r="H8499" t="str">
            <v>AD</v>
          </cell>
        </row>
        <row r="8500">
          <cell r="B8500" t="str">
            <v>Fire Smoke / Heat Detector, Sounder</v>
          </cell>
          <cell r="D8500" t="str">
            <v>Um Al Emarat Secondary School - Abu Dhabi</v>
          </cell>
          <cell r="H8500" t="str">
            <v>AD</v>
          </cell>
        </row>
        <row r="8501">
          <cell r="B8501" t="str">
            <v>Fire Smoke / Heat Detector, Sounder</v>
          </cell>
          <cell r="D8501" t="str">
            <v>Um Al Emarat Secondary School - Abu Dhabi</v>
          </cell>
          <cell r="H8501" t="str">
            <v>AD</v>
          </cell>
        </row>
        <row r="8502">
          <cell r="B8502" t="str">
            <v>Fire Smoke / Heat Detector, Sounder</v>
          </cell>
          <cell r="D8502" t="str">
            <v>Um Al Emarat Secondary School - Abu Dhabi</v>
          </cell>
          <cell r="H8502" t="str">
            <v>AD</v>
          </cell>
        </row>
        <row r="8503">
          <cell r="B8503" t="str">
            <v>Fire Smoke / Heat Detector, Sounder</v>
          </cell>
          <cell r="D8503" t="str">
            <v>Um Al Emarat Secondary School - Abu Dhabi</v>
          </cell>
          <cell r="H8503" t="str">
            <v>AD</v>
          </cell>
        </row>
        <row r="8504">
          <cell r="B8504" t="str">
            <v>Fire Smoke / Heat Detector, Sounder</v>
          </cell>
          <cell r="D8504" t="str">
            <v>Um Al Emarat Secondary School - Abu Dhabi</v>
          </cell>
          <cell r="H8504" t="str">
            <v>AD</v>
          </cell>
        </row>
        <row r="8505">
          <cell r="B8505" t="str">
            <v>Fire Smoke / Heat Detector, Sounder</v>
          </cell>
          <cell r="D8505" t="str">
            <v>Um Al Emarat Secondary School - Abu Dhabi</v>
          </cell>
          <cell r="H8505" t="str">
            <v>AD</v>
          </cell>
        </row>
        <row r="8506">
          <cell r="B8506" t="str">
            <v>Fire Smoke / Heat Detector, Sounder</v>
          </cell>
          <cell r="D8506" t="str">
            <v>Um Al Emarat Secondary School - Abu Dhabi</v>
          </cell>
          <cell r="H8506" t="str">
            <v>AD</v>
          </cell>
        </row>
        <row r="8507">
          <cell r="B8507" t="str">
            <v>Fire Smoke / Heat Detector, Sounder</v>
          </cell>
          <cell r="D8507" t="str">
            <v>Um Al Emarat Secondary School - Abu Dhabi</v>
          </cell>
          <cell r="H8507" t="str">
            <v>AD</v>
          </cell>
        </row>
        <row r="8508">
          <cell r="B8508" t="str">
            <v>Fire Smoke / Heat Detector, Sounder</v>
          </cell>
          <cell r="D8508" t="str">
            <v>Um Al Emarat Secondary School - Abu Dhabi</v>
          </cell>
          <cell r="H8508" t="str">
            <v>AD</v>
          </cell>
        </row>
        <row r="8509">
          <cell r="B8509" t="str">
            <v>Fire Smoke / Heat Detector, Sounder</v>
          </cell>
          <cell r="D8509" t="str">
            <v>Um Al Emarat Secondary School - Abu Dhabi</v>
          </cell>
          <cell r="H8509" t="str">
            <v>AD</v>
          </cell>
        </row>
        <row r="8510">
          <cell r="B8510" t="str">
            <v>Fire Smoke / Heat Detector, Sounder</v>
          </cell>
          <cell r="D8510" t="str">
            <v>Um Al Emarat Secondary School - Abu Dhabi</v>
          </cell>
          <cell r="H8510" t="str">
            <v>AD</v>
          </cell>
        </row>
        <row r="8511">
          <cell r="B8511" t="str">
            <v>Fire Smoke / Heat Detector, Sounder</v>
          </cell>
          <cell r="D8511" t="str">
            <v>Um Al Emarat Secondary School - Abu Dhabi</v>
          </cell>
          <cell r="H8511" t="str">
            <v>AD</v>
          </cell>
        </row>
        <row r="8512">
          <cell r="B8512" t="str">
            <v>Fire Smoke / Heat Detector, Sounder</v>
          </cell>
          <cell r="D8512" t="str">
            <v>Um Al Emarat Secondary School - Abu Dhabi</v>
          </cell>
          <cell r="H8512" t="str">
            <v>AD</v>
          </cell>
        </row>
        <row r="8513">
          <cell r="B8513" t="str">
            <v>Fire Smoke / Heat Detector, Sounder</v>
          </cell>
          <cell r="D8513" t="str">
            <v>Um Al Emarat Secondary School - Abu Dhabi</v>
          </cell>
          <cell r="H8513" t="str">
            <v>AD</v>
          </cell>
        </row>
        <row r="8514">
          <cell r="B8514" t="str">
            <v>Fire Smoke / Heat Detector, Sounder</v>
          </cell>
          <cell r="D8514" t="str">
            <v>Um Al Emarat Secondary School - Abu Dhabi</v>
          </cell>
          <cell r="H8514" t="str">
            <v>AD</v>
          </cell>
        </row>
        <row r="8515">
          <cell r="B8515" t="str">
            <v>Fire Smoke / Heat Detector, Sounder</v>
          </cell>
          <cell r="D8515" t="str">
            <v>Um Al Emarat Secondary School - Abu Dhabi</v>
          </cell>
          <cell r="H8515" t="str">
            <v>AD</v>
          </cell>
        </row>
        <row r="8516">
          <cell r="B8516" t="str">
            <v>Fire Smoke / Heat Detector, Sounder</v>
          </cell>
          <cell r="D8516" t="str">
            <v>Um Al Emarat Secondary School - Abu Dhabi</v>
          </cell>
          <cell r="H8516" t="str">
            <v>AD</v>
          </cell>
        </row>
        <row r="8517">
          <cell r="B8517" t="str">
            <v>Fire Smoke / Heat Detector, Sounder</v>
          </cell>
          <cell r="D8517" t="str">
            <v>Um Al Emarat Secondary School - Abu Dhabi</v>
          </cell>
          <cell r="H8517" t="str">
            <v>AD</v>
          </cell>
        </row>
        <row r="8518">
          <cell r="B8518" t="str">
            <v>Fire Smoke / Heat Detector, Sounder</v>
          </cell>
          <cell r="D8518" t="str">
            <v>Um Al Emarat Secondary School - Abu Dhabi</v>
          </cell>
          <cell r="H8518" t="str">
            <v>AD</v>
          </cell>
        </row>
        <row r="8519">
          <cell r="B8519" t="str">
            <v>Fire Smoke / Heat Detector, Sounder</v>
          </cell>
          <cell r="D8519" t="str">
            <v>Um Al Emarat Secondary School - Abu Dhabi</v>
          </cell>
          <cell r="H8519" t="str">
            <v>AD</v>
          </cell>
        </row>
        <row r="8520">
          <cell r="B8520" t="str">
            <v>Fire Smoke / Heat Detector, Sounder</v>
          </cell>
          <cell r="D8520" t="str">
            <v>Um Al Emarat Secondary School - Abu Dhabi</v>
          </cell>
          <cell r="H8520" t="str">
            <v>AD</v>
          </cell>
        </row>
        <row r="8521">
          <cell r="B8521" t="str">
            <v>Fire Smoke / Heat Detector, Sounder</v>
          </cell>
          <cell r="D8521" t="str">
            <v>Um Al Emarat Secondary School - Abu Dhabi</v>
          </cell>
          <cell r="H8521" t="str">
            <v>AD</v>
          </cell>
        </row>
        <row r="8522">
          <cell r="B8522" t="str">
            <v>Fire Smoke / Heat Detector, Sounder</v>
          </cell>
          <cell r="D8522" t="str">
            <v>Um Al Emarat Secondary School - Abu Dhabi</v>
          </cell>
          <cell r="H8522" t="str">
            <v>AD</v>
          </cell>
        </row>
        <row r="8523">
          <cell r="B8523" t="str">
            <v>Fire Smoke / Heat Detector, Sounder</v>
          </cell>
          <cell r="D8523" t="str">
            <v>Um Al Emarat Secondary School - Abu Dhabi</v>
          </cell>
          <cell r="H8523" t="str">
            <v>AD</v>
          </cell>
        </row>
        <row r="8524">
          <cell r="B8524" t="str">
            <v>Fire Smoke / Heat Detector, Sounder</v>
          </cell>
          <cell r="D8524" t="str">
            <v>Um Al Emarat Secondary School - Abu Dhabi</v>
          </cell>
          <cell r="H8524" t="str">
            <v>AD</v>
          </cell>
        </row>
        <row r="8525">
          <cell r="B8525" t="str">
            <v>Fire Smoke / Heat Detector, Sounder</v>
          </cell>
          <cell r="D8525" t="str">
            <v>Um Al Emarat Secondary School - Abu Dhabi</v>
          </cell>
          <cell r="H8525" t="str">
            <v>AD</v>
          </cell>
        </row>
        <row r="8526">
          <cell r="B8526" t="str">
            <v>Fire Smoke / Heat Detector, Sounder</v>
          </cell>
          <cell r="D8526" t="str">
            <v>Um Al Emarat Secondary School - Abu Dhabi</v>
          </cell>
          <cell r="H8526" t="str">
            <v>AD</v>
          </cell>
        </row>
        <row r="8527">
          <cell r="B8527" t="str">
            <v>Fire Smoke / Heat Detector, Sounder</v>
          </cell>
          <cell r="D8527" t="str">
            <v>Um Al Emarat Secondary School - Abu Dhabi</v>
          </cell>
          <cell r="H8527" t="str">
            <v>AD</v>
          </cell>
        </row>
        <row r="8528">
          <cell r="B8528" t="str">
            <v>Fire Water Tank</v>
          </cell>
          <cell r="D8528" t="str">
            <v>Um Al Emarat Secondary School - Abu Dhabi</v>
          </cell>
          <cell r="H8528" t="str">
            <v>AD</v>
          </cell>
        </row>
        <row r="8529">
          <cell r="B8529" t="str">
            <v>Gas Detection System</v>
          </cell>
          <cell r="D8529" t="str">
            <v>Um Al Emarat Secondary School - Abu Dhabi</v>
          </cell>
          <cell r="H8529" t="str">
            <v>AD</v>
          </cell>
        </row>
        <row r="8530">
          <cell r="B8530" t="str">
            <v>Gas Detection System</v>
          </cell>
          <cell r="D8530" t="str">
            <v>Um Al Emarat Secondary School - Abu Dhabi</v>
          </cell>
          <cell r="H8530" t="str">
            <v>AD</v>
          </cell>
        </row>
        <row r="8531">
          <cell r="B8531" t="str">
            <v>Gas Detection System</v>
          </cell>
          <cell r="D8531" t="str">
            <v>Um Al Emarat Secondary School - Abu Dhabi</v>
          </cell>
          <cell r="H8531" t="str">
            <v>AD</v>
          </cell>
        </row>
        <row r="8532">
          <cell r="B8532" t="str">
            <v>Gas Detection System</v>
          </cell>
          <cell r="D8532" t="str">
            <v>Um Al Emarat Secondary School - Abu Dhabi</v>
          </cell>
          <cell r="H8532" t="str">
            <v>AD</v>
          </cell>
        </row>
        <row r="8533">
          <cell r="B8533" t="str">
            <v>Intercom System</v>
          </cell>
          <cell r="D8533" t="str">
            <v>Um Al Emarat Secondary School - Abu Dhabi</v>
          </cell>
          <cell r="H8533" t="str">
            <v>AD</v>
          </cell>
        </row>
        <row r="8534">
          <cell r="B8534" t="str">
            <v>Intercom System</v>
          </cell>
          <cell r="D8534" t="str">
            <v>Um Al Emarat Secondary School - Abu Dhabi</v>
          </cell>
          <cell r="H8534" t="str">
            <v>AD</v>
          </cell>
        </row>
        <row r="8535">
          <cell r="B8535" t="str">
            <v>Intercom System</v>
          </cell>
          <cell r="D8535" t="str">
            <v>Um Al Emarat Secondary School - Abu Dhabi</v>
          </cell>
          <cell r="H8535" t="str">
            <v>AD</v>
          </cell>
        </row>
        <row r="8536">
          <cell r="B8536" t="str">
            <v>Intercom System</v>
          </cell>
          <cell r="D8536" t="str">
            <v>Um Al Emarat Secondary School - Abu Dhabi</v>
          </cell>
          <cell r="H8536" t="str">
            <v>AD</v>
          </cell>
        </row>
        <row r="8537">
          <cell r="B8537" t="str">
            <v>Intercom System</v>
          </cell>
          <cell r="D8537" t="str">
            <v>Um Al Emarat Secondary School - Abu Dhabi</v>
          </cell>
          <cell r="H8537" t="str">
            <v>AD</v>
          </cell>
        </row>
        <row r="8538">
          <cell r="B8538" t="str">
            <v>Intercom System</v>
          </cell>
          <cell r="D8538" t="str">
            <v>Um Al Emarat Secondary School - Abu Dhabi</v>
          </cell>
          <cell r="H8538" t="str">
            <v>AD</v>
          </cell>
        </row>
        <row r="8539">
          <cell r="B8539" t="str">
            <v>Intercom System</v>
          </cell>
          <cell r="D8539" t="str">
            <v>Um Al Emarat Secondary School - Abu Dhabi</v>
          </cell>
          <cell r="H8539" t="str">
            <v>AD</v>
          </cell>
        </row>
        <row r="8540">
          <cell r="B8540" t="str">
            <v>Irrigation System</v>
          </cell>
          <cell r="D8540" t="str">
            <v>Um Al Emarat Secondary School - Abu Dhabi</v>
          </cell>
          <cell r="H8540" t="str">
            <v>AD</v>
          </cell>
        </row>
        <row r="8541">
          <cell r="B8541" t="str">
            <v>Irrigation System</v>
          </cell>
          <cell r="D8541" t="str">
            <v>Um Al Emarat Secondary School - Abu Dhabi</v>
          </cell>
          <cell r="H8541" t="str">
            <v>AD</v>
          </cell>
        </row>
        <row r="8542">
          <cell r="B8542" t="str">
            <v>Irrigation System</v>
          </cell>
          <cell r="D8542" t="str">
            <v>Um Al Emarat Secondary School - Abu Dhabi</v>
          </cell>
          <cell r="H8542" t="str">
            <v>AD</v>
          </cell>
        </row>
        <row r="8543">
          <cell r="B8543" t="str">
            <v>UPS</v>
          </cell>
          <cell r="D8543" t="str">
            <v>Um Al Emarat Secondary School - Abu Dhabi</v>
          </cell>
          <cell r="H8543" t="str">
            <v>AD</v>
          </cell>
        </row>
        <row r="8544">
          <cell r="B8544" t="str">
            <v>UPS</v>
          </cell>
          <cell r="D8544" t="str">
            <v>Um Al Emarat Secondary School - Abu Dhabi</v>
          </cell>
          <cell r="H8544" t="str">
            <v>AD</v>
          </cell>
        </row>
        <row r="8545">
          <cell r="B8545" t="str">
            <v>Fire Alarm Bell</v>
          </cell>
          <cell r="D8545" t="str">
            <v xml:space="preserve">Zayed Al-Awwal Sec. School          </v>
          </cell>
          <cell r="H8545" t="str">
            <v>AA</v>
          </cell>
        </row>
        <row r="8546">
          <cell r="B8546" t="str">
            <v>Fire Break Glass</v>
          </cell>
          <cell r="D8546" t="str">
            <v xml:space="preserve">Zayed Al-Awwal Sec. School          </v>
          </cell>
          <cell r="H8546" t="str">
            <v>AA</v>
          </cell>
        </row>
        <row r="8547">
          <cell r="B8547" t="str">
            <v>Fire Break Glass</v>
          </cell>
          <cell r="D8547" t="str">
            <v xml:space="preserve">Zayed Al-Awwal Sec. School          </v>
          </cell>
          <cell r="H8547" t="str">
            <v>AA</v>
          </cell>
        </row>
        <row r="8548">
          <cell r="B8548" t="str">
            <v>Fire Extinguisher</v>
          </cell>
          <cell r="D8548" t="str">
            <v xml:space="preserve">Zayed Al-Awwal Sec. School          </v>
          </cell>
          <cell r="H8548" t="str">
            <v>AA</v>
          </cell>
        </row>
        <row r="8549">
          <cell r="B8549" t="str">
            <v>Fire Extinguisher</v>
          </cell>
          <cell r="D8549" t="str">
            <v xml:space="preserve">Zayed Al-Awwal Sec. School          </v>
          </cell>
          <cell r="H8549" t="str">
            <v>AA</v>
          </cell>
        </row>
        <row r="8550">
          <cell r="B8550" t="str">
            <v>Fire Extinguisher - C02</v>
          </cell>
          <cell r="D8550" t="str">
            <v xml:space="preserve">Zayed Al-Awwal Sec. School          </v>
          </cell>
          <cell r="H8550" t="str">
            <v>AA</v>
          </cell>
        </row>
        <row r="8551">
          <cell r="B8551" t="str">
            <v>Fire Extinguisher - C02</v>
          </cell>
          <cell r="D8551" t="str">
            <v xml:space="preserve">Zayed Al-Awwal Sec. School          </v>
          </cell>
          <cell r="H8551" t="str">
            <v>AA</v>
          </cell>
        </row>
        <row r="8552">
          <cell r="B8552" t="str">
            <v>Fire Extinguisher - C02</v>
          </cell>
          <cell r="D8552" t="str">
            <v xml:space="preserve">Zayed Al-Awwal Sec. School          </v>
          </cell>
          <cell r="H8552" t="str">
            <v>AA</v>
          </cell>
        </row>
        <row r="8553">
          <cell r="B8553" t="str">
            <v>Fire Extinguisher - C02</v>
          </cell>
          <cell r="D8553" t="str">
            <v xml:space="preserve">Zayed Al-Awwal Sec. School          </v>
          </cell>
          <cell r="H8553" t="str">
            <v>AA</v>
          </cell>
        </row>
        <row r="8554">
          <cell r="B8554" t="str">
            <v>Fire Extinguisher - C02</v>
          </cell>
          <cell r="D8554" t="str">
            <v xml:space="preserve">Zayed Al-Awwal Sec. School          </v>
          </cell>
          <cell r="H8554" t="str">
            <v>AA</v>
          </cell>
        </row>
        <row r="8555">
          <cell r="B8555" t="str">
            <v>Fire Extinguisher - C02</v>
          </cell>
          <cell r="D8555" t="str">
            <v xml:space="preserve">Zayed Al-Awwal Sec. School          </v>
          </cell>
          <cell r="H8555" t="str">
            <v>AA</v>
          </cell>
        </row>
        <row r="8556">
          <cell r="B8556" t="str">
            <v>Fire Extinguisher - C02</v>
          </cell>
          <cell r="D8556" t="str">
            <v xml:space="preserve">Zayed Al-Awwal Sec. School          </v>
          </cell>
          <cell r="H8556" t="str">
            <v>AA</v>
          </cell>
        </row>
        <row r="8557">
          <cell r="B8557" t="str">
            <v>Fire Extinguisher - Dry</v>
          </cell>
          <cell r="D8557" t="str">
            <v xml:space="preserve">Zayed Al-Awwal Sec. School          </v>
          </cell>
          <cell r="H8557" t="str">
            <v>AA</v>
          </cell>
        </row>
        <row r="8558">
          <cell r="B8558" t="str">
            <v>Fire Extinguisher - Dry</v>
          </cell>
          <cell r="D8558" t="str">
            <v xml:space="preserve">Zayed Al-Awwal Sec. School          </v>
          </cell>
          <cell r="H8558" t="str">
            <v>AA</v>
          </cell>
        </row>
        <row r="8559">
          <cell r="B8559" t="str">
            <v>Fire Extinguisher - Dry</v>
          </cell>
          <cell r="D8559" t="str">
            <v xml:space="preserve">Zayed Al-Awwal Sec. School          </v>
          </cell>
          <cell r="H8559" t="str">
            <v>AA</v>
          </cell>
        </row>
        <row r="8560">
          <cell r="B8560" t="str">
            <v>Water Tank</v>
          </cell>
          <cell r="D8560" t="str">
            <v xml:space="preserve">Zayed Al-Awwal Sec. School          </v>
          </cell>
          <cell r="H8560" t="str">
            <v>AA</v>
          </cell>
        </row>
        <row r="8561">
          <cell r="B8561" t="str">
            <v>Water Tank</v>
          </cell>
          <cell r="D8561" t="str">
            <v xml:space="preserve">Zayed Al-Awwal Sec. School          </v>
          </cell>
          <cell r="H8561" t="str">
            <v>AA</v>
          </cell>
        </row>
        <row r="8562">
          <cell r="B8562" t="str">
            <v>Fire Alarm Panel</v>
          </cell>
          <cell r="D8562" t="str">
            <v xml:space="preserve">Zayed AlKhair  School – C1 (Ka'ab Bin Malek (Basic Edu. For Boys previously) </v>
          </cell>
          <cell r="H8562" t="str">
            <v>WR</v>
          </cell>
        </row>
        <row r="8563">
          <cell r="B8563" t="str">
            <v>FIRE BREAKGLASS</v>
          </cell>
          <cell r="D8563" t="str">
            <v xml:space="preserve">Zayed AlKhair  School – C1 (Ka'ab Bin Malek (Basic Edu. For Boys previously) </v>
          </cell>
          <cell r="H8563" t="str">
            <v>WR</v>
          </cell>
        </row>
        <row r="8564">
          <cell r="B8564" t="str">
            <v>FIRE BREAKGLASS</v>
          </cell>
          <cell r="D8564" t="str">
            <v xml:space="preserve">Zayed AlKhair  School – C1 (Ka'ab Bin Malek (Basic Edu. For Boys previously) </v>
          </cell>
          <cell r="H8564" t="str">
            <v>WR</v>
          </cell>
        </row>
        <row r="8565">
          <cell r="B8565" t="str">
            <v>FIRE BREAKGLASS</v>
          </cell>
          <cell r="D8565" t="str">
            <v xml:space="preserve">Zayed AlKhair  School – C1 (Ka'ab Bin Malek (Basic Edu. For Boys previously) </v>
          </cell>
          <cell r="H8565" t="str">
            <v>WR</v>
          </cell>
        </row>
        <row r="8566">
          <cell r="B8566" t="str">
            <v>FIRE BREAKGLASS</v>
          </cell>
          <cell r="D8566" t="str">
            <v xml:space="preserve">Zayed AlKhair  School – C1 (Ka'ab Bin Malek (Basic Edu. For Boys previously) </v>
          </cell>
          <cell r="H8566" t="str">
            <v>WR</v>
          </cell>
        </row>
        <row r="8567">
          <cell r="B8567" t="str">
            <v>FIRE BREAKGLASS</v>
          </cell>
          <cell r="D8567" t="str">
            <v xml:space="preserve">Zayed AlKhair  School – C1 (Ka'ab Bin Malek (Basic Edu. For Boys previously) </v>
          </cell>
          <cell r="H8567" t="str">
            <v>WR</v>
          </cell>
        </row>
        <row r="8568">
          <cell r="B8568" t="str">
            <v>FIRE BREAKGLASS</v>
          </cell>
          <cell r="D8568" t="str">
            <v xml:space="preserve">Zayed AlKhair  School – C1 (Ka'ab Bin Malek (Basic Edu. For Boys previously) </v>
          </cell>
          <cell r="H8568" t="str">
            <v>WR</v>
          </cell>
        </row>
        <row r="8569">
          <cell r="B8569" t="str">
            <v>FIRE BREAKGLASS</v>
          </cell>
          <cell r="D8569" t="str">
            <v xml:space="preserve">Zayed AlKhair  School – C1 (Ka'ab Bin Malek (Basic Edu. For Boys previously) </v>
          </cell>
          <cell r="H8569" t="str">
            <v>WR</v>
          </cell>
        </row>
        <row r="8570">
          <cell r="B8570" t="str">
            <v>FIRE BREAKGLASS</v>
          </cell>
          <cell r="D8570" t="str">
            <v xml:space="preserve">Zayed AlKhair  School – C1 (Ka'ab Bin Malek (Basic Edu. For Boys previously) </v>
          </cell>
          <cell r="H8570" t="str">
            <v>WR</v>
          </cell>
        </row>
        <row r="8571">
          <cell r="B8571" t="str">
            <v>FIRE BREAKGLASS</v>
          </cell>
          <cell r="D8571" t="str">
            <v xml:space="preserve">Zayed AlKhair  School – C1 (Ka'ab Bin Malek (Basic Edu. For Boys previously) </v>
          </cell>
          <cell r="H8571" t="str">
            <v>WR</v>
          </cell>
        </row>
        <row r="8572">
          <cell r="B8572" t="str">
            <v>FIRE BREAKGLASS</v>
          </cell>
          <cell r="D8572" t="str">
            <v xml:space="preserve">Zayed AlKhair  School – C1 (Ka'ab Bin Malek (Basic Edu. For Boys previously) </v>
          </cell>
          <cell r="H8572" t="str">
            <v>WR</v>
          </cell>
        </row>
        <row r="8573">
          <cell r="B8573" t="str">
            <v>FIRE BREAKGLASS</v>
          </cell>
          <cell r="D8573" t="str">
            <v xml:space="preserve">Zayed AlKhair  School – C1 (Ka'ab Bin Malek (Basic Edu. For Boys previously) </v>
          </cell>
          <cell r="H8573" t="str">
            <v>WR</v>
          </cell>
        </row>
        <row r="8574">
          <cell r="B8574" t="str">
            <v>FIRE BREAKGLASS</v>
          </cell>
          <cell r="D8574" t="str">
            <v xml:space="preserve">Zayed AlKhair  School – C1 (Ka'ab Bin Malek (Basic Edu. For Boys previously) </v>
          </cell>
          <cell r="H8574" t="str">
            <v>WR</v>
          </cell>
        </row>
        <row r="8575">
          <cell r="B8575" t="str">
            <v>FIRE BREAKGLASS</v>
          </cell>
          <cell r="D8575" t="str">
            <v xml:space="preserve">Zayed AlKhair  School – C1 (Ka'ab Bin Malek (Basic Edu. For Boys previously) </v>
          </cell>
          <cell r="H8575" t="str">
            <v>WR</v>
          </cell>
        </row>
        <row r="8576">
          <cell r="B8576" t="str">
            <v>FIRE BREAKGLASS</v>
          </cell>
          <cell r="D8576" t="str">
            <v xml:space="preserve">Zayed AlKhair  School – C1 (Ka'ab Bin Malek (Basic Edu. For Boys previously) </v>
          </cell>
          <cell r="H8576" t="str">
            <v>WR</v>
          </cell>
        </row>
        <row r="8577">
          <cell r="B8577" t="str">
            <v>FIRE BREAKGLASS</v>
          </cell>
          <cell r="D8577" t="str">
            <v xml:space="preserve">Zayed AlKhair  School – C1 (Ka'ab Bin Malek (Basic Edu. For Boys previously) </v>
          </cell>
          <cell r="H8577" t="str">
            <v>WR</v>
          </cell>
        </row>
        <row r="8578">
          <cell r="B8578" t="str">
            <v>FIRE BREAKGLASS</v>
          </cell>
          <cell r="D8578" t="str">
            <v xml:space="preserve">Zayed AlKhair  School – C1 (Ka'ab Bin Malek (Basic Edu. For Boys previously) </v>
          </cell>
          <cell r="H8578" t="str">
            <v>WR</v>
          </cell>
        </row>
        <row r="8579">
          <cell r="B8579" t="str">
            <v>FIRE BREAKGLASS</v>
          </cell>
          <cell r="D8579" t="str">
            <v xml:space="preserve">Zayed AlKhair  School – C1 (Ka'ab Bin Malek (Basic Edu. For Boys previously) </v>
          </cell>
          <cell r="H8579" t="str">
            <v>WR</v>
          </cell>
        </row>
        <row r="8580">
          <cell r="B8580" t="str">
            <v>FIRE BREAKGLASS</v>
          </cell>
          <cell r="D8580" t="str">
            <v xml:space="preserve">Zayed AlKhair  School – C1 (Ka'ab Bin Malek (Basic Edu. For Boys previously) </v>
          </cell>
          <cell r="H8580" t="str">
            <v>WR</v>
          </cell>
        </row>
        <row r="8581">
          <cell r="B8581" t="str">
            <v>Fire Extinguisher - Dry</v>
          </cell>
          <cell r="D8581" t="str">
            <v xml:space="preserve">Zayed AlKhair  School – C1 (Ka'ab Bin Malek (Basic Edu. For Boys previously) </v>
          </cell>
          <cell r="H8581" t="str">
            <v>WR</v>
          </cell>
        </row>
        <row r="8582">
          <cell r="B8582" t="str">
            <v>Fire Extinguisher - Dry</v>
          </cell>
          <cell r="D8582" t="str">
            <v xml:space="preserve">Zayed AlKhair  School – C1 (Ka'ab Bin Malek (Basic Edu. For Boys previously) </v>
          </cell>
          <cell r="H8582" t="str">
            <v>WR</v>
          </cell>
        </row>
        <row r="8583">
          <cell r="B8583" t="str">
            <v>Fire Extinguisher - Dry</v>
          </cell>
          <cell r="D8583" t="str">
            <v xml:space="preserve">Zayed AlKhair  School – C1 (Ka'ab Bin Malek (Basic Edu. For Boys previously) </v>
          </cell>
          <cell r="H8583" t="str">
            <v>WR</v>
          </cell>
        </row>
        <row r="8584">
          <cell r="B8584" t="str">
            <v>Fire Extinguisher - Dry</v>
          </cell>
          <cell r="D8584" t="str">
            <v xml:space="preserve">Zayed AlKhair  School – C1 (Ka'ab Bin Malek (Basic Edu. For Boys previously) </v>
          </cell>
          <cell r="H8584" t="str">
            <v>WR</v>
          </cell>
        </row>
        <row r="8585">
          <cell r="B8585" t="str">
            <v>Fire Extinguisher - Dry</v>
          </cell>
          <cell r="D8585" t="str">
            <v xml:space="preserve">Zayed AlKhair  School – C1 (Ka'ab Bin Malek (Basic Edu. For Boys previously) </v>
          </cell>
          <cell r="H8585" t="str">
            <v>WR</v>
          </cell>
        </row>
        <row r="8586">
          <cell r="B8586" t="str">
            <v>Fire Extinguisher - Dry</v>
          </cell>
          <cell r="D8586" t="str">
            <v xml:space="preserve">Zayed AlKhair  School – C1 (Ka'ab Bin Malek (Basic Edu. For Boys previously) </v>
          </cell>
          <cell r="H8586" t="str">
            <v>WR</v>
          </cell>
        </row>
        <row r="8587">
          <cell r="B8587" t="str">
            <v>Fire Extinguisher - Dry</v>
          </cell>
          <cell r="D8587" t="str">
            <v xml:space="preserve">Zayed AlKhair  School – C1 (Ka'ab Bin Malek (Basic Edu. For Boys previously) </v>
          </cell>
          <cell r="H8587" t="str">
            <v>WR</v>
          </cell>
        </row>
        <row r="8588">
          <cell r="B8588" t="str">
            <v>Fire Extinguisher - Dry</v>
          </cell>
          <cell r="D8588" t="str">
            <v xml:space="preserve">Zayed AlKhair  School – C1 (Ka'ab Bin Malek (Basic Edu. For Boys previously) </v>
          </cell>
          <cell r="H8588" t="str">
            <v>WR</v>
          </cell>
        </row>
        <row r="8589">
          <cell r="B8589" t="str">
            <v>Fire Extinguisher - Dry</v>
          </cell>
          <cell r="D8589" t="str">
            <v xml:space="preserve">Zayed AlKhair  School – C1 (Ka'ab Bin Malek (Basic Edu. For Boys previously) </v>
          </cell>
          <cell r="H8589" t="str">
            <v>WR</v>
          </cell>
        </row>
        <row r="8590">
          <cell r="B8590" t="str">
            <v>Fire Extinguisher - Dry</v>
          </cell>
          <cell r="D8590" t="str">
            <v xml:space="preserve">Zayed AlKhair  School – C1 (Ka'ab Bin Malek (Basic Edu. For Boys previously) </v>
          </cell>
          <cell r="H8590" t="str">
            <v>WR</v>
          </cell>
        </row>
        <row r="8591">
          <cell r="B8591" t="str">
            <v>FIRE HOSE REEL</v>
          </cell>
          <cell r="D8591" t="str">
            <v xml:space="preserve">Zayed AlKhair  School – C1 (Ka'ab Bin Malek (Basic Edu. For Boys previously) </v>
          </cell>
          <cell r="H8591" t="str">
            <v>WR</v>
          </cell>
        </row>
        <row r="8592">
          <cell r="B8592" t="str">
            <v>FIRE HOSE REEL</v>
          </cell>
          <cell r="D8592" t="str">
            <v xml:space="preserve">Zayed AlKhair  School – C1 (Ka'ab Bin Malek (Basic Edu. For Boys previously) </v>
          </cell>
          <cell r="H8592" t="str">
            <v>WR</v>
          </cell>
        </row>
        <row r="8593">
          <cell r="B8593" t="str">
            <v>FIRE HOSE REEL</v>
          </cell>
          <cell r="D8593" t="str">
            <v xml:space="preserve">Zayed AlKhair  School – C1 (Ka'ab Bin Malek (Basic Edu. For Boys previously) </v>
          </cell>
          <cell r="H8593" t="str">
            <v>WR</v>
          </cell>
        </row>
        <row r="8594">
          <cell r="B8594" t="str">
            <v>FIRE HOSE REEL</v>
          </cell>
          <cell r="D8594" t="str">
            <v xml:space="preserve">Zayed AlKhair  School – C1 (Ka'ab Bin Malek (Basic Edu. For Boys previously) </v>
          </cell>
          <cell r="H8594" t="str">
            <v>WR</v>
          </cell>
        </row>
        <row r="8595">
          <cell r="B8595" t="str">
            <v>FIRE HOSE REEL</v>
          </cell>
          <cell r="D8595" t="str">
            <v xml:space="preserve">Zayed AlKhair  School – C1 (Ka'ab Bin Malek (Basic Edu. For Boys previously) </v>
          </cell>
          <cell r="H8595" t="str">
            <v>WR</v>
          </cell>
        </row>
        <row r="8596">
          <cell r="B8596" t="str">
            <v>FIRE HOSE REEL</v>
          </cell>
          <cell r="D8596" t="str">
            <v xml:space="preserve">Zayed AlKhair  School – C1 (Ka'ab Bin Malek (Basic Edu. For Boys previously) </v>
          </cell>
          <cell r="H8596" t="str">
            <v>WR</v>
          </cell>
        </row>
        <row r="8597">
          <cell r="B8597" t="str">
            <v>FIRE HOSE REEL</v>
          </cell>
          <cell r="D8597" t="str">
            <v xml:space="preserve">Zayed AlKhair  School – C1 (Ka'ab Bin Malek (Basic Edu. For Boys previously) </v>
          </cell>
          <cell r="H8597" t="str">
            <v>WR</v>
          </cell>
        </row>
        <row r="8598">
          <cell r="B8598" t="str">
            <v>FIRE HOSE REEL</v>
          </cell>
          <cell r="D8598" t="str">
            <v xml:space="preserve">Zayed AlKhair  School – C1 (Ka'ab Bin Malek (Basic Edu. For Boys previously) </v>
          </cell>
          <cell r="H8598" t="str">
            <v>WR</v>
          </cell>
        </row>
        <row r="8599">
          <cell r="B8599" t="str">
            <v>FIRE HOSE REEL</v>
          </cell>
          <cell r="D8599" t="str">
            <v xml:space="preserve">Zayed AlKhair  School – C1 (Ka'ab Bin Malek (Basic Edu. For Boys previously) </v>
          </cell>
          <cell r="H8599" t="str">
            <v>WR</v>
          </cell>
        </row>
        <row r="8600">
          <cell r="B8600" t="str">
            <v>FIRE HOSE REEL</v>
          </cell>
          <cell r="D8600" t="str">
            <v xml:space="preserve">Zayed AlKhair  School – C1 (Ka'ab Bin Malek (Basic Edu. For Boys previously) </v>
          </cell>
          <cell r="H8600" t="str">
            <v>WR</v>
          </cell>
        </row>
        <row r="8601">
          <cell r="B8601" t="str">
            <v>FIRE HOSE REEL</v>
          </cell>
          <cell r="D8601" t="str">
            <v xml:space="preserve">Zayed AlKhair  School – C1 (Ka'ab Bin Malek (Basic Edu. For Boys previously) </v>
          </cell>
          <cell r="H8601" t="str">
            <v>WR</v>
          </cell>
        </row>
        <row r="8602">
          <cell r="B8602" t="str">
            <v>FIRE HOSE REEL</v>
          </cell>
          <cell r="D8602" t="str">
            <v xml:space="preserve">Zayed AlKhair  School – C1 (Ka'ab Bin Malek (Basic Edu. For Boys previously) </v>
          </cell>
          <cell r="H8602" t="str">
            <v>WR</v>
          </cell>
        </row>
        <row r="8603">
          <cell r="B8603" t="str">
            <v>FIRE HOSE REEL</v>
          </cell>
          <cell r="D8603" t="str">
            <v xml:space="preserve">Zayed AlKhair  School – C1 (Ka'ab Bin Malek (Basic Edu. For Boys previously) </v>
          </cell>
          <cell r="H8603" t="str">
            <v>WR</v>
          </cell>
        </row>
        <row r="8604">
          <cell r="B8604" t="str">
            <v>FIRE HOSE REEL</v>
          </cell>
          <cell r="D8604" t="str">
            <v xml:space="preserve">Zayed AlKhair  School – C1 (Ka'ab Bin Malek (Basic Edu. For Boys previously) </v>
          </cell>
          <cell r="H8604" t="str">
            <v>WR</v>
          </cell>
        </row>
        <row r="8605">
          <cell r="B8605" t="str">
            <v>FIRE HOSE REEL</v>
          </cell>
          <cell r="D8605" t="str">
            <v xml:space="preserve">Zayed AlKhair  School – C1 (Ka'ab Bin Malek (Basic Edu. For Boys previously) </v>
          </cell>
          <cell r="H8605" t="str">
            <v>WR</v>
          </cell>
        </row>
        <row r="8606">
          <cell r="B8606" t="str">
            <v>FIRE HOSE REEL</v>
          </cell>
          <cell r="D8606" t="str">
            <v xml:space="preserve">Zayed AlKhair  School – C1 (Ka'ab Bin Malek (Basic Edu. For Boys previously) </v>
          </cell>
          <cell r="H8606" t="str">
            <v>WR</v>
          </cell>
        </row>
        <row r="8607">
          <cell r="B8607" t="str">
            <v>FIRE HOSE REEL</v>
          </cell>
          <cell r="D8607" t="str">
            <v xml:space="preserve">Zayed AlKhair  School – C1 (Ka'ab Bin Malek (Basic Edu. For Boys previously) </v>
          </cell>
          <cell r="H8607" t="str">
            <v>WR</v>
          </cell>
        </row>
        <row r="8608">
          <cell r="B8608" t="str">
            <v>FIRE HOSE REEL</v>
          </cell>
          <cell r="D8608" t="str">
            <v xml:space="preserve">Zayed AlKhair  School – C1 (Ka'ab Bin Malek (Basic Edu. For Boys previously) </v>
          </cell>
          <cell r="H8608" t="str">
            <v>WR</v>
          </cell>
        </row>
        <row r="8609">
          <cell r="B8609" t="str">
            <v>FIRE HOSE REEL</v>
          </cell>
          <cell r="D8609" t="str">
            <v xml:space="preserve">Zayed AlKhair  School – C1 (Ka'ab Bin Malek (Basic Edu. For Boys previously) </v>
          </cell>
          <cell r="H8609" t="str">
            <v>WR</v>
          </cell>
        </row>
        <row r="8610">
          <cell r="B8610" t="str">
            <v>FIRE HOSE REEL</v>
          </cell>
          <cell r="D8610" t="str">
            <v xml:space="preserve">Zayed AlKhair  School – C1 (Ka'ab Bin Malek (Basic Edu. For Boys previously) </v>
          </cell>
          <cell r="H8610" t="str">
            <v>WR</v>
          </cell>
        </row>
        <row r="8611">
          <cell r="B8611" t="str">
            <v>FIRE HOSE REEL</v>
          </cell>
          <cell r="D8611" t="str">
            <v xml:space="preserve">Zayed AlKhair  School – C1 (Ka'ab Bin Malek (Basic Edu. For Boys previously) </v>
          </cell>
          <cell r="H8611" t="str">
            <v>WR</v>
          </cell>
        </row>
        <row r="8612">
          <cell r="B8612" t="str">
            <v>FIRE HOSE REEL</v>
          </cell>
          <cell r="D8612" t="str">
            <v xml:space="preserve">Zayed AlKhair  School – C1 (Ka'ab Bin Malek (Basic Edu. For Boys previously) </v>
          </cell>
          <cell r="H8612" t="str">
            <v>WR</v>
          </cell>
        </row>
        <row r="8613">
          <cell r="B8613" t="str">
            <v>FIRE PUMP - Diesel</v>
          </cell>
          <cell r="D8613" t="str">
            <v xml:space="preserve">Zayed AlKhair  School – C1 (Ka'ab Bin Malek (Basic Edu. For Boys previously) </v>
          </cell>
          <cell r="H8613" t="str">
            <v>WR</v>
          </cell>
        </row>
        <row r="8614">
          <cell r="B8614" t="str">
            <v>FIRE PUMP - Electric</v>
          </cell>
          <cell r="D8614" t="str">
            <v xml:space="preserve">Zayed AlKhair  School – C1 (Ka'ab Bin Malek (Basic Edu. For Boys previously) </v>
          </cell>
          <cell r="H8614" t="str">
            <v>WR</v>
          </cell>
        </row>
        <row r="8615">
          <cell r="B8615" t="str">
            <v>Fire Water Tank</v>
          </cell>
          <cell r="D8615" t="str">
            <v xml:space="preserve">Zayed AlKhair  School – C1 (Ka'ab Bin Malek (Basic Edu. For Boys previously) </v>
          </cell>
          <cell r="H8615" t="str">
            <v>WR</v>
          </cell>
        </row>
        <row r="8616">
          <cell r="B8616" t="str">
            <v>Water Tank</v>
          </cell>
          <cell r="D8616" t="str">
            <v xml:space="preserve">Zayed AlKhair  School – C1 (Ka'ab Bin Malek (Basic Edu. For Boys previously) </v>
          </cell>
          <cell r="H8616" t="str">
            <v>WR</v>
          </cell>
        </row>
        <row r="8617">
          <cell r="B8617" t="str">
            <v>Water Tank</v>
          </cell>
          <cell r="D8617" t="str">
            <v xml:space="preserve">Zayed AlKhair  School – C1 (Ka'ab Bin Malek (Basic Edu. For Boys previously) </v>
          </cell>
          <cell r="H8617" t="str">
            <v>WR</v>
          </cell>
        </row>
        <row r="8618">
          <cell r="B8618" t="str">
            <v>Water Tank</v>
          </cell>
          <cell r="D8618" t="str">
            <v xml:space="preserve">Zayed AlKhair  School – C1 (Ka'ab Bin Malek (Basic Edu. For Boys previously) </v>
          </cell>
          <cell r="H8618" t="str">
            <v>WR</v>
          </cell>
        </row>
        <row r="8619">
          <cell r="B8619" t="str">
            <v>Water Tank</v>
          </cell>
          <cell r="D8619" t="str">
            <v xml:space="preserve">Zayed AlKhair  School – C1 (Ka'ab Bin Malek (Basic Edu. For Boys previously) </v>
          </cell>
          <cell r="H8619" t="str">
            <v>WR</v>
          </cell>
        </row>
        <row r="8620">
          <cell r="B8620" t="str">
            <v>Water Tank</v>
          </cell>
          <cell r="D8620" t="str">
            <v xml:space="preserve">Zayed AlKhair  School – C1 (Ka'ab Bin Malek (Basic Edu. For Boys previously) </v>
          </cell>
          <cell r="H8620" t="str">
            <v>WR</v>
          </cell>
        </row>
        <row r="8621">
          <cell r="B8621" t="str">
            <v>Water Tank</v>
          </cell>
          <cell r="D8621" t="str">
            <v xml:space="preserve">Zayed AlKhair  School – C1 (Ka'ab Bin Malek (Basic Edu. For Boys previously) </v>
          </cell>
          <cell r="H8621" t="str">
            <v>WR</v>
          </cell>
        </row>
        <row r="8622">
          <cell r="B8622" t="str">
            <v>Water Tank</v>
          </cell>
          <cell r="D8622" t="str">
            <v xml:space="preserve">Zayed AlKhair  School – C1 (Ka'ab Bin Malek (Basic Edu. For Boys previously) </v>
          </cell>
          <cell r="H8622" t="str">
            <v>WR</v>
          </cell>
        </row>
      </sheetData>
      <sheetData sheetId="1" refreshError="1"/>
      <sheetData sheetId="2" refreshError="1"/>
      <sheetData sheetId="3" refreshError="1"/>
      <sheetData sheetId="4" refreshError="1"/>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Data Consolidated"/>
      <sheetName val="Labour Input"/>
      <sheetName val="3rd Party"/>
      <sheetName val="Materials  and Consumables"/>
      <sheetName val="Equipment Costs Annual"/>
      <sheetName val="Exc Rates"/>
      <sheetName val="Lookups"/>
      <sheetName val="Ref Data"/>
    </sheetNames>
    <sheetDataSet>
      <sheetData sheetId="0"/>
      <sheetData sheetId="1"/>
      <sheetData sheetId="2"/>
      <sheetData sheetId="3"/>
      <sheetData sheetId="4"/>
      <sheetData sheetId="5"/>
      <sheetData sheetId="6"/>
      <sheetData sheetId="7">
        <row r="6">
          <cell r="E6" t="str">
            <v>Austria</v>
          </cell>
          <cell r="K6" t="str">
            <v>Clng Contract</v>
          </cell>
        </row>
        <row r="7">
          <cell r="K7" t="str">
            <v>Clng-Special Clean-Interior</v>
          </cell>
        </row>
        <row r="8">
          <cell r="K8" t="str">
            <v>Clng-Special Clean-Exterior</v>
          </cell>
        </row>
        <row r="9">
          <cell r="K9" t="str">
            <v>Clng-Deep Clean</v>
          </cell>
        </row>
        <row r="10">
          <cell r="K10" t="str">
            <v>Clng Window Washing-Interior</v>
          </cell>
        </row>
        <row r="11">
          <cell r="K11" t="str">
            <v>Clng Window Washing</v>
          </cell>
        </row>
        <row r="12">
          <cell r="K12" t="str">
            <v>Trash Removal - General</v>
          </cell>
        </row>
        <row r="13">
          <cell r="K13" t="str">
            <v>Out of Scope - Trash Removal</v>
          </cell>
        </row>
        <row r="14">
          <cell r="K14" t="str">
            <v>Trash Removal - Recyclables</v>
          </cell>
        </row>
        <row r="15">
          <cell r="K15" t="str">
            <v>Trash Removal - Shredding</v>
          </cell>
        </row>
        <row r="16">
          <cell r="K16" t="str">
            <v>Clng Carpets</v>
          </cell>
        </row>
        <row r="17">
          <cell r="K17" t="str">
            <v>Clng Supplies &amp; Equipment</v>
          </cell>
        </row>
        <row r="18">
          <cell r="K18" t="str">
            <v>Clng Laundry</v>
          </cell>
        </row>
        <row r="19">
          <cell r="K19" t="str">
            <v>HVAC Contract</v>
          </cell>
        </row>
        <row r="20">
          <cell r="K20" t="str">
            <v>HVAC Repairs &amp; Maintenance</v>
          </cell>
        </row>
        <row r="21">
          <cell r="K21" t="str">
            <v>HVAC Supplies/Parts/Equipment</v>
          </cell>
        </row>
        <row r="22">
          <cell r="K22" t="str">
            <v>Elect Contract</v>
          </cell>
        </row>
        <row r="23">
          <cell r="K23" t="str">
            <v>Elect Repairs &amp; Maintenance</v>
          </cell>
        </row>
        <row r="24">
          <cell r="K24" t="str">
            <v>Elect Supplies/Parts/Equipment</v>
          </cell>
        </row>
        <row r="25">
          <cell r="K25" t="str">
            <v>Critical Systems</v>
          </cell>
        </row>
        <row r="26">
          <cell r="K26" t="str">
            <v>CSR-HVAC</v>
          </cell>
        </row>
        <row r="27">
          <cell r="K27" t="str">
            <v>CSR-Engineering Support</v>
          </cell>
        </row>
        <row r="28">
          <cell r="K28" t="str">
            <v>CSR-General Repairs</v>
          </cell>
        </row>
        <row r="29">
          <cell r="K29" t="str">
            <v>Elev Contract</v>
          </cell>
        </row>
        <row r="30">
          <cell r="K30" t="str">
            <v>Elev Repairs &amp; Maintenance</v>
          </cell>
        </row>
        <row r="31">
          <cell r="K31" t="str">
            <v>Plumbing Contract</v>
          </cell>
        </row>
        <row r="32">
          <cell r="K32" t="str">
            <v>Plumbing Repairs &amp; Maintenance</v>
          </cell>
        </row>
        <row r="33">
          <cell r="K33" t="str">
            <v>Plumbing Supplies/Parts/Equipm</v>
          </cell>
        </row>
        <row r="34">
          <cell r="K34" t="str">
            <v>Genl Bldg Personnel Costs</v>
          </cell>
        </row>
        <row r="35">
          <cell r="K35" t="str">
            <v>Genl Bldg Personnel Costs</v>
          </cell>
        </row>
        <row r="36">
          <cell r="K36" t="str">
            <v>GB Repairs &amp; Maintenance</v>
          </cell>
        </row>
        <row r="37">
          <cell r="K37" t="str">
            <v>Genl Bldg R&amp;M Eng- Uniforms</v>
          </cell>
        </row>
        <row r="38">
          <cell r="K38" t="str">
            <v>Genl Bldg R&amp;M-Doors and Window</v>
          </cell>
        </row>
        <row r="39">
          <cell r="K39" t="str">
            <v>Genl Bldg R&amp;M-Exterior Lightin</v>
          </cell>
        </row>
        <row r="40">
          <cell r="K40" t="str">
            <v>Genl Bldg R&amp;M-Exterior Signage</v>
          </cell>
        </row>
        <row r="41">
          <cell r="K41" t="str">
            <v>Genl Bldg R&amp;M-Facade</v>
          </cell>
        </row>
        <row r="42">
          <cell r="K42" t="str">
            <v>Genl Bldg R&amp;M-Interior Lightin</v>
          </cell>
        </row>
        <row r="43">
          <cell r="K43" t="str">
            <v>Genl Bldg R&amp;M-Roof</v>
          </cell>
        </row>
        <row r="44">
          <cell r="K44" t="str">
            <v>Genl Bldg Audio/Visual Equip R</v>
          </cell>
        </row>
        <row r="45">
          <cell r="K45" t="str">
            <v>Genl Bldg Building Control Sys</v>
          </cell>
        </row>
        <row r="46">
          <cell r="K46" t="str">
            <v>Genl Bldg Directory / Signage</v>
          </cell>
        </row>
        <row r="47">
          <cell r="K47" t="str">
            <v>Genl Bldg Exterminating</v>
          </cell>
        </row>
        <row r="48">
          <cell r="K48" t="str">
            <v>Genl Bldg Emergency Power</v>
          </cell>
        </row>
        <row r="49">
          <cell r="K49" t="str">
            <v>Generators Reactive</v>
          </cell>
        </row>
        <row r="50">
          <cell r="K50" t="str">
            <v>Generators Preventative</v>
          </cell>
        </row>
        <row r="51">
          <cell r="K51" t="str">
            <v>UPS Reactive</v>
          </cell>
        </row>
        <row r="52">
          <cell r="K52" t="str">
            <v>Genl Bldg Floor Coverings</v>
          </cell>
        </row>
        <row r="53">
          <cell r="K53" t="str">
            <v>Genl Bldg Access Cards</v>
          </cell>
        </row>
        <row r="54">
          <cell r="K54" t="str">
            <v>Genl Bldg Kitchen Repairs/Main</v>
          </cell>
        </row>
        <row r="55">
          <cell r="K55" t="str">
            <v>Genl Bldg Cafeteria Repairs/Ma</v>
          </cell>
        </row>
        <row r="56">
          <cell r="K56" t="str">
            <v>Genl Bldg Painting/Decorating</v>
          </cell>
        </row>
        <row r="57">
          <cell r="K57" t="str">
            <v>Genl Bldg Painting - Exterior</v>
          </cell>
        </row>
        <row r="58">
          <cell r="K58" t="str">
            <v>Printers - Maintenance &amp; Repai</v>
          </cell>
        </row>
        <row r="59">
          <cell r="K59" t="str">
            <v>Genl Bldg Supplies &amp; Equip</v>
          </cell>
        </row>
        <row r="60">
          <cell r="K60" t="str">
            <v>Genl Bldg Furniture Rental</v>
          </cell>
        </row>
        <row r="61">
          <cell r="K61" t="str">
            <v>Roads &amp; Grounds maintenance</v>
          </cell>
        </row>
        <row r="62">
          <cell r="K62" t="str">
            <v>Interior Landscp-Contract</v>
          </cell>
        </row>
        <row r="63">
          <cell r="K63" t="str">
            <v>Exterior Landscp-Contract</v>
          </cell>
        </row>
        <row r="64">
          <cell r="K64" t="str">
            <v>Parking Lot R&amp;M - General</v>
          </cell>
        </row>
        <row r="65">
          <cell r="K65" t="str">
            <v>Parking Lot Snow Removal</v>
          </cell>
        </row>
        <row r="66">
          <cell r="K66" t="str">
            <v>Security Contract</v>
          </cell>
        </row>
        <row r="67">
          <cell r="K67" t="str">
            <v>Security Maintenance Prevent</v>
          </cell>
        </row>
        <row r="68">
          <cell r="K68" t="str">
            <v>Security Maintenance Reactive</v>
          </cell>
        </row>
        <row r="69">
          <cell r="K69" t="str">
            <v>Security Guards Preventative</v>
          </cell>
        </row>
        <row r="70">
          <cell r="K70" t="str">
            <v>Security Guards Reactive</v>
          </cell>
        </row>
        <row r="71">
          <cell r="K71" t="str">
            <v>Health &amp; Wellness - Contract S</v>
          </cell>
        </row>
        <row r="72">
          <cell r="K72" t="str">
            <v>Fire Alarm System Maint</v>
          </cell>
        </row>
        <row r="73">
          <cell r="K73" t="str">
            <v>Fire Equip/Extinguish Mnt</v>
          </cell>
        </row>
        <row r="74">
          <cell r="K74" t="str">
            <v>Hazardous Material Contrl</v>
          </cell>
        </row>
        <row r="75">
          <cell r="K75" t="str">
            <v>Halon System Maint</v>
          </cell>
        </row>
        <row r="76">
          <cell r="K76" t="str">
            <v>Sustainability</v>
          </cell>
        </row>
        <row r="77">
          <cell r="K77" t="str">
            <v>Mail Room/Copy Center-Contract</v>
          </cell>
        </row>
        <row r="78">
          <cell r="K78" t="str">
            <v>Catering Cafeteria</v>
          </cell>
        </row>
        <row r="79">
          <cell r="K79" t="str">
            <v>Food - Coffee Service</v>
          </cell>
        </row>
        <row r="80">
          <cell r="K80" t="str">
            <v>Food - Cafeteria Equipment</v>
          </cell>
        </row>
        <row r="81">
          <cell r="K81" t="str">
            <v>Food - Cafeteria Material &amp; Su</v>
          </cell>
        </row>
        <row r="82">
          <cell r="K82" t="str">
            <v>Event catering</v>
          </cell>
        </row>
        <row r="83">
          <cell r="K83" t="str">
            <v>Vending</v>
          </cell>
        </row>
        <row r="84">
          <cell r="K84" t="str">
            <v>Reception Services</v>
          </cell>
        </row>
        <row r="85">
          <cell r="K85" t="str">
            <v>Conference Room Booking</v>
          </cell>
        </row>
        <row r="86">
          <cell r="K86" t="str">
            <v>Courier and external distribut</v>
          </cell>
        </row>
        <row r="87">
          <cell r="K87" t="str">
            <v>Central reprographics</v>
          </cell>
        </row>
        <row r="88">
          <cell r="K88" t="str">
            <v>Copiers - Monthly Rental (self</v>
          </cell>
        </row>
        <row r="89">
          <cell r="K89" t="str">
            <v>Copier Paper</v>
          </cell>
        </row>
        <row r="90">
          <cell r="K90" t="str">
            <v>Outside Printing</v>
          </cell>
        </row>
        <row r="91">
          <cell r="K91" t="str">
            <v>Disaster Recovery</v>
          </cell>
        </row>
        <row r="92">
          <cell r="K92" t="str">
            <v>Transport</v>
          </cell>
        </row>
        <row r="93">
          <cell r="K93" t="str">
            <v>Internal moves Ongoing</v>
          </cell>
        </row>
      </sheetData>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us Summary"/>
      <sheetName val="Status Summary (E)"/>
      <sheetName val="Financial Overview"/>
      <sheetName val="Financial Overview (E)"/>
      <sheetName val="FCS - Group Consolidated"/>
      <sheetName val="FCS - Group Consolidated (E)"/>
      <sheetName val="FCS - Project Consolidated"/>
      <sheetName val="FCS - Project Consolidated (E)"/>
      <sheetName val="Variance Explanations"/>
      <sheetName val="Variance Explanations (E)"/>
      <sheetName val="Risk &amp; Opportunities"/>
      <sheetName val="Risk &amp; Opportunities (E)"/>
      <sheetName val="Cash Flow"/>
      <sheetName val="Cash Flow (E)"/>
      <sheetName val="Project Execution"/>
      <sheetName val="Project Execution (E)"/>
      <sheetName val="DOUBLE CHECK"/>
      <sheetName val="Default"/>
      <sheetName val="MACROS"/>
      <sheetName val="Cost Rates"/>
      <sheetName val="OH Var."/>
      <sheetName val="Overheads"/>
      <sheetName val="TC - Act 1200"/>
      <sheetName val="TC - Actuals"/>
      <sheetName val="MH - Actuals"/>
      <sheetName val="TC - ATS"/>
      <sheetName val="MH - ATS"/>
      <sheetName val="FCS - ATS"/>
      <sheetName val="TC - CUS"/>
      <sheetName val="MH - CUS"/>
      <sheetName val="FCS - CUS"/>
      <sheetName val="TC - DRI"/>
      <sheetName val="MH - DRI"/>
      <sheetName val="FCS - DRI"/>
      <sheetName val="TC - ICT"/>
      <sheetName val="MH - ICT"/>
      <sheetName val="FCS - ICT"/>
      <sheetName val="TC - LOC"/>
      <sheetName val="MH - LOC"/>
      <sheetName val="FCS - LOC"/>
      <sheetName val="TC - MET"/>
      <sheetName val="MH - MET"/>
      <sheetName val="FCS - MET"/>
      <sheetName val="TC - PRP"/>
      <sheetName val="MH - PRP"/>
      <sheetName val="FCS - PRP"/>
      <sheetName val="TC - REG"/>
      <sheetName val="MH - REG"/>
      <sheetName val="FCS - REG"/>
      <sheetName val="TC - SIG"/>
      <sheetName val="MH - SIG"/>
      <sheetName val="FCS - SIG"/>
      <sheetName val="TC - TCC"/>
      <sheetName val="MH - TCC"/>
      <sheetName val="FCS - TCC"/>
      <sheetName val="TC - TRS"/>
      <sheetName val="MH - TRS"/>
      <sheetName val="FCS - TRS"/>
      <sheetName val="TC - CP"/>
      <sheetName val="MH - CP"/>
      <sheetName val="FCS - CP"/>
      <sheetName val="TC - Summary"/>
      <sheetName val="MH - Summary"/>
      <sheetName val="FCS - Summary"/>
      <sheetName val="FCS View"/>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31">
          <cell r="H31" t="b">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 RAHA VILLAS"/>
      <sheetName val="C1"/>
      <sheetName val="Employee Salary Calculations"/>
      <sheetName val="Sundary Contract Costs"/>
      <sheetName val="Equipment"/>
      <sheetName val="Annual Fees"/>
      <sheetName val="Summary of BOQ"/>
      <sheetName val="Personnel Rates"/>
      <sheetName val="Equipment Rates"/>
    </sheetNames>
    <sheetDataSet>
      <sheetData sheetId="0"/>
      <sheetData sheetId="1" refreshError="1"/>
      <sheetData sheetId="2">
        <row r="1">
          <cell r="A1" t="str">
            <v>Staff</v>
          </cell>
          <cell r="C1" t="str">
            <v>BASIC</v>
          </cell>
          <cell r="D1" t="str">
            <v>TOTAL SALARY</v>
          </cell>
          <cell r="E1" t="str">
            <v>Monthly ACCOM</v>
          </cell>
          <cell r="F1" t="str">
            <v xml:space="preserve">Monthly FOOD  Allowance  </v>
          </cell>
          <cell r="G1" t="str">
            <v>Mobile Allowance</v>
          </cell>
          <cell r="H1" t="str">
            <v>Fuel Allowance</v>
          </cell>
          <cell r="I1" t="str">
            <v>Ticket Yearly</v>
          </cell>
          <cell r="J1" t="str">
            <v>TICKET MONTHLY</v>
          </cell>
          <cell r="K1" t="str">
            <v>Yearly Uniform/  Shoes</v>
          </cell>
          <cell r="L1" t="str">
            <v>Monthly Uniform/  Shoes</v>
          </cell>
          <cell r="M1" t="str">
            <v>Yearly Laundry</v>
          </cell>
          <cell r="N1" t="str">
            <v>Monthly Laundry Expenses</v>
          </cell>
          <cell r="O1" t="str">
            <v>Yearly Transportation</v>
          </cell>
          <cell r="P1" t="str">
            <v>Monthly Transportation Expenses</v>
          </cell>
          <cell r="Q1" t="str">
            <v>Yearly Gratuity calculation</v>
          </cell>
          <cell r="R1" t="str">
            <v>Monthly Gratuity calculation</v>
          </cell>
          <cell r="S1" t="str">
            <v>Yearly Leave Salary + Sick Leave</v>
          </cell>
          <cell r="T1" t="str">
            <v>Monthly Leave Salary + Sick Leave</v>
          </cell>
          <cell r="U1" t="str">
            <v xml:space="preserve">Yearly  Medical Insurance </v>
          </cell>
          <cell r="V1" t="str">
            <v xml:space="preserve">Monthly Medical Insurance </v>
          </cell>
          <cell r="W1" t="str">
            <v>Yearly Visa Costs Expenses</v>
          </cell>
          <cell r="X1" t="str">
            <v>Month Visa Costs Expenses</v>
          </cell>
          <cell r="Y1" t="str">
            <v>Yearly Workmans Compensation</v>
          </cell>
          <cell r="Z1" t="str">
            <v>Monthly Workmans Compensation</v>
          </cell>
          <cell r="AA1" t="str">
            <v xml:space="preserve">Yearly Staff Party </v>
          </cell>
          <cell r="AB1" t="str">
            <v xml:space="preserve">Monthly Staff Party Expenses </v>
          </cell>
          <cell r="AC1" t="str">
            <v>Yearly Training</v>
          </cell>
          <cell r="AD1" t="str">
            <v>Monthly Training Expenses</v>
          </cell>
          <cell r="AE1" t="str">
            <v>Total Annual Cost</v>
          </cell>
          <cell r="AF1" t="str">
            <v>Total Monthly Cost</v>
          </cell>
        </row>
        <row r="2">
          <cell r="A2" t="str">
            <v>Facilities Manager</v>
          </cell>
          <cell r="B2" t="str">
            <v>L3</v>
          </cell>
          <cell r="C2">
            <v>24000</v>
          </cell>
          <cell r="D2">
            <v>40000</v>
          </cell>
          <cell r="G2">
            <v>450</v>
          </cell>
          <cell r="H2">
            <v>450</v>
          </cell>
          <cell r="I2">
            <v>25000</v>
          </cell>
          <cell r="J2">
            <v>2083.3333333333335</v>
          </cell>
          <cell r="L2">
            <v>0</v>
          </cell>
          <cell r="N2">
            <v>0</v>
          </cell>
          <cell r="P2">
            <v>0</v>
          </cell>
          <cell r="Q2">
            <v>16568.047337278105</v>
          </cell>
          <cell r="R2">
            <v>1380.6706114398421</v>
          </cell>
          <cell r="S2">
            <v>59178.082191780821</v>
          </cell>
          <cell r="T2">
            <v>4931.5068493150684</v>
          </cell>
          <cell r="U2">
            <v>23000</v>
          </cell>
          <cell r="V2">
            <v>1916.6666666666667</v>
          </cell>
          <cell r="W2">
            <v>6150</v>
          </cell>
          <cell r="X2">
            <v>512.5</v>
          </cell>
          <cell r="Y2">
            <v>170</v>
          </cell>
          <cell r="Z2">
            <v>14.166666666666666</v>
          </cell>
          <cell r="AA2">
            <v>500</v>
          </cell>
          <cell r="AB2">
            <v>41.666666666666664</v>
          </cell>
          <cell r="AC2">
            <v>2000</v>
          </cell>
          <cell r="AD2">
            <v>166.66666666666666</v>
          </cell>
          <cell r="AE2">
            <v>623366.12952905882</v>
          </cell>
          <cell r="AF2">
            <v>51947.177460754901</v>
          </cell>
        </row>
        <row r="3">
          <cell r="A3" t="str">
            <v>Site Administrator</v>
          </cell>
          <cell r="B3" t="str">
            <v>L6</v>
          </cell>
          <cell r="C3">
            <v>6000</v>
          </cell>
          <cell r="D3">
            <v>10000</v>
          </cell>
          <cell r="G3">
            <v>0</v>
          </cell>
          <cell r="H3">
            <v>0</v>
          </cell>
          <cell r="I3">
            <v>2500</v>
          </cell>
          <cell r="J3">
            <v>208.33333333333334</v>
          </cell>
          <cell r="K3">
            <v>600</v>
          </cell>
          <cell r="L3">
            <v>50</v>
          </cell>
          <cell r="N3">
            <v>0</v>
          </cell>
          <cell r="O3">
            <v>4200</v>
          </cell>
          <cell r="P3">
            <v>350</v>
          </cell>
          <cell r="Q3">
            <v>4142.0118343195263</v>
          </cell>
          <cell r="R3">
            <v>345.16765285996053</v>
          </cell>
          <cell r="S3">
            <v>14794.520547945205</v>
          </cell>
          <cell r="T3">
            <v>1232.8767123287671</v>
          </cell>
          <cell r="U3">
            <v>600</v>
          </cell>
          <cell r="V3">
            <v>50</v>
          </cell>
          <cell r="W3">
            <v>1500</v>
          </cell>
          <cell r="X3">
            <v>125</v>
          </cell>
          <cell r="Y3">
            <v>170</v>
          </cell>
          <cell r="Z3">
            <v>14.166666666666666</v>
          </cell>
          <cell r="AA3">
            <v>100</v>
          </cell>
          <cell r="AB3">
            <v>8.3333333333333339</v>
          </cell>
          <cell r="AC3">
            <v>1000</v>
          </cell>
          <cell r="AD3">
            <v>83.333333333333329</v>
          </cell>
          <cell r="AE3">
            <v>134812.01183431951</v>
          </cell>
          <cell r="AF3">
            <v>11234.334319526628</v>
          </cell>
        </row>
        <row r="4">
          <cell r="A4" t="str">
            <v>Secretary</v>
          </cell>
          <cell r="B4" t="str">
            <v>L6</v>
          </cell>
          <cell r="C4">
            <v>4200</v>
          </cell>
          <cell r="D4">
            <v>7000</v>
          </cell>
          <cell r="G4">
            <v>0</v>
          </cell>
          <cell r="H4">
            <v>0</v>
          </cell>
          <cell r="I4">
            <v>2500</v>
          </cell>
          <cell r="J4">
            <v>208.33333333333334</v>
          </cell>
          <cell r="K4">
            <v>600</v>
          </cell>
          <cell r="L4">
            <v>50</v>
          </cell>
          <cell r="N4">
            <v>0</v>
          </cell>
          <cell r="O4">
            <v>4200</v>
          </cell>
          <cell r="P4">
            <v>350</v>
          </cell>
          <cell r="Q4">
            <v>2899.4082840236683</v>
          </cell>
          <cell r="R4">
            <v>241.61735700197235</v>
          </cell>
          <cell r="S4">
            <v>10356.164383561643</v>
          </cell>
          <cell r="T4">
            <v>863.0136986301369</v>
          </cell>
          <cell r="U4">
            <v>600</v>
          </cell>
          <cell r="V4">
            <v>50</v>
          </cell>
          <cell r="W4">
            <v>1500</v>
          </cell>
          <cell r="X4">
            <v>125</v>
          </cell>
          <cell r="Y4">
            <v>170</v>
          </cell>
          <cell r="Z4">
            <v>14.166666666666666</v>
          </cell>
          <cell r="AA4">
            <v>100</v>
          </cell>
          <cell r="AB4">
            <v>8.3333333333333339</v>
          </cell>
          <cell r="AC4">
            <v>1000</v>
          </cell>
          <cell r="AD4">
            <v>83.333333333333329</v>
          </cell>
          <cell r="AE4">
            <v>97569.408284023666</v>
          </cell>
          <cell r="AF4">
            <v>8130.7840236686388</v>
          </cell>
        </row>
        <row r="5">
          <cell r="A5" t="str">
            <v>Maintenance Manager</v>
          </cell>
          <cell r="B5" t="str">
            <v>L6</v>
          </cell>
          <cell r="C5">
            <v>6000</v>
          </cell>
          <cell r="D5">
            <v>10000</v>
          </cell>
          <cell r="G5">
            <v>0</v>
          </cell>
          <cell r="H5">
            <v>0</v>
          </cell>
          <cell r="I5">
            <v>2500</v>
          </cell>
          <cell r="J5">
            <v>208.33333333333334</v>
          </cell>
          <cell r="K5">
            <v>600</v>
          </cell>
          <cell r="L5">
            <v>50</v>
          </cell>
          <cell r="N5">
            <v>0</v>
          </cell>
          <cell r="O5">
            <v>4200</v>
          </cell>
          <cell r="P5">
            <v>350</v>
          </cell>
          <cell r="Q5">
            <v>4142.0118343195263</v>
          </cell>
          <cell r="R5">
            <v>345.16765285996053</v>
          </cell>
          <cell r="S5">
            <v>14794.520547945205</v>
          </cell>
          <cell r="T5">
            <v>1232.8767123287671</v>
          </cell>
          <cell r="U5">
            <v>600</v>
          </cell>
          <cell r="V5">
            <v>50</v>
          </cell>
          <cell r="W5">
            <v>1500</v>
          </cell>
          <cell r="X5">
            <v>125</v>
          </cell>
          <cell r="Y5">
            <v>170</v>
          </cell>
          <cell r="Z5">
            <v>14.166666666666666</v>
          </cell>
          <cell r="AA5">
            <v>100</v>
          </cell>
          <cell r="AB5">
            <v>8.3333333333333339</v>
          </cell>
          <cell r="AC5">
            <v>1000</v>
          </cell>
          <cell r="AD5">
            <v>83.333333333333329</v>
          </cell>
          <cell r="AE5">
            <v>134812.01183431951</v>
          </cell>
          <cell r="AF5">
            <v>11234.334319526628</v>
          </cell>
        </row>
        <row r="6">
          <cell r="A6" t="str">
            <v>CAFM Operator</v>
          </cell>
          <cell r="B6" t="str">
            <v>L6</v>
          </cell>
          <cell r="C6">
            <v>5400</v>
          </cell>
          <cell r="D6">
            <v>9000</v>
          </cell>
          <cell r="G6">
            <v>0</v>
          </cell>
          <cell r="H6">
            <v>0</v>
          </cell>
          <cell r="I6">
            <v>2500</v>
          </cell>
          <cell r="J6">
            <v>208.33333333333334</v>
          </cell>
          <cell r="K6">
            <v>600</v>
          </cell>
          <cell r="L6">
            <v>50</v>
          </cell>
          <cell r="M6">
            <v>600</v>
          </cell>
          <cell r="N6">
            <v>50</v>
          </cell>
          <cell r="O6">
            <v>4200</v>
          </cell>
          <cell r="P6">
            <v>350</v>
          </cell>
          <cell r="Q6">
            <v>3727.8106508875735</v>
          </cell>
          <cell r="R6">
            <v>310.65088757396444</v>
          </cell>
          <cell r="S6">
            <v>13315.068493150686</v>
          </cell>
          <cell r="T6">
            <v>1109.5890410958905</v>
          </cell>
          <cell r="U6">
            <v>600</v>
          </cell>
          <cell r="V6">
            <v>50</v>
          </cell>
          <cell r="W6">
            <v>1500</v>
          </cell>
          <cell r="X6">
            <v>125</v>
          </cell>
          <cell r="Y6">
            <v>170</v>
          </cell>
          <cell r="Z6">
            <v>14.166666666666666</v>
          </cell>
          <cell r="AA6">
            <v>100</v>
          </cell>
          <cell r="AB6">
            <v>8.3333333333333339</v>
          </cell>
          <cell r="AC6">
            <v>1000</v>
          </cell>
          <cell r="AD6">
            <v>83.333333333333329</v>
          </cell>
          <cell r="AE6">
            <v>122997.81065088758</v>
          </cell>
          <cell r="AF6">
            <v>10249.817554240632</v>
          </cell>
        </row>
        <row r="7">
          <cell r="A7" t="str">
            <v>HSE Manager</v>
          </cell>
          <cell r="B7" t="str">
            <v>L3</v>
          </cell>
          <cell r="C7">
            <v>18000</v>
          </cell>
          <cell r="D7">
            <v>30000</v>
          </cell>
          <cell r="G7">
            <v>450</v>
          </cell>
          <cell r="H7">
            <v>450</v>
          </cell>
          <cell r="I7">
            <v>16000</v>
          </cell>
          <cell r="J7">
            <v>1333.3333333333333</v>
          </cell>
          <cell r="K7">
            <v>0</v>
          </cell>
          <cell r="L7">
            <v>0</v>
          </cell>
          <cell r="M7">
            <v>0</v>
          </cell>
          <cell r="N7">
            <v>0</v>
          </cell>
          <cell r="O7">
            <v>0</v>
          </cell>
          <cell r="P7">
            <v>0</v>
          </cell>
          <cell r="Q7">
            <v>12426.035502958579</v>
          </cell>
          <cell r="R7">
            <v>1035.5029585798816</v>
          </cell>
          <cell r="S7">
            <v>44383.561643835616</v>
          </cell>
          <cell r="T7">
            <v>3698.6301369863013</v>
          </cell>
          <cell r="U7">
            <v>15600</v>
          </cell>
          <cell r="V7">
            <v>1300</v>
          </cell>
          <cell r="W7">
            <v>6150</v>
          </cell>
          <cell r="X7">
            <v>512.5</v>
          </cell>
          <cell r="Y7">
            <v>170</v>
          </cell>
          <cell r="Z7">
            <v>14.166666666666666</v>
          </cell>
          <cell r="AA7">
            <v>100</v>
          </cell>
          <cell r="AB7">
            <v>8.3333333333333339</v>
          </cell>
          <cell r="AC7">
            <v>1000</v>
          </cell>
          <cell r="AD7">
            <v>83.333333333333329</v>
          </cell>
          <cell r="AE7">
            <v>422246.03550295858</v>
          </cell>
          <cell r="AF7">
            <v>35187.169625246548</v>
          </cell>
        </row>
        <row r="8">
          <cell r="A8" t="str">
            <v>HSE Officer</v>
          </cell>
          <cell r="B8" t="str">
            <v>L5</v>
          </cell>
          <cell r="C8">
            <v>7200</v>
          </cell>
          <cell r="D8">
            <v>12000</v>
          </cell>
          <cell r="G8">
            <v>150</v>
          </cell>
          <cell r="H8">
            <v>200</v>
          </cell>
          <cell r="I8">
            <v>4000</v>
          </cell>
          <cell r="J8">
            <v>333.33333333333331</v>
          </cell>
          <cell r="K8">
            <v>600</v>
          </cell>
          <cell r="L8">
            <v>50</v>
          </cell>
          <cell r="M8">
            <v>600</v>
          </cell>
          <cell r="N8">
            <v>50</v>
          </cell>
          <cell r="O8">
            <v>0</v>
          </cell>
          <cell r="P8">
            <v>0</v>
          </cell>
          <cell r="Q8">
            <v>4970.4142011834319</v>
          </cell>
          <cell r="R8">
            <v>414.20118343195264</v>
          </cell>
          <cell r="S8">
            <v>17753.424657534248</v>
          </cell>
          <cell r="T8">
            <v>1479.4520547945206</v>
          </cell>
          <cell r="U8">
            <v>4500</v>
          </cell>
          <cell r="V8">
            <v>375</v>
          </cell>
          <cell r="W8">
            <v>1500</v>
          </cell>
          <cell r="X8">
            <v>125</v>
          </cell>
          <cell r="Y8">
            <v>170</v>
          </cell>
          <cell r="Z8">
            <v>14.166666666666666</v>
          </cell>
          <cell r="AA8">
            <v>100</v>
          </cell>
          <cell r="AB8">
            <v>8.3333333333333339</v>
          </cell>
          <cell r="AC8">
            <v>1000</v>
          </cell>
          <cell r="AD8">
            <v>83.333333333333329</v>
          </cell>
          <cell r="AE8">
            <v>165640.41420118342</v>
          </cell>
          <cell r="AF8">
            <v>13803.367850098621</v>
          </cell>
        </row>
        <row r="9">
          <cell r="A9" t="str">
            <v>MEP Supervisor</v>
          </cell>
          <cell r="B9" t="str">
            <v>L - A</v>
          </cell>
          <cell r="C9">
            <v>5400</v>
          </cell>
          <cell r="D9">
            <v>9000</v>
          </cell>
          <cell r="E9">
            <v>1200</v>
          </cell>
          <cell r="F9">
            <v>300</v>
          </cell>
          <cell r="G9">
            <v>150</v>
          </cell>
          <cell r="H9">
            <v>0</v>
          </cell>
          <cell r="I9">
            <v>2000</v>
          </cell>
          <cell r="J9">
            <v>166.66666666666666</v>
          </cell>
          <cell r="K9">
            <v>600</v>
          </cell>
          <cell r="L9">
            <v>50</v>
          </cell>
          <cell r="M9">
            <v>600</v>
          </cell>
          <cell r="N9">
            <v>50</v>
          </cell>
          <cell r="O9">
            <v>4200</v>
          </cell>
          <cell r="P9">
            <v>350</v>
          </cell>
          <cell r="Q9">
            <v>3727.8106508875735</v>
          </cell>
          <cell r="R9">
            <v>310.65088757396444</v>
          </cell>
          <cell r="S9">
            <v>13315.068493150686</v>
          </cell>
          <cell r="T9">
            <v>1109.5890410958905</v>
          </cell>
          <cell r="U9">
            <v>600</v>
          </cell>
          <cell r="V9">
            <v>50</v>
          </cell>
          <cell r="W9">
            <v>1500</v>
          </cell>
          <cell r="X9">
            <v>125</v>
          </cell>
          <cell r="Y9">
            <v>170</v>
          </cell>
          <cell r="Z9">
            <v>14.166666666666666</v>
          </cell>
          <cell r="AA9">
            <v>100</v>
          </cell>
          <cell r="AB9">
            <v>8.3333333333333339</v>
          </cell>
          <cell r="AC9">
            <v>300</v>
          </cell>
          <cell r="AD9">
            <v>25</v>
          </cell>
          <cell r="AE9">
            <v>139797.81065088758</v>
          </cell>
          <cell r="AF9">
            <v>11649.81755424063</v>
          </cell>
        </row>
        <row r="10">
          <cell r="A10" t="str">
            <v>Civil Supervisor</v>
          </cell>
          <cell r="B10" t="str">
            <v>L - A</v>
          </cell>
          <cell r="C10">
            <v>5400</v>
          </cell>
          <cell r="D10">
            <v>9000</v>
          </cell>
          <cell r="E10">
            <v>1200</v>
          </cell>
          <cell r="F10">
            <v>300</v>
          </cell>
          <cell r="G10">
            <v>150</v>
          </cell>
          <cell r="H10">
            <v>0</v>
          </cell>
          <cell r="I10">
            <v>2000</v>
          </cell>
          <cell r="J10">
            <v>166.66666666666666</v>
          </cell>
          <cell r="K10">
            <v>600</v>
          </cell>
          <cell r="L10">
            <v>50</v>
          </cell>
          <cell r="M10">
            <v>600</v>
          </cell>
          <cell r="N10">
            <v>50</v>
          </cell>
          <cell r="O10">
            <v>4200</v>
          </cell>
          <cell r="P10">
            <v>350</v>
          </cell>
          <cell r="Q10">
            <v>3727.8106508875735</v>
          </cell>
          <cell r="R10">
            <v>310.65088757396444</v>
          </cell>
          <cell r="S10">
            <v>13315.068493150686</v>
          </cell>
          <cell r="T10">
            <v>1109.5890410958905</v>
          </cell>
          <cell r="U10">
            <v>600</v>
          </cell>
          <cell r="V10">
            <v>50</v>
          </cell>
          <cell r="W10">
            <v>1500</v>
          </cell>
          <cell r="X10">
            <v>125</v>
          </cell>
          <cell r="Y10">
            <v>170</v>
          </cell>
          <cell r="Z10">
            <v>14.166666666666666</v>
          </cell>
          <cell r="AA10">
            <v>100</v>
          </cell>
          <cell r="AB10">
            <v>8.3333333333333339</v>
          </cell>
          <cell r="AC10">
            <v>300</v>
          </cell>
          <cell r="AD10">
            <v>25</v>
          </cell>
          <cell r="AE10">
            <v>139797.81065088758</v>
          </cell>
          <cell r="AF10">
            <v>11649.81755424063</v>
          </cell>
        </row>
        <row r="11">
          <cell r="A11" t="str">
            <v>Asset Gathering Staff</v>
          </cell>
          <cell r="B11" t="str">
            <v>L - A</v>
          </cell>
          <cell r="C11">
            <v>5400</v>
          </cell>
          <cell r="D11">
            <v>9000</v>
          </cell>
          <cell r="E11">
            <v>1200</v>
          </cell>
          <cell r="F11">
            <v>300</v>
          </cell>
          <cell r="G11">
            <v>150</v>
          </cell>
          <cell r="H11">
            <v>0</v>
          </cell>
          <cell r="I11">
            <v>2000</v>
          </cell>
          <cell r="J11">
            <v>166.66666666666666</v>
          </cell>
          <cell r="K11">
            <v>600</v>
          </cell>
          <cell r="L11">
            <v>50</v>
          </cell>
          <cell r="M11">
            <v>600</v>
          </cell>
          <cell r="N11">
            <v>50</v>
          </cell>
          <cell r="O11">
            <v>4200</v>
          </cell>
          <cell r="P11">
            <v>350</v>
          </cell>
          <cell r="Q11">
            <v>3727.8106508875735</v>
          </cell>
          <cell r="R11">
            <v>310.65088757396444</v>
          </cell>
          <cell r="S11">
            <v>13315.068493150686</v>
          </cell>
          <cell r="T11">
            <v>1109.5890410958905</v>
          </cell>
          <cell r="U11">
            <v>600</v>
          </cell>
          <cell r="V11">
            <v>50</v>
          </cell>
          <cell r="W11">
            <v>1500</v>
          </cell>
          <cell r="X11">
            <v>125</v>
          </cell>
          <cell r="Y11">
            <v>170</v>
          </cell>
          <cell r="Z11">
            <v>14.166666666666666</v>
          </cell>
          <cell r="AA11">
            <v>100</v>
          </cell>
          <cell r="AB11">
            <v>8.3333333333333339</v>
          </cell>
          <cell r="AC11">
            <v>300</v>
          </cell>
          <cell r="AD11">
            <v>25</v>
          </cell>
          <cell r="AE11">
            <v>139797.81065088758</v>
          </cell>
          <cell r="AF11">
            <v>11649.81755424063</v>
          </cell>
        </row>
        <row r="12">
          <cell r="A12" t="str">
            <v>BMS Operator</v>
          </cell>
          <cell r="B12" t="str">
            <v>L - B</v>
          </cell>
          <cell r="C12">
            <v>2400</v>
          </cell>
          <cell r="D12">
            <v>4000</v>
          </cell>
          <cell r="E12">
            <v>1200</v>
          </cell>
          <cell r="F12">
            <v>300</v>
          </cell>
          <cell r="G12">
            <v>50</v>
          </cell>
          <cell r="H12">
            <v>0</v>
          </cell>
          <cell r="I12">
            <v>2000</v>
          </cell>
          <cell r="J12">
            <v>166.66666666666666</v>
          </cell>
          <cell r="K12">
            <v>600</v>
          </cell>
          <cell r="L12">
            <v>50</v>
          </cell>
          <cell r="M12">
            <v>600</v>
          </cell>
          <cell r="N12">
            <v>50</v>
          </cell>
          <cell r="O12">
            <v>4200</v>
          </cell>
          <cell r="P12">
            <v>350</v>
          </cell>
          <cell r="Q12">
            <v>1656.8047337278103</v>
          </cell>
          <cell r="R12">
            <v>138.0670611439842</v>
          </cell>
          <cell r="S12">
            <v>5917.8082191780832</v>
          </cell>
          <cell r="T12">
            <v>493.15068493150693</v>
          </cell>
          <cell r="U12">
            <v>600</v>
          </cell>
          <cell r="V12">
            <v>50</v>
          </cell>
          <cell r="W12">
            <v>1500</v>
          </cell>
          <cell r="X12">
            <v>125</v>
          </cell>
          <cell r="Y12">
            <v>170</v>
          </cell>
          <cell r="Z12">
            <v>14.166666666666666</v>
          </cell>
          <cell r="AA12">
            <v>100</v>
          </cell>
          <cell r="AB12">
            <v>8.3333333333333339</v>
          </cell>
          <cell r="AC12">
            <v>1000</v>
          </cell>
          <cell r="AD12">
            <v>83.333333333333329</v>
          </cell>
          <cell r="AE12">
            <v>79026.804733727811</v>
          </cell>
          <cell r="AF12">
            <v>6585.5670611439846</v>
          </cell>
        </row>
        <row r="13">
          <cell r="A13" t="str">
            <v>Mech. Tech. Pumps</v>
          </cell>
          <cell r="B13" t="str">
            <v>L - B</v>
          </cell>
          <cell r="C13">
            <v>2400</v>
          </cell>
          <cell r="D13">
            <v>4000</v>
          </cell>
          <cell r="E13">
            <v>1200</v>
          </cell>
          <cell r="F13">
            <v>300</v>
          </cell>
          <cell r="G13">
            <v>50</v>
          </cell>
          <cell r="H13">
            <v>0</v>
          </cell>
          <cell r="I13">
            <v>2000</v>
          </cell>
          <cell r="J13">
            <v>166.66666666666666</v>
          </cell>
          <cell r="K13">
            <v>600</v>
          </cell>
          <cell r="L13">
            <v>50</v>
          </cell>
          <cell r="M13">
            <v>600</v>
          </cell>
          <cell r="N13">
            <v>50</v>
          </cell>
          <cell r="O13">
            <v>4200</v>
          </cell>
          <cell r="P13">
            <v>350</v>
          </cell>
          <cell r="Q13">
            <v>1656.8047337278103</v>
          </cell>
          <cell r="R13">
            <v>138.0670611439842</v>
          </cell>
          <cell r="S13">
            <v>5917.8082191780832</v>
          </cell>
          <cell r="T13">
            <v>493.15068493150693</v>
          </cell>
          <cell r="U13">
            <v>600</v>
          </cell>
          <cell r="V13">
            <v>50</v>
          </cell>
          <cell r="W13">
            <v>1500</v>
          </cell>
          <cell r="X13">
            <v>125</v>
          </cell>
          <cell r="Y13">
            <v>170</v>
          </cell>
          <cell r="Z13">
            <v>14.166666666666666</v>
          </cell>
          <cell r="AA13">
            <v>100</v>
          </cell>
          <cell r="AB13">
            <v>8.3333333333333339</v>
          </cell>
          <cell r="AC13">
            <v>1000</v>
          </cell>
          <cell r="AD13">
            <v>83.333333333333329</v>
          </cell>
          <cell r="AE13">
            <v>79026.804733727811</v>
          </cell>
          <cell r="AF13">
            <v>6585.5670611439846</v>
          </cell>
        </row>
        <row r="14">
          <cell r="A14" t="str">
            <v>Multi Skilled Tech.</v>
          </cell>
          <cell r="B14" t="str">
            <v>L - B</v>
          </cell>
          <cell r="C14">
            <v>2400</v>
          </cell>
          <cell r="D14">
            <v>4000</v>
          </cell>
          <cell r="E14">
            <v>1200</v>
          </cell>
          <cell r="F14">
            <v>300</v>
          </cell>
          <cell r="G14">
            <v>50</v>
          </cell>
          <cell r="H14">
            <v>0</v>
          </cell>
          <cell r="I14">
            <v>2000</v>
          </cell>
          <cell r="J14">
            <v>166.66666666666666</v>
          </cell>
          <cell r="K14">
            <v>600</v>
          </cell>
          <cell r="L14">
            <v>50</v>
          </cell>
          <cell r="M14">
            <v>600</v>
          </cell>
          <cell r="N14">
            <v>50</v>
          </cell>
          <cell r="O14">
            <v>4200</v>
          </cell>
          <cell r="P14">
            <v>350</v>
          </cell>
          <cell r="Q14">
            <v>1656.8047337278103</v>
          </cell>
          <cell r="R14">
            <v>138.0670611439842</v>
          </cell>
          <cell r="S14">
            <v>5917.8082191780832</v>
          </cell>
          <cell r="T14">
            <v>493.15068493150693</v>
          </cell>
          <cell r="U14">
            <v>600</v>
          </cell>
          <cell r="V14">
            <v>50</v>
          </cell>
          <cell r="W14">
            <v>1500</v>
          </cell>
          <cell r="X14">
            <v>125</v>
          </cell>
          <cell r="Y14">
            <v>170</v>
          </cell>
          <cell r="Z14">
            <v>14.166666666666666</v>
          </cell>
          <cell r="AA14">
            <v>100</v>
          </cell>
          <cell r="AB14">
            <v>8.3333333333333339</v>
          </cell>
          <cell r="AC14">
            <v>1000</v>
          </cell>
          <cell r="AD14">
            <v>83.333333333333329</v>
          </cell>
          <cell r="AE14">
            <v>79026.804733727811</v>
          </cell>
          <cell r="AF14">
            <v>6585.5670611439846</v>
          </cell>
        </row>
        <row r="15">
          <cell r="A15" t="str">
            <v>Mech. Assistant</v>
          </cell>
          <cell r="B15" t="str">
            <v>L - D</v>
          </cell>
          <cell r="C15">
            <v>1200</v>
          </cell>
          <cell r="D15">
            <v>2000</v>
          </cell>
          <cell r="E15">
            <v>1200</v>
          </cell>
          <cell r="F15">
            <v>300</v>
          </cell>
          <cell r="G15">
            <v>50</v>
          </cell>
          <cell r="H15">
            <v>0</v>
          </cell>
          <cell r="I15">
            <v>2000</v>
          </cell>
          <cell r="J15">
            <v>166.66666666666666</v>
          </cell>
          <cell r="K15">
            <v>600</v>
          </cell>
          <cell r="L15">
            <v>50</v>
          </cell>
          <cell r="M15">
            <v>600</v>
          </cell>
          <cell r="N15">
            <v>50</v>
          </cell>
          <cell r="O15">
            <v>4200</v>
          </cell>
          <cell r="P15">
            <v>350</v>
          </cell>
          <cell r="Q15">
            <v>828.40236686390517</v>
          </cell>
          <cell r="R15">
            <v>69.033530571992102</v>
          </cell>
          <cell r="S15">
            <v>2958.9041095890416</v>
          </cell>
          <cell r="T15">
            <v>246.57534246575347</v>
          </cell>
          <cell r="U15">
            <v>600</v>
          </cell>
          <cell r="V15">
            <v>50</v>
          </cell>
          <cell r="W15">
            <v>1500</v>
          </cell>
          <cell r="X15">
            <v>125</v>
          </cell>
          <cell r="Y15">
            <v>170</v>
          </cell>
          <cell r="Z15">
            <v>14.166666666666666</v>
          </cell>
          <cell r="AA15">
            <v>100</v>
          </cell>
          <cell r="AB15">
            <v>8.3333333333333339</v>
          </cell>
          <cell r="AC15">
            <v>1000</v>
          </cell>
          <cell r="AD15">
            <v>83.333333333333329</v>
          </cell>
          <cell r="AE15">
            <v>54198.402366863906</v>
          </cell>
          <cell r="AF15">
            <v>4516.5335305719909</v>
          </cell>
        </row>
        <row r="16">
          <cell r="A16" t="str">
            <v>AC Tech.</v>
          </cell>
          <cell r="B16" t="str">
            <v>L - B</v>
          </cell>
          <cell r="C16">
            <v>2400</v>
          </cell>
          <cell r="D16">
            <v>4000</v>
          </cell>
          <cell r="E16">
            <v>1200</v>
          </cell>
          <cell r="F16">
            <v>300</v>
          </cell>
          <cell r="G16">
            <v>50</v>
          </cell>
          <cell r="H16">
            <v>0</v>
          </cell>
          <cell r="I16">
            <v>2000</v>
          </cell>
          <cell r="J16">
            <v>166.66666666666666</v>
          </cell>
          <cell r="K16">
            <v>600</v>
          </cell>
          <cell r="L16">
            <v>50</v>
          </cell>
          <cell r="M16">
            <v>600</v>
          </cell>
          <cell r="N16">
            <v>50</v>
          </cell>
          <cell r="O16">
            <v>4200</v>
          </cell>
          <cell r="P16">
            <v>350</v>
          </cell>
          <cell r="Q16">
            <v>1656.8047337278103</v>
          </cell>
          <cell r="R16">
            <v>138.0670611439842</v>
          </cell>
          <cell r="S16">
            <v>5917.8082191780832</v>
          </cell>
          <cell r="T16">
            <v>493.15068493150693</v>
          </cell>
          <cell r="U16">
            <v>600</v>
          </cell>
          <cell r="V16">
            <v>50</v>
          </cell>
          <cell r="W16">
            <v>1500</v>
          </cell>
          <cell r="X16">
            <v>125</v>
          </cell>
          <cell r="Y16">
            <v>170</v>
          </cell>
          <cell r="Z16">
            <v>14.166666666666666</v>
          </cell>
          <cell r="AA16">
            <v>100</v>
          </cell>
          <cell r="AB16">
            <v>8.3333333333333339</v>
          </cell>
          <cell r="AC16">
            <v>1000</v>
          </cell>
          <cell r="AD16">
            <v>83.333333333333329</v>
          </cell>
          <cell r="AE16">
            <v>79026.804733727811</v>
          </cell>
          <cell r="AF16">
            <v>6585.5670611439846</v>
          </cell>
        </row>
        <row r="17">
          <cell r="A17" t="str">
            <v>Asst. AC Tech</v>
          </cell>
          <cell r="B17" t="str">
            <v>L - D</v>
          </cell>
          <cell r="C17">
            <v>1200</v>
          </cell>
          <cell r="D17">
            <v>2000</v>
          </cell>
          <cell r="E17">
            <v>1200</v>
          </cell>
          <cell r="F17">
            <v>300</v>
          </cell>
          <cell r="G17">
            <v>50</v>
          </cell>
          <cell r="H17">
            <v>0</v>
          </cell>
          <cell r="I17">
            <v>2000</v>
          </cell>
          <cell r="J17">
            <v>166.66666666666666</v>
          </cell>
          <cell r="K17">
            <v>600</v>
          </cell>
          <cell r="L17">
            <v>50</v>
          </cell>
          <cell r="M17">
            <v>600</v>
          </cell>
          <cell r="N17">
            <v>50</v>
          </cell>
          <cell r="O17">
            <v>4200</v>
          </cell>
          <cell r="P17">
            <v>350</v>
          </cell>
          <cell r="Q17">
            <v>828.40236686390517</v>
          </cell>
          <cell r="R17">
            <v>69.033530571992102</v>
          </cell>
          <cell r="S17">
            <v>2958.9041095890416</v>
          </cell>
          <cell r="T17">
            <v>246.57534246575347</v>
          </cell>
          <cell r="U17">
            <v>600</v>
          </cell>
          <cell r="V17">
            <v>50</v>
          </cell>
          <cell r="W17">
            <v>1500</v>
          </cell>
          <cell r="X17">
            <v>125</v>
          </cell>
          <cell r="Y17">
            <v>170</v>
          </cell>
          <cell r="Z17">
            <v>14.166666666666666</v>
          </cell>
          <cell r="AA17">
            <v>100</v>
          </cell>
          <cell r="AB17">
            <v>8.3333333333333339</v>
          </cell>
          <cell r="AC17">
            <v>1000</v>
          </cell>
          <cell r="AD17">
            <v>83.333333333333329</v>
          </cell>
          <cell r="AE17">
            <v>54198.402366863906</v>
          </cell>
          <cell r="AF17">
            <v>4516.5335305719909</v>
          </cell>
        </row>
        <row r="18">
          <cell r="A18" t="str">
            <v>Electrical Tech.</v>
          </cell>
          <cell r="B18" t="str">
            <v>L - B</v>
          </cell>
          <cell r="C18">
            <v>2400</v>
          </cell>
          <cell r="D18">
            <v>4000</v>
          </cell>
          <cell r="E18">
            <v>1200</v>
          </cell>
          <cell r="F18">
            <v>300</v>
          </cell>
          <cell r="G18">
            <v>50</v>
          </cell>
          <cell r="H18">
            <v>0</v>
          </cell>
          <cell r="I18">
            <v>2000</v>
          </cell>
          <cell r="J18">
            <v>166.66666666666666</v>
          </cell>
          <cell r="K18">
            <v>600</v>
          </cell>
          <cell r="L18">
            <v>50</v>
          </cell>
          <cell r="M18">
            <v>600</v>
          </cell>
          <cell r="N18">
            <v>50</v>
          </cell>
          <cell r="O18">
            <v>4200</v>
          </cell>
          <cell r="P18">
            <v>350</v>
          </cell>
          <cell r="Q18">
            <v>1656.8047337278103</v>
          </cell>
          <cell r="R18">
            <v>138.0670611439842</v>
          </cell>
          <cell r="S18">
            <v>5917.8082191780832</v>
          </cell>
          <cell r="T18">
            <v>493.15068493150693</v>
          </cell>
          <cell r="U18">
            <v>600</v>
          </cell>
          <cell r="V18">
            <v>50</v>
          </cell>
          <cell r="W18">
            <v>1500</v>
          </cell>
          <cell r="X18">
            <v>125</v>
          </cell>
          <cell r="Y18">
            <v>170</v>
          </cell>
          <cell r="Z18">
            <v>14.166666666666666</v>
          </cell>
          <cell r="AA18">
            <v>100</v>
          </cell>
          <cell r="AB18">
            <v>8.3333333333333339</v>
          </cell>
          <cell r="AC18">
            <v>1000</v>
          </cell>
          <cell r="AD18">
            <v>83.333333333333329</v>
          </cell>
          <cell r="AE18">
            <v>79026.804733727811</v>
          </cell>
          <cell r="AF18">
            <v>6585.5670611439846</v>
          </cell>
        </row>
        <row r="19">
          <cell r="A19" t="str">
            <v>Asst. Elect. Tech</v>
          </cell>
          <cell r="B19" t="str">
            <v>L - D</v>
          </cell>
          <cell r="C19">
            <v>1200</v>
          </cell>
          <cell r="D19">
            <v>2000</v>
          </cell>
          <cell r="E19">
            <v>1200</v>
          </cell>
          <cell r="F19">
            <v>300</v>
          </cell>
          <cell r="G19">
            <v>50</v>
          </cell>
          <cell r="H19">
            <v>0</v>
          </cell>
          <cell r="I19">
            <v>2000</v>
          </cell>
          <cell r="J19">
            <v>166.66666666666666</v>
          </cell>
          <cell r="K19">
            <v>600</v>
          </cell>
          <cell r="L19">
            <v>50</v>
          </cell>
          <cell r="M19">
            <v>600</v>
          </cell>
          <cell r="N19">
            <v>50</v>
          </cell>
          <cell r="O19">
            <v>4200</v>
          </cell>
          <cell r="P19">
            <v>350</v>
          </cell>
          <cell r="Q19">
            <v>828.40236686390517</v>
          </cell>
          <cell r="R19">
            <v>69.033530571992102</v>
          </cell>
          <cell r="S19">
            <v>2958.9041095890416</v>
          </cell>
          <cell r="T19">
            <v>246.57534246575347</v>
          </cell>
          <cell r="U19">
            <v>600</v>
          </cell>
          <cell r="V19">
            <v>50</v>
          </cell>
          <cell r="W19">
            <v>1500</v>
          </cell>
          <cell r="X19">
            <v>125</v>
          </cell>
          <cell r="Y19">
            <v>170</v>
          </cell>
          <cell r="Z19">
            <v>14.166666666666666</v>
          </cell>
          <cell r="AA19">
            <v>100</v>
          </cell>
          <cell r="AB19">
            <v>8.3333333333333339</v>
          </cell>
          <cell r="AC19">
            <v>1000</v>
          </cell>
          <cell r="AD19">
            <v>83.333333333333329</v>
          </cell>
          <cell r="AE19">
            <v>54198.402366863906</v>
          </cell>
          <cell r="AF19">
            <v>4516.5335305719909</v>
          </cell>
        </row>
        <row r="20">
          <cell r="A20" t="str">
            <v>Plumber Tech.</v>
          </cell>
          <cell r="B20" t="str">
            <v>L - B</v>
          </cell>
          <cell r="C20">
            <v>2400</v>
          </cell>
          <cell r="D20">
            <v>4000</v>
          </cell>
          <cell r="E20">
            <v>1200</v>
          </cell>
          <cell r="F20">
            <v>300</v>
          </cell>
          <cell r="G20">
            <v>50</v>
          </cell>
          <cell r="H20">
            <v>0</v>
          </cell>
          <cell r="I20">
            <v>2000</v>
          </cell>
          <cell r="J20">
            <v>166.66666666666666</v>
          </cell>
          <cell r="K20">
            <v>600</v>
          </cell>
          <cell r="L20">
            <v>50</v>
          </cell>
          <cell r="M20">
            <v>600</v>
          </cell>
          <cell r="N20">
            <v>50</v>
          </cell>
          <cell r="O20">
            <v>4200</v>
          </cell>
          <cell r="P20">
            <v>350</v>
          </cell>
          <cell r="Q20">
            <v>1656.8047337278103</v>
          </cell>
          <cell r="R20">
            <v>138.0670611439842</v>
          </cell>
          <cell r="S20">
            <v>5917.8082191780832</v>
          </cell>
          <cell r="T20">
            <v>493.15068493150693</v>
          </cell>
          <cell r="U20">
            <v>600</v>
          </cell>
          <cell r="V20">
            <v>50</v>
          </cell>
          <cell r="W20">
            <v>1500</v>
          </cell>
          <cell r="X20">
            <v>125</v>
          </cell>
          <cell r="Y20">
            <v>170</v>
          </cell>
          <cell r="Z20">
            <v>14.166666666666666</v>
          </cell>
          <cell r="AA20">
            <v>100</v>
          </cell>
          <cell r="AB20">
            <v>8.3333333333333339</v>
          </cell>
          <cell r="AC20">
            <v>1000</v>
          </cell>
          <cell r="AD20">
            <v>83.333333333333329</v>
          </cell>
          <cell r="AE20">
            <v>79026.804733727811</v>
          </cell>
          <cell r="AF20">
            <v>6585.5670611439846</v>
          </cell>
        </row>
        <row r="21">
          <cell r="A21" t="str">
            <v>Asst. Plumber Tech.</v>
          </cell>
          <cell r="B21" t="str">
            <v>L - D</v>
          </cell>
          <cell r="C21">
            <v>1200</v>
          </cell>
          <cell r="D21">
            <v>2000</v>
          </cell>
          <cell r="E21">
            <v>1200</v>
          </cell>
          <cell r="F21">
            <v>300</v>
          </cell>
          <cell r="G21">
            <v>50</v>
          </cell>
          <cell r="H21">
            <v>0</v>
          </cell>
          <cell r="I21">
            <v>2000</v>
          </cell>
          <cell r="J21">
            <v>166.66666666666666</v>
          </cell>
          <cell r="K21">
            <v>600</v>
          </cell>
          <cell r="L21">
            <v>50</v>
          </cell>
          <cell r="M21">
            <v>600</v>
          </cell>
          <cell r="N21">
            <v>50</v>
          </cell>
          <cell r="O21">
            <v>4200</v>
          </cell>
          <cell r="P21">
            <v>350</v>
          </cell>
          <cell r="Q21">
            <v>828.40236686390517</v>
          </cell>
          <cell r="R21">
            <v>69.033530571992102</v>
          </cell>
          <cell r="S21">
            <v>2958.9041095890416</v>
          </cell>
          <cell r="T21">
            <v>246.57534246575347</v>
          </cell>
          <cell r="U21">
            <v>600</v>
          </cell>
          <cell r="V21">
            <v>50</v>
          </cell>
          <cell r="W21">
            <v>1500</v>
          </cell>
          <cell r="X21">
            <v>125</v>
          </cell>
          <cell r="Y21">
            <v>170</v>
          </cell>
          <cell r="Z21">
            <v>14.166666666666666</v>
          </cell>
          <cell r="AA21">
            <v>100</v>
          </cell>
          <cell r="AB21">
            <v>8.3333333333333339</v>
          </cell>
          <cell r="AC21">
            <v>1000</v>
          </cell>
          <cell r="AD21">
            <v>83.333333333333329</v>
          </cell>
          <cell r="AE21">
            <v>54198.402366863906</v>
          </cell>
          <cell r="AF21">
            <v>4516.5335305719909</v>
          </cell>
        </row>
        <row r="22">
          <cell r="A22" t="str">
            <v>Civil Tech.</v>
          </cell>
          <cell r="B22" t="str">
            <v>L - C</v>
          </cell>
          <cell r="C22">
            <v>1500</v>
          </cell>
          <cell r="D22">
            <v>2500</v>
          </cell>
          <cell r="E22">
            <v>1200</v>
          </cell>
          <cell r="F22">
            <v>300</v>
          </cell>
          <cell r="G22">
            <v>50</v>
          </cell>
          <cell r="H22">
            <v>0</v>
          </cell>
          <cell r="I22">
            <v>2000</v>
          </cell>
          <cell r="J22">
            <v>166.66666666666666</v>
          </cell>
          <cell r="K22">
            <v>600</v>
          </cell>
          <cell r="L22">
            <v>50</v>
          </cell>
          <cell r="M22">
            <v>600</v>
          </cell>
          <cell r="N22">
            <v>50</v>
          </cell>
          <cell r="O22">
            <v>4200</v>
          </cell>
          <cell r="P22">
            <v>350</v>
          </cell>
          <cell r="Q22">
            <v>1035.5029585798816</v>
          </cell>
          <cell r="R22">
            <v>86.291913214990132</v>
          </cell>
          <cell r="S22">
            <v>3698.6301369863013</v>
          </cell>
          <cell r="T22">
            <v>308.21917808219177</v>
          </cell>
          <cell r="U22">
            <v>600</v>
          </cell>
          <cell r="V22">
            <v>50</v>
          </cell>
          <cell r="W22">
            <v>1500</v>
          </cell>
          <cell r="X22">
            <v>125</v>
          </cell>
          <cell r="Y22">
            <v>170</v>
          </cell>
          <cell r="Z22">
            <v>14.166666666666666</v>
          </cell>
          <cell r="AA22">
            <v>100</v>
          </cell>
          <cell r="AB22">
            <v>8.3333333333333339</v>
          </cell>
          <cell r="AC22">
            <v>1000</v>
          </cell>
          <cell r="AD22">
            <v>83.333333333333329</v>
          </cell>
          <cell r="AE22">
            <v>60405.502958579884</v>
          </cell>
          <cell r="AF22">
            <v>5033.79191321499</v>
          </cell>
        </row>
        <row r="23">
          <cell r="A23" t="str">
            <v>Painter</v>
          </cell>
          <cell r="B23" t="str">
            <v>L - C</v>
          </cell>
          <cell r="C23">
            <v>1500</v>
          </cell>
          <cell r="D23">
            <v>2500</v>
          </cell>
          <cell r="E23">
            <v>1200</v>
          </cell>
          <cell r="F23">
            <v>300</v>
          </cell>
          <cell r="G23">
            <v>50</v>
          </cell>
          <cell r="H23">
            <v>0</v>
          </cell>
          <cell r="I23">
            <v>2000</v>
          </cell>
          <cell r="J23">
            <v>166.66666666666666</v>
          </cell>
          <cell r="K23">
            <v>600</v>
          </cell>
          <cell r="L23">
            <v>50</v>
          </cell>
          <cell r="M23">
            <v>600</v>
          </cell>
          <cell r="N23">
            <v>50</v>
          </cell>
          <cell r="O23">
            <v>4200</v>
          </cell>
          <cell r="P23">
            <v>350</v>
          </cell>
          <cell r="Q23">
            <v>1035.5029585798816</v>
          </cell>
          <cell r="R23">
            <v>86.291913214990132</v>
          </cell>
          <cell r="S23">
            <v>3698.6301369863013</v>
          </cell>
          <cell r="T23">
            <v>308.21917808219177</v>
          </cell>
          <cell r="U23">
            <v>600</v>
          </cell>
          <cell r="V23">
            <v>50</v>
          </cell>
          <cell r="W23">
            <v>1500</v>
          </cell>
          <cell r="X23">
            <v>125</v>
          </cell>
          <cell r="Y23">
            <v>170</v>
          </cell>
          <cell r="Z23">
            <v>14.166666666666666</v>
          </cell>
          <cell r="AA23">
            <v>100</v>
          </cell>
          <cell r="AB23">
            <v>8.3333333333333339</v>
          </cell>
          <cell r="AC23">
            <v>1000</v>
          </cell>
          <cell r="AD23">
            <v>83.333333333333329</v>
          </cell>
          <cell r="AE23">
            <v>60405.502958579884</v>
          </cell>
          <cell r="AF23">
            <v>5033.79191321499</v>
          </cell>
        </row>
        <row r="24">
          <cell r="A24" t="str">
            <v>Civil Asst.</v>
          </cell>
          <cell r="B24" t="str">
            <v>L - D</v>
          </cell>
          <cell r="C24">
            <v>1200</v>
          </cell>
          <cell r="D24">
            <v>2000</v>
          </cell>
          <cell r="E24">
            <v>1200</v>
          </cell>
          <cell r="F24">
            <v>300</v>
          </cell>
          <cell r="G24">
            <v>50</v>
          </cell>
          <cell r="H24">
            <v>0</v>
          </cell>
          <cell r="I24">
            <v>2000</v>
          </cell>
          <cell r="J24">
            <v>166.66666666666666</v>
          </cell>
          <cell r="K24">
            <v>600</v>
          </cell>
          <cell r="L24">
            <v>50</v>
          </cell>
          <cell r="M24">
            <v>600</v>
          </cell>
          <cell r="N24">
            <v>50</v>
          </cell>
          <cell r="O24">
            <v>4200</v>
          </cell>
          <cell r="P24">
            <v>350</v>
          </cell>
          <cell r="Q24">
            <v>828.40236686390517</v>
          </cell>
          <cell r="R24">
            <v>69.033530571992102</v>
          </cell>
          <cell r="S24">
            <v>2958.9041095890416</v>
          </cell>
          <cell r="T24">
            <v>246.57534246575347</v>
          </cell>
          <cell r="U24">
            <v>600</v>
          </cell>
          <cell r="V24">
            <v>50</v>
          </cell>
          <cell r="W24">
            <v>1500</v>
          </cell>
          <cell r="X24">
            <v>125</v>
          </cell>
          <cell r="Y24">
            <v>170</v>
          </cell>
          <cell r="Z24">
            <v>14.166666666666666</v>
          </cell>
          <cell r="AA24">
            <v>100</v>
          </cell>
          <cell r="AB24">
            <v>8.3333333333333339</v>
          </cell>
          <cell r="AC24">
            <v>1000</v>
          </cell>
          <cell r="AD24">
            <v>83.333333333333329</v>
          </cell>
          <cell r="AE24">
            <v>54198.402366863906</v>
          </cell>
          <cell r="AF24">
            <v>4516.5335305719909</v>
          </cell>
        </row>
        <row r="25">
          <cell r="A25" t="str">
            <v>Cleaner Carpark</v>
          </cell>
          <cell r="B25" t="str">
            <v>L - F</v>
          </cell>
          <cell r="C25">
            <v>480</v>
          </cell>
          <cell r="D25">
            <v>800</v>
          </cell>
          <cell r="E25">
            <v>1200</v>
          </cell>
          <cell r="F25">
            <v>300</v>
          </cell>
          <cell r="G25">
            <v>50</v>
          </cell>
          <cell r="H25">
            <v>0</v>
          </cell>
          <cell r="I25">
            <v>2000</v>
          </cell>
          <cell r="J25">
            <v>166.66666666666666</v>
          </cell>
          <cell r="K25">
            <v>600</v>
          </cell>
          <cell r="L25">
            <v>50</v>
          </cell>
          <cell r="M25">
            <v>600</v>
          </cell>
          <cell r="N25">
            <v>50</v>
          </cell>
          <cell r="O25">
            <v>4200</v>
          </cell>
          <cell r="P25">
            <v>350</v>
          </cell>
          <cell r="Q25">
            <v>331.3609467455621</v>
          </cell>
          <cell r="R25">
            <v>27.613412228796843</v>
          </cell>
          <cell r="S25">
            <v>1183.5616438356165</v>
          </cell>
          <cell r="T25">
            <v>98.630136986301366</v>
          </cell>
          <cell r="U25">
            <v>600</v>
          </cell>
          <cell r="V25">
            <v>50</v>
          </cell>
          <cell r="W25">
            <v>1500</v>
          </cell>
          <cell r="X25">
            <v>125</v>
          </cell>
          <cell r="Y25">
            <v>170</v>
          </cell>
          <cell r="Z25">
            <v>14.166666666666666</v>
          </cell>
          <cell r="AA25">
            <v>100</v>
          </cell>
          <cell r="AB25">
            <v>8.3333333333333339</v>
          </cell>
          <cell r="AC25">
            <v>1000</v>
          </cell>
          <cell r="AD25">
            <v>83.333333333333329</v>
          </cell>
          <cell r="AE25">
            <v>39301.360946745561</v>
          </cell>
          <cell r="AF25">
            <v>3275.1134122287967</v>
          </cell>
        </row>
        <row r="26">
          <cell r="A26" t="str">
            <v>Driver</v>
          </cell>
          <cell r="B26" t="str">
            <v>L - B</v>
          </cell>
          <cell r="C26">
            <v>2400</v>
          </cell>
          <cell r="D26">
            <v>4000</v>
          </cell>
          <cell r="E26">
            <v>1200</v>
          </cell>
          <cell r="F26">
            <v>300</v>
          </cell>
          <cell r="G26">
            <v>50</v>
          </cell>
          <cell r="H26">
            <v>0</v>
          </cell>
          <cell r="I26">
            <v>2000</v>
          </cell>
          <cell r="J26">
            <v>166.66666666666666</v>
          </cell>
          <cell r="K26">
            <v>600</v>
          </cell>
          <cell r="L26">
            <v>50</v>
          </cell>
          <cell r="M26">
            <v>600</v>
          </cell>
          <cell r="N26">
            <v>50</v>
          </cell>
          <cell r="O26">
            <v>4200</v>
          </cell>
          <cell r="P26">
            <v>350</v>
          </cell>
          <cell r="Q26">
            <v>1656.8047337278103</v>
          </cell>
          <cell r="R26">
            <v>138.0670611439842</v>
          </cell>
          <cell r="S26">
            <v>5917.8082191780832</v>
          </cell>
          <cell r="T26">
            <v>493.15068493150693</v>
          </cell>
          <cell r="U26">
            <v>600</v>
          </cell>
          <cell r="V26">
            <v>50</v>
          </cell>
          <cell r="W26">
            <v>1500</v>
          </cell>
          <cell r="X26">
            <v>125</v>
          </cell>
          <cell r="Y26">
            <v>170</v>
          </cell>
          <cell r="Z26">
            <v>14.166666666666666</v>
          </cell>
          <cell r="AA26">
            <v>100</v>
          </cell>
          <cell r="AB26">
            <v>8.3333333333333339</v>
          </cell>
          <cell r="AC26">
            <v>1000</v>
          </cell>
          <cell r="AD26">
            <v>83.333333333333329</v>
          </cell>
          <cell r="AE26">
            <v>79026.804733727811</v>
          </cell>
          <cell r="AF26">
            <v>6585.5670611439846</v>
          </cell>
        </row>
      </sheetData>
      <sheetData sheetId="3" refreshError="1"/>
      <sheetData sheetId="4" refreshError="1"/>
      <sheetData sheetId="5"/>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 GARDENS-CONSUMABLE ESTIMATE"/>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rance"/>
      <sheetName val="Adj&amp;Final (2)"/>
      <sheetName val="FINALP&amp;L"/>
      <sheetName val="6KSrWorkout"/>
      <sheetName val="GhozlanEmrill"/>
      <sheetName val="Views_Pool"/>
      <sheetName val="GR2005"/>
      <sheetName val="P&amp;L(With6000SRJulytoSep)"/>
      <sheetName val="6KSR-jultoSep"/>
      <sheetName val="InitialP&amp;LYTD "/>
      <sheetName val="P&amp;L_DEC06(inital Sent to MIS)"/>
      <sheetName val="P&amp;LYTDSept"/>
      <sheetName val="P&amp;LSept(withArno)"/>
      <sheetName val="Sheet1"/>
      <sheetName val="Sheet2"/>
    </sheetNames>
    <sheetDataSet>
      <sheetData sheetId="0"/>
      <sheetData sheetId="1"/>
      <sheetData sheetId="2"/>
      <sheetData sheetId="3"/>
      <sheetData sheetId="4"/>
      <sheetData sheetId="5" refreshError="1">
        <row r="22">
          <cell r="M22">
            <v>7800</v>
          </cell>
        </row>
        <row r="23">
          <cell r="M23">
            <v>5535.42</v>
          </cell>
        </row>
      </sheetData>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Master"/>
      <sheetName val="Manpower Estimates"/>
      <sheetName val="Mobilisation  Costs"/>
      <sheetName val="DATA_Mob_Proc"/>
      <sheetName val="Operational Cost"/>
      <sheetName val="Operations-Procurement"/>
      <sheetName val="Sub Contractors Cost"/>
      <sheetName val="DATA_Subcon_Proc"/>
      <sheetName val="Consolidated costs"/>
    </sheetNames>
    <sheetDataSet>
      <sheetData sheetId="0"/>
      <sheetData sheetId="1"/>
      <sheetData sheetId="2"/>
      <sheetData sheetId="3">
        <row r="4">
          <cell r="E4" t="str">
            <v>Fixed</v>
          </cell>
        </row>
        <row r="5">
          <cell r="E5" t="str">
            <v>Standard Price</v>
          </cell>
        </row>
      </sheetData>
      <sheetData sheetId="4"/>
      <sheetData sheetId="5"/>
      <sheetData sheetId="6"/>
      <sheetData sheetId="7"/>
      <sheetData sheetId="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TIHAD AIRPORTS"/>
      <sheetName val="C1"/>
      <sheetName val="STAFF COSTS"/>
      <sheetName val="MBM PRICING"/>
      <sheetName val="Airport scope"/>
      <sheetName val="T1 Check In "/>
      <sheetName val="T1 Premium Lounges"/>
      <sheetName val="Limo Lounge"/>
      <sheetName val="T3 Premium Lounges"/>
      <sheetName val="T3 Premium Check In"/>
      <sheetName val="UM Lounge"/>
      <sheetName val="Etihad Warehouse-Store"/>
      <sheetName val="Line Maintenance Tech Bldg"/>
      <sheetName val="Offices at Airport (ADAT)"/>
      <sheetName val="T1 and T3 Offices"/>
    </sheetNames>
    <sheetDataSet>
      <sheetData sheetId="0"/>
      <sheetData sheetId="1"/>
      <sheetData sheetId="2"/>
      <sheetData sheetId="3"/>
      <sheetData sheetId="4">
        <row r="1">
          <cell r="A1" t="str">
            <v>Commercial Propertie UAE</v>
          </cell>
          <cell r="I1" t="str">
            <v>Contracts</v>
          </cell>
        </row>
        <row r="2">
          <cell r="A2" t="str">
            <v>Property Name/Reference</v>
          </cell>
          <cell r="B2" t="str">
            <v>Type (offices, training, conference, apartments, villas)</v>
          </cell>
          <cell r="C2" t="str">
            <v>Location</v>
          </cell>
          <cell r="D2" t="str">
            <v>Make Up (no. of desks or apartments or villas and sizes)</v>
          </cell>
          <cell r="E2" t="str">
            <v>SQM</v>
          </cell>
          <cell r="F2" t="str">
            <v>Owned or leased</v>
          </cell>
          <cell r="G2" t="str">
            <v>Current Use</v>
          </cell>
          <cell r="H2" t="str">
            <v>Landlord</v>
          </cell>
          <cell r="I2" t="str">
            <v>Maintenance - Provider</v>
          </cell>
          <cell r="J2" t="str">
            <v>Maintenance - Contrct/Adhoc</v>
          </cell>
          <cell r="K2" t="str">
            <v>Cleaning - Provider</v>
          </cell>
          <cell r="L2" t="str">
            <v>Cleaning - Contract/Adhoc</v>
          </cell>
          <cell r="M2" t="str">
            <v>Pest Control - Provider</v>
          </cell>
          <cell r="N2" t="str">
            <v>Pest Control - Contract/Adhoc</v>
          </cell>
          <cell r="O2" t="str">
            <v>Other</v>
          </cell>
          <cell r="P2" t="str">
            <v>Consolidated Pricing Year 1</v>
          </cell>
          <cell r="Q2" t="str">
            <v>Consolidated Pricing Year 2</v>
          </cell>
          <cell r="R2" t="str">
            <v>Consolidated Pricing Year 3</v>
          </cell>
          <cell r="S2" t="str">
            <v>Facilities Manager</v>
          </cell>
          <cell r="T2" t="str">
            <v xml:space="preserve">Hard Services Supervisors </v>
          </cell>
          <cell r="U2" t="str">
            <v>Other Expenses</v>
          </cell>
          <cell r="V2" t="str">
            <v xml:space="preserve">Soft Services Supervisors </v>
          </cell>
          <cell r="W2" t="str">
            <v>Driver/ Labour</v>
          </cell>
          <cell r="X2" t="str">
            <v>HVAC/ Elcetronics</v>
          </cell>
          <cell r="Y2" t="str">
            <v xml:space="preserve">Daily Cleaning Contract Common Areas </v>
          </cell>
          <cell r="Z2" t="str">
            <v>Refregration Tech</v>
          </cell>
          <cell r="AA2" t="str">
            <v>Painter</v>
          </cell>
          <cell r="AB2" t="str">
            <v>hvac</v>
          </cell>
          <cell r="AC2" t="str">
            <v>Plumbing</v>
          </cell>
          <cell r="AD2" t="str">
            <v>Carpenter</v>
          </cell>
          <cell r="AE2" t="str">
            <v>Day Spa cleaners (2 male-2 female) exclusively</v>
          </cell>
          <cell r="AF2" t="str">
            <v>Warehouse Labor 18 Staff</v>
          </cell>
          <cell r="AG2" t="str">
            <v xml:space="preserve">M&amp;E Maint Contracts for AC &amp; Electrical Plant </v>
          </cell>
          <cell r="AH2" t="str">
            <v>Electrical sytems, plant and infrastructure</v>
          </cell>
          <cell r="AI2" t="str">
            <v>A/C and chilled water sytems/ Water Heating</v>
          </cell>
          <cell r="AJ2" t="str">
            <v>AHU/FAHU, FCU and split unit maintenance</v>
          </cell>
          <cell r="AK2" t="str">
            <v>Domestic water systems</v>
          </cell>
          <cell r="AL2" t="str">
            <v>Plumbing/Drainage/ sanitation</v>
          </cell>
          <cell r="AM2" t="str">
            <v>Pumps, Sanitary fittings/Toilets</v>
          </cell>
          <cell r="AN2" t="str">
            <v>Generators/Boiler room</v>
          </cell>
          <cell r="AO2" t="str">
            <v>UPS</v>
          </cell>
          <cell r="AP2" t="str">
            <v>Building management system(BMS)</v>
          </cell>
          <cell r="AQ2" t="str">
            <v>Upkeep of high profile guest areas</v>
          </cell>
          <cell r="AR2" t="str">
            <v xml:space="preserve">Daily Civil Works </v>
          </cell>
          <cell r="AS2" t="str">
            <v xml:space="preserve">Daily Painting Works  </v>
          </cell>
          <cell r="AT2" t="str">
            <v xml:space="preserve">Daily Carpentry Works </v>
          </cell>
          <cell r="AU2" t="str">
            <v>Automatic doors- Manual Doors</v>
          </cell>
          <cell r="AV2" t="str">
            <v>Cookers, Stoves, Hoods, Fridges, Cold stores, Coffee machines</v>
          </cell>
          <cell r="AW2" t="str">
            <v>Fire Testing, Refilling and Inspection</v>
          </cell>
          <cell r="AX2" t="str">
            <v>Fire Training</v>
          </cell>
          <cell r="AY2" t="str">
            <v>Fire System Monitor Landlord Complete Fire safety maintenance</v>
          </cell>
          <cell r="AZ2" t="str">
            <v>TV &amp; FIDS MAINTAIN OPERATION 24/7</v>
          </cell>
        </row>
        <row r="3">
          <cell r="A3" t="str">
            <v>Airport T1 &amp; T3</v>
          </cell>
        </row>
        <row r="4">
          <cell r="A4" t="str">
            <v>Actual Pricing</v>
          </cell>
          <cell r="S4">
            <v>398613</v>
          </cell>
          <cell r="T4">
            <v>330924</v>
          </cell>
          <cell r="U4">
            <v>925626.98</v>
          </cell>
          <cell r="V4">
            <v>133666</v>
          </cell>
          <cell r="W4">
            <v>182384.25</v>
          </cell>
          <cell r="X4">
            <v>364016.40000000008</v>
          </cell>
          <cell r="Y4">
            <v>668330</v>
          </cell>
          <cell r="Z4">
            <v>95892.75</v>
          </cell>
          <cell r="AA4">
            <v>60168.000000000007</v>
          </cell>
          <cell r="AB4">
            <v>198554.40000000008</v>
          </cell>
          <cell r="AC4">
            <v>75210</v>
          </cell>
          <cell r="AD4">
            <v>75210</v>
          </cell>
          <cell r="AE4">
            <v>384958.08000000007</v>
          </cell>
          <cell r="AF4">
            <v>732356.01400000008</v>
          </cell>
          <cell r="AU4">
            <v>42400</v>
          </cell>
          <cell r="AW4">
            <v>13250</v>
          </cell>
        </row>
        <row r="5">
          <cell r="A5" t="str">
            <v>T1 Check In</v>
          </cell>
          <cell r="C5" t="str">
            <v>Airport Landside</v>
          </cell>
          <cell r="D5" t="str">
            <v>Check in desk and lounge</v>
          </cell>
          <cell r="E5">
            <v>100</v>
          </cell>
          <cell r="F5" t="str">
            <v>Leased</v>
          </cell>
          <cell r="G5" t="str">
            <v>Check In</v>
          </cell>
          <cell r="H5" t="str">
            <v>ADAC</v>
          </cell>
          <cell r="K5" t="str">
            <v>ADAC</v>
          </cell>
          <cell r="L5" t="str">
            <v>Lease Agreement</v>
          </cell>
          <cell r="M5" t="str">
            <v>Landlord</v>
          </cell>
          <cell r="N5" t="str">
            <v>Adhoc</v>
          </cell>
          <cell r="P5">
            <v>31875.929975429972</v>
          </cell>
          <cell r="Q5">
            <v>33788.485773955777</v>
          </cell>
          <cell r="R5">
            <v>35815.79492039312</v>
          </cell>
          <cell r="S5">
            <v>5441.0728910728913</v>
          </cell>
          <cell r="T5">
            <v>4517.1171171171172</v>
          </cell>
          <cell r="U5">
            <v>12634.820911820911</v>
          </cell>
          <cell r="V5">
            <v>1824.5427245427245</v>
          </cell>
          <cell r="W5">
            <v>2489.5475020475023</v>
          </cell>
          <cell r="X5">
            <v>4968.8288288288295</v>
          </cell>
        </row>
        <row r="6">
          <cell r="A6" t="str">
            <v xml:space="preserve">T1 Premium Lounges  </v>
          </cell>
          <cell r="C6" t="str">
            <v>Airport Landside</v>
          </cell>
          <cell r="D6" t="str">
            <v>Lounge</v>
          </cell>
          <cell r="E6">
            <v>660</v>
          </cell>
          <cell r="F6" t="str">
            <v>Leased</v>
          </cell>
          <cell r="G6" t="str">
            <v>Lounges</v>
          </cell>
          <cell r="H6" t="str">
            <v>ADAC</v>
          </cell>
          <cell r="K6" t="str">
            <v>Al Masa</v>
          </cell>
          <cell r="L6" t="str">
            <v>Lease Agreement</v>
          </cell>
          <cell r="M6" t="str">
            <v>Landlord</v>
          </cell>
          <cell r="N6" t="str">
            <v>Lease Agreement</v>
          </cell>
          <cell r="P6">
            <v>725963.04957307864</v>
          </cell>
          <cell r="Q6">
            <v>769520.83254746348</v>
          </cell>
          <cell r="R6">
            <v>815692.08250031108</v>
          </cell>
          <cell r="S6">
            <v>35911.08108108108</v>
          </cell>
          <cell r="T6">
            <v>29812.972972972973</v>
          </cell>
          <cell r="U6">
            <v>83389.818018018021</v>
          </cell>
          <cell r="V6">
            <v>12041.98198198198</v>
          </cell>
          <cell r="W6">
            <v>16431.013513513513</v>
          </cell>
          <cell r="X6">
            <v>32794.270270270274</v>
          </cell>
          <cell r="Y6">
            <v>195176.01769911504</v>
          </cell>
          <cell r="Z6">
            <v>28004.077433628318</v>
          </cell>
          <cell r="AA6">
            <v>6685.3333333333339</v>
          </cell>
          <cell r="AC6">
            <v>8306.325301204819</v>
          </cell>
          <cell r="AD6">
            <v>8237.4045801526718</v>
          </cell>
          <cell r="AE6">
            <v>192479.04000000004</v>
          </cell>
          <cell r="AW6">
            <v>1694.7674418604652</v>
          </cell>
        </row>
        <row r="7">
          <cell r="A7" t="str">
            <v xml:space="preserve">Limo Lounge </v>
          </cell>
          <cell r="C7" t="str">
            <v>Airport Landside</v>
          </cell>
          <cell r="D7" t="str">
            <v>Drop off Lounge/waiting</v>
          </cell>
          <cell r="E7">
            <v>86</v>
          </cell>
          <cell r="F7" t="str">
            <v>Leased</v>
          </cell>
          <cell r="G7" t="str">
            <v>Lounges</v>
          </cell>
          <cell r="H7" t="str">
            <v>ADAC</v>
          </cell>
          <cell r="K7" t="str">
            <v>Adhoc</v>
          </cell>
          <cell r="L7" t="str">
            <v>Lease Agreement</v>
          </cell>
          <cell r="M7" t="str">
            <v>Landlord</v>
          </cell>
          <cell r="N7" t="str">
            <v>Lease Agreement</v>
          </cell>
          <cell r="P7">
            <v>423484.10991492553</v>
          </cell>
          <cell r="Q7">
            <v>448893.15650982095</v>
          </cell>
          <cell r="R7">
            <v>475826.74590041029</v>
          </cell>
          <cell r="S7">
            <v>4679.3226863226864</v>
          </cell>
          <cell r="T7">
            <v>3884.7207207207211</v>
          </cell>
          <cell r="U7">
            <v>10865.945984165985</v>
          </cell>
          <cell r="V7">
            <v>1569.1067431067429</v>
          </cell>
          <cell r="W7">
            <v>2141.0108517608519</v>
          </cell>
          <cell r="X7">
            <v>4273.1927927927936</v>
          </cell>
          <cell r="AC7">
            <v>1082.3393574297188</v>
          </cell>
          <cell r="AD7">
            <v>1073.3587786259541</v>
          </cell>
        </row>
        <row r="8">
          <cell r="A8" t="str">
            <v xml:space="preserve">T3 Premium Lounges </v>
          </cell>
          <cell r="C8" t="str">
            <v>Airport Airside</v>
          </cell>
          <cell r="D8" t="str">
            <v>lounges</v>
          </cell>
          <cell r="E8">
            <v>1600</v>
          </cell>
          <cell r="F8" t="str">
            <v>Leased</v>
          </cell>
          <cell r="G8" t="str">
            <v>Lounges</v>
          </cell>
          <cell r="H8" t="str">
            <v>ADAC</v>
          </cell>
          <cell r="K8" t="str">
            <v>Berkeley/Bin Harb</v>
          </cell>
          <cell r="L8" t="str">
            <v>Lease Agreement</v>
          </cell>
          <cell r="M8" t="str">
            <v>Landlord</v>
          </cell>
          <cell r="N8" t="str">
            <v>Lease Agreement</v>
          </cell>
          <cell r="P8">
            <v>1391605.5521509522</v>
          </cell>
          <cell r="Q8">
            <v>1475101.8852800094</v>
          </cell>
          <cell r="R8">
            <v>1563607.9983968099</v>
          </cell>
          <cell r="S8">
            <v>87057.16625716626</v>
          </cell>
          <cell r="T8">
            <v>72273.873873873876</v>
          </cell>
          <cell r="U8">
            <v>202157.13458913457</v>
          </cell>
          <cell r="V8">
            <v>29192.683592683592</v>
          </cell>
          <cell r="W8">
            <v>39832.760032760038</v>
          </cell>
          <cell r="X8">
            <v>79501.261261261272</v>
          </cell>
          <cell r="Y8">
            <v>473153.98230088496</v>
          </cell>
          <cell r="Z8">
            <v>67888.672566371679</v>
          </cell>
          <cell r="AA8">
            <v>16206.868686868689</v>
          </cell>
          <cell r="AC8">
            <v>20136.546184738956</v>
          </cell>
          <cell r="AD8">
            <v>19969.465648854963</v>
          </cell>
          <cell r="AE8">
            <v>192479.04000000004</v>
          </cell>
          <cell r="AU8">
            <v>42400</v>
          </cell>
          <cell r="AW8">
            <v>4108.5271317829456</v>
          </cell>
        </row>
        <row r="9">
          <cell r="A9" t="str">
            <v xml:space="preserve">T3 Premium Check In </v>
          </cell>
          <cell r="C9" t="str">
            <v>Airport Landside</v>
          </cell>
          <cell r="D9" t="str">
            <v>Check in desk and lounge</v>
          </cell>
          <cell r="E9">
            <v>730</v>
          </cell>
          <cell r="F9" t="str">
            <v>Leased</v>
          </cell>
          <cell r="G9" t="str">
            <v>Check In</v>
          </cell>
          <cell r="H9" t="str">
            <v>ADAC</v>
          </cell>
          <cell r="I9" t="str">
            <v>ADAC A/C only</v>
          </cell>
          <cell r="K9" t="str">
            <v>ADAC</v>
          </cell>
          <cell r="L9" t="str">
            <v>Lease Agreement</v>
          </cell>
          <cell r="M9" t="str">
            <v>Landlord</v>
          </cell>
          <cell r="N9" t="str">
            <v>Lease Agreement</v>
          </cell>
          <cell r="P9">
            <v>258387.04055809986</v>
          </cell>
          <cell r="Q9">
            <v>273890.26299158589</v>
          </cell>
          <cell r="R9">
            <v>290323.67877108103</v>
          </cell>
          <cell r="S9">
            <v>39719.832104832109</v>
          </cell>
          <cell r="T9">
            <v>32974.954954954956</v>
          </cell>
          <cell r="U9">
            <v>92234.192656292653</v>
          </cell>
          <cell r="V9">
            <v>13319.161889161889</v>
          </cell>
          <cell r="W9">
            <v>18173.696764946766</v>
          </cell>
          <cell r="X9">
            <v>36272.450450450458</v>
          </cell>
          <cell r="AA9">
            <v>7394.3838383838392</v>
          </cell>
          <cell r="AC9">
            <v>9187.2991967871476</v>
          </cell>
          <cell r="AD9">
            <v>9111.0687022900765</v>
          </cell>
        </row>
        <row r="10">
          <cell r="A10" t="str">
            <v xml:space="preserve">UM Lounge </v>
          </cell>
          <cell r="C10" t="str">
            <v>Airport Airside</v>
          </cell>
          <cell r="D10" t="str">
            <v>Lounge</v>
          </cell>
          <cell r="E10">
            <v>50</v>
          </cell>
          <cell r="F10" t="str">
            <v>Leased</v>
          </cell>
          <cell r="G10" t="str">
            <v>Lounges</v>
          </cell>
          <cell r="H10" t="str">
            <v>ADAC</v>
          </cell>
          <cell r="I10" t="str">
            <v>ADAC A/C only</v>
          </cell>
          <cell r="K10" t="str">
            <v>Adhoc</v>
          </cell>
          <cell r="L10" t="str">
            <v>Lease Agreement</v>
          </cell>
          <cell r="M10" t="str">
            <v>Landlord</v>
          </cell>
          <cell r="N10" t="str">
            <v>Lease Agreement</v>
          </cell>
          <cell r="P10">
            <v>22237.905329236244</v>
          </cell>
          <cell r="Q10">
            <v>23572.179648990419</v>
          </cell>
          <cell r="R10">
            <v>24986.51042792985</v>
          </cell>
          <cell r="S10">
            <v>2720.5364455364456</v>
          </cell>
          <cell r="T10">
            <v>2258.5585585585586</v>
          </cell>
          <cell r="U10">
            <v>6317.4104559104553</v>
          </cell>
          <cell r="V10">
            <v>912.27136227136225</v>
          </cell>
          <cell r="W10">
            <v>1244.7737510237512</v>
          </cell>
          <cell r="X10">
            <v>2484.4144144144148</v>
          </cell>
          <cell r="AA10">
            <v>506.46464646464653</v>
          </cell>
          <cell r="AD10">
            <v>624.04580152671758</v>
          </cell>
        </row>
        <row r="11">
          <cell r="A11" t="str">
            <v xml:space="preserve">Etihad warehouse/store </v>
          </cell>
          <cell r="C11" t="str">
            <v>Airport Landside</v>
          </cell>
          <cell r="D11" t="str">
            <v>Store</v>
          </cell>
          <cell r="E11">
            <v>1900</v>
          </cell>
          <cell r="F11" t="str">
            <v>Leased</v>
          </cell>
          <cell r="G11" t="str">
            <v>Warehouse</v>
          </cell>
          <cell r="H11" t="str">
            <v>ADAC</v>
          </cell>
          <cell r="K11" t="str">
            <v>Bin Harb</v>
          </cell>
          <cell r="L11" t="str">
            <v>Lease Agreement</v>
          </cell>
          <cell r="M11" t="str">
            <v>Landlord</v>
          </cell>
          <cell r="N11" t="str">
            <v>Lease Agreement</v>
          </cell>
          <cell r="P11">
            <v>1425122.1051202111</v>
          </cell>
          <cell r="Q11">
            <v>1510629.4314274238</v>
          </cell>
          <cell r="R11">
            <v>1601267.1973130694</v>
          </cell>
          <cell r="S11">
            <v>103380.38493038494</v>
          </cell>
          <cell r="T11">
            <v>85825.225225225236</v>
          </cell>
          <cell r="U11">
            <v>240061.5973245973</v>
          </cell>
          <cell r="V11">
            <v>34666.311766311766</v>
          </cell>
          <cell r="W11">
            <v>47301.402538902541</v>
          </cell>
          <cell r="X11">
            <v>94407.747747747766</v>
          </cell>
          <cell r="AA11">
            <v>19245.656565656569</v>
          </cell>
          <cell r="AC11">
            <v>23912.148594377508</v>
          </cell>
          <cell r="AD11">
            <v>23713.740458015265</v>
          </cell>
          <cell r="AF11">
            <v>732356.01400000008</v>
          </cell>
          <cell r="AW11">
            <v>4878.8759689922481</v>
          </cell>
        </row>
        <row r="12">
          <cell r="A12" t="str">
            <v xml:space="preserve">Line Maintenance Technical Building </v>
          </cell>
          <cell r="C12" t="str">
            <v>Airport Airside</v>
          </cell>
          <cell r="D12" t="str">
            <v>Technical</v>
          </cell>
          <cell r="E12">
            <v>1000</v>
          </cell>
          <cell r="F12" t="str">
            <v>Leased</v>
          </cell>
          <cell r="G12" t="str">
            <v>Offices</v>
          </cell>
          <cell r="H12" t="str">
            <v>ADAC</v>
          </cell>
          <cell r="K12" t="str">
            <v>Bin Harb</v>
          </cell>
          <cell r="L12" t="str">
            <v>Lease Agreement</v>
          </cell>
          <cell r="M12" t="str">
            <v>Landlord</v>
          </cell>
          <cell r="N12" t="str">
            <v>Lease Agreement</v>
          </cell>
          <cell r="P12">
            <v>371895.67497784871</v>
          </cell>
          <cell r="Q12">
            <v>394209.41547651967</v>
          </cell>
          <cell r="R12">
            <v>417861.98040511081</v>
          </cell>
          <cell r="S12">
            <v>54410.728910728911</v>
          </cell>
          <cell r="T12">
            <v>45171.171171171176</v>
          </cell>
          <cell r="U12">
            <v>126348.20911820911</v>
          </cell>
          <cell r="V12">
            <v>18245.427245427243</v>
          </cell>
          <cell r="W12">
            <v>24895.475020475023</v>
          </cell>
          <cell r="X12">
            <v>49688.288288288299</v>
          </cell>
          <cell r="AA12">
            <v>10129.292929292929</v>
          </cell>
          <cell r="AC12">
            <v>12585.341365461847</v>
          </cell>
          <cell r="AD12">
            <v>12480.91603053435</v>
          </cell>
          <cell r="AW12">
            <v>2567.8294573643411</v>
          </cell>
        </row>
        <row r="13">
          <cell r="A13" t="str">
            <v>Offices at Airport ADAT(Gamco)</v>
          </cell>
          <cell r="C13" t="str">
            <v>Airport Airside</v>
          </cell>
          <cell r="D13" t="str">
            <v>Offices</v>
          </cell>
          <cell r="F13" t="str">
            <v>Leased</v>
          </cell>
          <cell r="G13" t="str">
            <v>Office-cafeteria</v>
          </cell>
          <cell r="H13" t="str">
            <v>ADAT</v>
          </cell>
          <cell r="I13" t="str">
            <v>Landlord</v>
          </cell>
          <cell r="K13" t="str">
            <v>Bin Harb</v>
          </cell>
          <cell r="L13" t="str">
            <v>Lease Agreement</v>
          </cell>
          <cell r="M13" t="str">
            <v>Landlord</v>
          </cell>
          <cell r="N13" t="str">
            <v>Lease Agreement</v>
          </cell>
          <cell r="P13">
            <v>0</v>
          </cell>
          <cell r="Q13">
            <v>0</v>
          </cell>
          <cell r="R13">
            <v>0</v>
          </cell>
          <cell r="S13">
            <v>0</v>
          </cell>
          <cell r="T13">
            <v>0</v>
          </cell>
          <cell r="U13">
            <v>0</v>
          </cell>
          <cell r="V13">
            <v>0</v>
          </cell>
          <cell r="W13">
            <v>0</v>
          </cell>
          <cell r="X13">
            <v>0</v>
          </cell>
        </row>
        <row r="14">
          <cell r="A14" t="str">
            <v>Etihad Offices T1 and T3</v>
          </cell>
          <cell r="C14" t="str">
            <v>Airport Airside</v>
          </cell>
          <cell r="D14" t="str">
            <v>Offices</v>
          </cell>
          <cell r="E14">
            <v>1200</v>
          </cell>
          <cell r="F14" t="str">
            <v>Leased</v>
          </cell>
          <cell r="G14" t="str">
            <v>Briefing and Ops</v>
          </cell>
          <cell r="H14" t="str">
            <v>ADAC</v>
          </cell>
          <cell r="I14" t="str">
            <v>Landlord</v>
          </cell>
          <cell r="K14" t="str">
            <v>ADAC</v>
          </cell>
          <cell r="L14" t="str">
            <v>Lease Agreement</v>
          </cell>
          <cell r="M14" t="str">
            <v>Landlord</v>
          </cell>
          <cell r="N14" t="str">
            <v>Lease Agreement</v>
          </cell>
          <cell r="P14">
            <v>210970.19819819822</v>
          </cell>
          <cell r="Q14">
            <v>223628.4100900901</v>
          </cell>
          <cell r="R14">
            <v>237046.11469549555</v>
          </cell>
          <cell r="S14">
            <v>65292.874692874699</v>
          </cell>
          <cell r="T14">
            <v>54205.405405405407</v>
          </cell>
          <cell r="U14">
            <v>151617.85094185095</v>
          </cell>
          <cell r="V14">
            <v>21894.512694512694</v>
          </cell>
          <cell r="W14">
            <v>29874.570024570025</v>
          </cell>
          <cell r="X14">
            <v>59625.945945945961</v>
          </cell>
        </row>
        <row r="15">
          <cell r="A15" t="str">
            <v>Total SQM</v>
          </cell>
          <cell r="E15">
            <v>7326</v>
          </cell>
          <cell r="P15">
            <v>4861541.5657979799</v>
          </cell>
          <cell r="Q15">
            <v>0</v>
          </cell>
          <cell r="R15">
            <v>0</v>
          </cell>
          <cell r="S15">
            <v>398613.00000000012</v>
          </cell>
          <cell r="T15">
            <v>330924</v>
          </cell>
          <cell r="U15">
            <v>925626.97999999986</v>
          </cell>
          <cell r="V15">
            <v>133666</v>
          </cell>
          <cell r="W15">
            <v>182384.25</v>
          </cell>
          <cell r="X15">
            <v>364016.40000000008</v>
          </cell>
          <cell r="Y15">
            <v>668330</v>
          </cell>
          <cell r="Z15">
            <v>95892.75</v>
          </cell>
          <cell r="AA15">
            <v>60168</v>
          </cell>
          <cell r="AC15">
            <v>75210</v>
          </cell>
          <cell r="AD15">
            <v>75210</v>
          </cell>
          <cell r="AE15">
            <v>384958.08000000007</v>
          </cell>
          <cell r="AW15">
            <v>13250</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Notes"/>
      <sheetName val="FM Fees Summary"/>
      <sheetName val="Manning Schedule"/>
      <sheetName val="End User Services Rates"/>
      <sheetName val="Mobilization Budget"/>
      <sheetName val="MEP Budget-Y1"/>
      <sheetName val="MEP Budget-Y2"/>
      <sheetName val="HK &amp; Waste Management-Y1"/>
      <sheetName val="HK &amp; Waste Management-Y2"/>
      <sheetName val="Pest Control Y-1"/>
      <sheetName val="Pest Control Y-2"/>
      <sheetName val="Landscape Y1"/>
      <sheetName val="Landscape Y2"/>
      <sheetName val="Security Y1"/>
      <sheetName val="Security Y2"/>
      <sheetName val="Transportation Y1"/>
      <sheetName val="Transportation Y2"/>
    </sheetNames>
    <sheetDataSet>
      <sheetData sheetId="0" refreshError="1"/>
      <sheetData sheetId="1" refreshError="1"/>
      <sheetData sheetId="2">
        <row r="39">
          <cell r="B39" t="str">
            <v>Pest Control Supervisor</v>
          </cell>
          <cell r="D39">
            <v>1</v>
          </cell>
        </row>
        <row r="40">
          <cell r="B40" t="str">
            <v>Pest Control Service  (Lumpsum item per month)</v>
          </cell>
          <cell r="D40">
            <v>1</v>
          </cell>
        </row>
        <row r="43">
          <cell r="B43" t="str">
            <v>Landscape Manager</v>
          </cell>
          <cell r="D43">
            <v>1</v>
          </cell>
          <cell r="V43">
            <v>1</v>
          </cell>
        </row>
        <row r="44">
          <cell r="B44" t="str">
            <v>Landscape Supervisor</v>
          </cell>
          <cell r="D44">
            <v>2</v>
          </cell>
          <cell r="V44">
            <v>4</v>
          </cell>
        </row>
        <row r="45">
          <cell r="B45" t="str">
            <v>Gardner</v>
          </cell>
          <cell r="D45">
            <v>20</v>
          </cell>
          <cell r="V45">
            <v>60</v>
          </cell>
        </row>
        <row r="48">
          <cell r="B48" t="str">
            <v>Security Manger</v>
          </cell>
          <cell r="D48">
            <v>1</v>
          </cell>
          <cell r="V48">
            <v>1</v>
          </cell>
        </row>
        <row r="49">
          <cell r="B49" t="str">
            <v>Safety Supervisor / Agent</v>
          </cell>
          <cell r="D49">
            <v>2</v>
          </cell>
          <cell r="V49">
            <v>4</v>
          </cell>
        </row>
        <row r="50">
          <cell r="B50" t="str">
            <v>Security Supervisor /  per shift</v>
          </cell>
          <cell r="D50">
            <v>1</v>
          </cell>
          <cell r="V50">
            <v>1</v>
          </cell>
        </row>
        <row r="51">
          <cell r="B51" t="str">
            <v xml:space="preserve">Security Guards / per shift </v>
          </cell>
          <cell r="D51">
            <v>40</v>
          </cell>
          <cell r="V51">
            <v>120</v>
          </cell>
        </row>
        <row r="52">
          <cell r="B52" t="str">
            <v>CCTV Operator</v>
          </cell>
          <cell r="V52">
            <v>2</v>
          </cell>
        </row>
        <row r="55">
          <cell r="B55" t="str">
            <v>Pickup Double Cabinet (1 security + 1 MEP)</v>
          </cell>
          <cell r="D55">
            <v>2</v>
          </cell>
        </row>
        <row r="56">
          <cell r="B56" t="str">
            <v xml:space="preserve">Golf Car </v>
          </cell>
          <cell r="D56">
            <v>2</v>
          </cell>
        </row>
        <row r="57">
          <cell r="B57" t="str">
            <v xml:space="preserve">Security Patrol Motorcycles / Tricycles </v>
          </cell>
          <cell r="D57">
            <v>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8BA197-781F-41D4-916C-28CD6ED502B2}" name="Table1511" displayName="Table1511" ref="D2:G8" totalsRowCount="1" headerRowDxfId="1016" dataDxfId="1014" totalsRowDxfId="1012" headerRowBorderDxfId="1015" tableBorderDxfId="1013">
  <autoFilter ref="D2:G7" xr:uid="{661D9272-3347-4AB5-917E-CC1CFF2033CB}"/>
  <tableColumns count="4">
    <tableColumn id="1" xr3:uid="{37DFB789-0DCD-4238-B289-53C3F7896284}" name="Rate" totalsRowFunction="custom" dataDxfId="1011" totalsRowDxfId="1010" dataCellStyle="Comma">
      <totalsRowFormula>Table1511[[#Totals],[Monthly]]/Table1511[[#Totals],[Qty]]</totalsRowFormula>
    </tableColumn>
    <tableColumn id="2" xr3:uid="{63478E5B-15A4-4B92-99B5-3CBEAADD6357}" name="Qty" totalsRowFunction="sum" dataDxfId="1009" totalsRowDxfId="1008"/>
    <tableColumn id="3" xr3:uid="{C5CF34D4-2350-4A1A-A8FF-2A571AF6468C}" name="Shift/Month" dataDxfId="1007" totalsRowDxfId="1006"/>
    <tableColumn id="4" xr3:uid="{364F0236-4353-40C9-AF56-F6B01405A4C2}" name="Monthly" totalsRowFunction="sum" dataDxfId="1005" totalsRowDxfId="1004">
      <calculatedColumnFormula>F3*E3*D3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D8BA30F-9621-4247-8074-28BE7B620103}" name="Table2612" displayName="Table2612" ref="I2:L8" totalsRowCount="1" headerRowDxfId="1003" dataDxfId="1001" totalsRowDxfId="999" headerRowBorderDxfId="1002" tableBorderDxfId="1000">
  <autoFilter ref="I2:L7" xr:uid="{941950EB-72E2-422C-916D-AB3FF0577551}"/>
  <tableColumns count="4">
    <tableColumn id="1" xr3:uid="{B129264F-5326-419C-AB54-44571E8A22F7}" name="Rate" totalsRowFunction="custom" dataDxfId="998" totalsRowDxfId="997" dataCellStyle="Comma">
      <totalsRowFormula>Table2612[[#Totals],[Monthly]]/Table2612[[#Totals],[Qty]]</totalsRowFormula>
    </tableColumn>
    <tableColumn id="2" xr3:uid="{00BDB43A-FDB1-4107-9FE3-49582A611B47}" name="Qty" totalsRowFunction="sum" dataDxfId="996" totalsRowDxfId="995"/>
    <tableColumn id="3" xr3:uid="{431261D4-59CB-434A-A3C3-BB46B5A7199C}" name="Shift/Month" dataDxfId="994" totalsRowDxfId="993"/>
    <tableColumn id="4" xr3:uid="{7E0F9884-3C57-431F-A281-D104CD1E9B31}" name="Monthly" totalsRowFunction="sum" dataDxfId="992" totalsRowDxfId="991">
      <calculatedColumnFormula>I3*F3*E3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9B4E5B8-8E3F-4BBF-866E-0FEA7A0D7E28}" name="Table3713" displayName="Table3713" ref="N2:Q8" totalsRowCount="1" headerRowDxfId="990" dataDxfId="988" totalsRowDxfId="986" headerRowBorderDxfId="989" tableBorderDxfId="987">
  <autoFilter ref="N2:Q7" xr:uid="{65D0A2F4-20A6-487F-80A3-CB6B7FB2811C}"/>
  <tableColumns count="4">
    <tableColumn id="1" xr3:uid="{77CF63F5-8304-4D9B-9B72-6A9097FE5572}" name="Rate" totalsRowFunction="custom" dataDxfId="985" totalsRowDxfId="984" dataCellStyle="Comma">
      <totalsRowFormula>Table3713[[#Totals],[Monthly]]/Table3713[[#Totals],[Qty]]</totalsRowFormula>
    </tableColumn>
    <tableColumn id="2" xr3:uid="{9428799D-6F0B-4824-9FA2-DD9A6C0DA44D}" name="Qty" totalsRowFunction="sum" dataDxfId="983" totalsRowDxfId="982"/>
    <tableColumn id="3" xr3:uid="{A3C0FD79-E8DD-44BA-9D41-9DFA7314E0D2}" name="Shift/Month" dataDxfId="981" totalsRowDxfId="980"/>
    <tableColumn id="4" xr3:uid="{783BE978-A648-4985-9670-A2DF9FD3C4D1}" name="Monthly" totalsRowFunction="sum" dataDxfId="979" totalsRowDxfId="978" dataCellStyle="Comma" totalsRowCellStyle="Comma">
      <calculatedColumnFormula>P3*O3*N3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09519E6-40BB-4AE3-A2B3-25A3F8E75E81}" name="Table13" displayName="Table13" ref="B2:B8" totalsRowShown="0" headerRowDxfId="977" dataDxfId="975" headerRowBorderDxfId="976" tableBorderDxfId="974" dataCellStyle="Comma">
  <autoFilter ref="B2:B8" xr:uid="{609519E6-40BB-4AE3-A2B3-25A3F8E75E81}"/>
  <tableColumns count="1">
    <tableColumn id="1" xr3:uid="{83F44EE1-7BE8-47BB-A187-B2860632CEDB}" name="  Security Manpower " dataDxfId="973"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757EA47-6D8F-4A4F-B468-31608452E4B7}" name="Table14" displayName="Table14" ref="B10:B14" totalsRowShown="0" headerRowDxfId="972" dataDxfId="970" headerRowBorderDxfId="971" tableBorderDxfId="969" dataCellStyle="Comma">
  <autoFilter ref="B10:B14" xr:uid="{9757EA47-6D8F-4A4F-B468-31608452E4B7}"/>
  <tableColumns count="1">
    <tableColumn id="1" xr3:uid="{5DBAA93B-E7D0-4309-A665-1E7B3B28D7D4}" name="Transportation" dataDxfId="968"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B3528C-2804-44B1-B46B-0769E380844D}" name="Table15" displayName="Table15" ref="D10:G14" totalsRowCount="1" headerRowDxfId="967" headerRowBorderDxfId="966" tableBorderDxfId="965">
  <autoFilter ref="D10:G13" xr:uid="{6EB3528C-2804-44B1-B46B-0769E380844D}"/>
  <tableColumns count="4">
    <tableColumn id="1" xr3:uid="{551BD633-F5E5-48CC-8AB1-BCC73F60C695}" name="Rate" dataDxfId="964" totalsRowDxfId="963" dataCellStyle="Comma" totalsRowCellStyle="Comma"/>
    <tableColumn id="2" xr3:uid="{EA244D1D-BEF9-4F80-8AEB-09EFEB2058C8}" name="Qty" totalsRowDxfId="962"/>
    <tableColumn id="3" xr3:uid="{6335F6A9-DABE-4A56-8056-92B4E902EEA3}" name="Shift/Month" dataDxfId="961" totalsRowDxfId="960"/>
    <tableColumn id="4" xr3:uid="{13CEFBE3-005E-4D31-B3BA-23DAC996AEB2}" name="Monthly" totalsRowFunction="sum" totalsRowDxfId="95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FF501E3-17B7-4132-8FAF-DC7FAED86C9C}" name="Table16" displayName="Table16" ref="I10:L14" totalsRowCount="1" headerRowDxfId="958" totalsRowDxfId="955" headerRowBorderDxfId="957" tableBorderDxfId="956">
  <autoFilter ref="I10:L13" xr:uid="{9FF501E3-17B7-4132-8FAF-DC7FAED86C9C}"/>
  <tableColumns count="4">
    <tableColumn id="1" xr3:uid="{ABB74AB2-8DB7-4AD5-86E0-31368D74F23C}" name="Rate" dataDxfId="954" totalsRowDxfId="953" dataCellStyle="Comma" totalsRowCellStyle="Comma"/>
    <tableColumn id="2" xr3:uid="{BB3C6435-0B73-4E1B-A300-508A5B43DE65}" name="Qty" dataDxfId="952" totalsRowDxfId="951"/>
    <tableColumn id="3" xr3:uid="{020DF657-73C8-4D91-9B6D-7DB3B9BF2348}" name="Shift/Month" dataDxfId="950" totalsRowDxfId="949"/>
    <tableColumn id="4" xr3:uid="{C0FBCCB7-C65E-4479-988F-74374083D5DC}" name="Monthly" totalsRowFunction="sum" dataDxfId="948" totalsRowDxfId="94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0F21620-F3B6-42CE-9E3A-DE968D1F0A03}" name="Table17" displayName="Table17" ref="N10:Q14" totalsRowCount="1" headerRowDxfId="946" totalsRowDxfId="943" headerRowBorderDxfId="945" tableBorderDxfId="944">
  <autoFilter ref="N10:Q13" xr:uid="{A0F21620-F3B6-42CE-9E3A-DE968D1F0A03}"/>
  <tableColumns count="4">
    <tableColumn id="1" xr3:uid="{F19E416A-0203-4447-9FDB-744ABFBCB126}" name="Rate" dataDxfId="942" totalsRowDxfId="941" dataCellStyle="Comma" totalsRowCellStyle="Comma"/>
    <tableColumn id="2" xr3:uid="{92D11E73-1A1F-40DF-BE70-D8374F86BE18}" name="Qty" totalsRowDxfId="940"/>
    <tableColumn id="3" xr3:uid="{891B3169-ACC0-41E1-BD5D-C778342345D7}" name="Shift/Month" dataDxfId="939" totalsRowDxfId="938"/>
    <tableColumn id="4" xr3:uid="{D791C76D-BC9D-452B-B2EB-56998A0E2A56}" name="Monthly" totalsRowFunction="sum" dataDxfId="937" totalsRowDxfId="936" dataCellStyle="Comma" totalsRowCellStyle="Comma">
      <calculatedColumnFormula>N11*O11*P11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1AA2A2D-C624-4C4B-89F1-9FE7A9FF31BE}" name="Table22" displayName="Table22" ref="B27:B31" totalsRowShown="0" headerRowDxfId="935" headerRowBorderDxfId="934" tableBorderDxfId="933">
  <autoFilter ref="B27:B31" xr:uid="{11AA2A2D-C624-4C4B-89F1-9FE7A9FF31BE}"/>
  <tableColumns count="1">
    <tableColumn id="1" xr3:uid="{99EA7A5F-A33E-4A2A-9020-2F072AC103C8}" name="Security Tools&amp;Consumabls&amp;uniform"/>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51B1303-FB56-44FD-A745-0B24454E31FD}" name="Table23" displayName="Table23" ref="D27:G31" totalsRowCount="1" headerRowDxfId="932" totalsRowDxfId="930" tableBorderDxfId="931">
  <autoFilter ref="D27:G30" xr:uid="{D51B1303-FB56-44FD-A745-0B24454E31FD}"/>
  <tableColumns count="4">
    <tableColumn id="1" xr3:uid="{FBF3F99F-7513-4090-AA5E-3024BA2C38D5}" name="Rate" dataDxfId="929" totalsRowDxfId="928" dataCellStyle="Comma"/>
    <tableColumn id="2" xr3:uid="{A3E8EDE2-8AD8-4F4B-B887-26677C28B48F}" name="Qty" dataDxfId="927" totalsRowDxfId="926"/>
    <tableColumn id="3" xr3:uid="{503185C1-6363-47A6-9C20-5103E9AA078A}" name="." totalsRowFunction="custom" dataDxfId="925" totalsRowDxfId="924" totalsRowCellStyle="Percent">
      <totalsRowFormula>Table23[[#Totals],[Monthly]]/G16</totalsRowFormula>
    </tableColumn>
    <tableColumn id="4" xr3:uid="{3BC1DEC3-EE0A-4A69-B95D-8A3EAF9EA8DC}" name="Monthly" totalsRowFunction="custom" dataDxfId="923" totalsRowDxfId="922" totalsRowCellStyle="Comma">
      <calculatedColumnFormula>D28*E28</calculatedColumnFormula>
      <totalsRowFormula>SUBTOTAL(109,Table24[Monthly])</totalsRow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111A313-A7FC-488D-B732-0C1BA5B9167F}" name="Table24" displayName="Table24" ref="I27:L31" totalsRowCount="1" headerRowDxfId="921" totalsRowDxfId="919" tableBorderDxfId="920" headerRowCellStyle="Comma">
  <autoFilter ref="I27:L30" xr:uid="{F111A313-A7FC-488D-B732-0C1BA5B9167F}"/>
  <tableColumns count="4">
    <tableColumn id="1" xr3:uid="{3803F026-EA99-4570-9056-9E79C09D266D}" name="Rate" dataDxfId="918" totalsRowDxfId="917" dataCellStyle="Comma" totalsRowCellStyle="Comma">
      <calculatedColumnFormula>Table23[[#This Row],[Rate]]</calculatedColumnFormula>
    </tableColumn>
    <tableColumn id="2" xr3:uid="{57BF3F33-DCFC-41C8-B8A2-F997D68D2A9C}" name="Qty" dataDxfId="916" totalsRowDxfId="915"/>
    <tableColumn id="3" xr3:uid="{B75CC292-A777-47F7-BAE9-FB56021BA3DD}" name="." totalsRowFunction="custom" dataDxfId="914" totalsRowDxfId="913" totalsRowCellStyle="Percent">
      <totalsRowFormula>Table24[[#Totals],[Monthly]]/L16</totalsRowFormula>
    </tableColumn>
    <tableColumn id="4" xr3:uid="{D82C89B1-0E7D-4F05-BC98-9CF176DF8683}" name="Monthly" totalsRowFunction="sum" dataDxfId="912" totalsRowDxfId="911" totalsRowCellStyle="Comma">
      <calculatedColumnFormula>I28*J28</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66B21C-70FA-4F66-9AC5-B54564460620}" name="Table25" displayName="Table25" ref="N27:Q31" totalsRowCount="1" headerRowDxfId="910" totalsRowDxfId="908" tableBorderDxfId="909">
  <autoFilter ref="N27:Q30" xr:uid="{E766B21C-70FA-4F66-9AC5-B54564460620}"/>
  <tableColumns count="4">
    <tableColumn id="1" xr3:uid="{15B47CCD-0C51-4C29-A3D7-A171258C8FC8}" name="Rate" dataDxfId="907" totalsRowDxfId="906" dataCellStyle="Comma">
      <calculatedColumnFormula>Table23[[#This Row],[Rate]]</calculatedColumnFormula>
    </tableColumn>
    <tableColumn id="2" xr3:uid="{11E7AB5E-E695-4F74-9579-E2D1BEC7D25E}" name="Qty" dataDxfId="905" totalsRowDxfId="904"/>
    <tableColumn id="3" xr3:uid="{2C1F9102-4FE0-4DBD-9352-C4DFEEECE558}" name="." totalsRowFunction="custom" dataDxfId="903" totalsRowDxfId="902" totalsRowCellStyle="Percent">
      <totalsRowFormula>Table25[[#Totals],[Monthly]]/Q16</totalsRowFormula>
    </tableColumn>
    <tableColumn id="4" xr3:uid="{EAF0DCAA-FE5E-4FBA-868E-FCF3C735B27A}" name="Monthly" totalsRowFunction="sum" dataDxfId="901" totalsRowDxfId="900" dataCellStyle="Comma" totalsRowCellStyle="Comma">
      <calculatedColumnFormula>N28*O28</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46CA057-6D9B-4B5C-B08E-EB853766F6DB}" name="Table28" displayName="Table28" ref="B42:B46" totalsRowShown="0" headerRowDxfId="899" dataDxfId="897" headerRowBorderDxfId="898" tableBorderDxfId="896" dataCellStyle="Comma">
  <autoFilter ref="B42:B46" xr:uid="{346CA057-6D9B-4B5C-B08E-EB853766F6DB}"/>
  <tableColumns count="1">
    <tableColumn id="1" xr3:uid="{1B510ECB-EA82-4784-9B0E-4E0C6FF54A41}" name=" Accoumedation" dataDxfId="895" dataCellStyle="Comm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27CEF60-C017-4B2A-B2EC-27D2DA51AAEA}" name="Table29" displayName="Table29" ref="D42:G46" totalsRowCount="1" headerRowDxfId="894" dataDxfId="892" headerRowBorderDxfId="893" tableBorderDxfId="891" dataCellStyle="Comma">
  <autoFilter ref="D42:G45" xr:uid="{627CEF60-C017-4B2A-B2EC-27D2DA51AAEA}"/>
  <tableColumns count="4">
    <tableColumn id="1" xr3:uid="{0200CF79-62FD-4633-BA72-D904EFB54249}" name="Rate" dataDxfId="890" totalsRowDxfId="889" dataCellStyle="Comma"/>
    <tableColumn id="2" xr3:uid="{94BD6CD5-92B1-4907-B168-91FD56C741E4}" name="Qty" dataDxfId="888" totalsRowDxfId="887" dataCellStyle="Comma"/>
    <tableColumn id="3" xr3:uid="{CEEA1E56-3C39-4FF2-A71C-FA85CAAE0677}" name="." totalsRowFunction="custom" dataDxfId="886" totalsRowDxfId="885" dataCellStyle="Comma" totalsRowCellStyle="Percent">
      <totalsRowFormula>Table29[[#Totals],[Monthly]]/G16</totalsRowFormula>
    </tableColumn>
    <tableColumn id="4" xr3:uid="{5F1E5466-4107-438B-B669-89E5B872FC5B}" name="Monthly" totalsRowFunction="sum" dataDxfId="884" totalsRowDxfId="883" dataCellStyle="Comma" totalsRowCellStyle="Comma">
      <calculatedColumnFormula>Table29[[#This Row],[Rate]]*Table29[[#This Row],[Qty]]</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608D03B-5ECE-4B65-A5C9-9650AEB56DB9}" name="Table2931" displayName="Table2931" ref="I42:L46" totalsRowCount="1" headerRowDxfId="882" dataDxfId="880" headerRowBorderDxfId="881" tableBorderDxfId="879" dataCellStyle="Comma">
  <autoFilter ref="I42:L45" xr:uid="{0608D03B-5ECE-4B65-A5C9-9650AEB56DB9}"/>
  <tableColumns count="4">
    <tableColumn id="1" xr3:uid="{D0969904-BFE5-4CE5-B3C5-76CA2F596C39}" name="Rate" dataDxfId="878" totalsRowDxfId="877" dataCellStyle="Comma">
      <calculatedColumnFormula>Table29[[#This Row],[Rate]]</calculatedColumnFormula>
    </tableColumn>
    <tableColumn id="2" xr3:uid="{41FC5D0D-A8D6-452A-A0CB-5E135406A6DB}" name="Qty" dataDxfId="876" totalsRowDxfId="875" dataCellStyle="Comma"/>
    <tableColumn id="3" xr3:uid="{D8B653E1-E1D7-4EBD-921C-F45FFDCCD8E9}" name="." totalsRowFunction="custom" dataDxfId="874" totalsRowDxfId="873" dataCellStyle="Comma" totalsRowCellStyle="Percent">
      <totalsRowFormula>Table2931[[#Totals],[Monthly]]/L16</totalsRowFormula>
    </tableColumn>
    <tableColumn id="4" xr3:uid="{CA518878-28FC-4E37-BB24-312B8A0AF492}" name="Monthly" totalsRowFunction="sum" dataDxfId="872" totalsRowDxfId="871" dataCellStyle="Comma" totalsRowCellStyle="Comma">
      <calculatedColumnFormula>Table2931[[#This Row],[Rate]]*Table2931[[#This Row],[Qty]]</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E3C45C2-869B-46AA-AF27-45E1F2B3E254}" name="Table2932" displayName="Table2932" ref="N42:Q46" totalsRowCount="1" headerRowDxfId="870" dataDxfId="868" headerRowBorderDxfId="869" tableBorderDxfId="867" dataCellStyle="Comma">
  <autoFilter ref="N42:Q45" xr:uid="{8E3C45C2-869B-46AA-AF27-45E1F2B3E254}"/>
  <tableColumns count="4">
    <tableColumn id="1" xr3:uid="{2A26DE1E-AC18-482B-A1A7-E2B1D993BC36}" name="Rate" dataDxfId="866" totalsRowDxfId="865" dataCellStyle="Comma">
      <calculatedColumnFormula>Table29[[#This Row],[Rate]]</calculatedColumnFormula>
    </tableColumn>
    <tableColumn id="2" xr3:uid="{8FDBF8EC-77FE-486F-B2F9-D901B3B5FB76}" name="Qty" dataDxfId="864" totalsRowDxfId="863" dataCellStyle="Comma"/>
    <tableColumn id="3" xr3:uid="{CD71DB20-9F12-4C37-B45F-BE63947878DF}" name="." totalsRowFunction="custom" dataDxfId="862" totalsRowDxfId="861" dataCellStyle="Comma" totalsRowCellStyle="Percent">
      <totalsRowFormula>Table2932[[#Totals],[Monthly]]/Q16</totalsRowFormula>
    </tableColumn>
    <tableColumn id="4" xr3:uid="{A574045E-010E-459E-9F46-0D1A1214C392}" name="Monthly" totalsRowFunction="sum" dataDxfId="860" totalsRowDxfId="859" dataCellStyle="Comma" totalsRowCellStyle="Comma">
      <calculatedColumnFormula>Table2932[[#This Row],[Rate]]*Table2932[[#This Row],[Qty]]</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4BD1B64-F42D-444D-86B8-66FF6B3D6A7B}" name="Table2833" displayName="Table2833" ref="B48:B54" totalsRowShown="0" headerRowDxfId="858" dataDxfId="856" headerRowBorderDxfId="857" tableBorderDxfId="855" dataCellStyle="Comma">
  <autoFilter ref="B48:B54" xr:uid="{D4BD1B64-F42D-444D-86B8-66FF6B3D6A7B}"/>
  <tableColumns count="1">
    <tableColumn id="1" xr3:uid="{F6057E14-F0FD-4B2E-9FFC-692F99FF8563}" name="Transportation" dataDxfId="854" dataCellStyle="Comma"/>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339D0C6-CCB4-4F2A-8192-22B30C25D8F3}" name="Table2934" displayName="Table2934" ref="D48:G54" totalsRowCount="1" headerRowDxfId="853" dataDxfId="851" headerRowBorderDxfId="852" tableBorderDxfId="850" dataCellStyle="Comma">
  <autoFilter ref="D48:G53" xr:uid="{0339D0C6-CCB4-4F2A-8192-22B30C25D8F3}"/>
  <tableColumns count="4">
    <tableColumn id="1" xr3:uid="{1DB210FF-FFA3-446F-B703-A012D6C071AA}" name="Rate" dataDxfId="849" totalsRowDxfId="848" dataCellStyle="Comma"/>
    <tableColumn id="2" xr3:uid="{E025DF49-3917-46A4-B19E-500B46304CE9}" name="Qty" dataDxfId="847" totalsRowDxfId="846" dataCellStyle="Comma"/>
    <tableColumn id="3" xr3:uid="{7D121653-CC96-419B-92B0-74A2C699BC36}" name="." totalsRowFunction="custom" dataDxfId="845" totalsRowDxfId="844" dataCellStyle="Comma" totalsRowCellStyle="Percent">
      <totalsRowFormula>Table2934[[#Totals],[Monthly]]/G16</totalsRowFormula>
    </tableColumn>
    <tableColumn id="4" xr3:uid="{D3F320E9-5ECA-43B1-AA2E-FDF4C2D03540}" name="Monthly" totalsRowFunction="sum" dataDxfId="843" totalsRowDxfId="842" dataCellStyle="Comma">
      <calculatedColumnFormula>Table2934[[#This Row],[Rate]]*Table2934[[#This Row],[Qty]]</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C186F3-3F21-40F2-BCA9-5BEFF9FDA183}" name="Table293435" displayName="Table293435" ref="I48:L54" totalsRowCount="1" headerRowDxfId="841" dataDxfId="839" headerRowBorderDxfId="840" tableBorderDxfId="838" dataCellStyle="Comma">
  <autoFilter ref="I48:L53" xr:uid="{88C186F3-3F21-40F2-BCA9-5BEFF9FDA183}"/>
  <tableColumns count="4">
    <tableColumn id="1" xr3:uid="{1953772D-D341-44A2-9E30-CDC1EE8DF774}" name="Rate" dataDxfId="837" totalsRowDxfId="836" dataCellStyle="Comma">
      <calculatedColumnFormula>Table2934[[#This Row],[Rate]]</calculatedColumnFormula>
    </tableColumn>
    <tableColumn id="2" xr3:uid="{77E50CE4-FA43-40EA-A1C6-39FC50BC52E8}" name="Qty" dataDxfId="835" totalsRowDxfId="834" dataCellStyle="Comma"/>
    <tableColumn id="3" xr3:uid="{AA2F1A4C-A472-4AB9-A00E-4DEC4F4FF84D}" name="." totalsRowFunction="custom" dataDxfId="833" totalsRowDxfId="832" dataCellStyle="Comma">
      <totalsRowFormula>Table293435[[#Totals],[Monthly]]/L16</totalsRowFormula>
    </tableColumn>
    <tableColumn id="4" xr3:uid="{B9BD8326-D497-4D85-AD1A-6848E6CE2D40}" name="Monthly" totalsRowFunction="sum" dataDxfId="831" totalsRowDxfId="830" dataCellStyle="Comma">
      <calculatedColumnFormula>Table293435[[#This Row],[Rate]]*Table293435[[#This Row],[Qty]]</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C5F1AAB-D937-4E20-B4AF-34D4742E08DD}" name="Table293436" displayName="Table293436" ref="N48:Q54" totalsRowCount="1" headerRowDxfId="829" dataDxfId="827" headerRowBorderDxfId="828" tableBorderDxfId="826" dataCellStyle="Comma">
  <autoFilter ref="N48:Q53" xr:uid="{EC5F1AAB-D937-4E20-B4AF-34D4742E08DD}"/>
  <tableColumns count="4">
    <tableColumn id="1" xr3:uid="{C7F80172-54F8-4983-944A-6D897C169970}" name="Rate" dataDxfId="825" totalsRowDxfId="824" dataCellStyle="Comma">
      <calculatedColumnFormula>Table2934[[#This Row],[Rate]]</calculatedColumnFormula>
    </tableColumn>
    <tableColumn id="2" xr3:uid="{5C19B803-352A-483A-A521-006904BB4FCD}" name="Qty" dataDxfId="823" totalsRowDxfId="822" dataCellStyle="Comma"/>
    <tableColumn id="3" xr3:uid="{B2039D3E-F613-4AFA-8834-B06C60EADD89}" name="." totalsRowFunction="custom" dataDxfId="821" totalsRowDxfId="820" dataCellStyle="Comma">
      <totalsRowFormula>Table293436[[#Totals],[Monthly]]/Q16</totalsRowFormula>
    </tableColumn>
    <tableColumn id="4" xr3:uid="{478FA35E-F67A-46E6-9AD1-0E1278A70972}" name="Monthly" totalsRowFunction="sum" dataDxfId="819" totalsRowDxfId="818" dataCellStyle="Comma" totalsRowCellStyle="Comma">
      <calculatedColumnFormula>Table293436[[#This Row],[Rate]]*Table293436[[#This Row],[Qty]]</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8CF5AB-374D-445A-A3E1-EDF1437F1E99}" name="Table15115" displayName="Table15115" ref="D68:G74" totalsRowCount="1" headerRowDxfId="817" dataDxfId="815" totalsRowDxfId="813" headerRowBorderDxfId="816" tableBorderDxfId="814">
  <autoFilter ref="D68:G73" xr:uid="{DA8CF5AB-374D-445A-A3E1-EDF1437F1E99}"/>
  <tableColumns count="4">
    <tableColumn id="1" xr3:uid="{E0C27D84-0767-412C-8D87-9153170ACC7E}" name="Rate" totalsRowFunction="custom" dataDxfId="812" totalsRowDxfId="811" dataCellStyle="Comma">
      <totalsRowFormula>Table15115[[#Totals],[Monthly]]/Table15115[[#Totals],[Qty]]</totalsRowFormula>
    </tableColumn>
    <tableColumn id="2" xr3:uid="{7F310A63-9D4B-4AEF-B8F9-7EF60E1F770F}" name="Qty" totalsRowFunction="sum" dataDxfId="810" totalsRowDxfId="809"/>
    <tableColumn id="3" xr3:uid="{C5B95016-7BBF-42B0-A9D9-2EAC6E7EAD15}" name="Shift/Month" dataDxfId="808" totalsRowDxfId="807"/>
    <tableColumn id="4" xr3:uid="{E2B44A70-AB80-4274-8332-8F40641EADF6}" name="Monthly" totalsRowFunction="sum" dataDxfId="806" totalsRowDxfId="805">
      <calculatedColumnFormula>F69*E69*D69</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473C76-45F3-4C41-8A23-56BBC21633AF}" name="Table26126" displayName="Table26126" ref="I68:L74" totalsRowCount="1" headerRowDxfId="804" dataDxfId="802" totalsRowDxfId="800" headerRowBorderDxfId="803" tableBorderDxfId="801">
  <autoFilter ref="I68:L73" xr:uid="{30473C76-45F3-4C41-8A23-56BBC21633AF}"/>
  <tableColumns count="4">
    <tableColumn id="1" xr3:uid="{AE34817B-AF91-46C8-9020-B18C204FF8DD}" name="Rate" totalsRowFunction="custom" dataDxfId="799" totalsRowDxfId="798" dataCellStyle="Comma">
      <totalsRowFormula>Table26126[[#Totals],[Monthly]]/Table26126[[#Totals],[Qty]]</totalsRowFormula>
    </tableColumn>
    <tableColumn id="2" xr3:uid="{6205457B-57BE-4103-97B5-048796FC8638}" name="Qty" totalsRowFunction="sum" dataDxfId="797" totalsRowDxfId="796"/>
    <tableColumn id="3" xr3:uid="{02FA2C37-5677-4F88-97DA-EBECD1DACC02}" name="Shift/Month" dataDxfId="795" totalsRowDxfId="794"/>
    <tableColumn id="4" xr3:uid="{0C66A09A-FC5A-4C8E-A4CE-1576F07E5D29}" name="Monthly" totalsRowFunction="sum" dataDxfId="793" totalsRowDxfId="792">
      <calculatedColumnFormula>I69*F69*E69</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C9A3C3-73D3-4F08-8D8A-34CB81DCE6B6}" name="Table37137" displayName="Table37137" ref="N68:Q74" totalsRowCount="1" headerRowDxfId="791" dataDxfId="789" totalsRowDxfId="787" headerRowBorderDxfId="790" tableBorderDxfId="788">
  <autoFilter ref="N68:Q73" xr:uid="{6DC9A3C3-73D3-4F08-8D8A-34CB81DCE6B6}"/>
  <tableColumns count="4">
    <tableColumn id="1" xr3:uid="{F6A048FB-6DF1-4D60-B2E7-B312591F1DFD}" name="Rate" totalsRowFunction="custom" dataDxfId="786" totalsRowDxfId="785" dataCellStyle="Comma">
      <totalsRowFormula>Table37137[[#Totals],[Monthly]]/Table37137[[#Totals],[Qty]]</totalsRowFormula>
    </tableColumn>
    <tableColumn id="2" xr3:uid="{6CAA16A3-4EAE-4303-B1A5-CD141996370C}" name="Qty" totalsRowFunction="sum" dataDxfId="784" totalsRowDxfId="783"/>
    <tableColumn id="3" xr3:uid="{C5CD2B72-72DE-4A46-B59E-1C6DB43DE23D}" name="Shift/Month" dataDxfId="782" totalsRowDxfId="781"/>
    <tableColumn id="4" xr3:uid="{0D3FEBDD-4BA8-4D81-96DB-D7A38367FC73}" name="Monthly" totalsRowFunction="sum" dataDxfId="780" totalsRowDxfId="779" dataCellStyle="Comma" totalsRowCellStyle="Comma">
      <calculatedColumnFormula>P69*O69*N69</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071BAC-7D56-4865-BE0E-88C39A7721B9}" name="Table138" displayName="Table138" ref="B68:B74" totalsRowShown="0" headerRowDxfId="778" dataDxfId="776" headerRowBorderDxfId="777" tableBorderDxfId="775" dataCellStyle="Comma">
  <autoFilter ref="B68:B74" xr:uid="{F4071BAC-7D56-4865-BE0E-88C39A7721B9}"/>
  <tableColumns count="1">
    <tableColumn id="1" xr3:uid="{845B1573-3C56-47E1-8A85-DB20BD229EDF}" name="  Housekeeping Manpower " dataDxfId="774" dataCellStyle="Comma"/>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B5F2B4-5A37-43C2-B4FD-A1D4EB743CE0}" name="Table149" displayName="Table149" ref="B76:B80" totalsRowShown="0" headerRowDxfId="773" dataDxfId="771" headerRowBorderDxfId="772" tableBorderDxfId="770" dataCellStyle="Comma">
  <autoFilter ref="B76:B80" xr:uid="{22B5F2B4-5A37-43C2-B4FD-A1D4EB743CE0}"/>
  <tableColumns count="1">
    <tableColumn id="1" xr3:uid="{B0B974FA-00EE-4278-886D-E0ECF6196A9B}" name="Transportation" dataDxfId="769" dataCellStyle="Comma"/>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79EEFF2-D231-4D83-BB6C-8FF941321CF5}" name="Table1510" displayName="Table1510" ref="D76:G80" totalsRowCount="1" headerRowDxfId="768" headerRowBorderDxfId="767" tableBorderDxfId="766">
  <autoFilter ref="D76:G79" xr:uid="{979EEFF2-D231-4D83-BB6C-8FF941321CF5}"/>
  <tableColumns count="4">
    <tableColumn id="1" xr3:uid="{2C0C6C91-D7D4-4904-917C-93B996518558}" name="Rate" dataDxfId="765" totalsRowDxfId="764" dataCellStyle="Comma" totalsRowCellStyle="Comma"/>
    <tableColumn id="2" xr3:uid="{D4805163-D1F8-46CE-83F6-7FE9C05CA4B7}" name="Qty" totalsRowDxfId="763"/>
    <tableColumn id="3" xr3:uid="{4AF82B39-DA6B-4EA2-8261-B6B74E903568}" name="Shift/Month" dataDxfId="762" totalsRowDxfId="761"/>
    <tableColumn id="4" xr3:uid="{0CE3D94D-44C5-4ACF-BEF5-2E3D56C09168}" name="Monthly" totalsRowFunction="sum" totalsRowDxfId="760">
      <calculatedColumnFormula>D77*E77*F77</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B84E658-5308-44B6-8ABB-89B836594BCB}" name="Table1628" displayName="Table1628" ref="I76:L80" totalsRowCount="1" headerRowDxfId="759" totalsRowDxfId="756" headerRowBorderDxfId="758" tableBorderDxfId="757">
  <autoFilter ref="I76:L79" xr:uid="{8B84E658-5308-44B6-8ABB-89B836594BCB}"/>
  <tableColumns count="4">
    <tableColumn id="1" xr3:uid="{7D39EC7A-AAE4-4100-B798-C8FF1B092AFB}" name="Rate" dataDxfId="755" totalsRowDxfId="754" dataCellStyle="Comma" totalsRowCellStyle="Comma"/>
    <tableColumn id="2" xr3:uid="{4E1E497F-5D4C-44DE-80B6-4EF1785CBCC5}" name="Qty" dataDxfId="753" totalsRowDxfId="752"/>
    <tableColumn id="3" xr3:uid="{59A42C9A-8310-454A-97A4-BA97D10E0C3F}" name="Shift/Month" dataDxfId="751" totalsRowDxfId="750"/>
    <tableColumn id="4" xr3:uid="{848C14F9-368F-45F1-B5A1-0E6D72A9E9F8}" name="Monthly" totalsRowFunction="sum" dataDxfId="749" totalsRowDxfId="748">
      <calculatedColumnFormula>I77*J77*K77</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AB353AD-7ACE-4872-A48B-58C1405A30CF}" name="Table1737" displayName="Table1737" ref="N76:Q80" totalsRowCount="1" headerRowDxfId="747" totalsRowDxfId="744" headerRowBorderDxfId="746" tableBorderDxfId="745">
  <autoFilter ref="N76:Q79" xr:uid="{4AB353AD-7ACE-4872-A48B-58C1405A30CF}"/>
  <tableColumns count="4">
    <tableColumn id="1" xr3:uid="{69FF6108-EB03-41F1-8659-ACC3B4BC4641}" name="Rate" dataDxfId="743" totalsRowDxfId="742" dataCellStyle="Comma" totalsRowCellStyle="Comma"/>
    <tableColumn id="2" xr3:uid="{01C2B3A5-E3C4-4272-B2F9-FE9D3D5D5CE9}" name="Qty" totalsRowDxfId="741"/>
    <tableColumn id="3" xr3:uid="{F202DBEA-3F2F-422E-B042-CE82BD5C11D2}" name="Shift/Month" dataDxfId="740" totalsRowDxfId="739"/>
    <tableColumn id="4" xr3:uid="{0955FC1B-69C1-4D3B-B438-AD146EFA88D7}" name="Monthly" totalsRowFunction="sum" dataDxfId="738" totalsRowDxfId="737" dataCellStyle="Comma" totalsRowCellStyle="Comma">
      <calculatedColumnFormula>N77*O77*P77</calculatedColumnFormula>
    </tableColum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1046B4A-7661-4AA0-9AAA-90DA9C4C02C1}" name="Table2242" displayName="Table2242" ref="B92:B96" totalsRowShown="0" headerRowDxfId="736" headerRowBorderDxfId="735" tableBorderDxfId="734">
  <autoFilter ref="B92:B96" xr:uid="{11046B4A-7661-4AA0-9AAA-90DA9C4C02C1}"/>
  <tableColumns count="1">
    <tableColumn id="1" xr3:uid="{F798D2E0-6D38-4FE3-A02F-F0A13B823074}" name="HK Tools&amp;Consumabls&amp;uniform"/>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D5ADB17-BB51-455C-A087-B09AD444344A}" name="Table2343" displayName="Table2343" ref="D92:G96" totalsRowCount="1" headerRowDxfId="733" totalsRowDxfId="731" tableBorderDxfId="732">
  <autoFilter ref="D92:G95" xr:uid="{7D5ADB17-BB51-455C-A087-B09AD444344A}"/>
  <tableColumns count="4">
    <tableColumn id="1" xr3:uid="{7D04917B-6C0E-4D39-9FC9-0D7AC4E033C9}" name="Rate" dataDxfId="730" totalsRowDxfId="729" dataCellStyle="Comma"/>
    <tableColumn id="2" xr3:uid="{2B5CBBB4-A860-448C-A0E9-E0805F95ECF8}" name="Qty" dataDxfId="728" totalsRowDxfId="727"/>
    <tableColumn id="3" xr3:uid="{A05BEF22-838E-42E9-8986-0F16AEADEA19}" name="." totalsRowFunction="custom" dataDxfId="726" totalsRowDxfId="725" totalsRowCellStyle="Percent">
      <totalsRowFormula>Table2343[[#Totals],[Monthly]]/G82</totalsRowFormula>
    </tableColumn>
    <tableColumn id="4" xr3:uid="{34904CEE-9627-47ED-B25E-59D44C574D22}" name="Monthly" totalsRowFunction="sum" dataDxfId="724" totalsRowDxfId="723" totalsRowCellStyle="Comma">
      <calculatedColumnFormula>D93*E93</calculatedColumnFormula>
    </tableColum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5EF0625-5571-4164-9686-255FA418433A}" name="Table2444" displayName="Table2444" ref="I92:L96" totalsRowCount="1" headerRowDxfId="722" totalsRowDxfId="720" tableBorderDxfId="721" headerRowCellStyle="Comma">
  <autoFilter ref="I92:L95" xr:uid="{85EF0625-5571-4164-9686-255FA418433A}"/>
  <tableColumns count="4">
    <tableColumn id="1" xr3:uid="{F62ACBEF-8FC0-4671-8673-2D36720276FA}" name="Rate" dataDxfId="719" totalsRowDxfId="718" dataCellStyle="Comma">
      <calculatedColumnFormula>Table2343[[#This Row],[Rate]]</calculatedColumnFormula>
    </tableColumn>
    <tableColumn id="2" xr3:uid="{9CBCAEDF-FB2F-4105-9C1E-D092CD43A1ED}" name="Qty" dataDxfId="717" totalsRowDxfId="716"/>
    <tableColumn id="3" xr3:uid="{A6007768-FEC6-4C91-A949-6D5A96D07464}" name="." totalsRowFunction="custom" dataDxfId="715" totalsRowDxfId="714">
      <totalsRowFormula>Table2444[[#Totals],[Monthly]]/L82</totalsRowFormula>
    </tableColumn>
    <tableColumn id="4" xr3:uid="{7AFFC23E-21C9-48D5-A310-B7310EFAD6DF}" name="Monthly" totalsRowFunction="sum" dataDxfId="713" totalsRowDxfId="712">
      <calculatedColumnFormula>I93*J93</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B0C6275-81F4-4076-A3D5-3C4343300BB1}" name="Table2545" displayName="Table2545" ref="N92:Q96" totalsRowCount="1" headerRowDxfId="711" totalsRowDxfId="709" tableBorderDxfId="710">
  <autoFilter ref="N92:Q95" xr:uid="{1B0C6275-81F4-4076-A3D5-3C4343300BB1}"/>
  <tableColumns count="4">
    <tableColumn id="1" xr3:uid="{DE7423F0-2EC8-4120-89D8-6B8AA95DB6DB}" name="Rate" dataDxfId="708" totalsRowDxfId="707" dataCellStyle="Comma">
      <calculatedColumnFormula>Table2343[[#This Row],[Rate]]</calculatedColumnFormula>
    </tableColumn>
    <tableColumn id="2" xr3:uid="{6DB6EC4B-E9CD-4CB1-8623-35C9F314C1FE}" name="Qty" dataDxfId="706" totalsRowDxfId="705"/>
    <tableColumn id="3" xr3:uid="{E3A0A454-60F6-416C-A3DD-021C8FE08995}" name="." totalsRowFunction="custom" dataDxfId="704" totalsRowDxfId="703">
      <totalsRowFormula>Table2545[[#Totals],[Monthly]]/Q82</totalsRowFormula>
    </tableColumn>
    <tableColumn id="4" xr3:uid="{9E69C78D-BCC9-4736-B838-C494B9BF2519}" name="Monthly" totalsRowFunction="sum" dataDxfId="702" totalsRowDxfId="701" dataCellStyle="Comma" totalsRowCellStyle="Comma">
      <calculatedColumnFormula>N93*O93</calculatedColumnFormula>
    </tableColum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40B6D18-9CA9-45E5-B317-B97C686A2EA3}" name="Table2646" displayName="Table2646" ref="B98:B104" totalsRowShown="0" headerRowDxfId="700" dataDxfId="698" headerRowBorderDxfId="699" tableBorderDxfId="697" dataCellStyle="Comma">
  <autoFilter ref="B98:B104" xr:uid="{340B6D18-9CA9-45E5-B317-B97C686A2EA3}"/>
  <tableColumns count="1">
    <tableColumn id="1" xr3:uid="{C3536D17-7F0A-4F36-90FC-2C3E847D2090}" name=" ICT &amp; Others" dataDxfId="696" dataCellStyle="Comma"/>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B1B2B00-D5E6-4C57-BC4D-F3BDF6002BAF}" name="Table2847" displayName="Table2847" ref="B106:B110" totalsRowShown="0" headerRowDxfId="695" dataDxfId="693" headerRowBorderDxfId="694" tableBorderDxfId="692" dataCellStyle="Comma">
  <autoFilter ref="B106:B110" xr:uid="{1B1B2B00-D5E6-4C57-BC4D-F3BDF6002BAF}"/>
  <tableColumns count="1">
    <tableColumn id="1" xr3:uid="{B237C197-7F5E-41A3-AC23-CF1E0DA769B6}" name=" Accoumedation" dataDxfId="691" dataCellStyle="Comma"/>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B101A65-B8DA-4304-A659-297C1E9F6302}" name="Table2948" displayName="Table2948" ref="D106:G110" totalsRowCount="1" headerRowDxfId="690" dataDxfId="688" headerRowBorderDxfId="689" tableBorderDxfId="687" dataCellStyle="Comma">
  <autoFilter ref="D106:G109" xr:uid="{BB101A65-B8DA-4304-A659-297C1E9F6302}"/>
  <tableColumns count="4">
    <tableColumn id="1" xr3:uid="{438909F2-7E89-4DB7-9AC7-42F7F2F9210D}" name="Rate" dataDxfId="686" totalsRowDxfId="685" dataCellStyle="Comma"/>
    <tableColumn id="2" xr3:uid="{DCCF262D-A0B7-4AC3-A406-C2EEEB088FDD}" name="Qty" dataDxfId="684" totalsRowDxfId="683" dataCellStyle="Comma"/>
    <tableColumn id="3" xr3:uid="{25BBB9DB-6C6A-4FDA-8774-2B5A233F2462}" name="." totalsRowFunction="custom" dataDxfId="682" totalsRowDxfId="681" dataCellStyle="Comma" totalsRowCellStyle="Percent">
      <totalsRowFormula>Table2948[[#Totals],[Monthly]]/G82</totalsRowFormula>
    </tableColumn>
    <tableColumn id="4" xr3:uid="{CD3A94BC-4C9B-44DB-B633-2A522EFE1996}" name="Monthly" totalsRowFunction="sum" dataDxfId="680" totalsRowDxfId="679" dataCellStyle="Comma" totalsRowCellStyle="Comma">
      <calculatedColumnFormula>Table2948[[#This Row],[Rate]]*Table2948[[#This Row],[Qty]]</calculatedColumnFormula>
    </tableColum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8990DE1-5159-4AE2-A81D-AFBD9B5779E9}" name="Table293149" displayName="Table293149" ref="I106:L110" totalsRowCount="1" headerRowDxfId="678" dataDxfId="676" headerRowBorderDxfId="677" tableBorderDxfId="675" dataCellStyle="Comma">
  <autoFilter ref="I106:L109" xr:uid="{68990DE1-5159-4AE2-A81D-AFBD9B5779E9}"/>
  <tableColumns count="4">
    <tableColumn id="1" xr3:uid="{458A6155-619A-478C-80E8-BCA3E5B11780}" name="Rate" dataDxfId="674" totalsRowDxfId="673" dataCellStyle="Comma">
      <calculatedColumnFormula>Table2948[[#This Row],[Rate]]</calculatedColumnFormula>
    </tableColumn>
    <tableColumn id="2" xr3:uid="{4AF49B49-E75A-466C-A42E-99A58B74E1FC}" name="Qty" dataDxfId="672" totalsRowDxfId="671" dataCellStyle="Comma"/>
    <tableColumn id="3" xr3:uid="{E003B1D1-A19A-47DB-8873-6481E1317250}" name="." totalsRowFunction="custom" dataDxfId="670" totalsRowDxfId="669" dataCellStyle="Comma">
      <totalsRowFormula>Table293149[[#Totals],[Monthly]]/L82</totalsRowFormula>
    </tableColumn>
    <tableColumn id="4" xr3:uid="{BB6597BF-4D22-4EA0-9856-C9C9C1B22E4E}" name="Monthly" totalsRowFunction="sum" dataDxfId="668" totalsRowDxfId="667" dataCellStyle="Comma">
      <calculatedColumnFormula>Table293149[[#This Row],[Rate]]*Table293149[[#This Row],[Qty]]</calculatedColumnFormula>
    </tableColum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0B92680-FB44-4543-B380-3F932818CBF6}" name="Table293250" displayName="Table293250" ref="N106:Q110" totalsRowCount="1" headerRowDxfId="666" dataDxfId="664" headerRowBorderDxfId="665" tableBorderDxfId="663" dataCellStyle="Comma">
  <autoFilter ref="N106:Q109" xr:uid="{80B92680-FB44-4543-B380-3F932818CBF6}"/>
  <tableColumns count="4">
    <tableColumn id="1" xr3:uid="{85BD7828-FDD8-4BCD-B37D-9D2C214D7C46}" name="Rate" dataDxfId="662" totalsRowDxfId="661" dataCellStyle="Comma">
      <calculatedColumnFormula>Table2948[[#This Row],[Rate]]</calculatedColumnFormula>
    </tableColumn>
    <tableColumn id="2" xr3:uid="{064065DF-F99E-4FEE-8261-D5ACA5248EE9}" name="Qty" dataDxfId="660" totalsRowDxfId="659" dataCellStyle="Comma"/>
    <tableColumn id="3" xr3:uid="{7E523B57-7FD5-477E-B185-74932D292EB2}" name="." totalsRowFunction="custom" dataDxfId="658" totalsRowDxfId="657" dataCellStyle="Comma">
      <totalsRowFormula>Table293250[[#Totals],[Monthly]]/Q82</totalsRowFormula>
    </tableColumn>
    <tableColumn id="4" xr3:uid="{D9C0698C-B22D-4CE7-AB09-FA526283D6BC}" name="Monthly" totalsRowFunction="sum" dataDxfId="656" totalsRowDxfId="655" dataCellStyle="Comma" totalsRowCellStyle="Comma">
      <calculatedColumnFormula>Table293250[[#This Row],[Rate]]*Table293250[[#This Row],[Qty]]</calculatedColumnFormula>
    </tableColum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180DBFF-9B09-451F-AA17-50B9B592741F}" name="Table283351" displayName="Table283351" ref="B112:B118" totalsRowShown="0" headerRowDxfId="654" dataDxfId="652" headerRowBorderDxfId="653" tableBorderDxfId="651" dataCellStyle="Comma">
  <autoFilter ref="B112:B118" xr:uid="{1180DBFF-9B09-451F-AA17-50B9B592741F}"/>
  <tableColumns count="1">
    <tableColumn id="1" xr3:uid="{6E4BFABC-D1CE-4483-A811-A28445622BD3}" name="Transportation" dataDxfId="650" dataCellStyle="Comma"/>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E27D1E39-8661-4BB2-BEBF-0234493D5482}" name="Table293452" displayName="Table293452" ref="D112:G118" totalsRowCount="1" headerRowDxfId="649" dataDxfId="647" headerRowBorderDxfId="648" tableBorderDxfId="646" dataCellStyle="Comma">
  <autoFilter ref="D112:G117" xr:uid="{E27D1E39-8661-4BB2-BEBF-0234493D5482}"/>
  <tableColumns count="4">
    <tableColumn id="1" xr3:uid="{B6385F13-B181-4725-A273-7BD04DA168BA}" name="Rate" dataDxfId="645" totalsRowDxfId="644" dataCellStyle="Comma"/>
    <tableColumn id="2" xr3:uid="{4C212D43-15AA-459A-B544-E77DBCF65054}" name="Qty" dataDxfId="643" totalsRowDxfId="642" dataCellStyle="Comma"/>
    <tableColumn id="3" xr3:uid="{4B0EDA80-BDE5-4954-BD83-FB79F3786B98}" name="." totalsRowFunction="custom" dataDxfId="641" totalsRowDxfId="640" dataCellStyle="Comma" totalsRowCellStyle="Percent">
      <totalsRowFormula>Table293452[[#Totals],[Monthly]]/G82</totalsRowFormula>
    </tableColumn>
    <tableColumn id="4" xr3:uid="{BEA09A05-CF54-4891-8AE5-6AC1A860F21A}" name="Monthly" totalsRowFunction="sum" dataDxfId="639" totalsRowDxfId="638" dataCellStyle="Comma">
      <calculatedColumnFormula>Table293452[[#This Row],[Rate]]*Table293452[[#This Row],[Qty]]</calculatedColumnFormula>
    </tableColum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6AD93A7-22C6-4F5E-B269-55A7AB49117F}" name="Table29343553" displayName="Table29343553" ref="I112:L118" totalsRowCount="1" headerRowDxfId="637" dataDxfId="635" headerRowBorderDxfId="636" tableBorderDxfId="634" dataCellStyle="Comma">
  <autoFilter ref="I112:L117" xr:uid="{86AD93A7-22C6-4F5E-B269-55A7AB49117F}"/>
  <tableColumns count="4">
    <tableColumn id="1" xr3:uid="{97A8CCE9-6917-40EC-9987-38592C611170}" name="Rate" dataDxfId="633" totalsRowDxfId="632" dataCellStyle="Comma">
      <calculatedColumnFormula>Table293452[[#This Row],[Rate]]</calculatedColumnFormula>
    </tableColumn>
    <tableColumn id="2" xr3:uid="{EF1D10B6-CF04-4779-8769-9D37F5D8F618}" name="Qty" dataDxfId="631" totalsRowDxfId="630" dataCellStyle="Comma"/>
    <tableColumn id="3" xr3:uid="{9CAA683E-1895-4E4E-888D-72E56910E70D}" name="." totalsRowFunction="custom" dataDxfId="629" totalsRowDxfId="628" dataCellStyle="Comma">
      <totalsRowFormula>Table29343553[[#Totals],[Monthly]]/L82</totalsRowFormula>
    </tableColumn>
    <tableColumn id="4" xr3:uid="{10EABE9B-B251-4C44-A7CC-EC5B7B4A6970}" name="Monthly" totalsRowFunction="sum" dataDxfId="627" totalsRowDxfId="626" dataCellStyle="Comma">
      <calculatedColumnFormula>Table29343553[[#This Row],[Rate]]*Table29343553[[#This Row],[Qty]]</calculatedColumnFormula>
    </tableColum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C6FB284-AAB1-48DE-8B2B-0A592A43FBCC}" name="Table29343654" displayName="Table29343654" ref="N112:Q118" totalsRowCount="1" headerRowDxfId="625" dataDxfId="623" headerRowBorderDxfId="624" tableBorderDxfId="622" dataCellStyle="Comma">
  <autoFilter ref="N112:Q117" xr:uid="{7C6FB284-AAB1-48DE-8B2B-0A592A43FBCC}"/>
  <tableColumns count="4">
    <tableColumn id="1" xr3:uid="{CF00D874-2B66-4789-BFCE-89EE29E30E5C}" name="Rate" dataDxfId="621" totalsRowDxfId="620" dataCellStyle="Comma">
      <calculatedColumnFormula>Table293452[[#This Row],[Rate]]</calculatedColumnFormula>
    </tableColumn>
    <tableColumn id="2" xr3:uid="{4A5CC9C2-A1C4-482C-8CE8-708E5B338273}" name="Qty" dataDxfId="619" totalsRowDxfId="618" dataCellStyle="Comma"/>
    <tableColumn id="3" xr3:uid="{7A0FBFE4-BCC7-4C81-947B-382FB20892D3}" name="." totalsRowFunction="custom" dataDxfId="617" totalsRowDxfId="616" dataCellStyle="Comma">
      <totalsRowFormula>Table29343654[[#Totals],[Monthly]]/Q82</totalsRowFormula>
    </tableColumn>
    <tableColumn id="4" xr3:uid="{51854414-FD87-4A3D-9747-A2F85A8B79C8}" name="Monthly" totalsRowFunction="sum" dataDxfId="615" totalsRowDxfId="614" dataCellStyle="Comma" totalsRowCellStyle="Comma">
      <calculatedColumnFormula>Table29343654[[#This Row],[Rate]]*Table29343654[[#This Row],[Qty]]</calculatedColumnFormula>
    </tableColum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27AA48F-62FD-459A-B923-CC87DF003418}" name="Table224267" displayName="Table224267" ref="B186:B190" totalsRowShown="0" headerRowDxfId="613" headerRowBorderDxfId="612" tableBorderDxfId="611">
  <autoFilter ref="B186:B190" xr:uid="{A27AA48F-62FD-459A-B923-CC87DF003418}"/>
  <tableColumns count="1">
    <tableColumn id="1" xr3:uid="{4B13C39E-87C4-4911-81CE-DDE13BF26A88}" name="MEP Tools&amp;Consumabls&amp;uniform"/>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CA72355-DF3C-4364-AD90-0A5D54AEE2A2}" name="Table234368" displayName="Table234368" ref="D186:G190" totalsRowCount="1" headerRowDxfId="610" totalsRowDxfId="608" tableBorderDxfId="609">
  <autoFilter ref="D186:G189" xr:uid="{5CA72355-DF3C-4364-AD90-0A5D54AEE2A2}"/>
  <tableColumns count="4">
    <tableColumn id="1" xr3:uid="{CB947B8D-EA0C-45DF-845B-7F0B11AC10F4}" name="Rate" dataDxfId="607" totalsRowDxfId="606" dataCellStyle="Comma"/>
    <tableColumn id="2" xr3:uid="{F01BF5D7-DE2F-49DE-93AF-4E2304478CF7}" name="Qty" dataDxfId="605" totalsRowDxfId="604"/>
    <tableColumn id="3" xr3:uid="{657D3D09-4065-4C90-9F5B-F801D2053364}" name="." totalsRowFunction="custom" dataDxfId="603" totalsRowDxfId="602">
      <totalsRowFormula>Table234368[[#Totals],[Monthly]]/G159</totalsRowFormula>
    </tableColumn>
    <tableColumn id="4" xr3:uid="{F498C0B3-D6D8-490F-80FA-1050A741BCEA}" name="Monthly" totalsRowFunction="sum" dataDxfId="601" totalsRowDxfId="600">
      <calculatedColumnFormula>D187*E187</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5762DFD-AB9E-486C-8E1C-9B74CB7DDA6B}" name="Table244469" displayName="Table244469" ref="I186:L190" totalsRowCount="1" headerRowDxfId="599" totalsRowDxfId="597" tableBorderDxfId="598" headerRowCellStyle="Comma">
  <autoFilter ref="I186:L189" xr:uid="{95762DFD-AB9E-486C-8E1C-9B74CB7DDA6B}"/>
  <tableColumns count="4">
    <tableColumn id="1" xr3:uid="{7129EAF0-329E-4E8F-A2CE-928C47B12C47}" name="Rate" dataDxfId="596" totalsRowDxfId="595" dataCellStyle="Comma">
      <calculatedColumnFormula>Table234368[[#This Row],[Rate]]</calculatedColumnFormula>
    </tableColumn>
    <tableColumn id="2" xr3:uid="{D0A82A46-02DB-400A-9A8E-867C09AA77C8}" name="Qty" dataDxfId="594" totalsRowDxfId="593"/>
    <tableColumn id="3" xr3:uid="{0F0D5AB6-33C0-4CA1-9CF1-A2AD479AC4DE}" name="." totalsRowFunction="custom" dataDxfId="592" totalsRowDxfId="591">
      <totalsRowFormula>Table244469[[#Totals],[Monthly]]/L159</totalsRowFormula>
    </tableColumn>
    <tableColumn id="4" xr3:uid="{B9E5BCAA-ADB2-48D4-B459-A9273C277159}" name="Monthly" totalsRowFunction="sum" dataDxfId="590" totalsRowDxfId="589">
      <calculatedColumnFormula>I187*J187</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04DDCE3-FF0E-4C30-A8AF-AFCBFE1D75BA}" name="Table254570" displayName="Table254570" ref="N186:Q190" totalsRowCount="1" headerRowDxfId="588" totalsRowDxfId="586" tableBorderDxfId="587">
  <autoFilter ref="N186:Q189" xr:uid="{604DDCE3-FF0E-4C30-A8AF-AFCBFE1D75BA}"/>
  <tableColumns count="4">
    <tableColumn id="1" xr3:uid="{68F32848-81ED-486C-889D-DC78886188D3}" name="Rate" dataDxfId="585" totalsRowDxfId="584" dataCellStyle="Comma">
      <calculatedColumnFormula>Table2343[[#This Row],[Rate]]</calculatedColumnFormula>
    </tableColumn>
    <tableColumn id="2" xr3:uid="{B4677FFB-9C9E-4119-A8A4-42893B9EFC44}" name="Qty" dataDxfId="583" totalsRowDxfId="582"/>
    <tableColumn id="3" xr3:uid="{52C9FB52-74E8-4C9D-A4DF-B007A5C7C87B}" name="." totalsRowFunction="custom" dataDxfId="581" totalsRowDxfId="580">
      <totalsRowFormula>Table254570[[#Totals],[Monthly]]/Q159</totalsRowFormula>
    </tableColumn>
    <tableColumn id="4" xr3:uid="{6332A78B-82D8-450A-9F35-4E5C5937677F}" name="Monthly" totalsRowFunction="sum" dataDxfId="579" totalsRowDxfId="578" dataCellStyle="Comma" totalsRowCellStyle="Comma">
      <calculatedColumnFormula>N187*O187</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AB41AFB6-2933-4599-8FD6-96BD51014677}" name="Table284772" displayName="Table284772" ref="B203:B207" totalsRowShown="0" headerRowDxfId="577" dataDxfId="575" headerRowBorderDxfId="576" tableBorderDxfId="574" dataCellStyle="Comma">
  <autoFilter ref="B203:B207" xr:uid="{AB41AFB6-2933-4599-8FD6-96BD51014677}"/>
  <tableColumns count="1">
    <tableColumn id="1" xr3:uid="{877BB499-FE30-4F55-8649-A1B97B47A8C5}" name=" Accoumedation" dataDxfId="573" dataCellStyle="Comma"/>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2D4A16A-5197-4935-85C9-B253C57242DC}" name="Table294873" displayName="Table294873" ref="D203:G207" totalsRowCount="1" headerRowDxfId="572" dataDxfId="570" headerRowBorderDxfId="571" tableBorderDxfId="569" dataCellStyle="Comma">
  <autoFilter ref="D203:G206" xr:uid="{12D4A16A-5197-4935-85C9-B253C57242DC}"/>
  <tableColumns count="4">
    <tableColumn id="1" xr3:uid="{756EF2DE-1FCD-4B9B-8CDB-F13489D60725}" name="Rate" dataDxfId="568" totalsRowDxfId="567" dataCellStyle="Comma"/>
    <tableColumn id="2" xr3:uid="{20697842-BDB1-40B5-80BE-B9BF959C0CA6}" name="Qty" dataDxfId="566" totalsRowDxfId="565" dataCellStyle="Comma"/>
    <tableColumn id="3" xr3:uid="{F7A60C23-DE19-4BBE-A337-6CC7F2DD6E2B}" name="." totalsRowFunction="custom" dataDxfId="564" totalsRowDxfId="563" dataCellStyle="Comma" totalsRowCellStyle="Percent">
      <totalsRowFormula>Table294873[[#Totals],[Monthly]]/G159</totalsRowFormula>
    </tableColumn>
    <tableColumn id="4" xr3:uid="{00B2B33F-9539-441B-BF39-89727723134B}" name="Monthly" totalsRowFunction="sum" dataDxfId="562" totalsRowDxfId="561" dataCellStyle="Comma" totalsRowCellStyle="Comma">
      <calculatedColumnFormula>Table294873[[#This Row],[Rate]]*Table294873[[#This Row],[Qty]]</calculatedColumnFormula>
    </tableColum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6DDD987A-E1A4-43FC-BBA5-8CC941F79B87}" name="Table29314974" displayName="Table29314974" ref="I203:L207" totalsRowCount="1" headerRowDxfId="560" dataDxfId="558" headerRowBorderDxfId="559" tableBorderDxfId="557" dataCellStyle="Comma">
  <autoFilter ref="I203:L206" xr:uid="{6DDD987A-E1A4-43FC-BBA5-8CC941F79B87}"/>
  <tableColumns count="4">
    <tableColumn id="1" xr3:uid="{0DC842B8-6A71-4383-9CB4-2EA15DDA3F7B}" name="Rate" dataDxfId="556" totalsRowDxfId="555" dataCellStyle="Comma">
      <calculatedColumnFormula>Table294873[[#This Row],[Rate]]</calculatedColumnFormula>
    </tableColumn>
    <tableColumn id="2" xr3:uid="{FD63F661-59CB-4E85-826D-676C7355383F}" name="Qty" dataDxfId="554" totalsRowDxfId="553" dataCellStyle="Comma"/>
    <tableColumn id="3" xr3:uid="{207FBBF6-02B8-47B5-990C-EA3CCD132661}" name="." totalsRowFunction="custom" dataDxfId="552" totalsRowDxfId="551" dataCellStyle="Comma">
      <totalsRowFormula>Table29314974[[#Totals],[Monthly]]/L159</totalsRowFormula>
    </tableColumn>
    <tableColumn id="4" xr3:uid="{FBD23F55-D695-439F-B3BF-F98F019D990B}" name="Monthly" totalsRowFunction="sum" dataDxfId="550" totalsRowDxfId="549" dataCellStyle="Comma">
      <calculatedColumnFormula>Table29314974[[#This Row],[Rate]]*Table29314974[[#This Row],[Qty]]</calculatedColumnFormula>
    </tableColumn>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3C24872-6FC5-4E3A-BA19-97F3C29FB9F4}" name="Table29325075" displayName="Table29325075" ref="N203:Q207" totalsRowCount="1" headerRowDxfId="548" dataDxfId="546" headerRowBorderDxfId="547" tableBorderDxfId="545" dataCellStyle="Comma">
  <autoFilter ref="N203:Q206" xr:uid="{03C24872-6FC5-4E3A-BA19-97F3C29FB9F4}"/>
  <tableColumns count="4">
    <tableColumn id="1" xr3:uid="{8A6979C6-2F96-406D-90AC-23BF3E2D0712}" name="Rate" dataDxfId="544" totalsRowDxfId="543" dataCellStyle="Comma">
      <calculatedColumnFormula>Table294873[[#This Row],[Rate]]</calculatedColumnFormula>
    </tableColumn>
    <tableColumn id="2" xr3:uid="{F2A506F7-FD96-4C9B-9B81-E141147725D2}" name="Qty" dataDxfId="542" totalsRowDxfId="541" dataCellStyle="Comma"/>
    <tableColumn id="3" xr3:uid="{0C9DB85A-5E83-4F4A-9075-58435001FD0D}" name="." totalsRowFunction="custom" dataDxfId="540" totalsRowDxfId="539" dataCellStyle="Comma">
      <totalsRowFormula>Table29325075[[#Totals],[Monthly]]/Q159</totalsRowFormula>
    </tableColumn>
    <tableColumn id="4" xr3:uid="{A2EB34A5-9C86-4413-994F-DFB20285D12D}" name="Monthly" totalsRowFunction="sum" dataDxfId="538" totalsRowDxfId="537" dataCellStyle="Comma" totalsRowCellStyle="Comma">
      <calculatedColumnFormula>Table29325075[[#This Row],[Rate]]*Table29325075[[#This Row],[Qty]]</calculatedColumnFormula>
    </tableColumn>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54A3221-45C5-4E14-BB7A-D2B2E8B3C74F}" name="Table28335176" displayName="Table28335176" ref="B209:B215" totalsRowShown="0" headerRowDxfId="536" dataDxfId="534" headerRowBorderDxfId="535" tableBorderDxfId="533" dataCellStyle="Comma">
  <autoFilter ref="B209:B215" xr:uid="{554A3221-45C5-4E14-BB7A-D2B2E8B3C74F}"/>
  <tableColumns count="1">
    <tableColumn id="1" xr3:uid="{C32963C2-4579-4072-BD13-66C87AC48E8B}" name="Transportation" dataDxfId="532" dataCellStyle="Comma"/>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6213165-B7C0-4E4A-8A1F-D18947B69C70}" name="Table29345277" displayName="Table29345277" ref="D209:G215" totalsRowCount="1" headerRowDxfId="531" dataDxfId="529" headerRowBorderDxfId="530" tableBorderDxfId="528" dataCellStyle="Comma">
  <autoFilter ref="D209:G214" xr:uid="{F6213165-B7C0-4E4A-8A1F-D18947B69C70}"/>
  <tableColumns count="4">
    <tableColumn id="1" xr3:uid="{9A6751A3-D21B-4C23-AC39-4275934A83BA}" name="Rate" dataDxfId="527" totalsRowDxfId="526" dataCellStyle="Comma"/>
    <tableColumn id="2" xr3:uid="{D4358E8D-ECD3-4505-A96F-D66C9E2AAD23}" name="Qty" dataDxfId="525" totalsRowDxfId="524" dataCellStyle="Comma"/>
    <tableColumn id="3" xr3:uid="{CDE412F4-B6B1-4D1F-8C1C-8F0AB19A5ADF}" name="." totalsRowFunction="custom" dataDxfId="523" totalsRowDxfId="522" dataCellStyle="Comma" totalsRowCellStyle="Percent">
      <totalsRowFormula>Table29345277[[#Totals],[Monthly]]/G159</totalsRowFormula>
    </tableColumn>
    <tableColumn id="4" xr3:uid="{238AAA5D-6260-4C70-8E8A-EC2350149AC1}" name="Monthly" totalsRowFunction="sum" dataDxfId="521" totalsRowDxfId="520" dataCellStyle="Comma">
      <calculatedColumnFormula>Table29345277[[#This Row],[Rate]]*Table29345277[[#This Row],[Qty]]</calculatedColumnFormula>
    </tableColumn>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8B83CA81-D506-4165-8883-85DBFF9A3A95}" name="Table2934355378" displayName="Table2934355378" ref="I209:L215" totalsRowCount="1" headerRowDxfId="519" dataDxfId="517" headerRowBorderDxfId="518" tableBorderDxfId="516" dataCellStyle="Comma">
  <autoFilter ref="I209:L214" xr:uid="{8B83CA81-D506-4165-8883-85DBFF9A3A95}"/>
  <tableColumns count="4">
    <tableColumn id="1" xr3:uid="{633B105D-0601-45FC-A7C3-F6E25C9BAE45}" name="Rate" dataDxfId="515" totalsRowDxfId="514" dataCellStyle="Comma">
      <calculatedColumnFormula>Table29345277[[#This Row],[Rate]]</calculatedColumnFormula>
    </tableColumn>
    <tableColumn id="2" xr3:uid="{7D4A05F1-58F2-4CA2-A8EF-C45A437FB0A7}" name="Qty" dataDxfId="513" totalsRowDxfId="512" dataCellStyle="Comma"/>
    <tableColumn id="3" xr3:uid="{6992DC93-8888-49DB-99F5-B36ADF1756D0}" name="." totalsRowFunction="custom" dataDxfId="511" totalsRowDxfId="510" dataCellStyle="Comma">
      <totalsRowFormula>Table2934355378[[#Totals],[Monthly]]/L159</totalsRowFormula>
    </tableColumn>
    <tableColumn id="4" xr3:uid="{703F6DBB-C3BE-4B71-AB9A-5C45057A7987}" name="Monthly" totalsRowFunction="sum" dataDxfId="509" totalsRowDxfId="508" dataCellStyle="Comma">
      <calculatedColumnFormula>Table2934355378[[#This Row],[Rate]]*Table2934355378[[#This Row],[Qty]]</calculatedColumnFormula>
    </tableColumn>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EF71650B-6F2F-40F5-9C12-338866E3018C}" name="Table2934365479" displayName="Table2934365479" ref="N209:Q215" totalsRowCount="1" headerRowDxfId="507" dataDxfId="505" headerRowBorderDxfId="506" tableBorderDxfId="504" dataCellStyle="Comma">
  <autoFilter ref="N209:Q214" xr:uid="{EF71650B-6F2F-40F5-9C12-338866E3018C}"/>
  <tableColumns count="4">
    <tableColumn id="1" xr3:uid="{D1386B71-3061-43AF-BE75-4078F690AAD9}" name="Rate" dataDxfId="503" totalsRowDxfId="502" dataCellStyle="Comma">
      <calculatedColumnFormula>Table29345277[[#This Row],[Rate]]</calculatedColumnFormula>
    </tableColumn>
    <tableColumn id="2" xr3:uid="{BF3B2F72-CBD3-4EB0-9E13-828A303DA052}" name="Qty" dataDxfId="501" totalsRowDxfId="500" dataCellStyle="Comma"/>
    <tableColumn id="3" xr3:uid="{D4BD6993-FCD7-4623-9DFD-794BA83D7715}" name="." totalsRowFunction="custom" dataDxfId="499" totalsRowDxfId="498" dataCellStyle="Comma">
      <totalsRowFormula>Table2934365479[[#Totals],[Monthly]]/Q159</totalsRowFormula>
    </tableColumn>
    <tableColumn id="4" xr3:uid="{0C299C0C-E56C-4059-81DE-EF59559777EB}" name="Monthly" totalsRowFunction="sum" dataDxfId="497" totalsRowDxfId="496" dataCellStyle="Comma" totalsRowCellStyle="Comma">
      <calculatedColumnFormula>Table2934365479[[#This Row],[Rate]]*Table2934365479[[#This Row],[Qty]]</calculatedColumnFormula>
    </tableColumn>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BB888249-98BE-4C92-A221-83C88E6336AB}" name="Table151180" displayName="Table151180" ref="D230:G236" totalsRowCount="1" headerRowDxfId="495" dataDxfId="493" totalsRowDxfId="491" headerRowBorderDxfId="494" tableBorderDxfId="492">
  <autoFilter ref="D230:G235" xr:uid="{BB888249-98BE-4C92-A221-83C88E6336AB}"/>
  <tableColumns count="4">
    <tableColumn id="1" xr3:uid="{CD4D937F-B82D-48D6-9B45-99156758742C}" name="Rate" totalsRowFunction="custom" dataDxfId="490" totalsRowDxfId="489" dataCellStyle="Comma">
      <totalsRowFormula>Table151180[[#Totals],[Monthly]]/Table151180[[#Totals],[Qty]]</totalsRowFormula>
    </tableColumn>
    <tableColumn id="2" xr3:uid="{AE12E253-EDD8-41DE-B069-732E54481985}" name="Qty" totalsRowFunction="sum" dataDxfId="488" totalsRowDxfId="487"/>
    <tableColumn id="3" xr3:uid="{783DC1C4-A264-4D8C-BDE4-EFE7EEEAD841}" name="Shift/Month" dataDxfId="486" totalsRowDxfId="485"/>
    <tableColumn id="4" xr3:uid="{A4DD40D7-93BB-4AFC-85EC-C8937BE84260}" name="Monthly" totalsRowFunction="sum" dataDxfId="484" totalsRowDxfId="483">
      <calculatedColumnFormula>F231*E231*D231</calculatedColumnFormula>
    </tableColumn>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AB020BB-6B73-4A38-AEE6-157A0173A518}" name="Table261281" displayName="Table261281" ref="I230:L236" totalsRowCount="1" headerRowDxfId="482" dataDxfId="480" totalsRowDxfId="478" headerRowBorderDxfId="481" tableBorderDxfId="479">
  <autoFilter ref="I230:L235" xr:uid="{DAB020BB-6B73-4A38-AEE6-157A0173A518}"/>
  <tableColumns count="4">
    <tableColumn id="1" xr3:uid="{C2BC378F-11FB-4203-ACC5-B690D3CE9E5E}" name="Rate" totalsRowFunction="custom" dataDxfId="477" totalsRowDxfId="476" dataCellStyle="Comma">
      <totalsRowFormula>Table261281[[#Totals],[Monthly]]/Table261281[[#Totals],[Qty]]</totalsRowFormula>
    </tableColumn>
    <tableColumn id="2" xr3:uid="{507D9AC2-DED3-4234-A2F3-69C84357C270}" name="Qty" totalsRowFunction="sum" dataDxfId="475" totalsRowDxfId="474"/>
    <tableColumn id="3" xr3:uid="{C9DFEA28-42F0-4181-A38A-D4A1A9767D46}" name="Shift/Month" dataDxfId="473" totalsRowDxfId="472"/>
    <tableColumn id="4" xr3:uid="{5E0C22ED-3ACB-4D02-8091-4ED29B87A267}" name="Monthly" totalsRowFunction="sum" dataDxfId="471" totalsRowDxfId="470">
      <calculatedColumnFormula>Table261281[[#This Row],[Shift/Month]]*Table261281[[#This Row],[Qty]]*Table261281[[#This Row],[Rate]]</calculatedColumnFormula>
    </tableColumn>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88AEFF02-2E27-4456-A6B2-D3580461CD58}" name="Table371382" displayName="Table371382" ref="N230:Q236" totalsRowCount="1" headerRowDxfId="469" dataDxfId="467" totalsRowDxfId="465" headerRowBorderDxfId="468" tableBorderDxfId="466">
  <autoFilter ref="N230:Q235" xr:uid="{88AEFF02-2E27-4456-A6B2-D3580461CD58}"/>
  <tableColumns count="4">
    <tableColumn id="1" xr3:uid="{BA832A6D-A72B-4A0B-889C-1AA987166CF2}" name="Rate" totalsRowFunction="custom" dataDxfId="464" totalsRowDxfId="463" dataCellStyle="Comma">
      <totalsRowFormula>Table371382[[#Totals],[Monthly]]/Table371382[[#Totals],[Qty]]</totalsRowFormula>
    </tableColumn>
    <tableColumn id="2" xr3:uid="{FFD8C5FA-A33C-480C-82B1-7F54C7BF05C6}" name="Qty" totalsRowFunction="sum" dataDxfId="462" totalsRowDxfId="461"/>
    <tableColumn id="3" xr3:uid="{F7440D7B-01BB-4C19-BE74-84F12E5C90DF}" name="Shift/Month" dataDxfId="460" totalsRowDxfId="459"/>
    <tableColumn id="4" xr3:uid="{20FD32C3-76D9-4657-BDB4-9980C6746D5E}" name="Monthly" totalsRowFunction="sum" dataDxfId="458" totalsRowDxfId="457" dataCellStyle="Comma">
      <calculatedColumnFormula>P231*O231*N231</calculatedColumnFormula>
    </tableColumn>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37DB552A-A97A-4D25-BC96-87A869A3D0A1}" name="Table1383" displayName="Table1383" ref="B230:B236" totalsRowShown="0" headerRowDxfId="456" dataDxfId="454" headerRowBorderDxfId="455" tableBorderDxfId="453" dataCellStyle="Comma">
  <autoFilter ref="B230:B236" xr:uid="{37DB552A-A97A-4D25-BC96-87A869A3D0A1}"/>
  <tableColumns count="1">
    <tableColumn id="1" xr3:uid="{12FDF302-4ACB-41E6-A3EE-5D05640CFEFD}" name="  Landscape Manpower " dataDxfId="452" dataCellStyle="Comma"/>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A4446EC-F5BE-4FDC-812E-1E2F960FC3AD}" name="Table1484" displayName="Table1484" ref="B238:B242" totalsRowShown="0" headerRowDxfId="451" dataDxfId="449" headerRowBorderDxfId="450" tableBorderDxfId="448" dataCellStyle="Comma">
  <autoFilter ref="B238:B242" xr:uid="{8A4446EC-F5BE-4FDC-812E-1E2F960FC3AD}"/>
  <tableColumns count="1">
    <tableColumn id="1" xr3:uid="{49096B7F-37D2-43BF-B18A-AC6490F01F7C}" name="Transportation" dataDxfId="447"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D2ABBF05-AF93-40AC-BD66-09A3241BE9E2}" name="Table1585" displayName="Table1585" ref="D238:G242" totalsRowCount="1" headerRowDxfId="446" headerRowBorderDxfId="445" tableBorderDxfId="444">
  <autoFilter ref="D238:G241" xr:uid="{D2ABBF05-AF93-40AC-BD66-09A3241BE9E2}"/>
  <tableColumns count="4">
    <tableColumn id="1" xr3:uid="{497942E8-3A02-49C0-89C8-9E669ACE59E5}" name="Rate" dataDxfId="443" totalsRowDxfId="442" dataCellStyle="Comma" totalsRowCellStyle="Comma"/>
    <tableColumn id="2" xr3:uid="{9B1A1686-AC09-43A6-B7B3-C29895DE681F}" name="Qty" totalsRowDxfId="441"/>
    <tableColumn id="3" xr3:uid="{3221A2C0-AA27-4392-9B00-03ECBB9AA660}" name="Shift/Month" dataDxfId="440" totalsRowDxfId="439"/>
    <tableColumn id="4" xr3:uid="{2EAEE717-78EA-4D3B-A5A4-D5BA98E61B8A}" name="Monthly" totalsRowFunction="sum" totalsRowDxfId="438">
      <calculatedColumnFormula>D239*E239*F239</calculatedColumnFormula>
    </tableColumn>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DDD898B0-1A26-4BBA-BB0E-25F8BDABD4BA}" name="Table1686" displayName="Table1686" ref="I238:L242" totalsRowCount="1" headerRowDxfId="437" totalsRowDxfId="434" headerRowBorderDxfId="436" tableBorderDxfId="435">
  <autoFilter ref="I238:L241" xr:uid="{DDD898B0-1A26-4BBA-BB0E-25F8BDABD4BA}"/>
  <tableColumns count="4">
    <tableColumn id="1" xr3:uid="{BB388ABF-926C-442F-B214-73E8709671F3}" name="Rate" dataDxfId="433" totalsRowDxfId="432" dataCellStyle="Comma" totalsRowCellStyle="Comma"/>
    <tableColumn id="2" xr3:uid="{38AD6ED9-BE7D-4FF6-ACDF-475E3E0E145B}" name="Qty" dataDxfId="431" totalsRowDxfId="430"/>
    <tableColumn id="3" xr3:uid="{5DD76964-03F6-474F-9E93-391B6BFBE1C3}" name="Shift/Month" dataDxfId="429" totalsRowDxfId="428"/>
    <tableColumn id="4" xr3:uid="{823B068C-13D7-4E0C-97D2-DFA8C7C52502}" name="Monthly" totalsRowFunction="sum" dataDxfId="427" totalsRowDxfId="426">
      <calculatedColumnFormula>I239*J239*K239</calculatedColumnFormula>
    </tableColumn>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4D004A1-562F-469F-8051-3DA4FD8B50D7}" name="Table1787" displayName="Table1787" ref="N238:Q242" totalsRowCount="1" headerRowDxfId="425" totalsRowDxfId="422" headerRowBorderDxfId="424" tableBorderDxfId="423">
  <autoFilter ref="N238:Q241" xr:uid="{44D004A1-562F-469F-8051-3DA4FD8B50D7}"/>
  <tableColumns count="4">
    <tableColumn id="1" xr3:uid="{58B9EF88-1551-48A9-9591-A65CC2ED99E1}" name="Rate" dataDxfId="421" totalsRowDxfId="420" dataCellStyle="Comma" totalsRowCellStyle="Comma"/>
    <tableColumn id="2" xr3:uid="{2A2D3B2C-0120-4EE1-881A-C2389C25DA0C}" name="Qty" totalsRowDxfId="419"/>
    <tableColumn id="3" xr3:uid="{E8E9C9F4-19E5-4FB6-87EC-3B25EE7D4DB4}" name="Shift/Month" dataDxfId="418" totalsRowDxfId="417"/>
    <tableColumn id="4" xr3:uid="{792091BE-1C50-4BA5-9124-BD0535E92AB8}" name="Monthly" totalsRowFunction="sum" dataDxfId="416" totalsRowDxfId="415" dataCellStyle="Comma" totalsRowCellStyle="Comma">
      <calculatedColumnFormula>N239*O239*P239</calculatedColumnFormula>
    </tableColumn>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2AF84F38-EBE7-4E0B-ABF3-919035A11481}" name="Table132291" displayName="Table132291" ref="B246:B253" totalsRowShown="0" headerRowDxfId="414" dataDxfId="412" headerRowBorderDxfId="413" tableBorderDxfId="411" dataCellStyle="Comma">
  <autoFilter ref="B246:B253" xr:uid="{2AF84F38-EBE7-4E0B-ABF3-919035A11481}"/>
  <tableColumns count="1">
    <tableColumn id="1" xr3:uid="{016ED436-574F-44A9-8873-9D73819FCD29}" name="  landscape Manpower " dataDxfId="410" dataCellStyle="Comma"/>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8B57B0C-325A-440D-B8D4-55CE0375B313}" name="Table2292" displayName="Table2292" ref="B255:B259" totalsRowShown="0" headerRowDxfId="409" headerRowBorderDxfId="408" tableBorderDxfId="407">
  <autoFilter ref="B255:B259" xr:uid="{28B57B0C-325A-440D-B8D4-55CE0375B313}"/>
  <tableColumns count="1">
    <tableColumn id="1" xr3:uid="{DED3A2CC-57A8-45AC-9F5D-F629DC25FD4D}" name="landscape Tools&amp;Consumabls&amp;uniform"/>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38099C84-EB5D-4A0C-9174-DED67ACF84D8}" name="Table2393" displayName="Table2393" ref="D255:G259" totalsRowCount="1" headerRowDxfId="406" totalsRowDxfId="404" tableBorderDxfId="405">
  <autoFilter ref="D255:G258" xr:uid="{38099C84-EB5D-4A0C-9174-DED67ACF84D8}"/>
  <tableColumns count="4">
    <tableColumn id="1" xr3:uid="{01B01F8D-A0E1-412B-A44B-3FA5C48150C7}" name="Rate" dataDxfId="403" totalsRowDxfId="402" dataCellStyle="Comma"/>
    <tableColumn id="2" xr3:uid="{40ACAF94-40EB-4F90-AC51-00D6BC2AB430}" name="Qty" dataDxfId="401" totalsRowDxfId="400"/>
    <tableColumn id="3" xr3:uid="{E7703731-727A-44F8-935B-3038BB16ABE0}" name="." totalsRowFunction="custom" dataDxfId="399" totalsRowDxfId="398">
      <totalsRowFormula>Table2393[[#Totals],[Monthly]]/G244</totalsRowFormula>
    </tableColumn>
    <tableColumn id="4" xr3:uid="{87A83207-5088-498F-A514-CB4895F3360A}" name="Monthly" totalsRowFunction="sum" dataDxfId="397" totalsRowDxfId="396">
      <calculatedColumnFormula>D256*E256</calculatedColumnFormula>
    </tableColumn>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E24B7857-3F36-4B66-A52C-9876B6258B28}" name="Table2494" displayName="Table2494" ref="I255:L259" totalsRowCount="1" headerRowDxfId="395" totalsRowDxfId="393" tableBorderDxfId="394" headerRowCellStyle="Comma">
  <autoFilter ref="I255:L258" xr:uid="{E24B7857-3F36-4B66-A52C-9876B6258B28}"/>
  <tableColumns count="4">
    <tableColumn id="1" xr3:uid="{06611AD4-B850-41C4-B3D4-6A7FE12E23E8}" name="Rate" dataDxfId="392" totalsRowDxfId="391" dataCellStyle="Comma">
      <calculatedColumnFormula>Table2393[[#This Row],[Rate]]</calculatedColumnFormula>
    </tableColumn>
    <tableColumn id="2" xr3:uid="{B9CFB806-4E4F-45FA-88C1-FE5324639D14}" name="Qty" dataDxfId="390" totalsRowDxfId="389"/>
    <tableColumn id="3" xr3:uid="{2D632C82-1601-4AD0-9E12-53260C7760F0}" name="." totalsRowFunction="custom" dataDxfId="388" totalsRowDxfId="387">
      <totalsRowFormula>Table2494[[#Totals],[Monthly]]/L244</totalsRowFormula>
    </tableColumn>
    <tableColumn id="4" xr3:uid="{4742C459-B115-499C-925E-6DE6FE279761}" name="Monthly" totalsRowFunction="sum" dataDxfId="386" totalsRowDxfId="385">
      <calculatedColumnFormula>I256*J256</calculatedColumnFormula>
    </tableColumn>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B7369459-3D57-4ED2-B0EC-B67C837F76B3}" name="Table2595" displayName="Table2595" ref="N255:Q259" totalsRowCount="1" headerRowDxfId="384" totalsRowDxfId="382" tableBorderDxfId="383">
  <autoFilter ref="N255:Q258" xr:uid="{B7369459-3D57-4ED2-B0EC-B67C837F76B3}"/>
  <tableColumns count="4">
    <tableColumn id="1" xr3:uid="{3C1A7BDF-8B9D-4AEE-B294-59E8E28FD235}" name="Rate" dataDxfId="381" totalsRowDxfId="380" dataCellStyle="Comma">
      <calculatedColumnFormula>Table2393[[#This Row],[Rate]]</calculatedColumnFormula>
    </tableColumn>
    <tableColumn id="2" xr3:uid="{07CE059B-37D2-4F7F-B185-A8DCAB29BB1E}" name="Qty" dataDxfId="379" totalsRowDxfId="378"/>
    <tableColumn id="3" xr3:uid="{3ADA5E37-D956-4582-9A68-35CEAA98ECF7}" name="." totalsRowFunction="custom" dataDxfId="377" totalsRowDxfId="376">
      <totalsRowFormula>Table2595[[#Totals],[Monthly]]/Q244</totalsRowFormula>
    </tableColumn>
    <tableColumn id="4" xr3:uid="{437DEBE9-E22F-4746-B254-4692FB9953FB}" name="Monthly" totalsRowFunction="sum" dataDxfId="375" totalsRowDxfId="374" dataCellStyle="Comma" totalsRowCellStyle="Comma">
      <calculatedColumnFormula>N256*O256</calculatedColumnFormula>
    </tableColumn>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740FD344-B988-49BC-8A1D-8C4B203AAEC8}" name="Table2696" displayName="Table2696" ref="B261:B267" totalsRowShown="0" headerRowDxfId="373" dataDxfId="371" headerRowBorderDxfId="372" tableBorderDxfId="370" dataCellStyle="Comma">
  <autoFilter ref="B261:B267" xr:uid="{740FD344-B988-49BC-8A1D-8C4B203AAEC8}"/>
  <tableColumns count="1">
    <tableColumn id="1" xr3:uid="{0CCFC957-839C-4C84-8340-FCD8B5697426}" name=" ICT &amp; Others" dataDxfId="369" dataCellStyle="Comma"/>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75DF5AA-81A6-433D-B90A-AD67C5C33D69}" name="Table2897" displayName="Table2897" ref="B269:B273" totalsRowShown="0" headerRowDxfId="368" dataDxfId="366" headerRowBorderDxfId="367" tableBorderDxfId="365" dataCellStyle="Comma">
  <autoFilter ref="B269:B273" xr:uid="{075DF5AA-81A6-433D-B90A-AD67C5C33D69}"/>
  <tableColumns count="1">
    <tableColumn id="1" xr3:uid="{85864D5A-38B2-47C4-94F5-DB22074B7089}" name=" Accoumedation" dataDxfId="364" dataCellStyle="Comma"/>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9877DFBA-1DD7-4160-A2E1-18BDCB3A0E5D}" name="Table2998" displayName="Table2998" ref="D269:G273" totalsRowCount="1" headerRowDxfId="363" dataDxfId="361" headerRowBorderDxfId="362" tableBorderDxfId="360" dataCellStyle="Comma">
  <autoFilter ref="D269:G272" xr:uid="{9877DFBA-1DD7-4160-A2E1-18BDCB3A0E5D}"/>
  <tableColumns count="4">
    <tableColumn id="1" xr3:uid="{9990A8C0-B50C-4C35-9D28-C01904559F0E}" name="Rate" dataDxfId="359" totalsRowDxfId="358" dataCellStyle="Comma"/>
    <tableColumn id="2" xr3:uid="{6BE40098-8E00-4187-8D23-3FD69E841A31}" name="Qty" dataDxfId="357" totalsRowDxfId="356" dataCellStyle="Comma"/>
    <tableColumn id="3" xr3:uid="{B1BA92E1-13D9-47F4-B7FA-71236748B1AB}" name="." totalsRowFunction="custom" dataDxfId="355" totalsRowDxfId="354" dataCellStyle="Comma" totalsRowCellStyle="Percent">
      <totalsRowFormula>Table2998[[#Totals],[Monthly]]/G244</totalsRowFormula>
    </tableColumn>
    <tableColumn id="4" xr3:uid="{F2CAD569-C158-4FB1-9AB5-BBDB01276C1C}" name="Monthly" totalsRowFunction="sum" dataDxfId="353" totalsRowDxfId="352" dataCellStyle="Comma" totalsRowCellStyle="Comma">
      <calculatedColumnFormula>Table2998[[#This Row],[Rate]]*Table2998[[#This Row],[Qty]]</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ECD3A6A-BCE5-4C2B-8D2D-1543D4FBE456}" name="Table293199" displayName="Table293199" ref="I269:L273" totalsRowCount="1" headerRowDxfId="351" dataDxfId="349" headerRowBorderDxfId="350" tableBorderDxfId="348" dataCellStyle="Comma">
  <autoFilter ref="I269:L272" xr:uid="{2ECD3A6A-BCE5-4C2B-8D2D-1543D4FBE456}"/>
  <tableColumns count="4">
    <tableColumn id="1" xr3:uid="{2D5C8F4E-EE03-4FB1-83D6-A16BC5A3D468}" name="Rate" dataDxfId="347" totalsRowDxfId="346" dataCellStyle="Comma">
      <calculatedColumnFormula>Table2998[[#This Row],[Rate]]</calculatedColumnFormula>
    </tableColumn>
    <tableColumn id="2" xr3:uid="{2A5349B6-6402-40EA-A3D0-B5F9AB0F7014}" name="Qty" dataDxfId="345" totalsRowDxfId="344" dataCellStyle="Comma"/>
    <tableColumn id="3" xr3:uid="{9046625D-9FCE-4A83-B183-0BCDBD63C051}" name="." totalsRowFunction="custom" dataDxfId="343" totalsRowDxfId="342" dataCellStyle="Comma">
      <totalsRowFormula>Table293199[[#Totals],[Monthly]]/L244</totalsRowFormula>
    </tableColumn>
    <tableColumn id="4" xr3:uid="{05FABF85-5BA3-413B-B7B1-B01138A65249}" name="Monthly" totalsRowFunction="sum" dataDxfId="341" totalsRowDxfId="340" dataCellStyle="Comma">
      <calculatedColumnFormula>Table293199[[#This Row],[Rate]]*Table293199[[#This Row],[Qty]]</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B60B73-2A00-4454-A1CC-68961A4F8DFE}" name="Table2932100" displayName="Table2932100" ref="N269:Q273" totalsRowCount="1" headerRowDxfId="339" dataDxfId="337" headerRowBorderDxfId="338" tableBorderDxfId="336" dataCellStyle="Comma">
  <autoFilter ref="N269:Q272" xr:uid="{77B60B73-2A00-4454-A1CC-68961A4F8DFE}"/>
  <tableColumns count="4">
    <tableColumn id="1" xr3:uid="{84EA2C1F-4766-48E9-959B-FF22058792A6}" name="Rate" dataDxfId="335" totalsRowDxfId="334" dataCellStyle="Comma">
      <calculatedColumnFormula>Table2998[[#This Row],[Rate]]</calculatedColumnFormula>
    </tableColumn>
    <tableColumn id="2" xr3:uid="{78B826D2-DAC3-4F47-8B1F-A8D0BF178BAC}" name="Qty" dataDxfId="333" totalsRowDxfId="332" dataCellStyle="Comma"/>
    <tableColumn id="3" xr3:uid="{622D5E02-21BD-4713-8B20-75F710A87249}" name="." totalsRowFunction="custom" dataDxfId="331" totalsRowDxfId="330" dataCellStyle="Comma">
      <totalsRowFormula>Table2932100[[#Totals],[Monthly]]/Q244</totalsRowFormula>
    </tableColumn>
    <tableColumn id="4" xr3:uid="{01835885-7E59-4AC7-8350-6F6DDC74A66E}" name="Monthly" totalsRowFunction="sum" dataDxfId="329" totalsRowDxfId="328" dataCellStyle="Comma" totalsRowCellStyle="Comma">
      <calculatedColumnFormula>Table2932100[[#This Row],[Rate]]*Table2932100[[#This Row],[Qty]]</calculatedColumnFormula>
    </tableColumn>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86D84EEC-781D-4B03-A885-F713DCC78D8B}" name="Table2833101" displayName="Table2833101" ref="B275:B281" totalsRowShown="0" headerRowDxfId="327" dataDxfId="325" headerRowBorderDxfId="326" tableBorderDxfId="324" dataCellStyle="Comma">
  <autoFilter ref="B275:B281" xr:uid="{86D84EEC-781D-4B03-A885-F713DCC78D8B}"/>
  <tableColumns count="1">
    <tableColumn id="1" xr3:uid="{A08F80FA-066E-45DC-BA67-D742A3885D90}" name="Transportation" dataDxfId="323" dataCellStyle="Comma"/>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8A0601BB-77C0-43B7-AAAC-6D9C293AE9AB}" name="Table2934102" displayName="Table2934102" ref="D275:G281" totalsRowCount="1" headerRowDxfId="322" dataDxfId="320" headerRowBorderDxfId="321" tableBorderDxfId="319" dataCellStyle="Comma">
  <autoFilter ref="D275:G280" xr:uid="{8A0601BB-77C0-43B7-AAAC-6D9C293AE9AB}"/>
  <tableColumns count="4">
    <tableColumn id="1" xr3:uid="{8F68DEE6-6DEC-4012-9EFD-6FD1A90E8385}" name="Rate" dataDxfId="318" totalsRowDxfId="317" dataCellStyle="Comma"/>
    <tableColumn id="2" xr3:uid="{BC97EE7E-2EDC-4EED-A280-41E5E28C0BC9}" name="Qty" dataDxfId="316" totalsRowDxfId="315" dataCellStyle="Comma"/>
    <tableColumn id="3" xr3:uid="{494026FE-0A58-4327-9D12-B897C4B8C262}" name="." totalsRowFunction="custom" dataDxfId="314" totalsRowDxfId="313" dataCellStyle="Comma" totalsRowCellStyle="Percent">
      <totalsRowFormula>Table2934102[[#Totals],[Monthly]]/G244</totalsRowFormula>
    </tableColumn>
    <tableColumn id="4" xr3:uid="{E57EF8FD-CB29-4E8E-BDC9-68E8EF0C9848}" name="Monthly" totalsRowFunction="sum" dataDxfId="312" totalsRowDxfId="311" dataCellStyle="Comma">
      <calculatedColumnFormula>Table2934102[[#This Row],[Rate]]*Table2934102[[#This Row],[Qty]]</calculatedColumnFormula>
    </tableColumn>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8BAC96F0-9A04-4C5D-8FC8-F48BD1470431}" name="Table293435103" displayName="Table293435103" ref="I275:L281" totalsRowCount="1" headerRowDxfId="310" dataDxfId="308" headerRowBorderDxfId="309" tableBorderDxfId="307" dataCellStyle="Comma">
  <autoFilter ref="I275:L280" xr:uid="{8BAC96F0-9A04-4C5D-8FC8-F48BD1470431}"/>
  <tableColumns count="4">
    <tableColumn id="1" xr3:uid="{230C1B43-09A6-4008-8DC6-43DF6F445184}" name="Rate" dataDxfId="306" totalsRowDxfId="305" dataCellStyle="Comma">
      <calculatedColumnFormula>Table2934102[[#This Row],[Rate]]</calculatedColumnFormula>
    </tableColumn>
    <tableColumn id="2" xr3:uid="{FE3D2246-7F37-4FFD-A3D2-A278BD326EEB}" name="Qty" dataDxfId="304" totalsRowDxfId="303" dataCellStyle="Comma"/>
    <tableColumn id="3" xr3:uid="{BF5ED62B-A699-4559-A826-8575DFE1A281}" name="." totalsRowFunction="custom" dataDxfId="302" totalsRowDxfId="301" dataCellStyle="Comma">
      <totalsRowFormula>Table293435103[[#Totals],[Monthly]]/L244</totalsRowFormula>
    </tableColumn>
    <tableColumn id="4" xr3:uid="{AD3D41B4-E5AB-426D-ACA0-61C01D7B2619}" name="Monthly" totalsRowFunction="sum" dataDxfId="300" totalsRowDxfId="299" dataCellStyle="Comma">
      <calculatedColumnFormula>Table293435103[[#This Row],[Rate]]*Table293435103[[#This Row],[Qty]]</calculatedColumnFormula>
    </tableColumn>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FD0F423D-A30F-4DD6-A149-F415A4EB1F97}" name="Table293436104" displayName="Table293436104" ref="N275:Q281" totalsRowCount="1" headerRowDxfId="298" dataDxfId="296" headerRowBorderDxfId="297" tableBorderDxfId="295" dataCellStyle="Comma">
  <autoFilter ref="N275:Q280" xr:uid="{FD0F423D-A30F-4DD6-A149-F415A4EB1F97}"/>
  <tableColumns count="4">
    <tableColumn id="1" xr3:uid="{B01BFE89-AD59-4BD6-B63F-C43B5712D310}" name="Rate" dataDxfId="294" totalsRowDxfId="293" dataCellStyle="Comma">
      <calculatedColumnFormula>Table2934102[[#This Row],[Rate]]</calculatedColumnFormula>
    </tableColumn>
    <tableColumn id="2" xr3:uid="{FAC2C94A-C053-4C69-9A5D-784BCB41ECB3}" name="Qty" dataDxfId="292" totalsRowDxfId="291" dataCellStyle="Comma"/>
    <tableColumn id="3" xr3:uid="{9374F9A6-DEC0-4D85-BF30-F49A25AE86B5}" name="." totalsRowFunction="custom" dataDxfId="290" totalsRowDxfId="289" dataCellStyle="Comma">
      <totalsRowFormula>Table293436104[[#Totals],[Monthly]]/Q244</totalsRowFormula>
    </tableColumn>
    <tableColumn id="4" xr3:uid="{8B60EC10-BBF2-4D26-BC0C-8C8CE02447A5}" name="Monthly" totalsRowFunction="sum" dataDxfId="288" totalsRowDxfId="287" dataCellStyle="Comma" totalsRowCellStyle="Comma">
      <calculatedColumnFormula>Table293436104[[#This Row],[Rate]]*Table293436104[[#This Row],[Qty]]</calculatedColumnFormula>
    </tableColumn>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71FA1C10-3164-41AD-8C3F-3FE55238465B}" name="Table151180105" displayName="Table151180105" ref="D296:G302" totalsRowCount="1" headerRowDxfId="286" dataDxfId="284" totalsRowDxfId="282" headerRowBorderDxfId="285" tableBorderDxfId="283">
  <autoFilter ref="D296:G301" xr:uid="{71FA1C10-3164-41AD-8C3F-3FE55238465B}"/>
  <tableColumns count="4">
    <tableColumn id="1" xr3:uid="{FB1CF2A8-4027-44A5-9255-89055D9E070D}" name="Rate" totalsRowFunction="custom" dataDxfId="281" totalsRowDxfId="280" dataCellStyle="Comma">
      <totalsRowFormula>Table151180105[[#Totals],[Monthly]]/Table151180105[[#Totals],[Qty]]</totalsRowFormula>
    </tableColumn>
    <tableColumn id="2" xr3:uid="{FFEBACBF-E124-4910-B0D2-1F485C9E8058}" name="Qty" totalsRowFunction="sum" dataDxfId="279" totalsRowDxfId="278"/>
    <tableColumn id="3" xr3:uid="{631CBCCC-897B-4688-B28B-491474AAAB3A}" name="Shift/Month" dataDxfId="277" totalsRowDxfId="276"/>
    <tableColumn id="4" xr3:uid="{CAD68637-081B-4A09-94D1-CD08C2B17C4B}" name="Monthly" totalsRowFunction="sum" dataDxfId="275" totalsRowDxfId="274">
      <calculatedColumnFormula>F297*E297*D297</calculatedColumnFormula>
    </tableColumn>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3FEED431-ADF3-4762-A370-394EA344520E}" name="Table261281106" displayName="Table261281106" ref="I296:L302" totalsRowCount="1" headerRowDxfId="273" dataDxfId="271" totalsRowDxfId="269" headerRowBorderDxfId="272" tableBorderDxfId="270">
  <autoFilter ref="I296:L301" xr:uid="{3FEED431-ADF3-4762-A370-394EA344520E}"/>
  <tableColumns count="4">
    <tableColumn id="1" xr3:uid="{7B9D1F34-EA73-4D03-912F-76EA442B92D8}" name="Rate" totalsRowFunction="custom" dataDxfId="268" totalsRowDxfId="267" dataCellStyle="Comma">
      <totalsRowFormula>Table261281106[[#Totals],[Monthly]]/Table261281106[[#Totals],[Qty]]</totalsRowFormula>
    </tableColumn>
    <tableColumn id="2" xr3:uid="{B03DE26C-91AD-4D85-987E-AC1BC148F8CA}" name="Qty" totalsRowFunction="sum" dataDxfId="266" totalsRowDxfId="265"/>
    <tableColumn id="3" xr3:uid="{E0BE930B-D2F2-4C0F-B912-D96774A11AEF}" name="Shift/Month" dataDxfId="264" totalsRowDxfId="263"/>
    <tableColumn id="4" xr3:uid="{A925310F-B649-4502-95D2-6D2F966E0DF5}" name="Monthly" totalsRowFunction="sum" dataDxfId="262" totalsRowDxfId="261">
      <calculatedColumnFormula>Table261281106[[#This Row],[Shift/Month]]*Table261281106[[#This Row],[Qty]]*Table261281106[[#This Row],[Rate]]</calculatedColumnFormula>
    </tableColumn>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DB024AAC-435E-4BB1-8F5F-3983748302C6}" name="Table371382107" displayName="Table371382107" ref="N296:Q302" totalsRowCount="1" headerRowDxfId="260" dataDxfId="258" totalsRowDxfId="256" headerRowBorderDxfId="259" tableBorderDxfId="257">
  <autoFilter ref="N296:Q301" xr:uid="{DB024AAC-435E-4BB1-8F5F-3983748302C6}"/>
  <tableColumns count="4">
    <tableColumn id="1" xr3:uid="{6D8E59F3-5BAA-4910-B5BA-0074E987F6C1}" name="Rate" totalsRowFunction="custom" dataDxfId="255" totalsRowDxfId="254" dataCellStyle="Comma">
      <totalsRowFormula>Table371382107[[#Totals],[Monthly]]/Table371382107[[#Totals],[Qty]]</totalsRowFormula>
    </tableColumn>
    <tableColumn id="2" xr3:uid="{F6B872D8-26CD-4F36-BBD4-842B61019B93}" name="Qty" totalsRowFunction="sum" dataDxfId="253" totalsRowDxfId="252"/>
    <tableColumn id="3" xr3:uid="{25D0EDC7-9B91-4CA9-A11C-BF2859502638}" name="Shift/Month" dataDxfId="251" totalsRowDxfId="250"/>
    <tableColumn id="4" xr3:uid="{42BBEE71-3B24-41C4-AABC-6BAADD962DC6}" name="Monthly" totalsRowFunction="sum" dataDxfId="249" totalsRowDxfId="248" dataCellStyle="Comma">
      <calculatedColumnFormula>P297*O297*N297</calculatedColumnFormula>
    </tableColumn>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9FFDFE3B-0DC8-4D25-B389-4F89A77A261B}" name="Table1383108" displayName="Table1383108" ref="B296:B302" totalsRowShown="0" headerRowDxfId="247" dataDxfId="245" headerRowBorderDxfId="246" tableBorderDxfId="244" dataCellStyle="Comma">
  <autoFilter ref="B296:B302" xr:uid="{9FFDFE3B-0DC8-4D25-B389-4F89A77A261B}"/>
  <tableColumns count="1">
    <tableColumn id="1" xr3:uid="{38680369-8262-42C4-B9ED-4F3C458DF721}" name="  Pest Control Manpower " dataDxfId="243" dataCellStyle="Comma"/>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56CD51DF-A7B2-488B-A5C2-14485544E284}" name="Table1484109" displayName="Table1484109" ref="B304:B308" totalsRowShown="0" headerRowDxfId="242" dataDxfId="240" headerRowBorderDxfId="241" tableBorderDxfId="239" dataCellStyle="Comma">
  <autoFilter ref="B304:B308" xr:uid="{56CD51DF-A7B2-488B-A5C2-14485544E284}"/>
  <tableColumns count="1">
    <tableColumn id="1" xr3:uid="{76363EC8-DE76-46A0-8590-86BE626302F7}" name="Transportation" dataDxfId="238" dataCellStyle="Comma"/>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ADAB9C-DB34-4F99-B185-ADA9894BD059}" name="Table1585110" displayName="Table1585110" ref="D304:G308" totalsRowCount="1" headerRowDxfId="237" headerRowBorderDxfId="236" tableBorderDxfId="235">
  <autoFilter ref="D304:G307" xr:uid="{00ADAB9C-DB34-4F99-B185-ADA9894BD059}"/>
  <tableColumns count="4">
    <tableColumn id="1" xr3:uid="{AE06E488-E791-4AA3-8C7E-2170B30FA71E}" name="Rate" dataDxfId="234" totalsRowDxfId="233" dataCellStyle="Comma" totalsRowCellStyle="Comma"/>
    <tableColumn id="2" xr3:uid="{DAABB9AA-5AFF-40E3-9DBD-606AD68E4A8F}" name="Qty" totalsRowDxfId="232"/>
    <tableColumn id="3" xr3:uid="{83D96C4C-229D-460A-8EAC-4853C7556BE4}" name="Shift/Month" dataDxfId="231" totalsRowDxfId="230"/>
    <tableColumn id="4" xr3:uid="{168C9B55-5E2E-49D1-A521-610B3661AB61}" name="Monthly" totalsRowFunction="sum" totalsRowDxfId="229">
      <calculatedColumnFormula>D305*E305*F305</calculatedColumnFormula>
    </tableColumn>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664BA21-764F-487E-B96A-095CBE46C960}" name="Table1686111" displayName="Table1686111" ref="I304:L308" totalsRowCount="1" headerRowDxfId="228" totalsRowDxfId="225" headerRowBorderDxfId="227" tableBorderDxfId="226">
  <autoFilter ref="I304:L307" xr:uid="{3664BA21-764F-487E-B96A-095CBE46C960}"/>
  <tableColumns count="4">
    <tableColumn id="1" xr3:uid="{D0E5F799-5171-43FD-95E3-C1B698C17936}" name="Rate" dataDxfId="224" totalsRowDxfId="223" dataCellStyle="Comma" totalsRowCellStyle="Comma"/>
    <tableColumn id="2" xr3:uid="{89CFCA1A-B57D-4297-812D-1F1D991B99FC}" name="Qty" dataDxfId="222" totalsRowDxfId="221"/>
    <tableColumn id="3" xr3:uid="{80FC3300-A88B-46D5-8767-21A309A0FFA5}" name="Shift/Month" dataDxfId="220" totalsRowDxfId="219"/>
    <tableColumn id="4" xr3:uid="{94C7B3E7-0129-478F-BFA4-8DDEBE4E139E}" name="Monthly" totalsRowFunction="sum" dataDxfId="218" totalsRowDxfId="217">
      <calculatedColumnFormula>I305*J305*K305</calculatedColumnFormula>
    </tableColumn>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95FCEA2-4F24-435D-BF9A-47309D4AEF8A}" name="Table1787112" displayName="Table1787112" ref="N304:Q308" totalsRowCount="1" headerRowDxfId="216" totalsRowDxfId="213" headerRowBorderDxfId="215" tableBorderDxfId="214">
  <autoFilter ref="N304:Q307" xr:uid="{095FCEA2-4F24-435D-BF9A-47309D4AEF8A}"/>
  <tableColumns count="4">
    <tableColumn id="1" xr3:uid="{4D7369F2-7A8E-4287-A152-0A9DB3EDCD59}" name="Rate" dataDxfId="212" totalsRowDxfId="211" dataCellStyle="Comma" totalsRowCellStyle="Comma"/>
    <tableColumn id="2" xr3:uid="{5A23787B-2FB7-4476-BC76-7E460F4C2300}" name="Qty" totalsRowDxfId="210"/>
    <tableColumn id="3" xr3:uid="{B7FEC3A9-8EA1-4F2A-A23C-95846718BEAA}" name="Shift/Month" dataDxfId="209" totalsRowDxfId="208"/>
    <tableColumn id="4" xr3:uid="{DA2BA4DC-96C7-40B2-9DD4-A1DBA5B31967}" name="Monthly" totalsRowFunction="sum" dataDxfId="207" totalsRowDxfId="206" dataCellStyle="Comma" totalsRowCellStyle="Comma">
      <calculatedColumnFormula>N305*O305*P305</calculatedColumnFormula>
    </tableColumn>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F4FCEF6-2EE8-4E55-BA28-C3AEF9F16562}" name="Table15111988113" displayName="Table15111988113" ref="D312:G318" totalsRowCount="1" headerRowDxfId="205" dataDxfId="203" totalsRowDxfId="201" headerRowBorderDxfId="204" tableBorderDxfId="202">
  <autoFilter ref="D312:G317" xr:uid="{0F4FCEF6-2EE8-4E55-BA28-C3AEF9F16562}"/>
  <tableColumns count="4">
    <tableColumn id="1" xr3:uid="{5FBD2985-095A-4D4D-95C7-FA890A6A6231}" name="Rate" totalsRowFunction="custom" dataDxfId="200" totalsRowDxfId="11" dataCellStyle="Comma">
      <totalsRowFormula>Table15111988113[[#Totals],[Monthly]]/Table15111988113[[#Totals],[Qty]]</totalsRowFormula>
    </tableColumn>
    <tableColumn id="2" xr3:uid="{AD5FCC48-D337-447B-BCB2-88FF28873A79}" name="Qty" totalsRowFunction="sum" dataDxfId="199" totalsRowDxfId="10"/>
    <tableColumn id="3" xr3:uid="{FD67EF9B-E0BD-42F9-888C-60A2EB71E322}" name="Shift/Month" totalsRowFunction="custom" dataDxfId="198" totalsRowDxfId="9">
      <totalsRowFormula>Table15111988113[[#Totals],[Monthly]]/G310</totalsRowFormula>
    </tableColumn>
    <tableColumn id="4" xr3:uid="{785B833B-FD33-48BF-9724-6946A7F26A3E}" name="Monthly" totalsRowFunction="sum" dataDxfId="197" totalsRowDxfId="8">
      <calculatedColumnFormula>Table15111988113[[#This Row],[Rate]]*Table15111988113[[#This Row],[Qty]]</calculatedColumnFormula>
    </tableColumn>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5DD0F922-60AA-46FC-AA3A-0E6F4BA2B9E3}" name="Table26122089114" displayName="Table26122089114" ref="I312:L318" totalsRowCount="1" headerRowDxfId="196" dataDxfId="194" totalsRowDxfId="192" headerRowBorderDxfId="195" tableBorderDxfId="193">
  <autoFilter ref="I312:L317" xr:uid="{5DD0F922-60AA-46FC-AA3A-0E6F4BA2B9E3}"/>
  <tableColumns count="4">
    <tableColumn id="1" xr3:uid="{8DC81F80-EBEE-4347-9D0A-EE2D2E2229B0}" name="Rate" totalsRowFunction="custom" dataDxfId="191" totalsRowDxfId="7" dataCellStyle="Comma">
      <totalsRowFormula>Table26122089114[[#Totals],[Monthly]]/Table26122089114[[#Totals],[Qty]]</totalsRowFormula>
    </tableColumn>
    <tableColumn id="2" xr3:uid="{224AF3BC-F405-4D9C-BD31-C7F467DDF83A}" name="Qty" totalsRowFunction="sum" dataDxfId="190" totalsRowDxfId="6"/>
    <tableColumn id="3" xr3:uid="{05001B4C-DA9E-4060-8FB1-2EAA12D674CC}" name="Shift/Month" totalsRowFunction="custom" dataDxfId="189" totalsRowDxfId="5">
      <totalsRowFormula>Table26122089114[[#Totals],[Monthly]]/L310</totalsRowFormula>
    </tableColumn>
    <tableColumn id="4" xr3:uid="{D3C1B719-4583-4360-BA12-039B870BC6C2}" name="Monthly" totalsRowFunction="sum" dataDxfId="188" totalsRowDxfId="4">
      <calculatedColumnFormula>Table26122089114[[#This Row],[Rate]]*Table26122089114[[#This Row],[Qty]]</calculatedColumnFormula>
    </tableColumn>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8BABBAF-4C45-4897-892C-85EA2325EAC8}" name="Table37132190115" displayName="Table37132190115" ref="N312:Q318" totalsRowCount="1" headerRowDxfId="187" dataDxfId="185" totalsRowDxfId="183" headerRowBorderDxfId="186" tableBorderDxfId="184">
  <autoFilter ref="N312:Q317" xr:uid="{F8BABBAF-4C45-4897-892C-85EA2325EAC8}"/>
  <tableColumns count="4">
    <tableColumn id="1" xr3:uid="{3218DF55-7C93-48A4-B92F-A973554B912E}" name="Rate" totalsRowFunction="custom" dataDxfId="182" totalsRowDxfId="3" dataCellStyle="Comma">
      <totalsRowFormula>Table37132190115[[#Totals],[Monthly]]/Table37132190115[[#Totals],[Qty]]</totalsRowFormula>
    </tableColumn>
    <tableColumn id="2" xr3:uid="{F4D88495-0D55-47A5-9BD7-2557FE1C861E}" name="Qty" totalsRowFunction="sum" dataDxfId="181" totalsRowDxfId="2"/>
    <tableColumn id="3" xr3:uid="{5DE12EFB-D859-4CF0-8EB8-68CAB67B54A9}" name="Shift/Month" totalsRowFunction="custom" dataDxfId="180" totalsRowDxfId="1">
      <totalsRowFormula>Table37132190115[[#Totals],[Monthly]]/Q310</totalsRowFormula>
    </tableColumn>
    <tableColumn id="4" xr3:uid="{2801531E-F4BD-4550-AF92-69F70ECA994F}" name="Monthly" totalsRowFunction="sum" dataDxfId="179" totalsRowDxfId="0" dataCellStyle="Comma">
      <calculatedColumnFormula>Table37132190115[[#This Row],[Rate]]*Table37132190115[[#This Row],[Qty]]</calculatedColumnFormula>
    </tableColumn>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111825C1-1D60-424F-9A1B-A6BA0AB815C3}" name="Table132291116" displayName="Table132291116" ref="B312:B318" totalsRowShown="0" headerRowDxfId="178" dataDxfId="176" headerRowBorderDxfId="177" tableBorderDxfId="175" dataCellStyle="Comma">
  <autoFilter ref="B312:B318" xr:uid="{111825C1-1D60-424F-9A1B-A6BA0AB815C3}"/>
  <tableColumns count="1">
    <tableColumn id="1" xr3:uid="{2F28175A-E20D-4FEA-906B-777201CF23A9}" name="  Pest Control Manpower " dataDxfId="174" dataCellStyle="Comma">
      <calculatedColumnFormula>B297</calculatedColumnFormula>
    </tableColumn>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A19A121-14CA-4993-AE7D-F0D8E696EDF4}" name="Table2292117" displayName="Table2292117" ref="B320:B324" totalsRowShown="0" headerRowDxfId="173" headerRowBorderDxfId="172" tableBorderDxfId="171">
  <autoFilter ref="B320:B324" xr:uid="{7A19A121-14CA-4993-AE7D-F0D8E696EDF4}"/>
  <tableColumns count="1">
    <tableColumn id="1" xr3:uid="{C9766977-6827-41A1-9DD7-7E82AFC8667D}" name="Pest Control Tools&amp;Consumabls&amp;uniform"/>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9AA3236-E974-4F96-AFCE-B5BD1B5453FB}" name="Table2393118" displayName="Table2393118" ref="D320:G324" totalsRowCount="1" headerRowDxfId="170" totalsRowDxfId="168" tableBorderDxfId="169">
  <autoFilter ref="D320:G323" xr:uid="{C9AA3236-E974-4F96-AFCE-B5BD1B5453FB}"/>
  <tableColumns count="4">
    <tableColumn id="1" xr3:uid="{011F199B-1722-432B-BB5E-B5D0F1759265}" name="Rate" dataDxfId="167" totalsRowDxfId="166" dataCellStyle="Comma"/>
    <tableColumn id="2" xr3:uid="{A3C81BD1-B4B1-4999-AEBA-0BD304757277}" name="Qty" dataDxfId="165" totalsRowDxfId="164"/>
    <tableColumn id="3" xr3:uid="{6D58ACE0-6998-4FB9-8197-A68742F3453A}" name="." totalsRowFunction="custom" dataDxfId="163" totalsRowDxfId="162">
      <totalsRowFormula>Table2393118[[#Totals],[Monthly]]/G310</totalsRowFormula>
    </tableColumn>
    <tableColumn id="4" xr3:uid="{D1108FEF-5EB2-449C-B82B-8EEE9615AD9D}" name="Monthly" totalsRowFunction="sum" dataDxfId="161" totalsRowDxfId="160">
      <calculatedColumnFormula>D321*E321</calculatedColumnFormula>
    </tableColumn>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EE45E35-DBA8-47B6-89BF-81B1A381F88F}" name="Table2494119" displayName="Table2494119" ref="I320:L324" totalsRowCount="1" headerRowDxfId="159" totalsRowDxfId="157" tableBorderDxfId="158" headerRowCellStyle="Comma">
  <autoFilter ref="I320:L323" xr:uid="{EEE45E35-DBA8-47B6-89BF-81B1A381F88F}"/>
  <tableColumns count="4">
    <tableColumn id="1" xr3:uid="{3AD7D62F-6CAB-45CA-9172-E5C49187FC7E}" name="Rate" dataDxfId="156" totalsRowDxfId="155" dataCellStyle="Comma"/>
    <tableColumn id="2" xr3:uid="{FB6941EF-338C-4CE1-9EEB-F9383D7B35C9}" name="Qty" dataDxfId="154" totalsRowDxfId="153"/>
    <tableColumn id="3" xr3:uid="{BD1DC5F9-742F-42F5-9AA6-9E7674968E16}" name="." totalsRowFunction="custom" dataDxfId="152" totalsRowDxfId="151">
      <totalsRowFormula>Table2494119[[#Totals],[Monthly]]/L310</totalsRowFormula>
    </tableColumn>
    <tableColumn id="4" xr3:uid="{5FAFEEF6-AE2F-46AA-948B-1ED893663603}" name="Monthly" totalsRowFunction="sum" dataDxfId="150" totalsRowDxfId="149">
      <calculatedColumnFormula>I321*J321</calculatedColumnFormula>
    </tableColumn>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240CAF5-5451-4A4D-9ABF-27B060A1E4FF}" name="Table2595120" displayName="Table2595120" ref="N320:Q324" totalsRowCount="1" headerRowDxfId="148" totalsRowDxfId="146" tableBorderDxfId="147">
  <autoFilter ref="N320:Q323" xr:uid="{3240CAF5-5451-4A4D-9ABF-27B060A1E4FF}"/>
  <tableColumns count="4">
    <tableColumn id="1" xr3:uid="{7C0F4B67-7858-4828-A1FF-87CE708232F5}" name="Rate" dataDxfId="145" totalsRowDxfId="144" dataCellStyle="Comma"/>
    <tableColumn id="2" xr3:uid="{96E8D7BC-85FE-4C56-954B-7C578719B52B}" name="Qty" dataDxfId="143" totalsRowDxfId="142"/>
    <tableColumn id="3" xr3:uid="{441B85FC-2A7C-4E50-9864-85DAFEE7519F}" name="." totalsRowFunction="custom" dataDxfId="141" totalsRowDxfId="140">
      <totalsRowFormula>Table2595120[[#Totals],[Monthly]]/Q310</totalsRowFormula>
    </tableColumn>
    <tableColumn id="4" xr3:uid="{45BA5FF4-36F0-41ED-B115-17EB46C90DF0}" name="Monthly" totalsRowFunction="sum" dataDxfId="139" totalsRowDxfId="138" dataCellStyle="Comma" totalsRowCellStyle="Comma">
      <calculatedColumnFormula>N321*O321</calculatedColumnFormula>
    </tableColumn>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2B3A8344-CE11-4E40-92E1-4AB0894CF7D5}" name="Table2696121" displayName="Table2696121" ref="B326:B332" totalsRowShown="0" headerRowDxfId="137" dataDxfId="135" headerRowBorderDxfId="136" tableBorderDxfId="134" dataCellStyle="Comma">
  <autoFilter ref="B326:B332" xr:uid="{2B3A8344-CE11-4E40-92E1-4AB0894CF7D5}"/>
  <tableColumns count="1">
    <tableColumn id="1" xr3:uid="{C3BF8CE7-6B9D-4010-A365-75986A1C28E0}" name=" ICT &amp; Others" dataDxfId="133" dataCellStyle="Comma"/>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F4A72BB8-8E96-4852-B554-F31D6EF8A8D5}" name="Table2897122" displayName="Table2897122" ref="B334:B338" totalsRowShown="0" headerRowDxfId="132" dataDxfId="130" headerRowBorderDxfId="131" tableBorderDxfId="129" dataCellStyle="Comma">
  <autoFilter ref="B334:B338" xr:uid="{F4A72BB8-8E96-4852-B554-F31D6EF8A8D5}"/>
  <tableColumns count="1">
    <tableColumn id="1" xr3:uid="{7505BED6-5F28-4644-BC16-7DFA00464579}" name=" Accoumedation" dataDxfId="128" dataCellStyle="Comma"/>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99B0C4A8-5A0E-4ACD-885B-7E1AFDD25FEC}" name="Table2998123" displayName="Table2998123" ref="D334:G338" totalsRowCount="1" headerRowDxfId="127" dataDxfId="125" headerRowBorderDxfId="126" tableBorderDxfId="124" dataCellStyle="Comma">
  <autoFilter ref="D334:G337" xr:uid="{99B0C4A8-5A0E-4ACD-885B-7E1AFDD25FEC}"/>
  <tableColumns count="4">
    <tableColumn id="1" xr3:uid="{CE293C46-6C28-4AA5-ACAE-CEA506B87C16}" name="Rate" dataDxfId="123" totalsRowDxfId="122" dataCellStyle="Comma"/>
    <tableColumn id="2" xr3:uid="{DC114350-F365-422B-B075-17712C5D0C32}" name="Qty" dataDxfId="121" totalsRowDxfId="120" dataCellStyle="Comma"/>
    <tableColumn id="3" xr3:uid="{205F544F-848A-4F96-9141-2F6B8649890A}" name="." totalsRowFunction="custom" dataDxfId="119" totalsRowDxfId="118" dataCellStyle="Comma" totalsRowCellStyle="Percent">
      <totalsRowFormula>Table2998123[[#Totals],[Monthly]]/G310</totalsRowFormula>
    </tableColumn>
    <tableColumn id="4" xr3:uid="{35BBD5C5-3023-42E6-8564-3E218C5BD680}" name="Monthly" totalsRowFunction="sum" dataDxfId="117" totalsRowDxfId="116" dataCellStyle="Comma" totalsRowCellStyle="Comma">
      <calculatedColumnFormula>Table2998123[[#This Row],[Rate]]*Table2998123[[#This Row],[Qty]]</calculatedColumnFormula>
    </tableColumn>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E2FA1F9B-E631-44E8-812F-71C2981A973C}" name="Table293199124" displayName="Table293199124" ref="I334:L338" totalsRowCount="1" headerRowDxfId="115" dataDxfId="113" headerRowBorderDxfId="114" tableBorderDxfId="112" dataCellStyle="Comma">
  <autoFilter ref="I334:L337" xr:uid="{E2FA1F9B-E631-44E8-812F-71C2981A973C}"/>
  <tableColumns count="4">
    <tableColumn id="1" xr3:uid="{CAB1B5E0-CEB9-44B7-8C27-A6500E5626F1}" name="Rate" dataDxfId="111" totalsRowDxfId="110" dataCellStyle="Comma">
      <calculatedColumnFormula>Table2998123[[#This Row],[Rate]]</calculatedColumnFormula>
    </tableColumn>
    <tableColumn id="2" xr3:uid="{33A36D24-26B9-4737-A115-91006F262AB3}" name="Qty" dataDxfId="109" totalsRowDxfId="108" dataCellStyle="Comma"/>
    <tableColumn id="3" xr3:uid="{7598E580-E969-4A37-92E1-5AA66085415C}" name="." totalsRowFunction="custom" dataDxfId="107" totalsRowDxfId="106" dataCellStyle="Comma">
      <totalsRowFormula>Table293199124[[#Totals],[Monthly]]/L310</totalsRowFormula>
    </tableColumn>
    <tableColumn id="4" xr3:uid="{67196589-9CC6-45BA-AEDC-E7405752DB80}" name="Monthly" totalsRowFunction="sum" dataDxfId="105" totalsRowDxfId="104" dataCellStyle="Comma">
      <calculatedColumnFormula>Table293199124[[#This Row],[Rate]]*Table293199124[[#This Row],[Qty]]</calculatedColumnFormula>
    </tableColumn>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A7DFF4F3-D6DA-4548-9643-8630FF299B19}" name="Table2932100125" displayName="Table2932100125" ref="N334:Q338" totalsRowCount="1" headerRowDxfId="103" dataDxfId="101" headerRowBorderDxfId="102" tableBorderDxfId="100" dataCellStyle="Comma">
  <autoFilter ref="N334:Q337" xr:uid="{A7DFF4F3-D6DA-4548-9643-8630FF299B19}"/>
  <tableColumns count="4">
    <tableColumn id="1" xr3:uid="{B569E19F-6DB3-4BD5-A72F-B11A9CA9C383}" name="Rate" dataDxfId="99" totalsRowDxfId="98" dataCellStyle="Comma">
      <calculatedColumnFormula>Table2998[[#This Row],[Rate]]</calculatedColumnFormula>
    </tableColumn>
    <tableColumn id="2" xr3:uid="{96940AC5-15BE-465B-B30B-CEE881CF0F50}" name="Qty" dataDxfId="97" totalsRowDxfId="96" dataCellStyle="Comma"/>
    <tableColumn id="3" xr3:uid="{6AA6166C-CAB7-4BCD-8043-3AC5218E1F8E}" name="." totalsRowFunction="custom" dataDxfId="95" totalsRowDxfId="94" dataCellStyle="Comma">
      <totalsRowFormula>Table2932100125[[#Totals],[Monthly]]/Q310</totalsRowFormula>
    </tableColumn>
    <tableColumn id="4" xr3:uid="{D8687EEA-FE5A-4F07-92B1-2EAEFBF645E8}" name="Monthly" totalsRowFunction="sum" dataDxfId="93" totalsRowDxfId="92" dataCellStyle="Comma" totalsRowCellStyle="Comma">
      <calculatedColumnFormula>Table2932100125[[#This Row],[Rate]]*Table2932100125[[#This Row],[Qty]]</calculatedColumnFormula>
    </tableColumn>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86D66E30-7143-4C15-AB2F-6E6A80DC6AC7}" name="Table2833101126" displayName="Table2833101126" ref="B340:B346" totalsRowShown="0" headerRowDxfId="91" dataDxfId="89" headerRowBorderDxfId="90" tableBorderDxfId="88" dataCellStyle="Comma">
  <autoFilter ref="B340:B346" xr:uid="{86D66E30-7143-4C15-AB2F-6E6A80DC6AC7}"/>
  <tableColumns count="1">
    <tableColumn id="1" xr3:uid="{21BCD2DC-E909-41CB-80CA-D85AE252657D}" name="Transportation" dataDxfId="87" dataCellStyle="Comma"/>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D0BA1BA-1EDC-4FF5-9094-A14C89C08958}" name="Table2934102127" displayName="Table2934102127" ref="D340:G346" totalsRowCount="1" headerRowDxfId="86" dataDxfId="84" headerRowBorderDxfId="85" tableBorderDxfId="83" dataCellStyle="Comma">
  <autoFilter ref="D340:G345" xr:uid="{7D0BA1BA-1EDC-4FF5-9094-A14C89C08958}"/>
  <tableColumns count="4">
    <tableColumn id="1" xr3:uid="{3FFAA45B-3F7A-486A-B47C-6F2FB05B560B}" name="Rate" dataDxfId="82" totalsRowDxfId="81" dataCellStyle="Comma"/>
    <tableColumn id="2" xr3:uid="{6E0DD53E-7CDA-4832-97CF-B2F470FC8395}" name="Qty" dataDxfId="80" totalsRowDxfId="79" dataCellStyle="Comma"/>
    <tableColumn id="3" xr3:uid="{A49415DE-D07E-4FE6-B9E2-0134FE6FAE85}" name="." totalsRowFunction="custom" dataDxfId="78" totalsRowDxfId="77" dataCellStyle="Comma">
      <totalsRowFormula>Table2934102127[[#Totals],[Monthly]]/G310</totalsRowFormula>
    </tableColumn>
    <tableColumn id="4" xr3:uid="{E17C18E2-D2B6-4E13-BEEA-AE30BA16A10D}" name="Monthly" totalsRowFunction="sum" dataDxfId="76" totalsRowDxfId="75" dataCellStyle="Comma">
      <calculatedColumnFormula>Table2934102127[[#This Row],[Rate]]*Table2934102127[[#This Row],[Qty]]</calculatedColumnFormula>
    </tableColumn>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D85522E4-6176-4EC7-A5E6-FA05ADF7D15D}" name="Table293435103128" displayName="Table293435103128" ref="I340:L346" totalsRowCount="1" headerRowDxfId="74" dataDxfId="72" headerRowBorderDxfId="73" tableBorderDxfId="71" dataCellStyle="Comma">
  <autoFilter ref="I340:L345" xr:uid="{D85522E4-6176-4EC7-A5E6-FA05ADF7D15D}"/>
  <tableColumns count="4">
    <tableColumn id="1" xr3:uid="{019ED1A4-F473-430B-8BE2-EFB5A6AAE9F2}" name="Rate" dataDxfId="70" totalsRowDxfId="69" dataCellStyle="Comma">
      <calculatedColumnFormula>Table2934102[[#This Row],[Rate]]</calculatedColumnFormula>
    </tableColumn>
    <tableColumn id="2" xr3:uid="{C4BCFCA0-EF6E-46A3-903A-12E101EA2DE2}" name="Qty" dataDxfId="68" totalsRowDxfId="67" dataCellStyle="Comma"/>
    <tableColumn id="3" xr3:uid="{9A7D4C9E-C211-4FC0-9120-D4A5375468B7}" name="." totalsRowFunction="custom" dataDxfId="66" totalsRowDxfId="65" dataCellStyle="Comma">
      <totalsRowFormula>Table293435103128[[#Totals],[Monthly]]/L310</totalsRowFormula>
    </tableColumn>
    <tableColumn id="4" xr3:uid="{0670CC3D-5F7A-493A-8D52-32732E1DF205}" name="Monthly" totalsRowFunction="sum" dataDxfId="64" totalsRowDxfId="63" dataCellStyle="Comma">
      <calculatedColumnFormula>Table293435103128[[#This Row],[Rate]]*Table293435103128[[#This Row],[Qty]]</calculatedColumnFormula>
    </tableColumn>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72994F0F-E702-4D1C-B9D0-D33668CD354F}" name="Table293436104129" displayName="Table293436104129" ref="N340:Q346" totalsRowCount="1" headerRowDxfId="62" dataDxfId="60" headerRowBorderDxfId="61" tableBorderDxfId="59" dataCellStyle="Comma">
  <autoFilter ref="N340:Q345" xr:uid="{72994F0F-E702-4D1C-B9D0-D33668CD354F}"/>
  <tableColumns count="4">
    <tableColumn id="1" xr3:uid="{2FB0C85C-2435-4023-A0BB-37CF74185B3C}" name="Rate" dataDxfId="58" totalsRowDxfId="57" dataCellStyle="Comma"/>
    <tableColumn id="2" xr3:uid="{3A2B401E-F9C6-4D51-9361-A6DA49B8AED2}" name="Qty" dataDxfId="56" totalsRowDxfId="55" dataCellStyle="Comma"/>
    <tableColumn id="3" xr3:uid="{A4BCFD65-23F9-4754-980F-7EEFAC95061A}" name="." totalsRowFunction="custom" dataDxfId="54" totalsRowDxfId="53" dataCellStyle="Comma">
      <totalsRowFormula>Table293436104129[[#Totals],[Monthly]]/Q310</totalsRowFormula>
    </tableColumn>
    <tableColumn id="4" xr3:uid="{C5387959-0619-4A0A-9C23-3B2AB733F631}" name="Monthly" totalsRowFunction="sum" dataDxfId="52" totalsRowDxfId="51" dataCellStyle="Comma">
      <calculatedColumnFormula>Table293436104129[[#This Row],[Rate]]*Table293436104129[[#This Row],[Qty]]</calculatedColumnFormula>
    </tableColumn>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CB8FB-7D7B-497C-B8D3-396BCA3DEDF7}" name="Table1" displayName="Table1" ref="D2:G20" totalsRowCount="1" headerRowDxfId="50" dataDxfId="48" totalsRowDxfId="46" headerRowBorderDxfId="49" tableBorderDxfId="47">
  <autoFilter ref="D2:G19" xr:uid="{61CCB8FB-7D7B-497C-B8D3-396BCA3DEDF7}"/>
  <tableColumns count="4">
    <tableColumn id="1" xr3:uid="{393C3DA2-C935-4F7D-9E0C-AB1FCB491784}" name="Rate" dataDxfId="45" totalsRowDxfId="44" dataCellStyle="Comma"/>
    <tableColumn id="2" xr3:uid="{FCFFC71E-0E77-4402-907E-C3CC96485778}" name="Qty" totalsRowFunction="sum" dataDxfId="43" totalsRowDxfId="42"/>
    <tableColumn id="3" xr3:uid="{6A7384F5-3789-4D10-9109-F7C5E7279A4B}" name="Shift/Month" dataDxfId="41" totalsRowDxfId="40"/>
    <tableColumn id="4" xr3:uid="{E3913634-C252-40B7-B8AE-C98E5D91AD01}" name="Monthly" totalsRowFunction="sum" dataDxfId="39" totalsRowDxfId="38">
      <calculatedColumnFormula>F3*E3*D3</calculatedColumnFormula>
    </tableColumn>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8395D8-C5A9-4353-B807-72B40F79A556}" name="Table2" displayName="Table2" ref="I2:L20" totalsRowCount="1" headerRowDxfId="37" dataDxfId="35" totalsRowDxfId="33" headerRowBorderDxfId="36" tableBorderDxfId="34">
  <autoFilter ref="I2:L19" xr:uid="{348395D8-C5A9-4353-B807-72B40F79A556}"/>
  <tableColumns count="4">
    <tableColumn id="1" xr3:uid="{1E6C1545-8BE2-4651-BEB8-5E7B9E568F8D}" name="Rate" dataDxfId="32" totalsRowDxfId="31" dataCellStyle="Comma"/>
    <tableColumn id="2" xr3:uid="{62EFFD76-D925-4915-ABAB-B4F8C8F095CA}" name="Qty" totalsRowFunction="sum" dataDxfId="30" totalsRowDxfId="29"/>
    <tableColumn id="3" xr3:uid="{784F1CDB-9BA9-4A37-919A-8D9FFDBA9822}" name="Shift/Month" dataDxfId="28" totalsRowDxfId="27"/>
    <tableColumn id="4" xr3:uid="{C4820C03-FD34-4BFA-A29D-0751BD4FEE8F}" name="Monthly" totalsRowFunction="sum" dataDxfId="26" totalsRowDxfId="25"/>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496FFC-C065-4075-8179-E40DFEC01D06}" name="Table3" displayName="Table3" ref="N2:Q20" totalsRowCount="1" headerRowDxfId="24" dataDxfId="22" totalsRowDxfId="20" headerRowBorderDxfId="23" tableBorderDxfId="21">
  <autoFilter ref="N2:Q19" xr:uid="{20496FFC-C065-4075-8179-E40DFEC01D06}"/>
  <tableColumns count="4">
    <tableColumn id="1" xr3:uid="{8430FE2B-49A6-4707-9A32-65F39CD8B2BA}" name="Rate" dataDxfId="19" totalsRowDxfId="18" dataCellStyle="Comma"/>
    <tableColumn id="2" xr3:uid="{736CD9C2-902D-4562-86AF-E9A8ADA01506}" name="Qty" totalsRowFunction="sum" dataDxfId="17" totalsRowDxfId="16"/>
    <tableColumn id="3" xr3:uid="{9C092C05-4168-4CC8-94F7-DE7FFF98EEED}" name="Shift/Month" dataDxfId="15" totalsRowDxfId="14"/>
    <tableColumn id="4" xr3:uid="{A730C588-5F47-464E-A5F2-97E95A898578}" name="Monthly" totalsRowFunction="sum" dataDxfId="13" totalsRow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6" Type="http://schemas.openxmlformats.org/officeDocument/2006/relationships/table" Target="../tables/table25.xml"/><Relationship Id="rId21" Type="http://schemas.openxmlformats.org/officeDocument/2006/relationships/table" Target="../tables/table20.xml"/><Relationship Id="rId42" Type="http://schemas.openxmlformats.org/officeDocument/2006/relationships/table" Target="../tables/table41.xml"/><Relationship Id="rId47" Type="http://schemas.openxmlformats.org/officeDocument/2006/relationships/table" Target="../tables/table46.xml"/><Relationship Id="rId63" Type="http://schemas.openxmlformats.org/officeDocument/2006/relationships/table" Target="../tables/table62.xml"/><Relationship Id="rId68" Type="http://schemas.openxmlformats.org/officeDocument/2006/relationships/table" Target="../tables/table67.xml"/><Relationship Id="rId84" Type="http://schemas.openxmlformats.org/officeDocument/2006/relationships/table" Target="../tables/table83.xml"/><Relationship Id="rId89" Type="http://schemas.openxmlformats.org/officeDocument/2006/relationships/table" Target="../tables/table88.xml"/><Relationship Id="rId16" Type="http://schemas.openxmlformats.org/officeDocument/2006/relationships/table" Target="../tables/table15.xml"/><Relationship Id="rId11" Type="http://schemas.openxmlformats.org/officeDocument/2006/relationships/table" Target="../tables/table10.xml"/><Relationship Id="rId32" Type="http://schemas.openxmlformats.org/officeDocument/2006/relationships/table" Target="../tables/table31.xml"/><Relationship Id="rId37" Type="http://schemas.openxmlformats.org/officeDocument/2006/relationships/table" Target="../tables/table36.xml"/><Relationship Id="rId53" Type="http://schemas.openxmlformats.org/officeDocument/2006/relationships/table" Target="../tables/table52.xml"/><Relationship Id="rId58" Type="http://schemas.openxmlformats.org/officeDocument/2006/relationships/table" Target="../tables/table57.xml"/><Relationship Id="rId74" Type="http://schemas.openxmlformats.org/officeDocument/2006/relationships/table" Target="../tables/table73.xml"/><Relationship Id="rId79" Type="http://schemas.openxmlformats.org/officeDocument/2006/relationships/table" Target="../tables/table78.xml"/><Relationship Id="rId5" Type="http://schemas.openxmlformats.org/officeDocument/2006/relationships/table" Target="../tables/table4.xml"/><Relationship Id="rId90" Type="http://schemas.openxmlformats.org/officeDocument/2006/relationships/table" Target="../tables/table89.xml"/><Relationship Id="rId95" Type="http://schemas.openxmlformats.org/officeDocument/2006/relationships/table" Target="../tables/table94.xml"/><Relationship Id="rId22" Type="http://schemas.openxmlformats.org/officeDocument/2006/relationships/table" Target="../tables/table21.xml"/><Relationship Id="rId27" Type="http://schemas.openxmlformats.org/officeDocument/2006/relationships/table" Target="../tables/table26.xml"/><Relationship Id="rId43" Type="http://schemas.openxmlformats.org/officeDocument/2006/relationships/table" Target="../tables/table42.xml"/><Relationship Id="rId48" Type="http://schemas.openxmlformats.org/officeDocument/2006/relationships/table" Target="../tables/table47.xml"/><Relationship Id="rId64" Type="http://schemas.openxmlformats.org/officeDocument/2006/relationships/table" Target="../tables/table63.xml"/><Relationship Id="rId69" Type="http://schemas.openxmlformats.org/officeDocument/2006/relationships/table" Target="../tables/table68.xml"/><Relationship Id="rId80" Type="http://schemas.openxmlformats.org/officeDocument/2006/relationships/table" Target="../tables/table79.xml"/><Relationship Id="rId85" Type="http://schemas.openxmlformats.org/officeDocument/2006/relationships/table" Target="../tables/table84.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75" Type="http://schemas.openxmlformats.org/officeDocument/2006/relationships/table" Target="../tables/table74.xml"/><Relationship Id="rId83" Type="http://schemas.openxmlformats.org/officeDocument/2006/relationships/table" Target="../tables/table82.xml"/><Relationship Id="rId88" Type="http://schemas.openxmlformats.org/officeDocument/2006/relationships/table" Target="../tables/table87.xml"/><Relationship Id="rId91" Type="http://schemas.openxmlformats.org/officeDocument/2006/relationships/table" Target="../tables/table90.xml"/><Relationship Id="rId96" Type="http://schemas.openxmlformats.org/officeDocument/2006/relationships/table" Target="../tables/table95.xml"/><Relationship Id="rId1" Type="http://schemas.openxmlformats.org/officeDocument/2006/relationships/printerSettings" Target="../printerSettings/printerSettings6.bin"/><Relationship Id="rId6" Type="http://schemas.openxmlformats.org/officeDocument/2006/relationships/table" Target="../tables/table5.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 Id="rId10" Type="http://schemas.openxmlformats.org/officeDocument/2006/relationships/table" Target="../tables/table9.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78" Type="http://schemas.openxmlformats.org/officeDocument/2006/relationships/table" Target="../tables/table77.xml"/><Relationship Id="rId81" Type="http://schemas.openxmlformats.org/officeDocument/2006/relationships/table" Target="../tables/table80.xml"/><Relationship Id="rId86" Type="http://schemas.openxmlformats.org/officeDocument/2006/relationships/table" Target="../tables/table85.xml"/><Relationship Id="rId94" Type="http://schemas.openxmlformats.org/officeDocument/2006/relationships/table" Target="../tables/table93.xml"/><Relationship Id="rId99" Type="http://schemas.openxmlformats.org/officeDocument/2006/relationships/table" Target="../tables/table98.xml"/><Relationship Id="rId101" Type="http://schemas.openxmlformats.org/officeDocument/2006/relationships/table" Target="../tables/table100.xml"/><Relationship Id="rId4" Type="http://schemas.openxmlformats.org/officeDocument/2006/relationships/table" Target="../tables/table3.xml"/><Relationship Id="rId9" Type="http://schemas.openxmlformats.org/officeDocument/2006/relationships/table" Target="../tables/table8.xml"/><Relationship Id="rId13" Type="http://schemas.openxmlformats.org/officeDocument/2006/relationships/table" Target="../tables/table12.xml"/><Relationship Id="rId18" Type="http://schemas.openxmlformats.org/officeDocument/2006/relationships/table" Target="../tables/table17.xml"/><Relationship Id="rId39" Type="http://schemas.openxmlformats.org/officeDocument/2006/relationships/table" Target="../tables/table38.xml"/><Relationship Id="rId34" Type="http://schemas.openxmlformats.org/officeDocument/2006/relationships/table" Target="../tables/table33.xml"/><Relationship Id="rId50" Type="http://schemas.openxmlformats.org/officeDocument/2006/relationships/table" Target="../tables/table49.xml"/><Relationship Id="rId55" Type="http://schemas.openxmlformats.org/officeDocument/2006/relationships/table" Target="../tables/table54.xml"/><Relationship Id="rId76" Type="http://schemas.openxmlformats.org/officeDocument/2006/relationships/table" Target="../tables/table75.xml"/><Relationship Id="rId97" Type="http://schemas.openxmlformats.org/officeDocument/2006/relationships/table" Target="../tables/table96.xml"/><Relationship Id="rId7" Type="http://schemas.openxmlformats.org/officeDocument/2006/relationships/table" Target="../tables/table6.xml"/><Relationship Id="rId71" Type="http://schemas.openxmlformats.org/officeDocument/2006/relationships/table" Target="../tables/table70.xml"/><Relationship Id="rId92" Type="http://schemas.openxmlformats.org/officeDocument/2006/relationships/table" Target="../tables/table91.xml"/><Relationship Id="rId2" Type="http://schemas.openxmlformats.org/officeDocument/2006/relationships/table" Target="../tables/table1.xml"/><Relationship Id="rId29" Type="http://schemas.openxmlformats.org/officeDocument/2006/relationships/table" Target="../tables/table28.xml"/><Relationship Id="rId24" Type="http://schemas.openxmlformats.org/officeDocument/2006/relationships/table" Target="../tables/table23.xml"/><Relationship Id="rId40" Type="http://schemas.openxmlformats.org/officeDocument/2006/relationships/table" Target="../tables/table39.xml"/><Relationship Id="rId45" Type="http://schemas.openxmlformats.org/officeDocument/2006/relationships/table" Target="../tables/table44.xml"/><Relationship Id="rId66" Type="http://schemas.openxmlformats.org/officeDocument/2006/relationships/table" Target="../tables/table65.xml"/><Relationship Id="rId87" Type="http://schemas.openxmlformats.org/officeDocument/2006/relationships/table" Target="../tables/table86.xml"/><Relationship Id="rId61" Type="http://schemas.openxmlformats.org/officeDocument/2006/relationships/table" Target="../tables/table60.xml"/><Relationship Id="rId82" Type="http://schemas.openxmlformats.org/officeDocument/2006/relationships/table" Target="../tables/table81.xml"/><Relationship Id="rId19" Type="http://schemas.openxmlformats.org/officeDocument/2006/relationships/table" Target="../tables/table18.xml"/><Relationship Id="rId14" Type="http://schemas.openxmlformats.org/officeDocument/2006/relationships/table" Target="../tables/table13.xml"/><Relationship Id="rId30" Type="http://schemas.openxmlformats.org/officeDocument/2006/relationships/table" Target="../tables/table29.xml"/><Relationship Id="rId35" Type="http://schemas.openxmlformats.org/officeDocument/2006/relationships/table" Target="../tables/table34.xml"/><Relationship Id="rId56" Type="http://schemas.openxmlformats.org/officeDocument/2006/relationships/table" Target="../tables/table55.xml"/><Relationship Id="rId77" Type="http://schemas.openxmlformats.org/officeDocument/2006/relationships/table" Target="../tables/table76.xml"/><Relationship Id="rId100" Type="http://schemas.openxmlformats.org/officeDocument/2006/relationships/table" Target="../tables/table99.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93" Type="http://schemas.openxmlformats.org/officeDocument/2006/relationships/table" Target="../tables/table92.xml"/><Relationship Id="rId98" Type="http://schemas.openxmlformats.org/officeDocument/2006/relationships/table" Target="../tables/table97.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3.xml"/><Relationship Id="rId2" Type="http://schemas.openxmlformats.org/officeDocument/2006/relationships/table" Target="../tables/table102.xml"/><Relationship Id="rId1" Type="http://schemas.openxmlformats.org/officeDocument/2006/relationships/table" Target="../tables/table10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E41C5-AAB5-4EE7-BE78-363E74C0FF25}">
  <dimension ref="B6:H55"/>
  <sheetViews>
    <sheetView workbookViewId="0">
      <selection activeCell="G35" sqref="G35"/>
    </sheetView>
  </sheetViews>
  <sheetFormatPr defaultRowHeight="15"/>
  <sheetData>
    <row r="6" spans="2:8" ht="15.75">
      <c r="H6" s="45" t="s">
        <v>123</v>
      </c>
    </row>
    <row r="7" spans="2:8" ht="15.75">
      <c r="H7" s="45" t="s">
        <v>124</v>
      </c>
    </row>
    <row r="8" spans="2:8" ht="15.75">
      <c r="H8" s="45"/>
    </row>
    <row r="9" spans="2:8">
      <c r="B9" t="s">
        <v>85</v>
      </c>
    </row>
    <row r="10" spans="2:8">
      <c r="B10" t="s">
        <v>86</v>
      </c>
    </row>
    <row r="11" spans="2:8">
      <c r="B11" t="s">
        <v>70</v>
      </c>
    </row>
    <row r="12" spans="2:8">
      <c r="B12" t="s">
        <v>71</v>
      </c>
    </row>
    <row r="13" spans="2:8">
      <c r="B13" t="s">
        <v>87</v>
      </c>
    </row>
    <row r="14" spans="2:8">
      <c r="B14" t="s">
        <v>88</v>
      </c>
    </row>
    <row r="15" spans="2:8">
      <c r="B15" t="s">
        <v>89</v>
      </c>
    </row>
    <row r="16" spans="2:8">
      <c r="B16" t="s">
        <v>90</v>
      </c>
    </row>
    <row r="17" spans="2:2">
      <c r="B17" t="s">
        <v>91</v>
      </c>
    </row>
    <row r="18" spans="2:2">
      <c r="B18" t="s">
        <v>92</v>
      </c>
    </row>
    <row r="19" spans="2:2">
      <c r="B19" t="s">
        <v>93</v>
      </c>
    </row>
    <row r="20" spans="2:2">
      <c r="B20" t="s">
        <v>94</v>
      </c>
    </row>
    <row r="21" spans="2:2">
      <c r="B21" t="s">
        <v>95</v>
      </c>
    </row>
    <row r="22" spans="2:2">
      <c r="B22" t="s">
        <v>96</v>
      </c>
    </row>
    <row r="23" spans="2:2">
      <c r="B23" t="s">
        <v>97</v>
      </c>
    </row>
    <row r="24" spans="2:2">
      <c r="B24" t="s">
        <v>80</v>
      </c>
    </row>
    <row r="25" spans="2:2">
      <c r="B25" t="s">
        <v>98</v>
      </c>
    </row>
    <row r="26" spans="2:2">
      <c r="B26" t="s">
        <v>99</v>
      </c>
    </row>
    <row r="27" spans="2:2">
      <c r="B27" t="s">
        <v>100</v>
      </c>
    </row>
    <row r="28" spans="2:2">
      <c r="B28" t="s">
        <v>101</v>
      </c>
    </row>
    <row r="29" spans="2:2">
      <c r="B29" t="s">
        <v>102</v>
      </c>
    </row>
    <row r="30" spans="2:2">
      <c r="B30" t="s">
        <v>103</v>
      </c>
    </row>
    <row r="31" spans="2:2">
      <c r="B31" t="s">
        <v>104</v>
      </c>
    </row>
    <row r="32" spans="2:2">
      <c r="B32" t="s">
        <v>105</v>
      </c>
    </row>
    <row r="33" spans="2:2">
      <c r="B33" t="s">
        <v>106</v>
      </c>
    </row>
    <row r="34" spans="2:2">
      <c r="B34" t="s">
        <v>107</v>
      </c>
    </row>
    <row r="35" spans="2:2">
      <c r="B35" t="s">
        <v>108</v>
      </c>
    </row>
    <row r="36" spans="2:2">
      <c r="B36" t="s">
        <v>109</v>
      </c>
    </row>
    <row r="37" spans="2:2">
      <c r="B37" t="s">
        <v>110</v>
      </c>
    </row>
    <row r="38" spans="2:2">
      <c r="B38" t="s">
        <v>111</v>
      </c>
    </row>
    <row r="39" spans="2:2">
      <c r="B39" t="s">
        <v>112</v>
      </c>
    </row>
    <row r="40" spans="2:2">
      <c r="B40" t="s">
        <v>113</v>
      </c>
    </row>
    <row r="41" spans="2:2">
      <c r="B41" t="s">
        <v>114</v>
      </c>
    </row>
    <row r="42" spans="2:2">
      <c r="B42" t="s">
        <v>115</v>
      </c>
    </row>
    <row r="43" spans="2:2">
      <c r="B43" t="s">
        <v>116</v>
      </c>
    </row>
    <row r="44" spans="2:2">
      <c r="B44" t="s">
        <v>117</v>
      </c>
    </row>
    <row r="45" spans="2:2">
      <c r="B45" t="s">
        <v>118</v>
      </c>
    </row>
    <row r="46" spans="2:2">
      <c r="B46" t="s">
        <v>119</v>
      </c>
    </row>
    <row r="47" spans="2:2">
      <c r="B47" t="s">
        <v>120</v>
      </c>
    </row>
    <row r="49" spans="2:2">
      <c r="B49" t="s">
        <v>81</v>
      </c>
    </row>
    <row r="50" spans="2:2">
      <c r="B50" t="s">
        <v>82</v>
      </c>
    </row>
    <row r="51" spans="2:2">
      <c r="B51" t="s">
        <v>121</v>
      </c>
    </row>
    <row r="52" spans="2:2">
      <c r="B52" t="s">
        <v>122</v>
      </c>
    </row>
    <row r="53" spans="2:2">
      <c r="B53" t="s">
        <v>153</v>
      </c>
    </row>
    <row r="54" spans="2:2">
      <c r="B54" t="s">
        <v>83</v>
      </c>
    </row>
    <row r="55" spans="2:2">
      <c r="B55" t="s">
        <v>84</v>
      </c>
    </row>
  </sheetData>
  <sheetProtection algorithmName="SHA-512" hashValue="OLlp6jj+ean6H7DIJSQYUZYavmTvzHhQkI93tvR4YtQhuWB7CWjwLusPZfhz1E90wdrfBnnzvtk7ufnbuF6lAA==" saltValue="XKz6NNUrJIQmVSJuKX1MTw=="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E3D8-F393-4C58-B04A-43B5348D7D86}">
  <sheetPr>
    <pageSetUpPr fitToPage="1"/>
  </sheetPr>
  <dimension ref="D2:G22"/>
  <sheetViews>
    <sheetView view="pageBreakPreview" topLeftCell="C1" zoomScale="80" zoomScaleNormal="100" zoomScaleSheetLayoutView="80" workbookViewId="0">
      <selection activeCell="E22" sqref="E22:G22"/>
    </sheetView>
  </sheetViews>
  <sheetFormatPr defaultColWidth="9.140625" defaultRowHeight="15"/>
  <cols>
    <col min="1" max="3" width="9.140625" style="1"/>
    <col min="4" max="4" width="56.140625" style="2" customWidth="1"/>
    <col min="5" max="5" width="37.42578125" style="1" customWidth="1"/>
    <col min="6" max="6" width="55.140625" style="2" customWidth="1"/>
    <col min="7" max="7" width="27.42578125" style="1" customWidth="1"/>
    <col min="8" max="16384" width="9.140625" style="1"/>
  </cols>
  <sheetData>
    <row r="2" spans="4:7" ht="18.75">
      <c r="D2" s="468" t="s">
        <v>53</v>
      </c>
      <c r="E2" s="468"/>
      <c r="F2" s="468"/>
      <c r="G2" s="468"/>
    </row>
    <row r="3" spans="4:7" ht="18.75">
      <c r="D3" s="468" t="s">
        <v>175</v>
      </c>
      <c r="E3" s="468"/>
      <c r="F3" s="468"/>
      <c r="G3" s="468"/>
    </row>
    <row r="4" spans="4:7" ht="18.75">
      <c r="D4" s="468" t="s">
        <v>69</v>
      </c>
      <c r="E4" s="468"/>
      <c r="F4" s="468"/>
      <c r="G4" s="468"/>
    </row>
    <row r="6" spans="4:7" ht="15.75" thickBot="1"/>
    <row r="7" spans="4:7" ht="15.75" thickBot="1">
      <c r="D7" s="7" t="s">
        <v>61</v>
      </c>
      <c r="E7" s="12" t="s">
        <v>38</v>
      </c>
      <c r="F7" s="7" t="s">
        <v>61</v>
      </c>
      <c r="G7" s="13" t="s">
        <v>39</v>
      </c>
    </row>
    <row r="8" spans="4:7" ht="15.75" thickBot="1">
      <c r="D8" s="8" t="s">
        <v>14</v>
      </c>
      <c r="E8" s="14" t="s">
        <v>35</v>
      </c>
      <c r="F8" s="8" t="s">
        <v>14</v>
      </c>
      <c r="G8" s="15" t="s">
        <v>36</v>
      </c>
    </row>
    <row r="9" spans="4:7" ht="14.25" customHeight="1" thickBot="1">
      <c r="D9" s="9" t="s">
        <v>13</v>
      </c>
      <c r="E9" s="3" t="s">
        <v>167</v>
      </c>
      <c r="F9" s="9" t="s">
        <v>13</v>
      </c>
      <c r="G9" s="3" t="s">
        <v>168</v>
      </c>
    </row>
    <row r="10" spans="4:7" ht="19.5" customHeight="1">
      <c r="D10" s="4" t="s">
        <v>149</v>
      </c>
      <c r="E10" s="74">
        <f>'Manning Schedule'!B12</f>
        <v>1579876</v>
      </c>
      <c r="F10" s="4" t="s">
        <v>165</v>
      </c>
      <c r="G10" s="74">
        <f>'Manning Schedule'!T12</f>
        <v>0</v>
      </c>
    </row>
    <row r="11" spans="4:7" ht="19.5" customHeight="1">
      <c r="D11" s="4" t="s">
        <v>55</v>
      </c>
      <c r="E11" s="74">
        <f>'Manning Schedule'!B31</f>
        <v>7322040</v>
      </c>
      <c r="F11" s="4" t="s">
        <v>63</v>
      </c>
      <c r="G11" s="74">
        <f>'Manning Schedule'!T31</f>
        <v>11566440</v>
      </c>
    </row>
    <row r="12" spans="4:7" ht="19.5" customHeight="1">
      <c r="D12" s="4" t="s">
        <v>56</v>
      </c>
      <c r="E12" s="74">
        <f>'Manning Schedule'!B37</f>
        <v>7147080</v>
      </c>
      <c r="F12" s="4" t="s">
        <v>64</v>
      </c>
      <c r="G12" s="74">
        <f>'Manning Schedule'!T37</f>
        <v>12538440</v>
      </c>
    </row>
    <row r="13" spans="4:7" ht="19.5" customHeight="1">
      <c r="D13" s="4" t="s">
        <v>57</v>
      </c>
      <c r="E13" s="74">
        <f>'Manning Schedule'!B41</f>
        <v>1008000</v>
      </c>
      <c r="F13" s="4" t="s">
        <v>65</v>
      </c>
      <c r="G13" s="74">
        <f>'Manning Schedule'!T41</f>
        <v>2130120</v>
      </c>
    </row>
    <row r="14" spans="4:7" ht="19.5" customHeight="1">
      <c r="D14" s="4" t="s">
        <v>58</v>
      </c>
      <c r="E14" s="74">
        <f>'Manning Schedule'!B46</f>
        <v>5643360</v>
      </c>
      <c r="F14" s="4" t="s">
        <v>66</v>
      </c>
      <c r="G14" s="74">
        <f>'Manning Schedule'!T46</f>
        <v>16568280</v>
      </c>
    </row>
    <row r="15" spans="4:7" ht="19.5" customHeight="1">
      <c r="D15" s="4" t="s">
        <v>59</v>
      </c>
      <c r="E15" s="74">
        <f>'Manning Schedule'!B53</f>
        <v>12167280</v>
      </c>
      <c r="F15" s="4" t="s">
        <v>67</v>
      </c>
      <c r="G15" s="74">
        <f>'Manning Schedule'!T53</f>
        <v>36174240</v>
      </c>
    </row>
    <row r="16" spans="4:7" ht="19.5" customHeight="1" thickBot="1">
      <c r="D16" s="5" t="s">
        <v>60</v>
      </c>
      <c r="E16" s="75">
        <f>'Manning Schedule'!B58</f>
        <v>3469680</v>
      </c>
      <c r="F16" s="5" t="s">
        <v>62</v>
      </c>
      <c r="G16" s="76">
        <f>'Manning Schedule'!T58</f>
        <v>3898080</v>
      </c>
    </row>
    <row r="17" spans="4:7" ht="26.25" customHeight="1" thickBot="1">
      <c r="D17" s="6" t="s">
        <v>77</v>
      </c>
      <c r="E17" s="77">
        <f>SUM(E10:E16)</f>
        <v>38337316</v>
      </c>
      <c r="F17" s="6" t="s">
        <v>78</v>
      </c>
      <c r="G17" s="77">
        <f>SUM(G10:G16)</f>
        <v>82875600</v>
      </c>
    </row>
    <row r="18" spans="4:7" ht="26.25" customHeight="1" thickBot="1">
      <c r="D18" s="41" t="s">
        <v>150</v>
      </c>
      <c r="E18" s="42">
        <v>10000000</v>
      </c>
      <c r="F18" s="41" t="s">
        <v>152</v>
      </c>
      <c r="G18" s="42">
        <v>10000000</v>
      </c>
    </row>
    <row r="19" spans="4:7" ht="26.25" customHeight="1" thickBot="1">
      <c r="D19" s="43" t="s">
        <v>74</v>
      </c>
      <c r="E19" s="44">
        <f>E18+E17</f>
        <v>48337316</v>
      </c>
      <c r="F19" s="43" t="s">
        <v>151</v>
      </c>
      <c r="G19" s="44">
        <f>G18+G17</f>
        <v>92875600</v>
      </c>
    </row>
    <row r="20" spans="4:7" ht="30.75" customHeight="1" thickBot="1">
      <c r="D20" s="11" t="s">
        <v>73</v>
      </c>
      <c r="E20" s="464">
        <f>E19+G19</f>
        <v>141212916</v>
      </c>
      <c r="F20" s="464"/>
      <c r="G20" s="465"/>
    </row>
    <row r="21" spans="4:7" ht="30.75" customHeight="1" thickBot="1">
      <c r="D21" s="10" t="s">
        <v>68</v>
      </c>
      <c r="E21" s="464">
        <f>E20*0.14</f>
        <v>19769808.240000002</v>
      </c>
      <c r="F21" s="464"/>
      <c r="G21" s="465"/>
    </row>
    <row r="22" spans="4:7" ht="30.75" customHeight="1" thickBot="1">
      <c r="D22" s="10" t="s">
        <v>72</v>
      </c>
      <c r="E22" s="466">
        <f>E20+E21</f>
        <v>160982724.24000001</v>
      </c>
      <c r="F22" s="466"/>
      <c r="G22" s="467"/>
    </row>
  </sheetData>
  <sheetProtection algorithmName="SHA-512" hashValue="x6k99gLEjZXp4FsMtMw6L1R4ZDJCh92O0GLWuzuOkqRVDBOmv61kbpt6eXe/hYuO74zm75jOA9ifBf9BTuOqhg==" saltValue="N/En8g71og8bACXKgMyOWw==" spinCount="100000" sheet="1" objects="1" scenarios="1"/>
  <mergeCells count="6">
    <mergeCell ref="E21:G21"/>
    <mergeCell ref="E22:G22"/>
    <mergeCell ref="D2:G2"/>
    <mergeCell ref="D4:G4"/>
    <mergeCell ref="E20:G20"/>
    <mergeCell ref="D3:G3"/>
  </mergeCells>
  <printOptions horizontalCentered="1"/>
  <pageMargins left="0.7" right="0.7" top="0.75" bottom="0.75" header="0.3" footer="0.3"/>
  <pageSetup scale="6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K90"/>
  <sheetViews>
    <sheetView view="pageBreakPreview" zoomScale="70" zoomScaleNormal="100" zoomScaleSheetLayoutView="70" workbookViewId="0">
      <pane xSplit="1" ySplit="9" topLeftCell="B18" activePane="bottomRight" state="frozen"/>
      <selection activeCell="F28" sqref="F28"/>
      <selection pane="topRight" activeCell="F28" sqref="F28"/>
      <selection pane="bottomLeft" activeCell="F28" sqref="F28"/>
      <selection pane="bottomRight" activeCell="T39" sqref="T39"/>
    </sheetView>
  </sheetViews>
  <sheetFormatPr defaultColWidth="9.140625" defaultRowHeight="15"/>
  <cols>
    <col min="1" max="1" width="44.85546875" style="23" customWidth="1"/>
    <col min="2" max="2" width="17.5703125" style="62" customWidth="1"/>
    <col min="3" max="14" width="3.85546875" style="17" customWidth="1"/>
    <col min="15" max="15" width="9.5703125" style="67" customWidth="1"/>
    <col min="16" max="16" width="8.5703125" style="67" customWidth="1"/>
    <col min="17" max="18" width="18.5703125" style="62" customWidth="1"/>
    <col min="19" max="19" width="42" style="23" customWidth="1"/>
    <col min="20" max="20" width="17.5703125" style="62" customWidth="1"/>
    <col min="21" max="32" width="3.85546875" style="17" customWidth="1"/>
    <col min="33" max="34" width="8.5703125" style="67" customWidth="1"/>
    <col min="35" max="36" width="18.5703125" style="62" customWidth="1"/>
    <col min="37" max="16384" width="9.140625" style="17"/>
  </cols>
  <sheetData>
    <row r="2" spans="1:37" ht="18.75">
      <c r="A2" s="469" t="s">
        <v>53</v>
      </c>
      <c r="B2" s="469"/>
      <c r="C2" s="469"/>
      <c r="D2" s="469"/>
      <c r="E2" s="469"/>
      <c r="F2" s="469"/>
      <c r="G2" s="469"/>
      <c r="H2" s="469"/>
      <c r="I2" s="469"/>
      <c r="J2" s="469"/>
      <c r="K2" s="469"/>
      <c r="L2" s="469"/>
      <c r="M2" s="469"/>
      <c r="N2" s="469"/>
      <c r="O2" s="469"/>
      <c r="P2" s="469"/>
      <c r="Q2" s="469"/>
      <c r="R2" s="469"/>
      <c r="S2" s="469"/>
      <c r="T2" s="469"/>
      <c r="U2" s="469"/>
      <c r="V2" s="469"/>
      <c r="W2" s="469"/>
      <c r="X2" s="469"/>
      <c r="Y2" s="469"/>
      <c r="Z2" s="469"/>
      <c r="AA2" s="469"/>
      <c r="AB2" s="469"/>
      <c r="AC2" s="469"/>
      <c r="AD2" s="469"/>
      <c r="AE2" s="469"/>
      <c r="AF2" s="469"/>
      <c r="AG2" s="469"/>
      <c r="AH2" s="469"/>
      <c r="AI2" s="469"/>
      <c r="AJ2" s="469"/>
    </row>
    <row r="3" spans="1:37" ht="18.75">
      <c r="A3" s="470" t="s">
        <v>174</v>
      </c>
      <c r="B3" s="470"/>
      <c r="C3" s="470"/>
      <c r="D3" s="470"/>
      <c r="E3" s="470"/>
      <c r="F3" s="470"/>
      <c r="G3" s="470"/>
      <c r="H3" s="470"/>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row>
    <row r="4" spans="1:37">
      <c r="A4" s="471"/>
      <c r="B4" s="471"/>
      <c r="C4" s="471"/>
      <c r="D4" s="471"/>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row>
    <row r="5" spans="1:37" ht="15.75" thickBot="1"/>
    <row r="6" spans="1:37" ht="15.75" thickBot="1">
      <c r="A6" s="34" t="s">
        <v>61</v>
      </c>
      <c r="B6" s="497" t="s">
        <v>38</v>
      </c>
      <c r="C6" s="497"/>
      <c r="D6" s="497"/>
      <c r="E6" s="497"/>
      <c r="F6" s="497"/>
      <c r="G6" s="497"/>
      <c r="H6" s="497"/>
      <c r="I6" s="497"/>
      <c r="J6" s="497"/>
      <c r="K6" s="497"/>
      <c r="L6" s="497"/>
      <c r="M6" s="497"/>
      <c r="N6" s="497"/>
      <c r="O6" s="497"/>
      <c r="P6" s="497"/>
      <c r="Q6" s="497"/>
      <c r="R6" s="497"/>
      <c r="S6" s="34" t="s">
        <v>61</v>
      </c>
      <c r="T6" s="497" t="s">
        <v>39</v>
      </c>
      <c r="U6" s="497"/>
      <c r="V6" s="497"/>
      <c r="W6" s="497"/>
      <c r="X6" s="497"/>
      <c r="Y6" s="497"/>
      <c r="Z6" s="497"/>
      <c r="AA6" s="497"/>
      <c r="AB6" s="497"/>
      <c r="AC6" s="497"/>
      <c r="AD6" s="497"/>
      <c r="AE6" s="497"/>
      <c r="AF6" s="497"/>
      <c r="AG6" s="497"/>
      <c r="AH6" s="497"/>
      <c r="AI6" s="497"/>
      <c r="AJ6" s="498"/>
    </row>
    <row r="7" spans="1:37" ht="15.75" thickBot="1">
      <c r="A7" s="35" t="s">
        <v>14</v>
      </c>
      <c r="B7" s="475" t="s">
        <v>35</v>
      </c>
      <c r="C7" s="475"/>
      <c r="D7" s="475"/>
      <c r="E7" s="475"/>
      <c r="F7" s="475"/>
      <c r="G7" s="475"/>
      <c r="H7" s="475"/>
      <c r="I7" s="475"/>
      <c r="J7" s="475"/>
      <c r="K7" s="475"/>
      <c r="L7" s="475"/>
      <c r="M7" s="475"/>
      <c r="N7" s="475"/>
      <c r="O7" s="475"/>
      <c r="P7" s="475"/>
      <c r="Q7" s="475"/>
      <c r="R7" s="475"/>
      <c r="S7" s="35" t="s">
        <v>14</v>
      </c>
      <c r="T7" s="475" t="s">
        <v>36</v>
      </c>
      <c r="U7" s="475"/>
      <c r="V7" s="475"/>
      <c r="W7" s="475"/>
      <c r="X7" s="475"/>
      <c r="Y7" s="475"/>
      <c r="Z7" s="475"/>
      <c r="AA7" s="475"/>
      <c r="AB7" s="475"/>
      <c r="AC7" s="475"/>
      <c r="AD7" s="475"/>
      <c r="AE7" s="475"/>
      <c r="AF7" s="475"/>
      <c r="AG7" s="475"/>
      <c r="AH7" s="475"/>
      <c r="AI7" s="475"/>
      <c r="AJ7" s="499"/>
    </row>
    <row r="8" spans="1:37" ht="15.75" customHeight="1" thickBot="1">
      <c r="A8" s="512" t="s">
        <v>13</v>
      </c>
      <c r="B8" s="506" t="s">
        <v>176</v>
      </c>
      <c r="C8" s="505" t="s">
        <v>173</v>
      </c>
      <c r="D8" s="475"/>
      <c r="E8" s="475"/>
      <c r="F8" s="475"/>
      <c r="G8" s="475"/>
      <c r="H8" s="475"/>
      <c r="I8" s="475"/>
      <c r="J8" s="475"/>
      <c r="K8" s="475"/>
      <c r="L8" s="475"/>
      <c r="M8" s="475"/>
      <c r="N8" s="499"/>
      <c r="O8" s="508" t="s">
        <v>170</v>
      </c>
      <c r="P8" s="508" t="s">
        <v>163</v>
      </c>
      <c r="Q8" s="506" t="s">
        <v>171</v>
      </c>
      <c r="R8" s="506" t="s">
        <v>172</v>
      </c>
      <c r="S8" s="59"/>
      <c r="T8" s="506" t="s">
        <v>176</v>
      </c>
      <c r="U8" s="505" t="s">
        <v>173</v>
      </c>
      <c r="V8" s="475"/>
      <c r="W8" s="475"/>
      <c r="X8" s="475"/>
      <c r="Y8" s="475"/>
      <c r="Z8" s="475"/>
      <c r="AA8" s="475"/>
      <c r="AB8" s="475"/>
      <c r="AC8" s="475"/>
      <c r="AD8" s="475"/>
      <c r="AE8" s="475"/>
      <c r="AF8" s="499"/>
      <c r="AG8" s="508" t="s">
        <v>170</v>
      </c>
      <c r="AH8" s="508" t="s">
        <v>163</v>
      </c>
      <c r="AI8" s="506" t="s">
        <v>169</v>
      </c>
      <c r="AJ8" s="510" t="s">
        <v>164</v>
      </c>
    </row>
    <row r="9" spans="1:37" ht="29.25" customHeight="1" thickBot="1">
      <c r="A9" s="513"/>
      <c r="B9" s="507"/>
      <c r="C9" s="60" t="s">
        <v>12</v>
      </c>
      <c r="D9" s="37" t="s">
        <v>24</v>
      </c>
      <c r="E9" s="37" t="s">
        <v>25</v>
      </c>
      <c r="F9" s="37" t="s">
        <v>26</v>
      </c>
      <c r="G9" s="37" t="s">
        <v>27</v>
      </c>
      <c r="H9" s="37" t="s">
        <v>28</v>
      </c>
      <c r="I9" s="37" t="s">
        <v>29</v>
      </c>
      <c r="J9" s="37" t="s">
        <v>30</v>
      </c>
      <c r="K9" s="37" t="s">
        <v>31</v>
      </c>
      <c r="L9" s="37" t="s">
        <v>32</v>
      </c>
      <c r="M9" s="37" t="s">
        <v>33</v>
      </c>
      <c r="N9" s="61" t="s">
        <v>34</v>
      </c>
      <c r="O9" s="509"/>
      <c r="P9" s="509"/>
      <c r="Q9" s="507"/>
      <c r="R9" s="507"/>
      <c r="S9" s="36" t="s">
        <v>13</v>
      </c>
      <c r="T9" s="507"/>
      <c r="U9" s="37" t="s">
        <v>12</v>
      </c>
      <c r="V9" s="37" t="s">
        <v>24</v>
      </c>
      <c r="W9" s="37" t="s">
        <v>25</v>
      </c>
      <c r="X9" s="37" t="s">
        <v>26</v>
      </c>
      <c r="Y9" s="37" t="s">
        <v>27</v>
      </c>
      <c r="Z9" s="37" t="s">
        <v>28</v>
      </c>
      <c r="AA9" s="37" t="s">
        <v>29</v>
      </c>
      <c r="AB9" s="37" t="s">
        <v>30</v>
      </c>
      <c r="AC9" s="37" t="s">
        <v>31</v>
      </c>
      <c r="AD9" s="37" t="s">
        <v>32</v>
      </c>
      <c r="AE9" s="37" t="s">
        <v>33</v>
      </c>
      <c r="AF9" s="37" t="s">
        <v>34</v>
      </c>
      <c r="AG9" s="509"/>
      <c r="AH9" s="509"/>
      <c r="AI9" s="507"/>
      <c r="AJ9" s="511"/>
    </row>
    <row r="10" spans="1:37" ht="15.75" thickBot="1">
      <c r="A10" s="49"/>
      <c r="B10" s="500" t="s">
        <v>149</v>
      </c>
      <c r="C10" s="500"/>
      <c r="D10" s="500"/>
      <c r="E10" s="500"/>
      <c r="F10" s="500"/>
      <c r="G10" s="500"/>
      <c r="H10" s="500"/>
      <c r="I10" s="500"/>
      <c r="J10" s="500"/>
      <c r="K10" s="500"/>
      <c r="L10" s="500"/>
      <c r="M10" s="500"/>
      <c r="N10" s="500"/>
      <c r="O10" s="500"/>
      <c r="P10" s="500"/>
      <c r="Q10" s="500"/>
      <c r="R10" s="500"/>
      <c r="S10" s="49"/>
      <c r="T10" s="500" t="s">
        <v>149</v>
      </c>
      <c r="U10" s="500"/>
      <c r="V10" s="500"/>
      <c r="W10" s="500"/>
      <c r="X10" s="500"/>
      <c r="Y10" s="500"/>
      <c r="Z10" s="500"/>
      <c r="AA10" s="500"/>
      <c r="AB10" s="500"/>
      <c r="AC10" s="500"/>
      <c r="AD10" s="500"/>
      <c r="AE10" s="500"/>
      <c r="AF10" s="500"/>
      <c r="AG10" s="500"/>
      <c r="AH10" s="500"/>
      <c r="AI10" s="500"/>
      <c r="AJ10" s="501"/>
      <c r="AK10" s="40"/>
    </row>
    <row r="11" spans="1:37" ht="18.75" customHeight="1">
      <c r="A11" s="26" t="s">
        <v>161</v>
      </c>
      <c r="B11" s="72">
        <f>ROUNDUP('Mobilization Budget'!E105,0)</f>
        <v>1579876</v>
      </c>
      <c r="C11" s="494">
        <v>1</v>
      </c>
      <c r="D11" s="495"/>
      <c r="E11" s="495"/>
      <c r="F11" s="495"/>
      <c r="G11" s="495"/>
      <c r="H11" s="495"/>
      <c r="I11" s="495"/>
      <c r="J11" s="495"/>
      <c r="K11" s="495"/>
      <c r="L11" s="495"/>
      <c r="M11" s="495"/>
      <c r="N11" s="496"/>
      <c r="O11" s="88">
        <v>1</v>
      </c>
      <c r="P11" s="88">
        <v>1</v>
      </c>
      <c r="Q11" s="84">
        <f>B11*C11*P11</f>
        <v>1579876</v>
      </c>
      <c r="R11" s="78">
        <f>B11*SUM(C11:N11)*P11</f>
        <v>1579876</v>
      </c>
      <c r="S11" s="26" t="s">
        <v>166</v>
      </c>
      <c r="T11" s="491">
        <v>0</v>
      </c>
      <c r="U11" s="492"/>
      <c r="V11" s="492"/>
      <c r="W11" s="492"/>
      <c r="X11" s="492"/>
      <c r="Y11" s="492"/>
      <c r="Z11" s="492"/>
      <c r="AA11" s="492"/>
      <c r="AB11" s="492"/>
      <c r="AC11" s="492"/>
      <c r="AD11" s="492"/>
      <c r="AE11" s="492"/>
      <c r="AF11" s="492"/>
      <c r="AG11" s="492"/>
      <c r="AH11" s="492"/>
      <c r="AI11" s="492"/>
      <c r="AJ11" s="493"/>
    </row>
    <row r="12" spans="1:37" ht="24" customHeight="1" thickBot="1">
      <c r="A12" s="28" t="s">
        <v>159</v>
      </c>
      <c r="B12" s="473">
        <f>R11</f>
        <v>1579876</v>
      </c>
      <c r="C12" s="474"/>
      <c r="D12" s="474"/>
      <c r="E12" s="474"/>
      <c r="F12" s="474"/>
      <c r="G12" s="474"/>
      <c r="H12" s="474"/>
      <c r="I12" s="474"/>
      <c r="J12" s="474"/>
      <c r="K12" s="474"/>
      <c r="L12" s="474"/>
      <c r="M12" s="474"/>
      <c r="N12" s="474"/>
      <c r="O12" s="474"/>
      <c r="P12" s="474"/>
      <c r="Q12" s="474"/>
      <c r="R12" s="474"/>
      <c r="S12" s="28" t="s">
        <v>160</v>
      </c>
      <c r="T12" s="473">
        <f>AJ11</f>
        <v>0</v>
      </c>
      <c r="U12" s="474"/>
      <c r="V12" s="474"/>
      <c r="W12" s="474"/>
      <c r="X12" s="474"/>
      <c r="Y12" s="474"/>
      <c r="Z12" s="474"/>
      <c r="AA12" s="474"/>
      <c r="AB12" s="474"/>
      <c r="AC12" s="474"/>
      <c r="AD12" s="474"/>
      <c r="AE12" s="474"/>
      <c r="AF12" s="474"/>
      <c r="AG12" s="474"/>
      <c r="AH12" s="474"/>
      <c r="AI12" s="474"/>
      <c r="AJ12" s="489"/>
    </row>
    <row r="13" spans="1:37">
      <c r="A13" s="38"/>
      <c r="B13" s="63"/>
      <c r="C13" s="39"/>
      <c r="D13" s="39"/>
      <c r="E13" s="39"/>
      <c r="F13" s="39"/>
      <c r="G13" s="39"/>
      <c r="H13" s="39"/>
      <c r="I13" s="39"/>
      <c r="J13" s="39" t="s">
        <v>15</v>
      </c>
      <c r="K13" s="39"/>
      <c r="L13" s="39"/>
      <c r="M13" s="39"/>
      <c r="N13" s="39"/>
      <c r="O13" s="68"/>
      <c r="P13" s="68"/>
      <c r="Q13" s="63"/>
      <c r="R13" s="63"/>
      <c r="S13" s="38"/>
      <c r="T13" s="502" t="s">
        <v>15</v>
      </c>
      <c r="U13" s="503"/>
      <c r="V13" s="503"/>
      <c r="W13" s="503"/>
      <c r="X13" s="503"/>
      <c r="Y13" s="503"/>
      <c r="Z13" s="503"/>
      <c r="AA13" s="503"/>
      <c r="AB13" s="503"/>
      <c r="AC13" s="503"/>
      <c r="AD13" s="503"/>
      <c r="AE13" s="503"/>
      <c r="AF13" s="503"/>
      <c r="AG13" s="503"/>
      <c r="AH13" s="503"/>
      <c r="AI13" s="503"/>
      <c r="AJ13" s="504"/>
      <c r="AK13" s="40"/>
    </row>
    <row r="14" spans="1:37" ht="18.75" customHeight="1">
      <c r="A14" s="26" t="s">
        <v>43</v>
      </c>
      <c r="B14" s="72">
        <f>'MEP Budget-Y1'!N7</f>
        <v>2419</v>
      </c>
      <c r="C14" s="31">
        <v>1</v>
      </c>
      <c r="D14" s="32">
        <v>1</v>
      </c>
      <c r="E14" s="32">
        <v>1</v>
      </c>
      <c r="F14" s="32">
        <v>1</v>
      </c>
      <c r="G14" s="32">
        <v>1</v>
      </c>
      <c r="H14" s="32">
        <v>1</v>
      </c>
      <c r="I14" s="32">
        <v>1</v>
      </c>
      <c r="J14" s="32">
        <v>1</v>
      </c>
      <c r="K14" s="32">
        <v>1</v>
      </c>
      <c r="L14" s="32">
        <v>1</v>
      </c>
      <c r="M14" s="32">
        <v>1</v>
      </c>
      <c r="N14" s="33">
        <v>1</v>
      </c>
      <c r="O14" s="83">
        <v>1</v>
      </c>
      <c r="P14" s="83">
        <f>O14*30</f>
        <v>30</v>
      </c>
      <c r="Q14" s="84">
        <f>B14*C14*P14</f>
        <v>72570</v>
      </c>
      <c r="R14" s="79">
        <f>B14*SUM(C14:N14)*P14</f>
        <v>870840</v>
      </c>
      <c r="S14" s="26" t="s">
        <v>43</v>
      </c>
      <c r="T14" s="72">
        <f>'MEP Budget-Y2'!N7</f>
        <v>2760</v>
      </c>
      <c r="U14" s="46">
        <v>1</v>
      </c>
      <c r="V14" s="47">
        <v>1</v>
      </c>
      <c r="W14" s="47">
        <v>1</v>
      </c>
      <c r="X14" s="47">
        <v>1</v>
      </c>
      <c r="Y14" s="47">
        <v>1</v>
      </c>
      <c r="Z14" s="47">
        <v>1</v>
      </c>
      <c r="AA14" s="47">
        <v>1</v>
      </c>
      <c r="AB14" s="47">
        <v>1</v>
      </c>
      <c r="AC14" s="47">
        <v>1</v>
      </c>
      <c r="AD14" s="47">
        <v>1</v>
      </c>
      <c r="AE14" s="47">
        <v>1</v>
      </c>
      <c r="AF14" s="48">
        <v>1</v>
      </c>
      <c r="AG14" s="83">
        <v>1</v>
      </c>
      <c r="AH14" s="83">
        <f>AG14*30</f>
        <v>30</v>
      </c>
      <c r="AI14" s="84">
        <f>T14*U14*AH14</f>
        <v>82800</v>
      </c>
      <c r="AJ14" s="80">
        <f>T14*SUM(U14:AF14)*AH14</f>
        <v>993600</v>
      </c>
    </row>
    <row r="15" spans="1:37" ht="18.75" customHeight="1">
      <c r="A15" s="26" t="s">
        <v>0</v>
      </c>
      <c r="B15" s="72">
        <f>'MEP Budget-Y1'!N8</f>
        <v>1573</v>
      </c>
      <c r="C15" s="46">
        <v>1</v>
      </c>
      <c r="D15" s="47">
        <v>1</v>
      </c>
      <c r="E15" s="47">
        <v>1</v>
      </c>
      <c r="F15" s="47">
        <v>1</v>
      </c>
      <c r="G15" s="47">
        <v>1</v>
      </c>
      <c r="H15" s="47">
        <v>1</v>
      </c>
      <c r="I15" s="47">
        <v>1</v>
      </c>
      <c r="J15" s="47">
        <v>1</v>
      </c>
      <c r="K15" s="47">
        <v>1</v>
      </c>
      <c r="L15" s="47">
        <v>1</v>
      </c>
      <c r="M15" s="47">
        <v>1</v>
      </c>
      <c r="N15" s="48">
        <v>1</v>
      </c>
      <c r="O15" s="85">
        <v>1</v>
      </c>
      <c r="P15" s="85">
        <f t="shared" ref="P15:P30" si="0">O15*30</f>
        <v>30</v>
      </c>
      <c r="Q15" s="84">
        <f>B15*C15*P15</f>
        <v>47190</v>
      </c>
      <c r="R15" s="80">
        <f t="shared" ref="R15:R30" si="1">B15*SUM(C15:N15)*P15</f>
        <v>566280</v>
      </c>
      <c r="S15" s="26" t="s">
        <v>0</v>
      </c>
      <c r="T15" s="72">
        <f>'MEP Budget-Y2'!N8</f>
        <v>1794</v>
      </c>
      <c r="U15" s="46">
        <v>2</v>
      </c>
      <c r="V15" s="47">
        <v>2</v>
      </c>
      <c r="W15" s="47">
        <v>2</v>
      </c>
      <c r="X15" s="47">
        <v>2</v>
      </c>
      <c r="Y15" s="47">
        <v>2</v>
      </c>
      <c r="Z15" s="47">
        <v>2</v>
      </c>
      <c r="AA15" s="47">
        <v>2</v>
      </c>
      <c r="AB15" s="47">
        <v>2</v>
      </c>
      <c r="AC15" s="47">
        <v>2</v>
      </c>
      <c r="AD15" s="47">
        <v>2</v>
      </c>
      <c r="AE15" s="47">
        <v>2</v>
      </c>
      <c r="AF15" s="48">
        <v>2</v>
      </c>
      <c r="AG15" s="85">
        <v>1</v>
      </c>
      <c r="AH15" s="85">
        <f t="shared" ref="AH15:AH30" si="2">AG15*30</f>
        <v>30</v>
      </c>
      <c r="AI15" s="84">
        <f t="shared" ref="AI15:AI30" si="3">T15*U15*AH15</f>
        <v>107640</v>
      </c>
      <c r="AJ15" s="80">
        <f t="shared" ref="AJ15:AJ30" si="4">T15*SUM(U15:AF15)*AH15</f>
        <v>1291680</v>
      </c>
    </row>
    <row r="16" spans="1:37" ht="18.75" customHeight="1">
      <c r="A16" s="26" t="s">
        <v>1</v>
      </c>
      <c r="B16" s="72">
        <f>'MEP Budget-Y1'!N9</f>
        <v>883</v>
      </c>
      <c r="C16" s="46">
        <v>1</v>
      </c>
      <c r="D16" s="47">
        <v>1</v>
      </c>
      <c r="E16" s="47">
        <v>1</v>
      </c>
      <c r="F16" s="47">
        <v>1</v>
      </c>
      <c r="G16" s="47">
        <v>1</v>
      </c>
      <c r="H16" s="47">
        <v>1</v>
      </c>
      <c r="I16" s="47">
        <v>1</v>
      </c>
      <c r="J16" s="47">
        <v>1</v>
      </c>
      <c r="K16" s="47">
        <v>1</v>
      </c>
      <c r="L16" s="47">
        <v>1</v>
      </c>
      <c r="M16" s="47">
        <v>1</v>
      </c>
      <c r="N16" s="48">
        <v>1</v>
      </c>
      <c r="O16" s="85">
        <v>1</v>
      </c>
      <c r="P16" s="85">
        <f t="shared" si="0"/>
        <v>30</v>
      </c>
      <c r="Q16" s="84">
        <f t="shared" ref="Q16:Q30" si="5">B16*C16*P16</f>
        <v>26490</v>
      </c>
      <c r="R16" s="80">
        <f t="shared" si="1"/>
        <v>317880</v>
      </c>
      <c r="S16" s="26" t="s">
        <v>1</v>
      </c>
      <c r="T16" s="72">
        <f>'MEP Budget-Y2'!N9</f>
        <v>1008</v>
      </c>
      <c r="U16" s="46">
        <v>2</v>
      </c>
      <c r="V16" s="47">
        <v>2</v>
      </c>
      <c r="W16" s="47">
        <v>2</v>
      </c>
      <c r="X16" s="47">
        <v>2</v>
      </c>
      <c r="Y16" s="47">
        <v>2</v>
      </c>
      <c r="Z16" s="47">
        <v>2</v>
      </c>
      <c r="AA16" s="47">
        <v>2</v>
      </c>
      <c r="AB16" s="47">
        <v>2</v>
      </c>
      <c r="AC16" s="47">
        <v>2</v>
      </c>
      <c r="AD16" s="47">
        <v>2</v>
      </c>
      <c r="AE16" s="47">
        <v>2</v>
      </c>
      <c r="AF16" s="48">
        <v>2</v>
      </c>
      <c r="AG16" s="85">
        <v>1</v>
      </c>
      <c r="AH16" s="85">
        <f t="shared" si="2"/>
        <v>30</v>
      </c>
      <c r="AI16" s="84">
        <f t="shared" si="3"/>
        <v>60480</v>
      </c>
      <c r="AJ16" s="80">
        <f t="shared" si="4"/>
        <v>725760</v>
      </c>
    </row>
    <row r="17" spans="1:36" ht="18.75" customHeight="1">
      <c r="A17" s="26" t="s">
        <v>2</v>
      </c>
      <c r="B17" s="72">
        <f>'MEP Budget-Y1'!N10</f>
        <v>883</v>
      </c>
      <c r="C17" s="46">
        <v>1</v>
      </c>
      <c r="D17" s="47">
        <v>1</v>
      </c>
      <c r="E17" s="47">
        <v>1</v>
      </c>
      <c r="F17" s="47">
        <v>1</v>
      </c>
      <c r="G17" s="47">
        <v>1</v>
      </c>
      <c r="H17" s="47">
        <v>1</v>
      </c>
      <c r="I17" s="47">
        <v>1</v>
      </c>
      <c r="J17" s="47">
        <v>1</v>
      </c>
      <c r="K17" s="47">
        <v>1</v>
      </c>
      <c r="L17" s="47">
        <v>1</v>
      </c>
      <c r="M17" s="47">
        <v>1</v>
      </c>
      <c r="N17" s="48">
        <v>1</v>
      </c>
      <c r="O17" s="85">
        <v>1</v>
      </c>
      <c r="P17" s="85">
        <f t="shared" si="0"/>
        <v>30</v>
      </c>
      <c r="Q17" s="84">
        <f t="shared" si="5"/>
        <v>26490</v>
      </c>
      <c r="R17" s="80">
        <f t="shared" si="1"/>
        <v>317880</v>
      </c>
      <c r="S17" s="26" t="s">
        <v>2</v>
      </c>
      <c r="T17" s="72">
        <f>'MEP Budget-Y2'!N10</f>
        <v>1008</v>
      </c>
      <c r="U17" s="46">
        <v>2</v>
      </c>
      <c r="V17" s="47">
        <v>2</v>
      </c>
      <c r="W17" s="47">
        <v>2</v>
      </c>
      <c r="X17" s="47">
        <v>2</v>
      </c>
      <c r="Y17" s="47">
        <v>2</v>
      </c>
      <c r="Z17" s="47">
        <v>2</v>
      </c>
      <c r="AA17" s="47">
        <v>2</v>
      </c>
      <c r="AB17" s="47">
        <v>2</v>
      </c>
      <c r="AC17" s="47">
        <v>2</v>
      </c>
      <c r="AD17" s="47">
        <v>2</v>
      </c>
      <c r="AE17" s="47">
        <v>2</v>
      </c>
      <c r="AF17" s="48">
        <v>2</v>
      </c>
      <c r="AG17" s="85">
        <v>1</v>
      </c>
      <c r="AH17" s="85">
        <f t="shared" si="2"/>
        <v>30</v>
      </c>
      <c r="AI17" s="84">
        <f t="shared" si="3"/>
        <v>60480</v>
      </c>
      <c r="AJ17" s="80">
        <f t="shared" si="4"/>
        <v>725760</v>
      </c>
    </row>
    <row r="18" spans="1:36" ht="18.75" customHeight="1">
      <c r="A18" s="26" t="s">
        <v>3</v>
      </c>
      <c r="B18" s="72">
        <f>'MEP Budget-Y1'!N11</f>
        <v>883</v>
      </c>
      <c r="C18" s="46">
        <v>1</v>
      </c>
      <c r="D18" s="47">
        <v>1</v>
      </c>
      <c r="E18" s="47">
        <v>1</v>
      </c>
      <c r="F18" s="47">
        <v>1</v>
      </c>
      <c r="G18" s="47">
        <v>1</v>
      </c>
      <c r="H18" s="47">
        <v>1</v>
      </c>
      <c r="I18" s="47">
        <v>1</v>
      </c>
      <c r="J18" s="47">
        <v>1</v>
      </c>
      <c r="K18" s="47">
        <v>1</v>
      </c>
      <c r="L18" s="47">
        <v>1</v>
      </c>
      <c r="M18" s="47">
        <v>1</v>
      </c>
      <c r="N18" s="48">
        <v>1</v>
      </c>
      <c r="O18" s="85">
        <v>1</v>
      </c>
      <c r="P18" s="85">
        <f t="shared" si="0"/>
        <v>30</v>
      </c>
      <c r="Q18" s="84">
        <f t="shared" si="5"/>
        <v>26490</v>
      </c>
      <c r="R18" s="80">
        <f t="shared" si="1"/>
        <v>317880</v>
      </c>
      <c r="S18" s="26" t="s">
        <v>3</v>
      </c>
      <c r="T18" s="72">
        <f>'MEP Budget-Y2'!N11</f>
        <v>1008</v>
      </c>
      <c r="U18" s="46">
        <v>1</v>
      </c>
      <c r="V18" s="47">
        <v>1</v>
      </c>
      <c r="W18" s="47">
        <v>1</v>
      </c>
      <c r="X18" s="47">
        <v>1</v>
      </c>
      <c r="Y18" s="47">
        <v>1</v>
      </c>
      <c r="Z18" s="47">
        <v>1</v>
      </c>
      <c r="AA18" s="47">
        <v>1</v>
      </c>
      <c r="AB18" s="47">
        <v>1</v>
      </c>
      <c r="AC18" s="47">
        <v>1</v>
      </c>
      <c r="AD18" s="47">
        <v>1</v>
      </c>
      <c r="AE18" s="47">
        <v>1</v>
      </c>
      <c r="AF18" s="48">
        <v>1</v>
      </c>
      <c r="AG18" s="85">
        <v>1</v>
      </c>
      <c r="AH18" s="85">
        <f t="shared" si="2"/>
        <v>30</v>
      </c>
      <c r="AI18" s="84">
        <f t="shared" si="3"/>
        <v>30240</v>
      </c>
      <c r="AJ18" s="80">
        <f t="shared" si="4"/>
        <v>362880</v>
      </c>
    </row>
    <row r="19" spans="1:36" ht="18.75" customHeight="1">
      <c r="A19" s="26" t="s">
        <v>4</v>
      </c>
      <c r="B19" s="72">
        <f>'MEP Budget-Y1'!N12</f>
        <v>500</v>
      </c>
      <c r="C19" s="46">
        <v>3</v>
      </c>
      <c r="D19" s="47">
        <v>3</v>
      </c>
      <c r="E19" s="47">
        <v>3</v>
      </c>
      <c r="F19" s="47">
        <v>3</v>
      </c>
      <c r="G19" s="47">
        <v>3</v>
      </c>
      <c r="H19" s="47">
        <v>3</v>
      </c>
      <c r="I19" s="47">
        <v>3</v>
      </c>
      <c r="J19" s="47">
        <v>3</v>
      </c>
      <c r="K19" s="47">
        <v>3</v>
      </c>
      <c r="L19" s="47">
        <v>3</v>
      </c>
      <c r="M19" s="47">
        <v>3</v>
      </c>
      <c r="N19" s="48">
        <v>3</v>
      </c>
      <c r="O19" s="85">
        <v>1</v>
      </c>
      <c r="P19" s="85">
        <f t="shared" si="0"/>
        <v>30</v>
      </c>
      <c r="Q19" s="84">
        <f t="shared" si="5"/>
        <v>45000</v>
      </c>
      <c r="R19" s="80">
        <f t="shared" si="1"/>
        <v>540000</v>
      </c>
      <c r="S19" s="26" t="s">
        <v>4</v>
      </c>
      <c r="T19" s="72">
        <f>'MEP Budget-Y2'!N12</f>
        <v>577</v>
      </c>
      <c r="U19" s="46">
        <v>5</v>
      </c>
      <c r="V19" s="47">
        <v>5</v>
      </c>
      <c r="W19" s="47">
        <v>5</v>
      </c>
      <c r="X19" s="47">
        <v>5</v>
      </c>
      <c r="Y19" s="47">
        <v>5</v>
      </c>
      <c r="Z19" s="47">
        <v>5</v>
      </c>
      <c r="AA19" s="47">
        <v>5</v>
      </c>
      <c r="AB19" s="47">
        <v>5</v>
      </c>
      <c r="AC19" s="47">
        <v>5</v>
      </c>
      <c r="AD19" s="47">
        <v>5</v>
      </c>
      <c r="AE19" s="47">
        <v>5</v>
      </c>
      <c r="AF19" s="48">
        <v>5</v>
      </c>
      <c r="AG19" s="85">
        <v>1</v>
      </c>
      <c r="AH19" s="85">
        <f t="shared" si="2"/>
        <v>30</v>
      </c>
      <c r="AI19" s="84">
        <f>T19*U19*AH19</f>
        <v>86550</v>
      </c>
      <c r="AJ19" s="80">
        <f t="shared" si="4"/>
        <v>1038600</v>
      </c>
    </row>
    <row r="20" spans="1:36" ht="18.75" customHeight="1">
      <c r="A20" s="26" t="s">
        <v>5</v>
      </c>
      <c r="B20" s="72">
        <f>'MEP Budget-Y1'!N13</f>
        <v>530</v>
      </c>
      <c r="C20" s="46">
        <v>1</v>
      </c>
      <c r="D20" s="47">
        <v>1</v>
      </c>
      <c r="E20" s="47">
        <v>1</v>
      </c>
      <c r="F20" s="47">
        <v>1</v>
      </c>
      <c r="G20" s="47">
        <v>1</v>
      </c>
      <c r="H20" s="47">
        <v>1</v>
      </c>
      <c r="I20" s="47">
        <v>1</v>
      </c>
      <c r="J20" s="47">
        <v>1</v>
      </c>
      <c r="K20" s="47">
        <v>1</v>
      </c>
      <c r="L20" s="47">
        <v>1</v>
      </c>
      <c r="M20" s="47">
        <v>1</v>
      </c>
      <c r="N20" s="48">
        <v>1</v>
      </c>
      <c r="O20" s="85">
        <v>1</v>
      </c>
      <c r="P20" s="85">
        <f t="shared" si="0"/>
        <v>30</v>
      </c>
      <c r="Q20" s="84">
        <f t="shared" si="5"/>
        <v>15900</v>
      </c>
      <c r="R20" s="80">
        <f t="shared" si="1"/>
        <v>190800</v>
      </c>
      <c r="S20" s="26" t="s">
        <v>5</v>
      </c>
      <c r="T20" s="72">
        <f>'MEP Budget-Y2'!N13</f>
        <v>604</v>
      </c>
      <c r="U20" s="46">
        <v>2</v>
      </c>
      <c r="V20" s="47">
        <v>2</v>
      </c>
      <c r="W20" s="47">
        <v>2</v>
      </c>
      <c r="X20" s="47">
        <v>2</v>
      </c>
      <c r="Y20" s="47">
        <v>2</v>
      </c>
      <c r="Z20" s="47">
        <v>2</v>
      </c>
      <c r="AA20" s="47">
        <v>2</v>
      </c>
      <c r="AB20" s="47">
        <v>2</v>
      </c>
      <c r="AC20" s="47">
        <v>2</v>
      </c>
      <c r="AD20" s="47">
        <v>2</v>
      </c>
      <c r="AE20" s="47">
        <v>2</v>
      </c>
      <c r="AF20" s="48">
        <v>2</v>
      </c>
      <c r="AG20" s="85">
        <v>1</v>
      </c>
      <c r="AH20" s="85">
        <f t="shared" si="2"/>
        <v>30</v>
      </c>
      <c r="AI20" s="84">
        <f t="shared" si="3"/>
        <v>36240</v>
      </c>
      <c r="AJ20" s="80">
        <f t="shared" si="4"/>
        <v>434880</v>
      </c>
    </row>
    <row r="21" spans="1:36" ht="18.75" customHeight="1">
      <c r="A21" s="26" t="s">
        <v>6</v>
      </c>
      <c r="B21" s="72">
        <f>'MEP Budget-Y1'!N14</f>
        <v>491</v>
      </c>
      <c r="C21" s="46">
        <v>3</v>
      </c>
      <c r="D21" s="47">
        <v>3</v>
      </c>
      <c r="E21" s="47">
        <v>3</v>
      </c>
      <c r="F21" s="47">
        <v>3</v>
      </c>
      <c r="G21" s="47">
        <v>3</v>
      </c>
      <c r="H21" s="47">
        <v>3</v>
      </c>
      <c r="I21" s="47">
        <v>3</v>
      </c>
      <c r="J21" s="47">
        <v>3</v>
      </c>
      <c r="K21" s="47">
        <v>3</v>
      </c>
      <c r="L21" s="47">
        <v>3</v>
      </c>
      <c r="M21" s="47">
        <v>3</v>
      </c>
      <c r="N21" s="48">
        <v>3</v>
      </c>
      <c r="O21" s="85">
        <v>1</v>
      </c>
      <c r="P21" s="85">
        <f t="shared" si="0"/>
        <v>30</v>
      </c>
      <c r="Q21" s="84">
        <f t="shared" si="5"/>
        <v>44190</v>
      </c>
      <c r="R21" s="80">
        <f t="shared" si="1"/>
        <v>530280</v>
      </c>
      <c r="S21" s="26" t="s">
        <v>6</v>
      </c>
      <c r="T21" s="72">
        <f>'MEP Budget-Y2'!N14</f>
        <v>567</v>
      </c>
      <c r="U21" s="46">
        <v>5</v>
      </c>
      <c r="V21" s="47">
        <v>5</v>
      </c>
      <c r="W21" s="47">
        <v>5</v>
      </c>
      <c r="X21" s="47">
        <v>5</v>
      </c>
      <c r="Y21" s="47">
        <v>5</v>
      </c>
      <c r="Z21" s="47">
        <v>5</v>
      </c>
      <c r="AA21" s="47">
        <v>5</v>
      </c>
      <c r="AB21" s="47">
        <v>5</v>
      </c>
      <c r="AC21" s="47">
        <v>5</v>
      </c>
      <c r="AD21" s="47">
        <v>5</v>
      </c>
      <c r="AE21" s="47">
        <v>5</v>
      </c>
      <c r="AF21" s="48">
        <v>5</v>
      </c>
      <c r="AG21" s="85">
        <v>1</v>
      </c>
      <c r="AH21" s="85">
        <f t="shared" si="2"/>
        <v>30</v>
      </c>
      <c r="AI21" s="84">
        <f t="shared" si="3"/>
        <v>85050</v>
      </c>
      <c r="AJ21" s="80">
        <f t="shared" si="4"/>
        <v>1020600</v>
      </c>
    </row>
    <row r="22" spans="1:36" ht="18.75" customHeight="1">
      <c r="A22" s="26" t="s">
        <v>7</v>
      </c>
      <c r="B22" s="72">
        <f>'MEP Budget-Y1'!N15</f>
        <v>545</v>
      </c>
      <c r="C22" s="46">
        <v>1</v>
      </c>
      <c r="D22" s="47">
        <v>1</v>
      </c>
      <c r="E22" s="47">
        <v>1</v>
      </c>
      <c r="F22" s="47">
        <v>1</v>
      </c>
      <c r="G22" s="47">
        <v>1</v>
      </c>
      <c r="H22" s="47">
        <v>1</v>
      </c>
      <c r="I22" s="47">
        <v>1</v>
      </c>
      <c r="J22" s="47">
        <v>1</v>
      </c>
      <c r="K22" s="47">
        <v>1</v>
      </c>
      <c r="L22" s="47">
        <v>1</v>
      </c>
      <c r="M22" s="47">
        <v>1</v>
      </c>
      <c r="N22" s="48">
        <v>1</v>
      </c>
      <c r="O22" s="85">
        <v>1</v>
      </c>
      <c r="P22" s="85">
        <f t="shared" si="0"/>
        <v>30</v>
      </c>
      <c r="Q22" s="84">
        <f t="shared" si="5"/>
        <v>16350</v>
      </c>
      <c r="R22" s="80">
        <f t="shared" si="1"/>
        <v>196200</v>
      </c>
      <c r="S22" s="26" t="s">
        <v>7</v>
      </c>
      <c r="T22" s="72">
        <f>'MEP Budget-Y2'!N15</f>
        <v>621</v>
      </c>
      <c r="U22" s="46">
        <v>1</v>
      </c>
      <c r="V22" s="47">
        <v>1</v>
      </c>
      <c r="W22" s="47">
        <v>1</v>
      </c>
      <c r="X22" s="47">
        <v>1</v>
      </c>
      <c r="Y22" s="47">
        <v>1</v>
      </c>
      <c r="Z22" s="47">
        <v>1</v>
      </c>
      <c r="AA22" s="47">
        <v>1</v>
      </c>
      <c r="AB22" s="47">
        <v>1</v>
      </c>
      <c r="AC22" s="47">
        <v>1</v>
      </c>
      <c r="AD22" s="47">
        <v>1</v>
      </c>
      <c r="AE22" s="47">
        <v>1</v>
      </c>
      <c r="AF22" s="48">
        <v>1</v>
      </c>
      <c r="AG22" s="85">
        <v>1</v>
      </c>
      <c r="AH22" s="85">
        <f t="shared" si="2"/>
        <v>30</v>
      </c>
      <c r="AI22" s="84">
        <f t="shared" si="3"/>
        <v>18630</v>
      </c>
      <c r="AJ22" s="80">
        <f t="shared" si="4"/>
        <v>223560</v>
      </c>
    </row>
    <row r="23" spans="1:36" ht="18.75" customHeight="1">
      <c r="A23" s="26" t="s">
        <v>8</v>
      </c>
      <c r="B23" s="72">
        <f>'MEP Budget-Y1'!N16</f>
        <v>744</v>
      </c>
      <c r="C23" s="46">
        <v>1</v>
      </c>
      <c r="D23" s="47">
        <v>1</v>
      </c>
      <c r="E23" s="47">
        <v>1</v>
      </c>
      <c r="F23" s="47">
        <v>1</v>
      </c>
      <c r="G23" s="47">
        <v>1</v>
      </c>
      <c r="H23" s="47">
        <v>1</v>
      </c>
      <c r="I23" s="47">
        <v>1</v>
      </c>
      <c r="J23" s="47">
        <v>1</v>
      </c>
      <c r="K23" s="47">
        <v>1</v>
      </c>
      <c r="L23" s="47">
        <v>1</v>
      </c>
      <c r="M23" s="47">
        <v>1</v>
      </c>
      <c r="N23" s="48">
        <v>1</v>
      </c>
      <c r="O23" s="85">
        <v>1</v>
      </c>
      <c r="P23" s="85">
        <f t="shared" si="0"/>
        <v>30</v>
      </c>
      <c r="Q23" s="84">
        <f t="shared" si="5"/>
        <v>22320</v>
      </c>
      <c r="R23" s="80">
        <f t="shared" si="1"/>
        <v>267840</v>
      </c>
      <c r="S23" s="26" t="s">
        <v>8</v>
      </c>
      <c r="T23" s="72">
        <f>'MEP Budget-Y2'!N16</f>
        <v>849</v>
      </c>
      <c r="U23" s="46">
        <v>1</v>
      </c>
      <c r="V23" s="47">
        <v>1</v>
      </c>
      <c r="W23" s="47">
        <v>1</v>
      </c>
      <c r="X23" s="47">
        <v>1</v>
      </c>
      <c r="Y23" s="47">
        <v>1</v>
      </c>
      <c r="Z23" s="47">
        <v>1</v>
      </c>
      <c r="AA23" s="47">
        <v>1</v>
      </c>
      <c r="AB23" s="47">
        <v>1</v>
      </c>
      <c r="AC23" s="47">
        <v>1</v>
      </c>
      <c r="AD23" s="47">
        <v>1</v>
      </c>
      <c r="AE23" s="47">
        <v>1</v>
      </c>
      <c r="AF23" s="48">
        <v>1</v>
      </c>
      <c r="AG23" s="85">
        <v>1</v>
      </c>
      <c r="AH23" s="85">
        <f t="shared" si="2"/>
        <v>30</v>
      </c>
      <c r="AI23" s="84">
        <f t="shared" si="3"/>
        <v>25470</v>
      </c>
      <c r="AJ23" s="80">
        <f t="shared" si="4"/>
        <v>305640</v>
      </c>
    </row>
    <row r="24" spans="1:36" ht="18.75" customHeight="1">
      <c r="A24" s="26" t="s">
        <v>9</v>
      </c>
      <c r="B24" s="72">
        <f>'MEP Budget-Y1'!N17</f>
        <v>514</v>
      </c>
      <c r="C24" s="46">
        <v>1</v>
      </c>
      <c r="D24" s="47">
        <v>1</v>
      </c>
      <c r="E24" s="47">
        <v>1</v>
      </c>
      <c r="F24" s="47">
        <v>1</v>
      </c>
      <c r="G24" s="47">
        <v>1</v>
      </c>
      <c r="H24" s="47">
        <v>1</v>
      </c>
      <c r="I24" s="47">
        <v>1</v>
      </c>
      <c r="J24" s="47">
        <v>1</v>
      </c>
      <c r="K24" s="47">
        <v>1</v>
      </c>
      <c r="L24" s="47">
        <v>1</v>
      </c>
      <c r="M24" s="47">
        <v>1</v>
      </c>
      <c r="N24" s="48">
        <v>1</v>
      </c>
      <c r="O24" s="85">
        <v>1</v>
      </c>
      <c r="P24" s="85">
        <f t="shared" si="0"/>
        <v>30</v>
      </c>
      <c r="Q24" s="84">
        <f t="shared" si="5"/>
        <v>15420</v>
      </c>
      <c r="R24" s="80">
        <f t="shared" si="1"/>
        <v>185040</v>
      </c>
      <c r="S24" s="26" t="s">
        <v>9</v>
      </c>
      <c r="T24" s="72">
        <f>'MEP Budget-Y2'!N17</f>
        <v>587</v>
      </c>
      <c r="U24" s="46">
        <v>2</v>
      </c>
      <c r="V24" s="47">
        <v>2</v>
      </c>
      <c r="W24" s="47">
        <v>2</v>
      </c>
      <c r="X24" s="47">
        <v>2</v>
      </c>
      <c r="Y24" s="47">
        <v>2</v>
      </c>
      <c r="Z24" s="47">
        <v>2</v>
      </c>
      <c r="AA24" s="47">
        <v>2</v>
      </c>
      <c r="AB24" s="47">
        <v>2</v>
      </c>
      <c r="AC24" s="47">
        <v>2</v>
      </c>
      <c r="AD24" s="47">
        <v>2</v>
      </c>
      <c r="AE24" s="47">
        <v>2</v>
      </c>
      <c r="AF24" s="48">
        <v>2</v>
      </c>
      <c r="AG24" s="85">
        <v>1</v>
      </c>
      <c r="AH24" s="85">
        <f t="shared" si="2"/>
        <v>30</v>
      </c>
      <c r="AI24" s="84">
        <f t="shared" si="3"/>
        <v>35220</v>
      </c>
      <c r="AJ24" s="80">
        <f t="shared" si="4"/>
        <v>422640</v>
      </c>
    </row>
    <row r="25" spans="1:36" ht="18.75" customHeight="1">
      <c r="A25" s="26" t="s">
        <v>10</v>
      </c>
      <c r="B25" s="72">
        <f>'MEP Budget-Y1'!N18</f>
        <v>514</v>
      </c>
      <c r="C25" s="46">
        <v>1</v>
      </c>
      <c r="D25" s="47">
        <v>1</v>
      </c>
      <c r="E25" s="47">
        <v>1</v>
      </c>
      <c r="F25" s="47">
        <v>1</v>
      </c>
      <c r="G25" s="47">
        <v>1</v>
      </c>
      <c r="H25" s="47">
        <v>1</v>
      </c>
      <c r="I25" s="47">
        <v>1</v>
      </c>
      <c r="J25" s="47">
        <v>1</v>
      </c>
      <c r="K25" s="47">
        <v>1</v>
      </c>
      <c r="L25" s="47">
        <v>1</v>
      </c>
      <c r="M25" s="47">
        <v>1</v>
      </c>
      <c r="N25" s="48">
        <v>1</v>
      </c>
      <c r="O25" s="85">
        <v>1</v>
      </c>
      <c r="P25" s="85">
        <f t="shared" si="0"/>
        <v>30</v>
      </c>
      <c r="Q25" s="84">
        <f t="shared" si="5"/>
        <v>15420</v>
      </c>
      <c r="R25" s="80">
        <f t="shared" si="1"/>
        <v>185040</v>
      </c>
      <c r="S25" s="26" t="s">
        <v>10</v>
      </c>
      <c r="T25" s="72">
        <f>'MEP Budget-Y2'!N18</f>
        <v>587</v>
      </c>
      <c r="U25" s="46">
        <v>2</v>
      </c>
      <c r="V25" s="47">
        <v>2</v>
      </c>
      <c r="W25" s="47">
        <v>2</v>
      </c>
      <c r="X25" s="47">
        <v>2</v>
      </c>
      <c r="Y25" s="47">
        <v>2</v>
      </c>
      <c r="Z25" s="47">
        <v>2</v>
      </c>
      <c r="AA25" s="47">
        <v>2</v>
      </c>
      <c r="AB25" s="47">
        <v>2</v>
      </c>
      <c r="AC25" s="47">
        <v>2</v>
      </c>
      <c r="AD25" s="47">
        <v>2</v>
      </c>
      <c r="AE25" s="47">
        <v>2</v>
      </c>
      <c r="AF25" s="48">
        <v>2</v>
      </c>
      <c r="AG25" s="85">
        <v>1</v>
      </c>
      <c r="AH25" s="85">
        <f t="shared" si="2"/>
        <v>30</v>
      </c>
      <c r="AI25" s="84">
        <f t="shared" si="3"/>
        <v>35220</v>
      </c>
      <c r="AJ25" s="80">
        <f t="shared" si="4"/>
        <v>422640</v>
      </c>
    </row>
    <row r="26" spans="1:36" ht="18.75" customHeight="1">
      <c r="A26" s="26" t="s">
        <v>11</v>
      </c>
      <c r="B26" s="72">
        <f>'MEP Budget-Y1'!N19</f>
        <v>450</v>
      </c>
      <c r="C26" s="46">
        <v>4</v>
      </c>
      <c r="D26" s="47">
        <v>4</v>
      </c>
      <c r="E26" s="47">
        <v>4</v>
      </c>
      <c r="F26" s="47">
        <v>4</v>
      </c>
      <c r="G26" s="47">
        <v>4</v>
      </c>
      <c r="H26" s="47">
        <v>4</v>
      </c>
      <c r="I26" s="47">
        <v>4</v>
      </c>
      <c r="J26" s="47">
        <v>4</v>
      </c>
      <c r="K26" s="47">
        <v>4</v>
      </c>
      <c r="L26" s="47">
        <v>4</v>
      </c>
      <c r="M26" s="47">
        <v>4</v>
      </c>
      <c r="N26" s="48">
        <v>4</v>
      </c>
      <c r="O26" s="85">
        <v>1</v>
      </c>
      <c r="P26" s="85">
        <f t="shared" si="0"/>
        <v>30</v>
      </c>
      <c r="Q26" s="84">
        <f t="shared" si="5"/>
        <v>54000</v>
      </c>
      <c r="R26" s="80">
        <f t="shared" si="1"/>
        <v>648000</v>
      </c>
      <c r="S26" s="26" t="s">
        <v>11</v>
      </c>
      <c r="T26" s="72">
        <f>'MEP Budget-Y2'!N19</f>
        <v>510</v>
      </c>
      <c r="U26" s="46">
        <v>6</v>
      </c>
      <c r="V26" s="47">
        <v>6</v>
      </c>
      <c r="W26" s="47">
        <v>6</v>
      </c>
      <c r="X26" s="47">
        <v>6</v>
      </c>
      <c r="Y26" s="47">
        <v>6</v>
      </c>
      <c r="Z26" s="47">
        <v>6</v>
      </c>
      <c r="AA26" s="47">
        <v>6</v>
      </c>
      <c r="AB26" s="47">
        <v>6</v>
      </c>
      <c r="AC26" s="47">
        <v>6</v>
      </c>
      <c r="AD26" s="47">
        <v>6</v>
      </c>
      <c r="AE26" s="47">
        <v>6</v>
      </c>
      <c r="AF26" s="48">
        <v>6</v>
      </c>
      <c r="AG26" s="85">
        <v>1</v>
      </c>
      <c r="AH26" s="85">
        <f t="shared" si="2"/>
        <v>30</v>
      </c>
      <c r="AI26" s="84">
        <f t="shared" si="3"/>
        <v>91800</v>
      </c>
      <c r="AJ26" s="80">
        <f t="shared" si="4"/>
        <v>1101600</v>
      </c>
    </row>
    <row r="27" spans="1:36" ht="18.75" customHeight="1">
      <c r="A27" s="26" t="s">
        <v>45</v>
      </c>
      <c r="B27" s="72">
        <f>'MEP Budget-Y1'!N20</f>
        <v>998</v>
      </c>
      <c r="C27" s="46">
        <v>1</v>
      </c>
      <c r="D27" s="47">
        <v>1</v>
      </c>
      <c r="E27" s="47">
        <v>1</v>
      </c>
      <c r="F27" s="47">
        <v>1</v>
      </c>
      <c r="G27" s="47">
        <v>1</v>
      </c>
      <c r="H27" s="47">
        <v>1</v>
      </c>
      <c r="I27" s="47">
        <v>1</v>
      </c>
      <c r="J27" s="47">
        <v>1</v>
      </c>
      <c r="K27" s="47">
        <v>1</v>
      </c>
      <c r="L27" s="47">
        <v>1</v>
      </c>
      <c r="M27" s="47">
        <v>1</v>
      </c>
      <c r="N27" s="48">
        <v>1</v>
      </c>
      <c r="O27" s="85">
        <v>1</v>
      </c>
      <c r="P27" s="85">
        <f t="shared" si="0"/>
        <v>30</v>
      </c>
      <c r="Q27" s="84">
        <f t="shared" si="5"/>
        <v>29940</v>
      </c>
      <c r="R27" s="80">
        <f t="shared" si="1"/>
        <v>359280</v>
      </c>
      <c r="S27" s="26" t="s">
        <v>45</v>
      </c>
      <c r="T27" s="72">
        <f>'MEP Budget-Y2'!N20</f>
        <v>1139</v>
      </c>
      <c r="U27" s="46">
        <v>1</v>
      </c>
      <c r="V27" s="47">
        <v>1</v>
      </c>
      <c r="W27" s="47">
        <v>1</v>
      </c>
      <c r="X27" s="47">
        <v>1</v>
      </c>
      <c r="Y27" s="47">
        <v>1</v>
      </c>
      <c r="Z27" s="47">
        <v>1</v>
      </c>
      <c r="AA27" s="47">
        <v>1</v>
      </c>
      <c r="AB27" s="47">
        <v>1</v>
      </c>
      <c r="AC27" s="47">
        <v>1</v>
      </c>
      <c r="AD27" s="47">
        <v>1</v>
      </c>
      <c r="AE27" s="47">
        <v>1</v>
      </c>
      <c r="AF27" s="48">
        <v>1</v>
      </c>
      <c r="AG27" s="85">
        <v>1</v>
      </c>
      <c r="AH27" s="85">
        <f t="shared" si="2"/>
        <v>30</v>
      </c>
      <c r="AI27" s="84">
        <f t="shared" si="3"/>
        <v>34170</v>
      </c>
      <c r="AJ27" s="80">
        <f t="shared" si="4"/>
        <v>410040</v>
      </c>
    </row>
    <row r="28" spans="1:36" ht="18.75" customHeight="1">
      <c r="A28" s="26" t="s">
        <v>42</v>
      </c>
      <c r="B28" s="72">
        <f>'MEP Budget-Y1'!N21</f>
        <v>726</v>
      </c>
      <c r="C28" s="46">
        <v>1</v>
      </c>
      <c r="D28" s="47">
        <v>1</v>
      </c>
      <c r="E28" s="47">
        <v>1</v>
      </c>
      <c r="F28" s="47">
        <v>1</v>
      </c>
      <c r="G28" s="47">
        <v>1</v>
      </c>
      <c r="H28" s="47">
        <v>1</v>
      </c>
      <c r="I28" s="47">
        <v>1</v>
      </c>
      <c r="J28" s="47">
        <v>1</v>
      </c>
      <c r="K28" s="47">
        <v>1</v>
      </c>
      <c r="L28" s="47">
        <v>1</v>
      </c>
      <c r="M28" s="47">
        <v>1</v>
      </c>
      <c r="N28" s="48">
        <v>1</v>
      </c>
      <c r="O28" s="85">
        <v>1</v>
      </c>
      <c r="P28" s="85">
        <f t="shared" si="0"/>
        <v>30</v>
      </c>
      <c r="Q28" s="84">
        <f t="shared" si="5"/>
        <v>21780</v>
      </c>
      <c r="R28" s="80">
        <f t="shared" si="1"/>
        <v>261360</v>
      </c>
      <c r="S28" s="26" t="s">
        <v>42</v>
      </c>
      <c r="T28" s="72">
        <f>'MEP Budget-Y2'!N21</f>
        <v>828</v>
      </c>
      <c r="U28" s="46">
        <v>1</v>
      </c>
      <c r="V28" s="47">
        <v>1</v>
      </c>
      <c r="W28" s="47">
        <v>1</v>
      </c>
      <c r="X28" s="47">
        <v>1</v>
      </c>
      <c r="Y28" s="47">
        <v>1</v>
      </c>
      <c r="Z28" s="47">
        <v>1</v>
      </c>
      <c r="AA28" s="47">
        <v>1</v>
      </c>
      <c r="AB28" s="47">
        <v>1</v>
      </c>
      <c r="AC28" s="47">
        <v>1</v>
      </c>
      <c r="AD28" s="47">
        <v>1</v>
      </c>
      <c r="AE28" s="47">
        <v>1</v>
      </c>
      <c r="AF28" s="48">
        <v>1</v>
      </c>
      <c r="AG28" s="85">
        <v>1</v>
      </c>
      <c r="AH28" s="85">
        <f t="shared" si="2"/>
        <v>30</v>
      </c>
      <c r="AI28" s="84">
        <f t="shared" si="3"/>
        <v>24840</v>
      </c>
      <c r="AJ28" s="80">
        <f t="shared" si="4"/>
        <v>298080</v>
      </c>
    </row>
    <row r="29" spans="1:36" ht="18.75" customHeight="1">
      <c r="A29" s="26" t="s">
        <v>46</v>
      </c>
      <c r="B29" s="72">
        <f>'MEP Budget-Y1'!N22</f>
        <v>726</v>
      </c>
      <c r="C29" s="46">
        <v>1</v>
      </c>
      <c r="D29" s="47">
        <v>1</v>
      </c>
      <c r="E29" s="47">
        <v>1</v>
      </c>
      <c r="F29" s="47">
        <v>1</v>
      </c>
      <c r="G29" s="47">
        <v>1</v>
      </c>
      <c r="H29" s="47">
        <v>1</v>
      </c>
      <c r="I29" s="47">
        <v>1</v>
      </c>
      <c r="J29" s="47">
        <v>1</v>
      </c>
      <c r="K29" s="47">
        <v>1</v>
      </c>
      <c r="L29" s="47">
        <v>1</v>
      </c>
      <c r="M29" s="47">
        <v>1</v>
      </c>
      <c r="N29" s="48">
        <v>1</v>
      </c>
      <c r="O29" s="85">
        <v>1</v>
      </c>
      <c r="P29" s="85">
        <f t="shared" si="0"/>
        <v>30</v>
      </c>
      <c r="Q29" s="84">
        <f t="shared" si="5"/>
        <v>21780</v>
      </c>
      <c r="R29" s="80">
        <f t="shared" si="1"/>
        <v>261360</v>
      </c>
      <c r="S29" s="26" t="s">
        <v>46</v>
      </c>
      <c r="T29" s="72">
        <f>'MEP Budget-Y2'!N22</f>
        <v>828</v>
      </c>
      <c r="U29" s="46">
        <v>1</v>
      </c>
      <c r="V29" s="47">
        <v>1</v>
      </c>
      <c r="W29" s="47">
        <v>1</v>
      </c>
      <c r="X29" s="47">
        <v>1</v>
      </c>
      <c r="Y29" s="47">
        <v>1</v>
      </c>
      <c r="Z29" s="47">
        <v>1</v>
      </c>
      <c r="AA29" s="47">
        <v>1</v>
      </c>
      <c r="AB29" s="47">
        <v>1</v>
      </c>
      <c r="AC29" s="47">
        <v>1</v>
      </c>
      <c r="AD29" s="47">
        <v>1</v>
      </c>
      <c r="AE29" s="47">
        <v>1</v>
      </c>
      <c r="AF29" s="48">
        <v>1</v>
      </c>
      <c r="AG29" s="85">
        <v>1</v>
      </c>
      <c r="AH29" s="85">
        <f t="shared" si="2"/>
        <v>30</v>
      </c>
      <c r="AI29" s="84">
        <f t="shared" si="3"/>
        <v>24840</v>
      </c>
      <c r="AJ29" s="80">
        <f t="shared" si="4"/>
        <v>298080</v>
      </c>
    </row>
    <row r="30" spans="1:36" ht="18.75" customHeight="1">
      <c r="A30" s="26" t="s">
        <v>154</v>
      </c>
      <c r="B30" s="72">
        <f>'MEP Budget-Y1'!N23</f>
        <v>3628</v>
      </c>
      <c r="C30" s="46">
        <v>1</v>
      </c>
      <c r="D30" s="47">
        <v>1</v>
      </c>
      <c r="E30" s="47">
        <v>1</v>
      </c>
      <c r="F30" s="47">
        <v>1</v>
      </c>
      <c r="G30" s="47">
        <v>1</v>
      </c>
      <c r="H30" s="47">
        <v>1</v>
      </c>
      <c r="I30" s="47">
        <v>1</v>
      </c>
      <c r="J30" s="47">
        <v>1</v>
      </c>
      <c r="K30" s="47">
        <v>1</v>
      </c>
      <c r="L30" s="47">
        <v>1</v>
      </c>
      <c r="M30" s="47">
        <v>1</v>
      </c>
      <c r="N30" s="48">
        <v>1</v>
      </c>
      <c r="O30" s="86">
        <v>1</v>
      </c>
      <c r="P30" s="86">
        <f t="shared" si="0"/>
        <v>30</v>
      </c>
      <c r="Q30" s="84">
        <f t="shared" si="5"/>
        <v>108840</v>
      </c>
      <c r="R30" s="81">
        <f t="shared" si="1"/>
        <v>1306080</v>
      </c>
      <c r="S30" s="26" t="s">
        <v>154</v>
      </c>
      <c r="T30" s="72">
        <f>'MEP Budget-Y2'!N23</f>
        <v>4140</v>
      </c>
      <c r="U30" s="46">
        <v>1</v>
      </c>
      <c r="V30" s="47">
        <v>1</v>
      </c>
      <c r="W30" s="47">
        <v>1</v>
      </c>
      <c r="X30" s="47">
        <v>1</v>
      </c>
      <c r="Y30" s="47">
        <v>1</v>
      </c>
      <c r="Z30" s="47">
        <v>1</v>
      </c>
      <c r="AA30" s="47">
        <v>1</v>
      </c>
      <c r="AB30" s="47">
        <v>1</v>
      </c>
      <c r="AC30" s="47">
        <v>1</v>
      </c>
      <c r="AD30" s="47">
        <v>1</v>
      </c>
      <c r="AE30" s="47">
        <v>1</v>
      </c>
      <c r="AF30" s="48">
        <v>1</v>
      </c>
      <c r="AG30" s="86">
        <v>1</v>
      </c>
      <c r="AH30" s="86">
        <f t="shared" si="2"/>
        <v>30</v>
      </c>
      <c r="AI30" s="84">
        <f t="shared" si="3"/>
        <v>124200</v>
      </c>
      <c r="AJ30" s="80">
        <f t="shared" si="4"/>
        <v>1490400</v>
      </c>
    </row>
    <row r="31" spans="1:36" ht="32.1" customHeight="1">
      <c r="A31" s="28" t="s">
        <v>55</v>
      </c>
      <c r="B31" s="473">
        <f>SUM(R14:R30)</f>
        <v>7322040</v>
      </c>
      <c r="C31" s="474"/>
      <c r="D31" s="474"/>
      <c r="E31" s="474"/>
      <c r="F31" s="474"/>
      <c r="G31" s="474"/>
      <c r="H31" s="474"/>
      <c r="I31" s="474"/>
      <c r="J31" s="474"/>
      <c r="K31" s="474"/>
      <c r="L31" s="474"/>
      <c r="M31" s="474"/>
      <c r="N31" s="474"/>
      <c r="O31" s="474"/>
      <c r="P31" s="474"/>
      <c r="Q31" s="474"/>
      <c r="R31" s="474"/>
      <c r="S31" s="28" t="s">
        <v>63</v>
      </c>
      <c r="T31" s="473">
        <f>SUM(AJ14:AJ30)</f>
        <v>11566440</v>
      </c>
      <c r="U31" s="474"/>
      <c r="V31" s="474"/>
      <c r="W31" s="474"/>
      <c r="X31" s="474"/>
      <c r="Y31" s="474"/>
      <c r="Z31" s="474"/>
      <c r="AA31" s="474"/>
      <c r="AB31" s="474"/>
      <c r="AC31" s="474"/>
      <c r="AD31" s="474"/>
      <c r="AE31" s="474"/>
      <c r="AF31" s="474"/>
      <c r="AG31" s="474"/>
      <c r="AH31" s="474"/>
      <c r="AI31" s="474"/>
      <c r="AJ31" s="489"/>
    </row>
    <row r="32" spans="1:36" ht="18.75" customHeight="1">
      <c r="A32" s="29"/>
      <c r="B32" s="64"/>
      <c r="C32" s="30"/>
      <c r="D32" s="30"/>
      <c r="E32" s="30"/>
      <c r="F32" s="30"/>
      <c r="G32" s="30"/>
      <c r="H32" s="30"/>
      <c r="I32" s="30"/>
      <c r="J32" s="30" t="s">
        <v>138</v>
      </c>
      <c r="K32" s="30"/>
      <c r="L32" s="30"/>
      <c r="M32" s="30"/>
      <c r="N32" s="30"/>
      <c r="O32" s="69"/>
      <c r="P32" s="69"/>
      <c r="Q32" s="64"/>
      <c r="R32" s="64"/>
      <c r="S32" s="29"/>
      <c r="T32" s="64"/>
      <c r="U32" s="30"/>
      <c r="V32" s="30"/>
      <c r="W32" s="30"/>
      <c r="X32" s="30"/>
      <c r="Y32" s="30"/>
      <c r="Z32" s="30"/>
      <c r="AA32" s="30"/>
      <c r="AB32" s="30" t="s">
        <v>54</v>
      </c>
      <c r="AC32" s="30"/>
      <c r="AD32" s="30"/>
      <c r="AE32" s="30"/>
      <c r="AF32" s="30"/>
      <c r="AG32" s="69"/>
      <c r="AH32" s="69"/>
      <c r="AI32" s="64"/>
      <c r="AJ32" s="64"/>
    </row>
    <row r="33" spans="1:36" ht="18.75" customHeight="1">
      <c r="A33" s="26" t="s">
        <v>16</v>
      </c>
      <c r="B33" s="72">
        <f>'HK &amp; Waste Management-Y1'!N7</f>
        <v>895</v>
      </c>
      <c r="C33" s="31">
        <v>2</v>
      </c>
      <c r="D33" s="32">
        <v>2</v>
      </c>
      <c r="E33" s="32">
        <v>2</v>
      </c>
      <c r="F33" s="32">
        <v>2</v>
      </c>
      <c r="G33" s="32">
        <v>2</v>
      </c>
      <c r="H33" s="32">
        <v>2</v>
      </c>
      <c r="I33" s="32">
        <v>2</v>
      </c>
      <c r="J33" s="32">
        <v>2</v>
      </c>
      <c r="K33" s="32">
        <v>2</v>
      </c>
      <c r="L33" s="32">
        <v>2</v>
      </c>
      <c r="M33" s="32">
        <v>2</v>
      </c>
      <c r="N33" s="33">
        <v>2</v>
      </c>
      <c r="O33" s="83">
        <v>1</v>
      </c>
      <c r="P33" s="83">
        <f>O33*30</f>
        <v>30</v>
      </c>
      <c r="Q33" s="84">
        <f>B33*C33*P33</f>
        <v>53700</v>
      </c>
      <c r="R33" s="79">
        <f>B33*SUM(C33:N33)*P33</f>
        <v>644400</v>
      </c>
      <c r="S33" s="26" t="s">
        <v>16</v>
      </c>
      <c r="T33" s="72">
        <f>'HK &amp; Waste Management-Y2'!N7</f>
        <v>955</v>
      </c>
      <c r="U33" s="46">
        <v>4</v>
      </c>
      <c r="V33" s="47">
        <v>4</v>
      </c>
      <c r="W33" s="47">
        <v>4</v>
      </c>
      <c r="X33" s="47">
        <v>4</v>
      </c>
      <c r="Y33" s="47">
        <v>4</v>
      </c>
      <c r="Z33" s="47">
        <v>4</v>
      </c>
      <c r="AA33" s="47">
        <v>4</v>
      </c>
      <c r="AB33" s="47">
        <v>4</v>
      </c>
      <c r="AC33" s="47">
        <v>4</v>
      </c>
      <c r="AD33" s="47">
        <v>4</v>
      </c>
      <c r="AE33" s="47">
        <v>4</v>
      </c>
      <c r="AF33" s="47">
        <v>4</v>
      </c>
      <c r="AG33" s="83">
        <v>1</v>
      </c>
      <c r="AH33" s="83">
        <f>AG33*30</f>
        <v>30</v>
      </c>
      <c r="AI33" s="84">
        <f>T33*U33*AH33</f>
        <v>114600</v>
      </c>
      <c r="AJ33" s="80">
        <f>T33*SUM(U33:AF33)*AH33</f>
        <v>1375200</v>
      </c>
    </row>
    <row r="34" spans="1:36" ht="18.75" customHeight="1">
      <c r="A34" s="26" t="s">
        <v>17</v>
      </c>
      <c r="B34" s="72">
        <f>'HK &amp; Waste Management-Y1'!N8</f>
        <v>392</v>
      </c>
      <c r="C34" s="46">
        <v>20</v>
      </c>
      <c r="D34" s="47">
        <v>20</v>
      </c>
      <c r="E34" s="47">
        <v>20</v>
      </c>
      <c r="F34" s="47">
        <v>20</v>
      </c>
      <c r="G34" s="47">
        <v>20</v>
      </c>
      <c r="H34" s="47">
        <v>20</v>
      </c>
      <c r="I34" s="47">
        <v>20</v>
      </c>
      <c r="J34" s="47">
        <v>20</v>
      </c>
      <c r="K34" s="47">
        <v>20</v>
      </c>
      <c r="L34" s="47">
        <v>20</v>
      </c>
      <c r="M34" s="47">
        <v>20</v>
      </c>
      <c r="N34" s="48">
        <v>20</v>
      </c>
      <c r="O34" s="85">
        <v>1</v>
      </c>
      <c r="P34" s="85">
        <f>O34*30</f>
        <v>30</v>
      </c>
      <c r="Q34" s="84">
        <f>B34*C34*P34</f>
        <v>235200</v>
      </c>
      <c r="R34" s="80">
        <f>B34*SUM(C34:N34)*P34</f>
        <v>2822400</v>
      </c>
      <c r="S34" s="26" t="s">
        <v>17</v>
      </c>
      <c r="T34" s="72">
        <f>'HK &amp; Waste Management-Y2'!N8</f>
        <v>430</v>
      </c>
      <c r="U34" s="46">
        <v>40</v>
      </c>
      <c r="V34" s="47">
        <v>40</v>
      </c>
      <c r="W34" s="47">
        <v>40</v>
      </c>
      <c r="X34" s="47">
        <v>40</v>
      </c>
      <c r="Y34" s="47">
        <v>40</v>
      </c>
      <c r="Z34" s="47">
        <v>40</v>
      </c>
      <c r="AA34" s="47">
        <v>40</v>
      </c>
      <c r="AB34" s="47">
        <v>40</v>
      </c>
      <c r="AC34" s="47">
        <v>40</v>
      </c>
      <c r="AD34" s="47">
        <v>40</v>
      </c>
      <c r="AE34" s="47">
        <v>40</v>
      </c>
      <c r="AF34" s="47">
        <v>40</v>
      </c>
      <c r="AG34" s="85">
        <v>1</v>
      </c>
      <c r="AH34" s="85">
        <f>AG34*30</f>
        <v>30</v>
      </c>
      <c r="AI34" s="84">
        <f>T34*U34*AH34</f>
        <v>516000</v>
      </c>
      <c r="AJ34" s="80">
        <f>T34*SUM(U34:AF34)*AH34</f>
        <v>6192000</v>
      </c>
    </row>
    <row r="35" spans="1:36" ht="18.75" customHeight="1">
      <c r="A35" s="26" t="s">
        <v>137</v>
      </c>
      <c r="B35" s="72">
        <f>'HK &amp; Waste Management-Y1'!N9</f>
        <v>7667</v>
      </c>
      <c r="C35" s="46">
        <v>1</v>
      </c>
      <c r="D35" s="47">
        <v>1</v>
      </c>
      <c r="E35" s="47">
        <v>1</v>
      </c>
      <c r="F35" s="47">
        <v>1</v>
      </c>
      <c r="G35" s="47">
        <v>1</v>
      </c>
      <c r="H35" s="47">
        <v>1</v>
      </c>
      <c r="I35" s="47">
        <v>1</v>
      </c>
      <c r="J35" s="47">
        <v>1</v>
      </c>
      <c r="K35" s="47">
        <v>1</v>
      </c>
      <c r="L35" s="47">
        <v>1</v>
      </c>
      <c r="M35" s="47">
        <v>1</v>
      </c>
      <c r="N35" s="48">
        <v>1</v>
      </c>
      <c r="O35" s="85">
        <v>1</v>
      </c>
      <c r="P35" s="85">
        <f>O35*30</f>
        <v>30</v>
      </c>
      <c r="Q35" s="84">
        <f>B35*C35*P35</f>
        <v>230010</v>
      </c>
      <c r="R35" s="80">
        <f>B35*SUM(C35:N35)*P35</f>
        <v>2760120</v>
      </c>
      <c r="S35" s="26" t="s">
        <v>137</v>
      </c>
      <c r="T35" s="72">
        <f>'HK &amp; Waste Management-Y2'!N9</f>
        <v>9095</v>
      </c>
      <c r="U35" s="46">
        <v>1</v>
      </c>
      <c r="V35" s="47">
        <v>1</v>
      </c>
      <c r="W35" s="47">
        <v>1</v>
      </c>
      <c r="X35" s="47">
        <v>1</v>
      </c>
      <c r="Y35" s="47">
        <v>1</v>
      </c>
      <c r="Z35" s="47">
        <v>1</v>
      </c>
      <c r="AA35" s="47">
        <v>1</v>
      </c>
      <c r="AB35" s="47">
        <v>1</v>
      </c>
      <c r="AC35" s="47">
        <v>1</v>
      </c>
      <c r="AD35" s="47">
        <v>1</v>
      </c>
      <c r="AE35" s="47">
        <v>1</v>
      </c>
      <c r="AF35" s="48">
        <v>1</v>
      </c>
      <c r="AG35" s="85">
        <v>1</v>
      </c>
      <c r="AH35" s="85">
        <f>AG35*30</f>
        <v>30</v>
      </c>
      <c r="AI35" s="84">
        <f>T35*U35*AH35</f>
        <v>272850</v>
      </c>
      <c r="AJ35" s="80">
        <f>T35*SUM(U35:AF35)*AH35</f>
        <v>3274200</v>
      </c>
    </row>
    <row r="36" spans="1:36" ht="30" customHeight="1">
      <c r="A36" s="26" t="s">
        <v>157</v>
      </c>
      <c r="B36" s="72">
        <f>'HK &amp; Waste Management-Y1'!N10</f>
        <v>2556</v>
      </c>
      <c r="C36" s="46">
        <v>1</v>
      </c>
      <c r="D36" s="47">
        <v>1</v>
      </c>
      <c r="E36" s="47">
        <v>1</v>
      </c>
      <c r="F36" s="47">
        <v>1</v>
      </c>
      <c r="G36" s="47">
        <v>1</v>
      </c>
      <c r="H36" s="47">
        <v>1</v>
      </c>
      <c r="I36" s="47">
        <v>1</v>
      </c>
      <c r="J36" s="47">
        <v>1</v>
      </c>
      <c r="K36" s="47">
        <v>1</v>
      </c>
      <c r="L36" s="47">
        <v>1</v>
      </c>
      <c r="M36" s="47">
        <v>1</v>
      </c>
      <c r="N36" s="48">
        <v>1</v>
      </c>
      <c r="O36" s="86">
        <v>1</v>
      </c>
      <c r="P36" s="86">
        <f>O36*30</f>
        <v>30</v>
      </c>
      <c r="Q36" s="87">
        <f>B36*C36*P36</f>
        <v>76680</v>
      </c>
      <c r="R36" s="81">
        <f>B36*SUM(C36:N36)*P36</f>
        <v>920160</v>
      </c>
      <c r="S36" s="26" t="s">
        <v>51</v>
      </c>
      <c r="T36" s="72">
        <f>'HK &amp; Waste Management-Y2'!N10</f>
        <v>4714</v>
      </c>
      <c r="U36" s="46">
        <v>1</v>
      </c>
      <c r="V36" s="47">
        <v>1</v>
      </c>
      <c r="W36" s="47">
        <v>1</v>
      </c>
      <c r="X36" s="47">
        <v>1</v>
      </c>
      <c r="Y36" s="47">
        <v>1</v>
      </c>
      <c r="Z36" s="47">
        <v>1</v>
      </c>
      <c r="AA36" s="47">
        <v>1</v>
      </c>
      <c r="AB36" s="47">
        <v>1</v>
      </c>
      <c r="AC36" s="47">
        <v>1</v>
      </c>
      <c r="AD36" s="47">
        <v>1</v>
      </c>
      <c r="AE36" s="47">
        <v>1</v>
      </c>
      <c r="AF36" s="48">
        <v>1</v>
      </c>
      <c r="AG36" s="86">
        <v>1</v>
      </c>
      <c r="AH36" s="86">
        <f>AG36*30</f>
        <v>30</v>
      </c>
      <c r="AI36" s="87">
        <f>T36*U36*AH36</f>
        <v>141420</v>
      </c>
      <c r="AJ36" s="81">
        <f>T36*SUM(U36:AF36)*AH36</f>
        <v>1697040</v>
      </c>
    </row>
    <row r="37" spans="1:36" ht="32.1" customHeight="1">
      <c r="A37" s="28" t="s">
        <v>56</v>
      </c>
      <c r="B37" s="473">
        <f>SUM(R33:R36)</f>
        <v>7147080</v>
      </c>
      <c r="C37" s="474"/>
      <c r="D37" s="474"/>
      <c r="E37" s="474"/>
      <c r="F37" s="474"/>
      <c r="G37" s="474"/>
      <c r="H37" s="474"/>
      <c r="I37" s="474"/>
      <c r="J37" s="474"/>
      <c r="K37" s="474"/>
      <c r="L37" s="474"/>
      <c r="M37" s="474"/>
      <c r="N37" s="474"/>
      <c r="O37" s="474"/>
      <c r="P37" s="474"/>
      <c r="Q37" s="474"/>
      <c r="R37" s="474"/>
      <c r="S37" s="28" t="s">
        <v>64</v>
      </c>
      <c r="T37" s="473">
        <f>SUM(AJ33:AJ36)</f>
        <v>12538440</v>
      </c>
      <c r="U37" s="474"/>
      <c r="V37" s="474"/>
      <c r="W37" s="474"/>
      <c r="X37" s="474"/>
      <c r="Y37" s="474"/>
      <c r="Z37" s="474"/>
      <c r="AA37" s="474"/>
      <c r="AB37" s="474"/>
      <c r="AC37" s="474"/>
      <c r="AD37" s="474"/>
      <c r="AE37" s="474"/>
      <c r="AF37" s="474"/>
      <c r="AG37" s="474"/>
      <c r="AH37" s="474"/>
      <c r="AI37" s="474"/>
      <c r="AJ37" s="489"/>
    </row>
    <row r="38" spans="1:36" ht="18.75" customHeight="1">
      <c r="A38" s="29"/>
      <c r="B38" s="64"/>
      <c r="C38" s="30"/>
      <c r="D38" s="30"/>
      <c r="E38" s="30"/>
      <c r="F38" s="30"/>
      <c r="G38" s="30"/>
      <c r="H38" s="30"/>
      <c r="I38" s="30"/>
      <c r="J38" s="30" t="s">
        <v>18</v>
      </c>
      <c r="K38" s="30"/>
      <c r="L38" s="30"/>
      <c r="M38" s="30"/>
      <c r="N38" s="30"/>
      <c r="O38" s="69"/>
      <c r="P38" s="69"/>
      <c r="Q38" s="64"/>
      <c r="R38" s="64"/>
      <c r="S38" s="29"/>
      <c r="T38" s="64"/>
      <c r="U38" s="30"/>
      <c r="V38" s="30"/>
      <c r="W38" s="30"/>
      <c r="X38" s="30"/>
      <c r="Y38" s="30"/>
      <c r="Z38" s="30"/>
      <c r="AA38" s="30"/>
      <c r="AB38" s="30" t="s">
        <v>18</v>
      </c>
      <c r="AC38" s="30"/>
      <c r="AD38" s="30"/>
      <c r="AE38" s="30"/>
      <c r="AF38" s="30"/>
      <c r="AG38" s="69"/>
      <c r="AH38" s="69"/>
      <c r="AI38" s="64"/>
      <c r="AJ38" s="64"/>
    </row>
    <row r="39" spans="1:36" ht="18.75" customHeight="1">
      <c r="A39" s="26" t="s">
        <v>41</v>
      </c>
      <c r="B39" s="72">
        <f>'Pest Control Y-1'!N7</f>
        <v>850</v>
      </c>
      <c r="C39" s="31">
        <v>1</v>
      </c>
      <c r="D39" s="32">
        <v>1</v>
      </c>
      <c r="E39" s="32">
        <v>1</v>
      </c>
      <c r="F39" s="32">
        <v>1</v>
      </c>
      <c r="G39" s="32">
        <v>1</v>
      </c>
      <c r="H39" s="32">
        <v>1</v>
      </c>
      <c r="I39" s="32">
        <v>1</v>
      </c>
      <c r="J39" s="32">
        <v>1</v>
      </c>
      <c r="K39" s="32">
        <v>1</v>
      </c>
      <c r="L39" s="32">
        <v>1</v>
      </c>
      <c r="M39" s="32">
        <v>1</v>
      </c>
      <c r="N39" s="33">
        <v>1</v>
      </c>
      <c r="O39" s="83">
        <v>1</v>
      </c>
      <c r="P39" s="83">
        <f>O39*30</f>
        <v>30</v>
      </c>
      <c r="Q39" s="84">
        <f>B39*C39*P39</f>
        <v>25500</v>
      </c>
      <c r="R39" s="79">
        <f>B39*SUM(C39:N39)*P39</f>
        <v>306000</v>
      </c>
      <c r="S39" s="26" t="s">
        <v>41</v>
      </c>
      <c r="T39" s="72">
        <f>'Pest Control Y-2'!N7</f>
        <v>844</v>
      </c>
      <c r="U39" s="46">
        <v>1</v>
      </c>
      <c r="V39" s="47">
        <v>1</v>
      </c>
      <c r="W39" s="47">
        <v>1</v>
      </c>
      <c r="X39" s="47">
        <v>1</v>
      </c>
      <c r="Y39" s="47">
        <v>1</v>
      </c>
      <c r="Z39" s="47">
        <v>1</v>
      </c>
      <c r="AA39" s="47">
        <v>1</v>
      </c>
      <c r="AB39" s="47">
        <v>1</v>
      </c>
      <c r="AC39" s="47">
        <v>1</v>
      </c>
      <c r="AD39" s="47">
        <v>1</v>
      </c>
      <c r="AE39" s="47">
        <v>1</v>
      </c>
      <c r="AF39" s="47">
        <v>1</v>
      </c>
      <c r="AG39" s="83">
        <v>1</v>
      </c>
      <c r="AH39" s="83">
        <f>AG39*30</f>
        <v>30</v>
      </c>
      <c r="AI39" s="84">
        <f>T39*U39*AH39</f>
        <v>25320</v>
      </c>
      <c r="AJ39" s="80">
        <f>T39*SUM(U39:AF39)*AH39</f>
        <v>303840</v>
      </c>
    </row>
    <row r="40" spans="1:36" ht="18.75" customHeight="1">
      <c r="A40" s="26" t="s">
        <v>158</v>
      </c>
      <c r="B40" s="72">
        <f>'Pest Control Y-1'!N8</f>
        <v>1950</v>
      </c>
      <c r="C40" s="46">
        <v>1</v>
      </c>
      <c r="D40" s="47">
        <v>1</v>
      </c>
      <c r="E40" s="47">
        <v>1</v>
      </c>
      <c r="F40" s="47">
        <v>1</v>
      </c>
      <c r="G40" s="47">
        <v>1</v>
      </c>
      <c r="H40" s="47">
        <v>1</v>
      </c>
      <c r="I40" s="47">
        <v>1</v>
      </c>
      <c r="J40" s="47">
        <v>1</v>
      </c>
      <c r="K40" s="47">
        <v>1</v>
      </c>
      <c r="L40" s="47">
        <v>1</v>
      </c>
      <c r="M40" s="47">
        <v>1</v>
      </c>
      <c r="N40" s="48">
        <v>1</v>
      </c>
      <c r="O40" s="86">
        <v>1</v>
      </c>
      <c r="P40" s="86">
        <f>O40*30</f>
        <v>30</v>
      </c>
      <c r="Q40" s="84">
        <f>B40*C40*P40</f>
        <v>58500</v>
      </c>
      <c r="R40" s="81">
        <f>B40*SUM(C40:N40)*P40</f>
        <v>702000</v>
      </c>
      <c r="S40" s="26" t="s">
        <v>44</v>
      </c>
      <c r="T40" s="72">
        <f>'Pest Control Y-2'!N8</f>
        <v>5073</v>
      </c>
      <c r="U40" s="46">
        <v>1</v>
      </c>
      <c r="V40" s="47">
        <v>1</v>
      </c>
      <c r="W40" s="47">
        <v>1</v>
      </c>
      <c r="X40" s="47">
        <v>1</v>
      </c>
      <c r="Y40" s="47">
        <v>1</v>
      </c>
      <c r="Z40" s="47">
        <v>1</v>
      </c>
      <c r="AA40" s="47">
        <v>1</v>
      </c>
      <c r="AB40" s="47">
        <v>1</v>
      </c>
      <c r="AC40" s="47">
        <v>1</v>
      </c>
      <c r="AD40" s="47">
        <v>1</v>
      </c>
      <c r="AE40" s="47">
        <v>1</v>
      </c>
      <c r="AF40" s="48">
        <v>1</v>
      </c>
      <c r="AG40" s="86">
        <v>1</v>
      </c>
      <c r="AH40" s="86">
        <f>AG40*30</f>
        <v>30</v>
      </c>
      <c r="AI40" s="84">
        <f>T40*U40*AH40</f>
        <v>152190</v>
      </c>
      <c r="AJ40" s="80">
        <f>T40*SUM(U40:AF40)*AH40</f>
        <v>1826280</v>
      </c>
    </row>
    <row r="41" spans="1:36" ht="32.1" customHeight="1">
      <c r="A41" s="28" t="s">
        <v>57</v>
      </c>
      <c r="B41" s="473">
        <f>SUM(R39:R40)</f>
        <v>1008000</v>
      </c>
      <c r="C41" s="474" t="e">
        <f>#REF!*SUM(#REF!)*B41</f>
        <v>#REF!</v>
      </c>
      <c r="D41" s="474" t="e">
        <f>#REF!*SUM(#REF!)*C41</f>
        <v>#REF!</v>
      </c>
      <c r="E41" s="474" t="e">
        <f>#REF!*SUM(#REF!)*D41</f>
        <v>#REF!</v>
      </c>
      <c r="F41" s="474" t="e">
        <f>#REF!*SUM(#REF!)*E41</f>
        <v>#REF!</v>
      </c>
      <c r="G41" s="474" t="e">
        <f>#REF!*SUM(#REF!)*F41</f>
        <v>#REF!</v>
      </c>
      <c r="H41" s="474" t="e">
        <f>#REF!*SUM(#REF!)*G41</f>
        <v>#REF!</v>
      </c>
      <c r="I41" s="474" t="e">
        <f>#REF!*SUM(#REF!)*H41</f>
        <v>#REF!</v>
      </c>
      <c r="J41" s="474" t="e">
        <f>#REF!*SUM(#REF!)*I41</f>
        <v>#REF!</v>
      </c>
      <c r="K41" s="474" t="e">
        <f>#REF!*SUM(#REF!)*J41</f>
        <v>#REF!</v>
      </c>
      <c r="L41" s="474" t="e">
        <f>#REF!*SUM(#REF!)*K41</f>
        <v>#REF!</v>
      </c>
      <c r="M41" s="474" t="e">
        <f>#REF!*SUM(#REF!)*L41</f>
        <v>#REF!</v>
      </c>
      <c r="N41" s="474" t="e">
        <f>#REF!*SUM(A41:K41)*M41</f>
        <v>#REF!</v>
      </c>
      <c r="O41" s="474" t="e">
        <f>#REF!*SUM(A41:L41)*N41</f>
        <v>#REF!</v>
      </c>
      <c r="P41" s="474" t="e">
        <f>A41*SUM(B41:M41)*O41</f>
        <v>#VALUE!</v>
      </c>
      <c r="Q41" s="474"/>
      <c r="R41" s="474" t="e">
        <f>B41*SUM(C41:N41)*P41</f>
        <v>#REF!</v>
      </c>
      <c r="S41" s="28" t="s">
        <v>65</v>
      </c>
      <c r="T41" s="473">
        <f>SUM(AJ39:AJ40)</f>
        <v>2130120</v>
      </c>
      <c r="U41" s="474"/>
      <c r="V41" s="474"/>
      <c r="W41" s="474"/>
      <c r="X41" s="474"/>
      <c r="Y41" s="474"/>
      <c r="Z41" s="474"/>
      <c r="AA41" s="474"/>
      <c r="AB41" s="474"/>
      <c r="AC41" s="474"/>
      <c r="AD41" s="474"/>
      <c r="AE41" s="474"/>
      <c r="AF41" s="474"/>
      <c r="AG41" s="474"/>
      <c r="AH41" s="474"/>
      <c r="AI41" s="474"/>
      <c r="AJ41" s="489"/>
    </row>
    <row r="42" spans="1:36" ht="18.75" customHeight="1">
      <c r="A42" s="29"/>
      <c r="B42" s="64"/>
      <c r="C42" s="30"/>
      <c r="D42" s="30"/>
      <c r="E42" s="30"/>
      <c r="F42" s="30"/>
      <c r="G42" s="30"/>
      <c r="H42" s="30"/>
      <c r="I42" s="30"/>
      <c r="J42" s="30" t="s">
        <v>141</v>
      </c>
      <c r="K42" s="30"/>
      <c r="L42" s="30"/>
      <c r="M42" s="30"/>
      <c r="N42" s="30"/>
      <c r="O42" s="69"/>
      <c r="P42" s="69"/>
      <c r="Q42" s="64"/>
      <c r="R42" s="64"/>
      <c r="S42" s="29"/>
      <c r="T42" s="64"/>
      <c r="U42" s="30"/>
      <c r="V42" s="30"/>
      <c r="W42" s="30"/>
      <c r="X42" s="30"/>
      <c r="Y42" s="30"/>
      <c r="Z42" s="30"/>
      <c r="AA42" s="30"/>
      <c r="AB42" s="30" t="s">
        <v>141</v>
      </c>
      <c r="AC42" s="30"/>
      <c r="AD42" s="30"/>
      <c r="AE42" s="30"/>
      <c r="AF42" s="30"/>
      <c r="AG42" s="69"/>
      <c r="AH42" s="69"/>
      <c r="AI42" s="64"/>
      <c r="AJ42" s="64"/>
    </row>
    <row r="43" spans="1:36" ht="18.75" customHeight="1">
      <c r="A43" s="26" t="s">
        <v>40</v>
      </c>
      <c r="B43" s="72">
        <f>'Landscape Y1'!N7</f>
        <v>1958</v>
      </c>
      <c r="C43" s="31">
        <v>1</v>
      </c>
      <c r="D43" s="32">
        <v>1</v>
      </c>
      <c r="E43" s="32">
        <v>1</v>
      </c>
      <c r="F43" s="32">
        <v>1</v>
      </c>
      <c r="G43" s="32">
        <v>1</v>
      </c>
      <c r="H43" s="32">
        <v>1</v>
      </c>
      <c r="I43" s="32">
        <v>1</v>
      </c>
      <c r="J43" s="32">
        <v>1</v>
      </c>
      <c r="K43" s="32">
        <v>1</v>
      </c>
      <c r="L43" s="32">
        <v>1</v>
      </c>
      <c r="M43" s="32">
        <v>1</v>
      </c>
      <c r="N43" s="33">
        <v>1</v>
      </c>
      <c r="O43" s="83">
        <v>1</v>
      </c>
      <c r="P43" s="83">
        <f>O43*30</f>
        <v>30</v>
      </c>
      <c r="Q43" s="84">
        <f>B43*C43*P43</f>
        <v>58740</v>
      </c>
      <c r="R43" s="79">
        <f>B43*SUM(C43:N43)*P43</f>
        <v>704880</v>
      </c>
      <c r="S43" s="26" t="s">
        <v>40</v>
      </c>
      <c r="T43" s="72">
        <f>'Landscape Y2'!N7</f>
        <v>2179</v>
      </c>
      <c r="U43" s="46">
        <v>1</v>
      </c>
      <c r="V43" s="47">
        <v>1</v>
      </c>
      <c r="W43" s="47">
        <v>1</v>
      </c>
      <c r="X43" s="47">
        <v>1</v>
      </c>
      <c r="Y43" s="47">
        <v>1</v>
      </c>
      <c r="Z43" s="47">
        <v>1</v>
      </c>
      <c r="AA43" s="47">
        <v>1</v>
      </c>
      <c r="AB43" s="47">
        <v>1</v>
      </c>
      <c r="AC43" s="47">
        <v>1</v>
      </c>
      <c r="AD43" s="47">
        <v>1</v>
      </c>
      <c r="AE43" s="47">
        <v>1</v>
      </c>
      <c r="AF43" s="48">
        <v>1</v>
      </c>
      <c r="AG43" s="83">
        <v>1</v>
      </c>
      <c r="AH43" s="83">
        <f>AG43*30</f>
        <v>30</v>
      </c>
      <c r="AI43" s="84">
        <f>T43*U43*AH43</f>
        <v>65370</v>
      </c>
      <c r="AJ43" s="80">
        <f>T43*SUM(U43:AF43)*AH43</f>
        <v>784440</v>
      </c>
    </row>
    <row r="44" spans="1:36" ht="18.75" customHeight="1">
      <c r="A44" s="26" t="s">
        <v>23</v>
      </c>
      <c r="B44" s="72">
        <f>'Landscape Y1'!N8</f>
        <v>1599</v>
      </c>
      <c r="C44" s="46">
        <v>2</v>
      </c>
      <c r="D44" s="47">
        <v>2</v>
      </c>
      <c r="E44" s="47">
        <v>2</v>
      </c>
      <c r="F44" s="47">
        <v>2</v>
      </c>
      <c r="G44" s="47">
        <v>2</v>
      </c>
      <c r="H44" s="47">
        <v>2</v>
      </c>
      <c r="I44" s="47">
        <v>2</v>
      </c>
      <c r="J44" s="47">
        <v>2</v>
      </c>
      <c r="K44" s="47">
        <v>2</v>
      </c>
      <c r="L44" s="47">
        <v>2</v>
      </c>
      <c r="M44" s="47">
        <v>2</v>
      </c>
      <c r="N44" s="48">
        <v>2</v>
      </c>
      <c r="O44" s="85">
        <v>1</v>
      </c>
      <c r="P44" s="85">
        <f>O44*30</f>
        <v>30</v>
      </c>
      <c r="Q44" s="84">
        <f>B44*C44*P44</f>
        <v>95940</v>
      </c>
      <c r="R44" s="80">
        <f>B44*SUM(C44:N44)*P44</f>
        <v>1151280</v>
      </c>
      <c r="S44" s="26" t="s">
        <v>23</v>
      </c>
      <c r="T44" s="72">
        <f>'Landscape Y2'!N8</f>
        <v>1631</v>
      </c>
      <c r="U44" s="46">
        <v>4</v>
      </c>
      <c r="V44" s="47">
        <v>4</v>
      </c>
      <c r="W44" s="47">
        <v>4</v>
      </c>
      <c r="X44" s="47">
        <v>4</v>
      </c>
      <c r="Y44" s="47">
        <v>4</v>
      </c>
      <c r="Z44" s="47">
        <v>4</v>
      </c>
      <c r="AA44" s="47">
        <v>4</v>
      </c>
      <c r="AB44" s="47">
        <v>4</v>
      </c>
      <c r="AC44" s="47">
        <v>4</v>
      </c>
      <c r="AD44" s="47">
        <v>4</v>
      </c>
      <c r="AE44" s="47">
        <v>4</v>
      </c>
      <c r="AF44" s="48">
        <v>4</v>
      </c>
      <c r="AG44" s="85">
        <v>1</v>
      </c>
      <c r="AH44" s="85">
        <f>AG44*30</f>
        <v>30</v>
      </c>
      <c r="AI44" s="84">
        <f>T44*U44*AH44</f>
        <v>195720</v>
      </c>
      <c r="AJ44" s="80">
        <f>T44*SUM(U44:AF44)*AH44</f>
        <v>2348640</v>
      </c>
    </row>
    <row r="45" spans="1:36" ht="18.75" customHeight="1">
      <c r="A45" s="26" t="s">
        <v>19</v>
      </c>
      <c r="B45" s="72">
        <f>'Landscape Y1'!N9</f>
        <v>526</v>
      </c>
      <c r="C45" s="46">
        <v>20</v>
      </c>
      <c r="D45" s="47">
        <v>20</v>
      </c>
      <c r="E45" s="47">
        <v>20</v>
      </c>
      <c r="F45" s="47">
        <v>20</v>
      </c>
      <c r="G45" s="47">
        <v>20</v>
      </c>
      <c r="H45" s="47">
        <v>20</v>
      </c>
      <c r="I45" s="47">
        <v>20</v>
      </c>
      <c r="J45" s="47">
        <v>20</v>
      </c>
      <c r="K45" s="47">
        <v>20</v>
      </c>
      <c r="L45" s="47">
        <v>20</v>
      </c>
      <c r="M45" s="47">
        <v>20</v>
      </c>
      <c r="N45" s="48">
        <v>20</v>
      </c>
      <c r="O45" s="86">
        <v>1</v>
      </c>
      <c r="P45" s="86">
        <f>O45*30</f>
        <v>30</v>
      </c>
      <c r="Q45" s="84">
        <f>B45*C45*P45</f>
        <v>315600</v>
      </c>
      <c r="R45" s="81">
        <f>B45*SUM(C45:N45)*P45</f>
        <v>3787200</v>
      </c>
      <c r="S45" s="26" t="s">
        <v>19</v>
      </c>
      <c r="T45" s="72">
        <f>'Landscape Y2'!N9</f>
        <v>622</v>
      </c>
      <c r="U45" s="46">
        <v>60</v>
      </c>
      <c r="V45" s="47">
        <v>60</v>
      </c>
      <c r="W45" s="47">
        <v>60</v>
      </c>
      <c r="X45" s="47">
        <v>60</v>
      </c>
      <c r="Y45" s="47">
        <v>60</v>
      </c>
      <c r="Z45" s="47">
        <v>60</v>
      </c>
      <c r="AA45" s="47">
        <v>60</v>
      </c>
      <c r="AB45" s="47">
        <v>60</v>
      </c>
      <c r="AC45" s="47">
        <v>60</v>
      </c>
      <c r="AD45" s="47">
        <v>60</v>
      </c>
      <c r="AE45" s="47">
        <v>60</v>
      </c>
      <c r="AF45" s="48">
        <v>60</v>
      </c>
      <c r="AG45" s="86">
        <v>1</v>
      </c>
      <c r="AH45" s="86">
        <f>AG45*30</f>
        <v>30</v>
      </c>
      <c r="AI45" s="84">
        <f>T45*U45*AH45</f>
        <v>1119600</v>
      </c>
      <c r="AJ45" s="80">
        <f>T45*SUM(U45:AF45)*AH45</f>
        <v>13435200</v>
      </c>
    </row>
    <row r="46" spans="1:36" ht="32.1" customHeight="1">
      <c r="A46" s="28" t="s">
        <v>58</v>
      </c>
      <c r="B46" s="473">
        <f>SUM(R43:R45)</f>
        <v>5643360</v>
      </c>
      <c r="C46" s="474"/>
      <c r="D46" s="474"/>
      <c r="E46" s="474"/>
      <c r="F46" s="474"/>
      <c r="G46" s="474"/>
      <c r="H46" s="474"/>
      <c r="I46" s="474"/>
      <c r="J46" s="474"/>
      <c r="K46" s="474"/>
      <c r="L46" s="474"/>
      <c r="M46" s="474"/>
      <c r="N46" s="474"/>
      <c r="O46" s="474"/>
      <c r="P46" s="474"/>
      <c r="Q46" s="474"/>
      <c r="R46" s="474"/>
      <c r="S46" s="28" t="s">
        <v>66</v>
      </c>
      <c r="T46" s="473">
        <f>SUM(AJ43:AJ45)</f>
        <v>16568280</v>
      </c>
      <c r="U46" s="474"/>
      <c r="V46" s="474"/>
      <c r="W46" s="474"/>
      <c r="X46" s="474"/>
      <c r="Y46" s="474"/>
      <c r="Z46" s="474"/>
      <c r="AA46" s="474"/>
      <c r="AB46" s="474"/>
      <c r="AC46" s="474"/>
      <c r="AD46" s="474"/>
      <c r="AE46" s="474"/>
      <c r="AF46" s="474"/>
      <c r="AG46" s="474"/>
      <c r="AH46" s="474"/>
      <c r="AI46" s="474"/>
      <c r="AJ46" s="489"/>
    </row>
    <row r="47" spans="1:36" ht="18.75" customHeight="1">
      <c r="A47" s="29"/>
      <c r="B47" s="64"/>
      <c r="C47" s="30"/>
      <c r="D47" s="30"/>
      <c r="E47" s="30"/>
      <c r="F47" s="30"/>
      <c r="G47" s="30"/>
      <c r="H47" s="30"/>
      <c r="I47" s="30"/>
      <c r="J47" s="30" t="s">
        <v>20</v>
      </c>
      <c r="K47" s="30"/>
      <c r="L47" s="30"/>
      <c r="M47" s="30"/>
      <c r="N47" s="30"/>
      <c r="O47" s="69"/>
      <c r="P47" s="69"/>
      <c r="Q47" s="64"/>
      <c r="R47" s="64"/>
      <c r="S47" s="29"/>
      <c r="T47" s="64"/>
      <c r="U47" s="30"/>
      <c r="V47" s="30"/>
      <c r="W47" s="30"/>
      <c r="X47" s="30"/>
      <c r="Y47" s="30"/>
      <c r="Z47" s="30"/>
      <c r="AA47" s="30"/>
      <c r="AB47" s="30" t="s">
        <v>20</v>
      </c>
      <c r="AC47" s="30"/>
      <c r="AD47" s="30"/>
      <c r="AE47" s="30"/>
      <c r="AF47" s="30"/>
      <c r="AG47" s="69"/>
      <c r="AH47" s="69"/>
      <c r="AI47" s="64"/>
      <c r="AJ47" s="64"/>
    </row>
    <row r="48" spans="1:36" ht="18.75" customHeight="1">
      <c r="A48" s="26" t="s">
        <v>21</v>
      </c>
      <c r="B48" s="72">
        <f>'Security Y1'!N7</f>
        <v>1374</v>
      </c>
      <c r="C48" s="47">
        <v>1</v>
      </c>
      <c r="D48" s="47">
        <v>1</v>
      </c>
      <c r="E48" s="47">
        <v>1</v>
      </c>
      <c r="F48" s="47">
        <v>1</v>
      </c>
      <c r="G48" s="47">
        <v>1</v>
      </c>
      <c r="H48" s="47">
        <v>1</v>
      </c>
      <c r="I48" s="47">
        <v>1</v>
      </c>
      <c r="J48" s="47">
        <v>1</v>
      </c>
      <c r="K48" s="47">
        <v>1</v>
      </c>
      <c r="L48" s="47">
        <v>1</v>
      </c>
      <c r="M48" s="47">
        <v>1</v>
      </c>
      <c r="N48" s="47">
        <v>1</v>
      </c>
      <c r="O48" s="83">
        <v>1</v>
      </c>
      <c r="P48" s="83">
        <f>O48*30</f>
        <v>30</v>
      </c>
      <c r="Q48" s="84">
        <f>B48*C48*P48</f>
        <v>41220</v>
      </c>
      <c r="R48" s="79">
        <f>B48*SUM(C48:N48)*P48</f>
        <v>494640</v>
      </c>
      <c r="S48" s="26" t="s">
        <v>21</v>
      </c>
      <c r="T48" s="72">
        <f>'Security Y2'!N7</f>
        <v>1456</v>
      </c>
      <c r="U48" s="46">
        <v>1</v>
      </c>
      <c r="V48" s="47">
        <v>1</v>
      </c>
      <c r="W48" s="47">
        <v>1</v>
      </c>
      <c r="X48" s="47">
        <v>1</v>
      </c>
      <c r="Y48" s="47">
        <v>1</v>
      </c>
      <c r="Z48" s="47">
        <v>1</v>
      </c>
      <c r="AA48" s="47">
        <v>1</v>
      </c>
      <c r="AB48" s="47">
        <v>1</v>
      </c>
      <c r="AC48" s="47">
        <v>1</v>
      </c>
      <c r="AD48" s="47">
        <v>1</v>
      </c>
      <c r="AE48" s="47">
        <v>1</v>
      </c>
      <c r="AF48" s="48">
        <v>1</v>
      </c>
      <c r="AG48" s="83">
        <v>1</v>
      </c>
      <c r="AH48" s="83">
        <f>AG48*30</f>
        <v>30</v>
      </c>
      <c r="AI48" s="84">
        <f>T48*U48*AH48</f>
        <v>43680</v>
      </c>
      <c r="AJ48" s="80">
        <f>T48*SUM(U48:AF48)*AH48</f>
        <v>524160</v>
      </c>
    </row>
    <row r="49" spans="1:36" ht="18.75" customHeight="1">
      <c r="A49" s="26" t="s">
        <v>47</v>
      </c>
      <c r="B49" s="72">
        <f>'Security Y1'!N8</f>
        <v>916</v>
      </c>
      <c r="C49" s="47">
        <v>2</v>
      </c>
      <c r="D49" s="47">
        <v>2</v>
      </c>
      <c r="E49" s="47">
        <v>2</v>
      </c>
      <c r="F49" s="47">
        <v>2</v>
      </c>
      <c r="G49" s="47">
        <v>2</v>
      </c>
      <c r="H49" s="47">
        <v>2</v>
      </c>
      <c r="I49" s="47">
        <v>2</v>
      </c>
      <c r="J49" s="47">
        <v>2</v>
      </c>
      <c r="K49" s="47">
        <v>2</v>
      </c>
      <c r="L49" s="47">
        <v>2</v>
      </c>
      <c r="M49" s="47">
        <v>2</v>
      </c>
      <c r="N49" s="47">
        <v>2</v>
      </c>
      <c r="O49" s="85">
        <v>2</v>
      </c>
      <c r="P49" s="85">
        <f>O49*30</f>
        <v>60</v>
      </c>
      <c r="Q49" s="84">
        <f>B49*C49*P49</f>
        <v>109920</v>
      </c>
      <c r="R49" s="80">
        <f>B49*SUM(C49:N49)*P49</f>
        <v>1319040</v>
      </c>
      <c r="S49" s="26" t="s">
        <v>47</v>
      </c>
      <c r="T49" s="72">
        <f>'Security Y2'!N8</f>
        <v>971</v>
      </c>
      <c r="U49" s="46">
        <v>4</v>
      </c>
      <c r="V49" s="47">
        <v>4</v>
      </c>
      <c r="W49" s="47">
        <v>4</v>
      </c>
      <c r="X49" s="47">
        <v>4</v>
      </c>
      <c r="Y49" s="47">
        <v>4</v>
      </c>
      <c r="Z49" s="47">
        <v>4</v>
      </c>
      <c r="AA49" s="47">
        <v>4</v>
      </c>
      <c r="AB49" s="47">
        <v>4</v>
      </c>
      <c r="AC49" s="47">
        <v>4</v>
      </c>
      <c r="AD49" s="47">
        <v>4</v>
      </c>
      <c r="AE49" s="47">
        <v>4</v>
      </c>
      <c r="AF49" s="48">
        <v>4</v>
      </c>
      <c r="AG49" s="85">
        <v>2</v>
      </c>
      <c r="AH49" s="85">
        <f>AG49*30</f>
        <v>60</v>
      </c>
      <c r="AI49" s="84">
        <f>T49*U49*AH49</f>
        <v>233040</v>
      </c>
      <c r="AJ49" s="80">
        <f>T49*SUM(U49:AF49)*AH49</f>
        <v>2796480</v>
      </c>
    </row>
    <row r="50" spans="1:36" ht="18.75" customHeight="1">
      <c r="A50" s="26" t="s">
        <v>52</v>
      </c>
      <c r="B50" s="72">
        <f>'Security Y1'!N9</f>
        <v>620</v>
      </c>
      <c r="C50" s="47">
        <v>1</v>
      </c>
      <c r="D50" s="47">
        <v>1</v>
      </c>
      <c r="E50" s="47">
        <v>1</v>
      </c>
      <c r="F50" s="47">
        <v>1</v>
      </c>
      <c r="G50" s="47">
        <v>1</v>
      </c>
      <c r="H50" s="47">
        <v>1</v>
      </c>
      <c r="I50" s="47">
        <v>1</v>
      </c>
      <c r="J50" s="47">
        <v>1</v>
      </c>
      <c r="K50" s="47">
        <v>1</v>
      </c>
      <c r="L50" s="47">
        <v>1</v>
      </c>
      <c r="M50" s="47">
        <v>1</v>
      </c>
      <c r="N50" s="47">
        <v>1</v>
      </c>
      <c r="O50" s="85">
        <v>2</v>
      </c>
      <c r="P50" s="85">
        <f>O50*30</f>
        <v>60</v>
      </c>
      <c r="Q50" s="84">
        <f>B50*C50*P50</f>
        <v>37200</v>
      </c>
      <c r="R50" s="80">
        <f>B50*SUM(C50:N50)*P50</f>
        <v>446400</v>
      </c>
      <c r="S50" s="26" t="s">
        <v>52</v>
      </c>
      <c r="T50" s="72">
        <f>'Security Y2'!N9</f>
        <v>656</v>
      </c>
      <c r="U50" s="46">
        <v>1</v>
      </c>
      <c r="V50" s="47">
        <v>1</v>
      </c>
      <c r="W50" s="47">
        <v>1</v>
      </c>
      <c r="X50" s="47">
        <v>1</v>
      </c>
      <c r="Y50" s="47">
        <v>1</v>
      </c>
      <c r="Z50" s="47">
        <v>1</v>
      </c>
      <c r="AA50" s="47">
        <v>1</v>
      </c>
      <c r="AB50" s="47">
        <v>1</v>
      </c>
      <c r="AC50" s="47">
        <v>1</v>
      </c>
      <c r="AD50" s="47">
        <v>1</v>
      </c>
      <c r="AE50" s="47">
        <v>1</v>
      </c>
      <c r="AF50" s="48">
        <v>1</v>
      </c>
      <c r="AG50" s="85">
        <v>2</v>
      </c>
      <c r="AH50" s="85">
        <f>AG50*30</f>
        <v>60</v>
      </c>
      <c r="AI50" s="84">
        <f>T50*U50*AH50</f>
        <v>39360</v>
      </c>
      <c r="AJ50" s="80">
        <f>T50*SUM(U50:AF50)*AH50</f>
        <v>472320</v>
      </c>
    </row>
    <row r="51" spans="1:36" ht="18.75" customHeight="1">
      <c r="A51" s="26" t="s">
        <v>139</v>
      </c>
      <c r="B51" s="72">
        <f>'Security Y1'!N10</f>
        <v>344</v>
      </c>
      <c r="C51" s="47">
        <v>40</v>
      </c>
      <c r="D51" s="47">
        <v>40</v>
      </c>
      <c r="E51" s="47">
        <v>40</v>
      </c>
      <c r="F51" s="47">
        <v>40</v>
      </c>
      <c r="G51" s="47">
        <v>40</v>
      </c>
      <c r="H51" s="47">
        <v>40</v>
      </c>
      <c r="I51" s="47">
        <v>40</v>
      </c>
      <c r="J51" s="47">
        <v>40</v>
      </c>
      <c r="K51" s="47">
        <v>40</v>
      </c>
      <c r="L51" s="47">
        <v>40</v>
      </c>
      <c r="M51" s="47">
        <v>40</v>
      </c>
      <c r="N51" s="47">
        <v>40</v>
      </c>
      <c r="O51" s="85">
        <v>2</v>
      </c>
      <c r="P51" s="85">
        <f>O51*30</f>
        <v>60</v>
      </c>
      <c r="Q51" s="84">
        <f>B51*C51*P51</f>
        <v>825600</v>
      </c>
      <c r="R51" s="80">
        <f>B51*SUM(C51:N51)*P51</f>
        <v>9907200</v>
      </c>
      <c r="S51" s="26" t="s">
        <v>48</v>
      </c>
      <c r="T51" s="72">
        <f>'Security Y2'!N10</f>
        <v>364</v>
      </c>
      <c r="U51" s="46">
        <v>120</v>
      </c>
      <c r="V51" s="47">
        <v>120</v>
      </c>
      <c r="W51" s="47">
        <v>120</v>
      </c>
      <c r="X51" s="47">
        <v>120</v>
      </c>
      <c r="Y51" s="47">
        <v>120</v>
      </c>
      <c r="Z51" s="47">
        <v>120</v>
      </c>
      <c r="AA51" s="47">
        <v>120</v>
      </c>
      <c r="AB51" s="47">
        <v>120</v>
      </c>
      <c r="AC51" s="47">
        <v>120</v>
      </c>
      <c r="AD51" s="47">
        <v>120</v>
      </c>
      <c r="AE51" s="47">
        <v>120</v>
      </c>
      <c r="AF51" s="48">
        <v>120</v>
      </c>
      <c r="AG51" s="85">
        <v>2</v>
      </c>
      <c r="AH51" s="85">
        <f>AG51*30</f>
        <v>60</v>
      </c>
      <c r="AI51" s="84">
        <f>T51*U51*AH51</f>
        <v>2620800</v>
      </c>
      <c r="AJ51" s="80">
        <f>T51*SUM(U51:AF51)*AH51</f>
        <v>31449600</v>
      </c>
    </row>
    <row r="52" spans="1:36" ht="18.75" customHeight="1">
      <c r="A52" s="26" t="s">
        <v>22</v>
      </c>
      <c r="B52" s="72"/>
      <c r="C52" s="47"/>
      <c r="D52" s="47"/>
      <c r="E52" s="47"/>
      <c r="F52" s="47"/>
      <c r="G52" s="47"/>
      <c r="H52" s="47"/>
      <c r="I52" s="47"/>
      <c r="J52" s="47"/>
      <c r="K52" s="47"/>
      <c r="L52" s="47"/>
      <c r="M52" s="47"/>
      <c r="N52" s="47"/>
      <c r="O52" s="86">
        <v>0</v>
      </c>
      <c r="P52" s="86">
        <f>O52*30</f>
        <v>0</v>
      </c>
      <c r="Q52" s="84">
        <f>B52*C52*P52</f>
        <v>0</v>
      </c>
      <c r="R52" s="81">
        <f>B52*SUM(C52:N52)*P52</f>
        <v>0</v>
      </c>
      <c r="S52" s="26" t="s">
        <v>22</v>
      </c>
      <c r="T52" s="72">
        <f>'Security Y2'!N11</f>
        <v>647</v>
      </c>
      <c r="U52" s="46">
        <v>2</v>
      </c>
      <c r="V52" s="47">
        <v>2</v>
      </c>
      <c r="W52" s="47">
        <v>2</v>
      </c>
      <c r="X52" s="47">
        <v>2</v>
      </c>
      <c r="Y52" s="47">
        <v>2</v>
      </c>
      <c r="Z52" s="47">
        <v>2</v>
      </c>
      <c r="AA52" s="47">
        <v>2</v>
      </c>
      <c r="AB52" s="47">
        <v>2</v>
      </c>
      <c r="AC52" s="47">
        <v>2</v>
      </c>
      <c r="AD52" s="47">
        <v>2</v>
      </c>
      <c r="AE52" s="47">
        <v>2</v>
      </c>
      <c r="AF52" s="48">
        <v>2</v>
      </c>
      <c r="AG52" s="86">
        <v>2</v>
      </c>
      <c r="AH52" s="86">
        <f>AG52*30</f>
        <v>60</v>
      </c>
      <c r="AI52" s="84">
        <f>T52*U52*AH52</f>
        <v>77640</v>
      </c>
      <c r="AJ52" s="80">
        <f>T52*SUM(U52:AF52)*AH52</f>
        <v>931680</v>
      </c>
    </row>
    <row r="53" spans="1:36" ht="32.1" customHeight="1">
      <c r="A53" s="28" t="s">
        <v>59</v>
      </c>
      <c r="B53" s="473">
        <f>SUM(R48:R52)</f>
        <v>12167280</v>
      </c>
      <c r="C53" s="474"/>
      <c r="D53" s="474"/>
      <c r="E53" s="474"/>
      <c r="F53" s="474"/>
      <c r="G53" s="474"/>
      <c r="H53" s="474"/>
      <c r="I53" s="474"/>
      <c r="J53" s="474"/>
      <c r="K53" s="474"/>
      <c r="L53" s="474"/>
      <c r="M53" s="474"/>
      <c r="N53" s="474"/>
      <c r="O53" s="474"/>
      <c r="P53" s="474"/>
      <c r="Q53" s="474"/>
      <c r="R53" s="474"/>
      <c r="S53" s="28" t="s">
        <v>67</v>
      </c>
      <c r="T53" s="473">
        <f>SUM(AJ48:AJ52)</f>
        <v>36174240</v>
      </c>
      <c r="U53" s="474"/>
      <c r="V53" s="474"/>
      <c r="W53" s="474"/>
      <c r="X53" s="474"/>
      <c r="Y53" s="474"/>
      <c r="Z53" s="474"/>
      <c r="AA53" s="474"/>
      <c r="AB53" s="474"/>
      <c r="AC53" s="474"/>
      <c r="AD53" s="474"/>
      <c r="AE53" s="474"/>
      <c r="AF53" s="474"/>
      <c r="AG53" s="474"/>
      <c r="AH53" s="474"/>
      <c r="AI53" s="474"/>
      <c r="AJ53" s="489"/>
    </row>
    <row r="54" spans="1:36" ht="18.75" customHeight="1">
      <c r="A54" s="29"/>
      <c r="B54" s="64"/>
      <c r="C54" s="30"/>
      <c r="D54" s="30"/>
      <c r="E54" s="30"/>
      <c r="F54" s="30"/>
      <c r="G54" s="30"/>
      <c r="H54" s="30"/>
      <c r="I54" s="30"/>
      <c r="J54" s="30" t="s">
        <v>37</v>
      </c>
      <c r="K54" s="30"/>
      <c r="L54" s="30"/>
      <c r="M54" s="30"/>
      <c r="N54" s="30"/>
      <c r="O54" s="69"/>
      <c r="P54" s="69"/>
      <c r="Q54" s="64"/>
      <c r="R54" s="64"/>
      <c r="S54" s="29"/>
      <c r="T54" s="64"/>
      <c r="U54" s="30"/>
      <c r="V54" s="30"/>
      <c r="W54" s="30"/>
      <c r="X54" s="30"/>
      <c r="Y54" s="30"/>
      <c r="Z54" s="30"/>
      <c r="AA54" s="30"/>
      <c r="AB54" s="30" t="s">
        <v>37</v>
      </c>
      <c r="AC54" s="30"/>
      <c r="AD54" s="30"/>
      <c r="AE54" s="30"/>
      <c r="AF54" s="30"/>
      <c r="AG54" s="69"/>
      <c r="AH54" s="69"/>
      <c r="AI54" s="64"/>
      <c r="AJ54" s="64"/>
    </row>
    <row r="55" spans="1:36" ht="21.75" customHeight="1">
      <c r="A55" s="25" t="s">
        <v>140</v>
      </c>
      <c r="B55" s="72">
        <f>'Transportation Y1'!N7</f>
        <v>2002</v>
      </c>
      <c r="C55" s="47">
        <v>2</v>
      </c>
      <c r="D55" s="47">
        <v>2</v>
      </c>
      <c r="E55" s="47">
        <v>2</v>
      </c>
      <c r="F55" s="47">
        <v>2</v>
      </c>
      <c r="G55" s="47">
        <v>2</v>
      </c>
      <c r="H55" s="47">
        <v>2</v>
      </c>
      <c r="I55" s="47">
        <v>2</v>
      </c>
      <c r="J55" s="47">
        <v>2</v>
      </c>
      <c r="K55" s="47">
        <v>2</v>
      </c>
      <c r="L55" s="47">
        <v>2</v>
      </c>
      <c r="M55" s="47">
        <v>2</v>
      </c>
      <c r="N55" s="47">
        <v>2</v>
      </c>
      <c r="O55" s="83">
        <v>1</v>
      </c>
      <c r="P55" s="83">
        <f>O55*30</f>
        <v>30</v>
      </c>
      <c r="Q55" s="89">
        <f>B55*C55*P55</f>
        <v>120120</v>
      </c>
      <c r="R55" s="79">
        <f>B55*SUM(C55:N55)*P55</f>
        <v>1441440</v>
      </c>
      <c r="S55" s="25" t="s">
        <v>140</v>
      </c>
      <c r="T55" s="72">
        <f>'Transportation Y2'!N7</f>
        <v>2249</v>
      </c>
      <c r="U55" s="47">
        <v>2</v>
      </c>
      <c r="V55" s="47">
        <v>2</v>
      </c>
      <c r="W55" s="47">
        <v>2</v>
      </c>
      <c r="X55" s="47">
        <v>2</v>
      </c>
      <c r="Y55" s="47">
        <v>2</v>
      </c>
      <c r="Z55" s="47">
        <v>2</v>
      </c>
      <c r="AA55" s="47">
        <v>2</v>
      </c>
      <c r="AB55" s="47">
        <v>2</v>
      </c>
      <c r="AC55" s="47">
        <v>2</v>
      </c>
      <c r="AD55" s="47">
        <v>2</v>
      </c>
      <c r="AE55" s="47">
        <v>2</v>
      </c>
      <c r="AF55" s="47">
        <v>2</v>
      </c>
      <c r="AG55" s="83">
        <v>1</v>
      </c>
      <c r="AH55" s="83">
        <f>AG55*30</f>
        <v>30</v>
      </c>
      <c r="AI55" s="89">
        <f>T55*U55*AH55</f>
        <v>134940</v>
      </c>
      <c r="AJ55" s="79">
        <f>T55*SUM(U55:AF55)*AH55</f>
        <v>1619280</v>
      </c>
    </row>
    <row r="56" spans="1:36" ht="18.75" customHeight="1">
      <c r="A56" s="26" t="s">
        <v>49</v>
      </c>
      <c r="B56" s="72">
        <f>'Transportation Y1'!N8</f>
        <v>2310</v>
      </c>
      <c r="C56" s="47">
        <v>2</v>
      </c>
      <c r="D56" s="47">
        <v>2</v>
      </c>
      <c r="E56" s="47">
        <v>2</v>
      </c>
      <c r="F56" s="47">
        <v>2</v>
      </c>
      <c r="G56" s="47">
        <v>2</v>
      </c>
      <c r="H56" s="47">
        <v>2</v>
      </c>
      <c r="I56" s="47">
        <v>2</v>
      </c>
      <c r="J56" s="47">
        <v>2</v>
      </c>
      <c r="K56" s="47">
        <v>2</v>
      </c>
      <c r="L56" s="47">
        <v>2</v>
      </c>
      <c r="M56" s="47">
        <v>2</v>
      </c>
      <c r="N56" s="47">
        <v>2</v>
      </c>
      <c r="O56" s="85">
        <v>1</v>
      </c>
      <c r="P56" s="85">
        <f>O56*30</f>
        <v>30</v>
      </c>
      <c r="Q56" s="84">
        <f>B56*C56*P56</f>
        <v>138600</v>
      </c>
      <c r="R56" s="80">
        <f>B56*SUM(C56:N56)*P56</f>
        <v>1663200</v>
      </c>
      <c r="S56" s="26" t="s">
        <v>49</v>
      </c>
      <c r="T56" s="72">
        <f>'Transportation Y2'!N8</f>
        <v>2595</v>
      </c>
      <c r="U56" s="47">
        <v>2</v>
      </c>
      <c r="V56" s="47">
        <v>2</v>
      </c>
      <c r="W56" s="47">
        <v>2</v>
      </c>
      <c r="X56" s="47">
        <v>2</v>
      </c>
      <c r="Y56" s="47">
        <v>2</v>
      </c>
      <c r="Z56" s="47">
        <v>2</v>
      </c>
      <c r="AA56" s="47">
        <v>2</v>
      </c>
      <c r="AB56" s="47">
        <v>2</v>
      </c>
      <c r="AC56" s="47">
        <v>2</v>
      </c>
      <c r="AD56" s="47">
        <v>2</v>
      </c>
      <c r="AE56" s="47">
        <v>2</v>
      </c>
      <c r="AF56" s="47">
        <v>2</v>
      </c>
      <c r="AG56" s="85">
        <v>1</v>
      </c>
      <c r="AH56" s="85">
        <f>AG56*30</f>
        <v>30</v>
      </c>
      <c r="AI56" s="84">
        <f>T56*U56*AH56</f>
        <v>155700</v>
      </c>
      <c r="AJ56" s="80">
        <f>T56*SUM(U56:AF56)*AH56</f>
        <v>1868400</v>
      </c>
    </row>
    <row r="57" spans="1:36" ht="18.75" customHeight="1" thickBot="1">
      <c r="A57" s="27" t="s">
        <v>50</v>
      </c>
      <c r="B57" s="72">
        <f>'Transportation Y1'!N9</f>
        <v>507</v>
      </c>
      <c r="C57" s="46">
        <v>2</v>
      </c>
      <c r="D57" s="47">
        <v>2</v>
      </c>
      <c r="E57" s="47">
        <v>2</v>
      </c>
      <c r="F57" s="47">
        <v>2</v>
      </c>
      <c r="G57" s="47">
        <v>2</v>
      </c>
      <c r="H57" s="47">
        <v>2</v>
      </c>
      <c r="I57" s="47">
        <v>2</v>
      </c>
      <c r="J57" s="47">
        <v>2</v>
      </c>
      <c r="K57" s="47">
        <v>2</v>
      </c>
      <c r="L57" s="47">
        <v>2</v>
      </c>
      <c r="M57" s="47">
        <v>2</v>
      </c>
      <c r="N57" s="47">
        <v>2</v>
      </c>
      <c r="O57" s="85">
        <v>1</v>
      </c>
      <c r="P57" s="90">
        <f>O57*30</f>
        <v>30</v>
      </c>
      <c r="Q57" s="84">
        <f>B57*C57*P57</f>
        <v>30420</v>
      </c>
      <c r="R57" s="82">
        <f>B57*SUM(C57:N57)*P57</f>
        <v>365040</v>
      </c>
      <c r="S57" s="27" t="s">
        <v>50</v>
      </c>
      <c r="T57" s="72">
        <f>'Transportation Y2'!N9</f>
        <v>570</v>
      </c>
      <c r="U57" s="46">
        <v>2</v>
      </c>
      <c r="V57" s="47">
        <v>2</v>
      </c>
      <c r="W57" s="47">
        <v>2</v>
      </c>
      <c r="X57" s="47">
        <v>2</v>
      </c>
      <c r="Y57" s="47">
        <v>2</v>
      </c>
      <c r="Z57" s="47">
        <v>2</v>
      </c>
      <c r="AA57" s="47">
        <v>2</v>
      </c>
      <c r="AB57" s="47">
        <v>2</v>
      </c>
      <c r="AC57" s="47">
        <v>2</v>
      </c>
      <c r="AD57" s="47">
        <v>2</v>
      </c>
      <c r="AE57" s="47">
        <v>2</v>
      </c>
      <c r="AF57" s="47">
        <v>2</v>
      </c>
      <c r="AG57" s="85">
        <v>1</v>
      </c>
      <c r="AH57" s="85">
        <f>AG57*30</f>
        <v>30</v>
      </c>
      <c r="AI57" s="84">
        <f>T57*U57*AH57</f>
        <v>34200</v>
      </c>
      <c r="AJ57" s="80">
        <f>T57*SUM(U57:AF57)*AH57</f>
        <v>410400</v>
      </c>
    </row>
    <row r="58" spans="1:36" ht="32.1" customHeight="1" thickBot="1">
      <c r="A58" s="16" t="s">
        <v>60</v>
      </c>
      <c r="B58" s="476">
        <f>SUM(R55:R57)</f>
        <v>3469680</v>
      </c>
      <c r="C58" s="477"/>
      <c r="D58" s="477"/>
      <c r="E58" s="477"/>
      <c r="F58" s="477"/>
      <c r="G58" s="477"/>
      <c r="H58" s="477"/>
      <c r="I58" s="477"/>
      <c r="J58" s="477"/>
      <c r="K58" s="477"/>
      <c r="L58" s="477"/>
      <c r="M58" s="477"/>
      <c r="N58" s="477"/>
      <c r="O58" s="477"/>
      <c r="P58" s="477"/>
      <c r="Q58" s="477"/>
      <c r="R58" s="478"/>
      <c r="S58" s="16" t="s">
        <v>62</v>
      </c>
      <c r="T58" s="476">
        <f>SUM(AJ55:AJ57)</f>
        <v>3898080</v>
      </c>
      <c r="U58" s="477"/>
      <c r="V58" s="477"/>
      <c r="W58" s="477"/>
      <c r="X58" s="477"/>
      <c r="Y58" s="477"/>
      <c r="Z58" s="477"/>
      <c r="AA58" s="477"/>
      <c r="AB58" s="477"/>
      <c r="AC58" s="477"/>
      <c r="AD58" s="477"/>
      <c r="AE58" s="477"/>
      <c r="AF58" s="477"/>
      <c r="AG58" s="477"/>
      <c r="AH58" s="477"/>
      <c r="AI58" s="477"/>
      <c r="AJ58" s="478"/>
    </row>
    <row r="59" spans="1:36" ht="28.5" customHeight="1" thickBot="1">
      <c r="A59" s="18" t="s">
        <v>75</v>
      </c>
      <c r="B59" s="487">
        <f>B12+B31+B37+B41+B46+B53+B58</f>
        <v>38337316</v>
      </c>
      <c r="C59" s="488"/>
      <c r="D59" s="488"/>
      <c r="E59" s="488"/>
      <c r="F59" s="488"/>
      <c r="G59" s="488"/>
      <c r="H59" s="488"/>
      <c r="I59" s="488"/>
      <c r="J59" s="488"/>
      <c r="K59" s="488"/>
      <c r="L59" s="488"/>
      <c r="M59" s="488"/>
      <c r="N59" s="488"/>
      <c r="O59" s="488"/>
      <c r="P59" s="488"/>
      <c r="Q59" s="488"/>
      <c r="R59" s="488"/>
      <c r="S59" s="18" t="s">
        <v>76</v>
      </c>
      <c r="T59" s="487">
        <f>T12+T31+T37+T41+T46+T53+T58</f>
        <v>82875600</v>
      </c>
      <c r="U59" s="488"/>
      <c r="V59" s="488"/>
      <c r="W59" s="488"/>
      <c r="X59" s="488"/>
      <c r="Y59" s="488"/>
      <c r="Z59" s="488"/>
      <c r="AA59" s="488"/>
      <c r="AB59" s="488"/>
      <c r="AC59" s="488"/>
      <c r="AD59" s="488"/>
      <c r="AE59" s="488"/>
      <c r="AF59" s="488"/>
      <c r="AG59" s="488"/>
      <c r="AH59" s="488"/>
      <c r="AI59" s="488"/>
      <c r="AJ59" s="490"/>
    </row>
    <row r="60" spans="1:36">
      <c r="A60" s="479" t="s">
        <v>79</v>
      </c>
      <c r="B60" s="481">
        <f>B59+T59</f>
        <v>121212916</v>
      </c>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c r="AA60" s="482"/>
      <c r="AB60" s="482"/>
      <c r="AC60" s="482"/>
      <c r="AD60" s="482"/>
      <c r="AE60" s="482"/>
      <c r="AF60" s="482"/>
      <c r="AG60" s="482"/>
      <c r="AH60" s="482"/>
      <c r="AI60" s="482"/>
      <c r="AJ60" s="483"/>
    </row>
    <row r="61" spans="1:36" ht="15.75" thickBot="1">
      <c r="A61" s="480"/>
      <c r="B61" s="484"/>
      <c r="C61" s="485"/>
      <c r="D61" s="485"/>
      <c r="E61" s="485"/>
      <c r="F61" s="485"/>
      <c r="G61" s="485"/>
      <c r="H61" s="485"/>
      <c r="I61" s="485"/>
      <c r="J61" s="485"/>
      <c r="K61" s="485"/>
      <c r="L61" s="485"/>
      <c r="M61" s="485"/>
      <c r="N61" s="485"/>
      <c r="O61" s="485"/>
      <c r="P61" s="485"/>
      <c r="Q61" s="485"/>
      <c r="R61" s="485"/>
      <c r="S61" s="485"/>
      <c r="T61" s="485"/>
      <c r="U61" s="485"/>
      <c r="V61" s="485"/>
      <c r="W61" s="485"/>
      <c r="X61" s="485"/>
      <c r="Y61" s="485"/>
      <c r="Z61" s="485"/>
      <c r="AA61" s="485"/>
      <c r="AB61" s="485"/>
      <c r="AC61" s="485"/>
      <c r="AD61" s="485"/>
      <c r="AE61" s="485"/>
      <c r="AF61" s="485"/>
      <c r="AG61" s="485"/>
      <c r="AH61" s="485"/>
      <c r="AI61" s="485"/>
      <c r="AJ61" s="486"/>
    </row>
    <row r="62" spans="1:36" s="21" customFormat="1">
      <c r="A62" s="19"/>
      <c r="B62" s="65"/>
      <c r="C62" s="20"/>
      <c r="D62" s="20"/>
      <c r="E62" s="20"/>
      <c r="F62" s="20"/>
      <c r="G62" s="20"/>
      <c r="H62" s="20"/>
      <c r="I62" s="20"/>
      <c r="J62" s="20"/>
      <c r="K62" s="20"/>
      <c r="L62" s="20"/>
      <c r="M62" s="20"/>
      <c r="N62" s="20"/>
      <c r="O62" s="70"/>
      <c r="P62" s="70"/>
      <c r="Q62" s="65"/>
      <c r="R62" s="65"/>
      <c r="S62" s="20"/>
      <c r="T62" s="65"/>
      <c r="U62" s="20"/>
      <c r="V62" s="20"/>
      <c r="W62" s="20"/>
      <c r="X62" s="20"/>
      <c r="Y62" s="20"/>
      <c r="Z62" s="20"/>
      <c r="AA62" s="20"/>
      <c r="AB62" s="20"/>
      <c r="AC62" s="20"/>
      <c r="AD62" s="20"/>
      <c r="AE62" s="20"/>
      <c r="AF62" s="20"/>
      <c r="AG62" s="70"/>
      <c r="AH62" s="70"/>
      <c r="AI62" s="65"/>
      <c r="AJ62" s="65"/>
    </row>
    <row r="63" spans="1:36">
      <c r="A63" s="22"/>
      <c r="B63" s="66"/>
      <c r="C63" s="23"/>
      <c r="D63" s="23"/>
      <c r="E63" s="23"/>
      <c r="F63" s="23"/>
      <c r="G63" s="23"/>
      <c r="H63" s="23"/>
      <c r="I63" s="23"/>
      <c r="J63" s="23"/>
      <c r="K63" s="23"/>
      <c r="L63" s="23"/>
      <c r="M63" s="23"/>
      <c r="N63" s="23"/>
      <c r="O63" s="71"/>
      <c r="P63" s="71"/>
      <c r="Q63" s="66"/>
      <c r="R63" s="73"/>
      <c r="S63" s="22"/>
      <c r="T63" s="66"/>
      <c r="U63" s="23"/>
      <c r="V63" s="23"/>
      <c r="W63" s="23"/>
      <c r="X63" s="23"/>
      <c r="Y63" s="23"/>
      <c r="Z63" s="23"/>
      <c r="AA63" s="23"/>
      <c r="AB63" s="23"/>
      <c r="AC63" s="23"/>
      <c r="AD63" s="23"/>
      <c r="AE63" s="23"/>
      <c r="AF63" s="23"/>
      <c r="AG63" s="71"/>
      <c r="AH63" s="71"/>
      <c r="AI63" s="66"/>
      <c r="AJ63" s="73"/>
    </row>
    <row r="64" spans="1:36" ht="15" customHeight="1">
      <c r="A64" s="472"/>
      <c r="B64" s="472"/>
      <c r="C64" s="472"/>
      <c r="D64" s="472"/>
      <c r="E64" s="472"/>
      <c r="F64" s="472"/>
      <c r="G64" s="472"/>
      <c r="H64" s="472"/>
      <c r="I64" s="472"/>
      <c r="J64" s="472"/>
      <c r="K64" s="472"/>
      <c r="L64" s="472"/>
      <c r="M64" s="472"/>
      <c r="N64" s="472"/>
      <c r="O64" s="472"/>
      <c r="P64" s="472"/>
      <c r="Q64" s="472"/>
      <c r="R64" s="472"/>
      <c r="S64" s="472"/>
      <c r="T64" s="472"/>
      <c r="U64" s="472"/>
      <c r="V64" s="472"/>
      <c r="W64" s="472"/>
      <c r="X64" s="472"/>
      <c r="Y64" s="472"/>
      <c r="Z64" s="472"/>
      <c r="AA64" s="472"/>
      <c r="AB64" s="472"/>
      <c r="AC64" s="472"/>
      <c r="AD64" s="472"/>
      <c r="AE64" s="472"/>
      <c r="AF64" s="472"/>
      <c r="AG64" s="17"/>
      <c r="AH64" s="17"/>
      <c r="AI64" s="17"/>
      <c r="AJ64" s="17"/>
    </row>
    <row r="65" spans="1:36">
      <c r="A65" s="472"/>
      <c r="B65" s="472"/>
      <c r="C65" s="472"/>
      <c r="D65" s="472"/>
      <c r="E65" s="472"/>
      <c r="F65" s="472"/>
      <c r="G65" s="472"/>
      <c r="H65" s="472"/>
      <c r="I65" s="472"/>
      <c r="J65" s="472"/>
      <c r="K65" s="472"/>
      <c r="L65" s="472"/>
      <c r="M65" s="472"/>
      <c r="N65" s="472"/>
      <c r="O65" s="472"/>
      <c r="P65" s="472"/>
      <c r="Q65" s="472"/>
      <c r="R65" s="472"/>
      <c r="S65" s="472"/>
      <c r="T65" s="472"/>
      <c r="U65" s="472"/>
      <c r="V65" s="472"/>
      <c r="W65" s="472"/>
      <c r="X65" s="472"/>
      <c r="Y65" s="472"/>
      <c r="Z65" s="472"/>
      <c r="AA65" s="472"/>
      <c r="AB65" s="472"/>
      <c r="AC65" s="472"/>
      <c r="AD65" s="472"/>
      <c r="AE65" s="472"/>
      <c r="AF65" s="472"/>
      <c r="AG65" s="17"/>
      <c r="AH65" s="17"/>
      <c r="AI65" s="17"/>
      <c r="AJ65" s="17"/>
    </row>
    <row r="66" spans="1:36" ht="31.5" customHeight="1">
      <c r="A66" s="472"/>
      <c r="B66" s="472"/>
      <c r="C66" s="472"/>
      <c r="D66" s="472"/>
      <c r="E66" s="472"/>
      <c r="F66" s="472"/>
      <c r="G66" s="472"/>
      <c r="H66" s="472"/>
      <c r="I66" s="472"/>
      <c r="J66" s="472"/>
      <c r="K66" s="472"/>
      <c r="L66" s="472"/>
      <c r="M66" s="472"/>
      <c r="N66" s="472"/>
      <c r="O66" s="472"/>
      <c r="P66" s="472"/>
      <c r="Q66" s="472"/>
      <c r="R66" s="472"/>
      <c r="S66" s="472"/>
      <c r="T66" s="472"/>
      <c r="U66" s="472"/>
      <c r="V66" s="472"/>
      <c r="W66" s="472"/>
      <c r="X66" s="472"/>
      <c r="Y66" s="472"/>
      <c r="Z66" s="472"/>
      <c r="AA66" s="472"/>
      <c r="AB66" s="472"/>
      <c r="AC66" s="472"/>
      <c r="AD66" s="472"/>
      <c r="AE66" s="472"/>
      <c r="AF66" s="472"/>
      <c r="AG66" s="17"/>
      <c r="AH66" s="17"/>
      <c r="AI66" s="17"/>
      <c r="AJ66" s="17"/>
    </row>
    <row r="67" spans="1:36" ht="21" customHeight="1">
      <c r="A67" s="472"/>
      <c r="B67" s="472"/>
      <c r="C67" s="472"/>
      <c r="D67" s="472"/>
      <c r="E67" s="472"/>
      <c r="F67" s="472"/>
      <c r="G67" s="472"/>
      <c r="H67" s="472"/>
      <c r="I67" s="472"/>
      <c r="J67" s="472"/>
      <c r="K67" s="472"/>
      <c r="L67" s="472"/>
      <c r="M67" s="472"/>
      <c r="N67" s="472"/>
      <c r="O67" s="472"/>
      <c r="P67" s="472"/>
      <c r="Q67" s="472"/>
      <c r="R67" s="472"/>
      <c r="S67" s="472"/>
      <c r="T67" s="472"/>
      <c r="U67" s="472"/>
      <c r="V67" s="472"/>
      <c r="W67" s="472"/>
      <c r="X67" s="472"/>
      <c r="Y67" s="472"/>
      <c r="Z67" s="472"/>
      <c r="AA67" s="472"/>
      <c r="AB67" s="472"/>
      <c r="AC67" s="472"/>
      <c r="AD67" s="472"/>
      <c r="AE67" s="472"/>
      <c r="AF67" s="472"/>
      <c r="AG67" s="17"/>
      <c r="AH67" s="17"/>
      <c r="AI67" s="17"/>
      <c r="AJ67" s="17"/>
    </row>
    <row r="68" spans="1:36" ht="24.75" customHeight="1">
      <c r="A68" s="472"/>
      <c r="B68" s="472"/>
      <c r="C68" s="472"/>
      <c r="D68" s="472"/>
      <c r="E68" s="472"/>
      <c r="F68" s="472"/>
      <c r="G68" s="472"/>
      <c r="H68" s="472"/>
      <c r="I68" s="472"/>
      <c r="J68" s="472"/>
      <c r="K68" s="472"/>
      <c r="L68" s="472"/>
      <c r="M68" s="472"/>
      <c r="N68" s="472"/>
      <c r="O68" s="472"/>
      <c r="P68" s="472"/>
      <c r="Q68" s="472"/>
      <c r="R68" s="472"/>
      <c r="S68" s="472"/>
      <c r="T68" s="472"/>
      <c r="U68" s="472"/>
      <c r="V68" s="472"/>
      <c r="W68" s="472"/>
      <c r="X68" s="472"/>
      <c r="Y68" s="472"/>
      <c r="Z68" s="472"/>
      <c r="AA68" s="472"/>
      <c r="AB68" s="472"/>
      <c r="AC68" s="472"/>
      <c r="AD68" s="472"/>
      <c r="AE68" s="472"/>
      <c r="AF68" s="472"/>
      <c r="AG68" s="17"/>
      <c r="AH68" s="17"/>
      <c r="AI68" s="17"/>
      <c r="AJ68" s="17"/>
    </row>
    <row r="69" spans="1:36" ht="36" customHeight="1">
      <c r="A69" s="472"/>
      <c r="B69" s="472"/>
      <c r="C69" s="472"/>
      <c r="D69" s="472"/>
      <c r="E69" s="472"/>
      <c r="F69" s="472"/>
      <c r="G69" s="472"/>
      <c r="H69" s="472"/>
      <c r="I69" s="472"/>
      <c r="J69" s="472"/>
      <c r="K69" s="472"/>
      <c r="L69" s="472"/>
      <c r="M69" s="472"/>
      <c r="N69" s="472"/>
      <c r="O69" s="472"/>
      <c r="P69" s="472"/>
      <c r="Q69" s="472"/>
      <c r="R69" s="472"/>
      <c r="S69" s="472"/>
      <c r="T69" s="472"/>
      <c r="U69" s="472"/>
      <c r="V69" s="472"/>
      <c r="W69" s="472"/>
      <c r="X69" s="472"/>
      <c r="Y69" s="472"/>
      <c r="Z69" s="472"/>
      <c r="AA69" s="472"/>
      <c r="AB69" s="472"/>
      <c r="AC69" s="472"/>
      <c r="AD69" s="472"/>
      <c r="AE69" s="472"/>
      <c r="AF69" s="472"/>
      <c r="AG69" s="17"/>
      <c r="AH69" s="17"/>
      <c r="AI69" s="17"/>
      <c r="AJ69" s="17"/>
    </row>
    <row r="70" spans="1:36" ht="18.75" customHeight="1">
      <c r="A70" s="472"/>
      <c r="B70" s="472"/>
      <c r="C70" s="472"/>
      <c r="D70" s="472"/>
      <c r="E70" s="472"/>
      <c r="F70" s="472"/>
      <c r="G70" s="472"/>
      <c r="H70" s="472"/>
      <c r="I70" s="472"/>
      <c r="J70" s="472"/>
      <c r="K70" s="472"/>
      <c r="L70" s="472"/>
      <c r="M70" s="472"/>
      <c r="N70" s="472"/>
      <c r="O70" s="472"/>
      <c r="P70" s="472"/>
      <c r="Q70" s="472"/>
      <c r="R70" s="472"/>
      <c r="S70" s="472"/>
      <c r="T70" s="472"/>
      <c r="U70" s="472"/>
      <c r="V70" s="472"/>
      <c r="W70" s="472"/>
      <c r="X70" s="472"/>
      <c r="Y70" s="472"/>
      <c r="Z70" s="472"/>
      <c r="AA70" s="472"/>
      <c r="AB70" s="472"/>
      <c r="AC70" s="472"/>
      <c r="AD70" s="472"/>
      <c r="AE70" s="472"/>
      <c r="AF70" s="472"/>
      <c r="AG70" s="17"/>
      <c r="AH70" s="17"/>
      <c r="AI70" s="17"/>
      <c r="AJ70" s="17"/>
    </row>
    <row r="71" spans="1:36" ht="18.75" customHeight="1">
      <c r="A71" s="472"/>
      <c r="B71" s="472"/>
      <c r="C71" s="472"/>
      <c r="D71" s="472"/>
      <c r="E71" s="472"/>
      <c r="F71" s="472"/>
      <c r="G71" s="472"/>
      <c r="H71" s="472"/>
      <c r="I71" s="472"/>
      <c r="J71" s="472"/>
      <c r="K71" s="472"/>
      <c r="L71" s="472"/>
      <c r="M71" s="472"/>
      <c r="N71" s="472"/>
      <c r="O71" s="472"/>
      <c r="P71" s="472"/>
      <c r="Q71" s="472"/>
      <c r="R71" s="472"/>
      <c r="S71" s="472"/>
      <c r="T71" s="472"/>
      <c r="U71" s="472"/>
      <c r="V71" s="472"/>
      <c r="W71" s="472"/>
      <c r="X71" s="472"/>
      <c r="Y71" s="472"/>
      <c r="Z71" s="472"/>
      <c r="AA71" s="472"/>
      <c r="AB71" s="472"/>
      <c r="AC71" s="472"/>
      <c r="AD71" s="472"/>
      <c r="AE71" s="472"/>
      <c r="AF71" s="472"/>
      <c r="AG71" s="17"/>
      <c r="AH71" s="17"/>
      <c r="AI71" s="17"/>
      <c r="AJ71" s="17"/>
    </row>
    <row r="72" spans="1:36" ht="18.75" customHeight="1">
      <c r="A72" s="472"/>
      <c r="B72" s="472"/>
      <c r="C72" s="472"/>
      <c r="D72" s="472"/>
      <c r="E72" s="472"/>
      <c r="F72" s="472"/>
      <c r="G72" s="472"/>
      <c r="H72" s="472"/>
      <c r="I72" s="472"/>
      <c r="J72" s="472"/>
      <c r="K72" s="472"/>
      <c r="L72" s="472"/>
      <c r="M72" s="472"/>
      <c r="N72" s="472"/>
      <c r="O72" s="472"/>
      <c r="P72" s="472"/>
      <c r="Q72" s="472"/>
      <c r="R72" s="472"/>
      <c r="S72" s="472"/>
      <c r="T72" s="472"/>
      <c r="U72" s="472"/>
      <c r="V72" s="472"/>
      <c r="W72" s="472"/>
      <c r="X72" s="472"/>
      <c r="Y72" s="472"/>
      <c r="Z72" s="472"/>
      <c r="AA72" s="472"/>
      <c r="AB72" s="472"/>
      <c r="AC72" s="472"/>
      <c r="AD72" s="472"/>
      <c r="AE72" s="472"/>
      <c r="AF72" s="472"/>
      <c r="AG72" s="17"/>
      <c r="AH72" s="17"/>
      <c r="AI72" s="17"/>
      <c r="AJ72" s="17"/>
    </row>
    <row r="73" spans="1:36" ht="18.75" customHeight="1">
      <c r="A73" s="17"/>
    </row>
    <row r="90" spans="3:3">
      <c r="C90" s="24"/>
    </row>
  </sheetData>
  <sheetProtection algorithmName="SHA-512" hashValue="lDVo+UcvdOxCflaCRjyXfKW8fWNVEVjez2hAigS3djwYF6FBmDNaoTKsl7PVg6GP4XNOi2xv/TMY5Lfx1m4u9Q==" saltValue="EdsqG2uX4o1kKHsSGhRbPQ==" spinCount="100000" sheet="1" objects="1" scenarios="1"/>
  <mergeCells count="52">
    <mergeCell ref="AH8:AH9"/>
    <mergeCell ref="AJ8:AJ9"/>
    <mergeCell ref="R8:R9"/>
    <mergeCell ref="A8:A9"/>
    <mergeCell ref="P8:P9"/>
    <mergeCell ref="T8:T9"/>
    <mergeCell ref="AG8:AG9"/>
    <mergeCell ref="Q8:Q9"/>
    <mergeCell ref="AI8:AI9"/>
    <mergeCell ref="U8:AF8"/>
    <mergeCell ref="C11:N11"/>
    <mergeCell ref="B6:R6"/>
    <mergeCell ref="B41:R41"/>
    <mergeCell ref="T6:AJ6"/>
    <mergeCell ref="T7:AJ7"/>
    <mergeCell ref="T31:AJ31"/>
    <mergeCell ref="T37:AJ37"/>
    <mergeCell ref="T41:AJ41"/>
    <mergeCell ref="B10:R10"/>
    <mergeCell ref="T10:AJ10"/>
    <mergeCell ref="T13:AJ13"/>
    <mergeCell ref="B12:R12"/>
    <mergeCell ref="T12:AJ12"/>
    <mergeCell ref="C8:N8"/>
    <mergeCell ref="B8:B9"/>
    <mergeCell ref="O8:O9"/>
    <mergeCell ref="T46:AJ46"/>
    <mergeCell ref="T53:AJ53"/>
    <mergeCell ref="T58:AJ58"/>
    <mergeCell ref="T59:AJ59"/>
    <mergeCell ref="T11:AJ11"/>
    <mergeCell ref="B53:R53"/>
    <mergeCell ref="B58:R58"/>
    <mergeCell ref="A60:A61"/>
    <mergeCell ref="B60:AJ61"/>
    <mergeCell ref="B59:R59"/>
    <mergeCell ref="A2:AJ2"/>
    <mergeCell ref="A3:AJ3"/>
    <mergeCell ref="A4:AJ4"/>
    <mergeCell ref="A72:AF72"/>
    <mergeCell ref="A67:AF67"/>
    <mergeCell ref="A64:AF64"/>
    <mergeCell ref="A65:AF65"/>
    <mergeCell ref="A68:AF68"/>
    <mergeCell ref="A69:AF69"/>
    <mergeCell ref="A66:AF66"/>
    <mergeCell ref="A70:AF70"/>
    <mergeCell ref="B31:R31"/>
    <mergeCell ref="B7:R7"/>
    <mergeCell ref="B37:R37"/>
    <mergeCell ref="A71:AF71"/>
    <mergeCell ref="B46:R46"/>
  </mergeCells>
  <phoneticPr fontId="2" type="noConversion"/>
  <pageMargins left="0.7" right="0.7" top="0.75" bottom="0.75" header="0.3" footer="0.3"/>
  <pageSetup paperSize="8" scale="5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9EA5-1033-4793-8591-62B8544E1825}">
  <dimension ref="B3:D25"/>
  <sheetViews>
    <sheetView view="pageBreakPreview" zoomScale="145" zoomScaleNormal="100" zoomScaleSheetLayoutView="145" workbookViewId="0">
      <selection activeCell="C20" sqref="C20"/>
    </sheetView>
  </sheetViews>
  <sheetFormatPr defaultRowHeight="15"/>
  <cols>
    <col min="2" max="2" width="52" customWidth="1"/>
    <col min="3" max="3" width="12.5703125" bestFit="1" customWidth="1"/>
    <col min="4" max="4" width="19.140625" customWidth="1"/>
  </cols>
  <sheetData>
    <row r="3" spans="2:4" ht="18.75">
      <c r="B3" s="517" t="s">
        <v>135</v>
      </c>
      <c r="C3" s="517"/>
      <c r="D3" s="517"/>
    </row>
    <row r="4" spans="2:4" ht="18.75">
      <c r="B4" s="517" t="s">
        <v>136</v>
      </c>
      <c r="C4" s="517"/>
      <c r="D4" s="517"/>
    </row>
    <row r="6" spans="2:4" ht="15.75" thickBot="1"/>
    <row r="7" spans="2:4" ht="15.75" customHeight="1">
      <c r="B7" s="514" t="s">
        <v>126</v>
      </c>
      <c r="C7" s="514" t="s">
        <v>162</v>
      </c>
      <c r="D7" s="514" t="s">
        <v>142</v>
      </c>
    </row>
    <row r="8" spans="2:4">
      <c r="B8" s="515"/>
      <c r="C8" s="515"/>
      <c r="D8" s="515"/>
    </row>
    <row r="9" spans="2:4" ht="15.75" thickBot="1">
      <c r="B9" s="516"/>
      <c r="C9" s="516"/>
      <c r="D9" s="516"/>
    </row>
    <row r="10" spans="2:4" ht="16.5" thickBot="1">
      <c r="B10" s="54" t="s">
        <v>127</v>
      </c>
      <c r="C10" s="55" t="s">
        <v>143</v>
      </c>
      <c r="D10" s="209">
        <v>225</v>
      </c>
    </row>
    <row r="11" spans="2:4" ht="16.5" thickBot="1">
      <c r="B11" s="54" t="s">
        <v>125</v>
      </c>
      <c r="C11" s="55" t="s">
        <v>143</v>
      </c>
      <c r="D11" s="209">
        <v>100</v>
      </c>
    </row>
    <row r="12" spans="2:4" ht="16.5" thickBot="1">
      <c r="B12" s="54" t="s">
        <v>128</v>
      </c>
      <c r="C12" s="55" t="s">
        <v>143</v>
      </c>
      <c r="D12" s="209">
        <v>80</v>
      </c>
    </row>
    <row r="13" spans="2:4" ht="16.5" thickBot="1">
      <c r="B13" s="54" t="s">
        <v>129</v>
      </c>
      <c r="C13" s="55" t="s">
        <v>143</v>
      </c>
      <c r="D13" s="209">
        <v>120</v>
      </c>
    </row>
    <row r="14" spans="2:4" ht="16.5" thickBot="1">
      <c r="B14" s="54" t="s">
        <v>130</v>
      </c>
      <c r="C14" s="55" t="s">
        <v>143</v>
      </c>
      <c r="D14" s="209">
        <v>80</v>
      </c>
    </row>
    <row r="15" spans="2:4" ht="16.5" thickBot="1">
      <c r="B15" s="54" t="s">
        <v>131</v>
      </c>
      <c r="C15" s="55" t="s">
        <v>143</v>
      </c>
      <c r="D15" s="209">
        <v>100</v>
      </c>
    </row>
    <row r="16" spans="2:4" ht="16.5" thickBot="1">
      <c r="B16" s="54" t="s">
        <v>132</v>
      </c>
      <c r="C16" s="55" t="s">
        <v>143</v>
      </c>
      <c r="D16" s="209">
        <v>80</v>
      </c>
    </row>
    <row r="17" spans="2:4" ht="16.5" thickBot="1">
      <c r="B17" s="54" t="s">
        <v>10</v>
      </c>
      <c r="C17" s="55" t="s">
        <v>143</v>
      </c>
      <c r="D17" s="209">
        <v>100</v>
      </c>
    </row>
    <row r="18" spans="2:4" ht="16.5" thickBot="1">
      <c r="B18" s="54" t="s">
        <v>133</v>
      </c>
      <c r="C18" s="55" t="s">
        <v>143</v>
      </c>
      <c r="D18" s="209">
        <v>80</v>
      </c>
    </row>
    <row r="19" spans="2:4" ht="16.5" thickBot="1">
      <c r="B19" s="54" t="s">
        <v>9</v>
      </c>
      <c r="C19" s="55" t="s">
        <v>143</v>
      </c>
      <c r="D19" s="209">
        <v>100</v>
      </c>
    </row>
    <row r="20" spans="2:4" ht="16.5" thickBot="1">
      <c r="B20" s="53" t="s">
        <v>134</v>
      </c>
      <c r="C20" s="56" t="s">
        <v>144</v>
      </c>
      <c r="D20" s="209">
        <v>3200</v>
      </c>
    </row>
    <row r="21" spans="2:4" ht="30.75" thickBot="1">
      <c r="B21" s="52" t="s">
        <v>155</v>
      </c>
      <c r="C21" s="57" t="s">
        <v>145</v>
      </c>
      <c r="D21" s="209">
        <v>1800</v>
      </c>
    </row>
    <row r="22" spans="2:4" ht="30.75" thickBot="1">
      <c r="B22" s="52" t="s">
        <v>156</v>
      </c>
      <c r="C22" s="57" t="s">
        <v>145</v>
      </c>
      <c r="D22" s="209">
        <v>1800</v>
      </c>
    </row>
    <row r="23" spans="2:4" ht="16.5" thickBot="1">
      <c r="B23" s="51" t="s">
        <v>148</v>
      </c>
      <c r="C23" s="58" t="s">
        <v>146</v>
      </c>
      <c r="D23" s="210">
        <v>1500</v>
      </c>
    </row>
    <row r="24" spans="2:4" ht="16.5" thickBot="1">
      <c r="B24" s="51" t="s">
        <v>147</v>
      </c>
      <c r="C24" s="58" t="s">
        <v>146</v>
      </c>
      <c r="D24" s="210">
        <v>10000</v>
      </c>
    </row>
    <row r="25" spans="2:4">
      <c r="B25" s="50"/>
    </row>
  </sheetData>
  <mergeCells count="5">
    <mergeCell ref="B7:B9"/>
    <mergeCell ref="D7:D9"/>
    <mergeCell ref="B3:D3"/>
    <mergeCell ref="B4:D4"/>
    <mergeCell ref="C7:C9"/>
  </mergeCells>
  <pageMargins left="0.7" right="0.7" top="0.75" bottom="0.75" header="0.3" footer="0.3"/>
  <pageSetup scale="7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A7F9-7876-4947-9210-A29A26A77C4B}">
  <sheetPr>
    <pageSetUpPr fitToPage="1"/>
  </sheetPr>
  <dimension ref="A2:AK90"/>
  <sheetViews>
    <sheetView zoomScaleNormal="100" zoomScaleSheetLayoutView="70" workbookViewId="0">
      <pane xSplit="1" ySplit="9" topLeftCell="B52" activePane="bottomRight" state="frozen"/>
      <selection activeCell="F28" sqref="F28"/>
      <selection pane="topRight" activeCell="F28" sqref="F28"/>
      <selection pane="bottomLeft" activeCell="F28" sqref="F28"/>
      <selection pane="bottomRight" activeCell="C57" sqref="C57"/>
    </sheetView>
  </sheetViews>
  <sheetFormatPr defaultColWidth="9.140625" defaultRowHeight="15"/>
  <cols>
    <col min="1" max="1" width="44.85546875" style="23" customWidth="1"/>
    <col min="2" max="2" width="17.5703125" style="62" customWidth="1"/>
    <col min="3" max="14" width="3.85546875" style="17" customWidth="1"/>
    <col min="15" max="15" width="9.5703125" style="67" customWidth="1"/>
    <col min="16" max="16" width="8.5703125" style="67" customWidth="1"/>
    <col min="17" max="18" width="18.5703125" style="62" customWidth="1"/>
    <col min="19" max="19" width="42" style="23" customWidth="1"/>
    <col min="20" max="20" width="17.5703125" style="62" customWidth="1"/>
    <col min="21" max="32" width="3.85546875" style="17" customWidth="1"/>
    <col min="33" max="34" width="8.5703125" style="67" customWidth="1"/>
    <col min="35" max="36" width="18.5703125" style="62" customWidth="1"/>
    <col min="37" max="16384" width="9.140625" style="17"/>
  </cols>
  <sheetData>
    <row r="2" spans="1:37" ht="18.75">
      <c r="A2" s="469" t="s">
        <v>53</v>
      </c>
      <c r="B2" s="469"/>
      <c r="C2" s="469"/>
      <c r="D2" s="469"/>
      <c r="E2" s="469"/>
      <c r="F2" s="469"/>
      <c r="G2" s="469"/>
      <c r="H2" s="469"/>
      <c r="I2" s="469"/>
      <c r="J2" s="469"/>
      <c r="K2" s="469"/>
      <c r="L2" s="469"/>
      <c r="M2" s="469"/>
      <c r="N2" s="469"/>
      <c r="O2" s="469"/>
      <c r="P2" s="469"/>
      <c r="Q2" s="469"/>
      <c r="R2" s="469"/>
      <c r="S2" s="469"/>
      <c r="T2" s="469"/>
      <c r="U2" s="469"/>
      <c r="V2" s="469"/>
      <c r="W2" s="469"/>
      <c r="X2" s="469"/>
      <c r="Y2" s="469"/>
      <c r="Z2" s="469"/>
      <c r="AA2" s="469"/>
      <c r="AB2" s="469"/>
      <c r="AC2" s="469"/>
      <c r="AD2" s="469"/>
      <c r="AE2" s="469"/>
      <c r="AF2" s="469"/>
      <c r="AG2" s="469"/>
      <c r="AH2" s="469"/>
      <c r="AI2" s="469"/>
      <c r="AJ2" s="469"/>
    </row>
    <row r="3" spans="1:37" ht="18.75">
      <c r="A3" s="470" t="s">
        <v>174</v>
      </c>
      <c r="B3" s="470"/>
      <c r="C3" s="470"/>
      <c r="D3" s="470"/>
      <c r="E3" s="470"/>
      <c r="F3" s="470"/>
      <c r="G3" s="470"/>
      <c r="H3" s="470"/>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row>
    <row r="4" spans="1:37">
      <c r="A4" s="471"/>
      <c r="B4" s="471"/>
      <c r="C4" s="471"/>
      <c r="D4" s="471"/>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row>
    <row r="5" spans="1:37" ht="15.75" thickBot="1"/>
    <row r="6" spans="1:37" ht="15.75" thickBot="1">
      <c r="A6" s="34" t="s">
        <v>61</v>
      </c>
      <c r="B6" s="497" t="s">
        <v>38</v>
      </c>
      <c r="C6" s="497"/>
      <c r="D6" s="497"/>
      <c r="E6" s="497"/>
      <c r="F6" s="497"/>
      <c r="G6" s="497"/>
      <c r="H6" s="497"/>
      <c r="I6" s="497"/>
      <c r="J6" s="497"/>
      <c r="K6" s="497"/>
      <c r="L6" s="497"/>
      <c r="M6" s="497"/>
      <c r="N6" s="497"/>
      <c r="O6" s="497"/>
      <c r="P6" s="497"/>
      <c r="Q6" s="497"/>
      <c r="R6" s="497"/>
      <c r="S6" s="34" t="s">
        <v>61</v>
      </c>
      <c r="T6" s="497" t="s">
        <v>39</v>
      </c>
      <c r="U6" s="497"/>
      <c r="V6" s="497"/>
      <c r="W6" s="497"/>
      <c r="X6" s="497"/>
      <c r="Y6" s="497"/>
      <c r="Z6" s="497"/>
      <c r="AA6" s="497"/>
      <c r="AB6" s="497"/>
      <c r="AC6" s="497"/>
      <c r="AD6" s="497"/>
      <c r="AE6" s="497"/>
      <c r="AF6" s="497"/>
      <c r="AG6" s="497"/>
      <c r="AH6" s="497"/>
      <c r="AI6" s="497"/>
      <c r="AJ6" s="498"/>
    </row>
    <row r="7" spans="1:37" ht="15.75" thickBot="1">
      <c r="A7" s="35" t="s">
        <v>14</v>
      </c>
      <c r="B7" s="475" t="s">
        <v>35</v>
      </c>
      <c r="C7" s="475"/>
      <c r="D7" s="475"/>
      <c r="E7" s="475"/>
      <c r="F7" s="475"/>
      <c r="G7" s="475"/>
      <c r="H7" s="475"/>
      <c r="I7" s="475"/>
      <c r="J7" s="475"/>
      <c r="K7" s="475"/>
      <c r="L7" s="475"/>
      <c r="M7" s="475"/>
      <c r="N7" s="475"/>
      <c r="O7" s="475"/>
      <c r="P7" s="475"/>
      <c r="Q7" s="475"/>
      <c r="R7" s="475"/>
      <c r="S7" s="35" t="s">
        <v>14</v>
      </c>
      <c r="T7" s="475" t="s">
        <v>36</v>
      </c>
      <c r="U7" s="475"/>
      <c r="V7" s="475"/>
      <c r="W7" s="475"/>
      <c r="X7" s="475"/>
      <c r="Y7" s="475"/>
      <c r="Z7" s="475"/>
      <c r="AA7" s="475"/>
      <c r="AB7" s="475"/>
      <c r="AC7" s="475"/>
      <c r="AD7" s="475"/>
      <c r="AE7" s="475"/>
      <c r="AF7" s="475"/>
      <c r="AG7" s="475"/>
      <c r="AH7" s="475"/>
      <c r="AI7" s="475"/>
      <c r="AJ7" s="499"/>
    </row>
    <row r="8" spans="1:37" ht="15.75" customHeight="1" thickBot="1">
      <c r="A8" s="512" t="s">
        <v>13</v>
      </c>
      <c r="B8" s="506" t="s">
        <v>176</v>
      </c>
      <c r="C8" s="505" t="s">
        <v>173</v>
      </c>
      <c r="D8" s="475"/>
      <c r="E8" s="475"/>
      <c r="F8" s="475"/>
      <c r="G8" s="475"/>
      <c r="H8" s="475"/>
      <c r="I8" s="475"/>
      <c r="J8" s="475"/>
      <c r="K8" s="475"/>
      <c r="L8" s="475"/>
      <c r="M8" s="475"/>
      <c r="N8" s="499"/>
      <c r="O8" s="508" t="s">
        <v>170</v>
      </c>
      <c r="P8" s="508" t="s">
        <v>163</v>
      </c>
      <c r="Q8" s="506" t="s">
        <v>171</v>
      </c>
      <c r="R8" s="506" t="s">
        <v>172</v>
      </c>
      <c r="S8" s="59"/>
      <c r="T8" s="506" t="s">
        <v>176</v>
      </c>
      <c r="U8" s="505" t="s">
        <v>173</v>
      </c>
      <c r="V8" s="475"/>
      <c r="W8" s="475"/>
      <c r="X8" s="475"/>
      <c r="Y8" s="475"/>
      <c r="Z8" s="475"/>
      <c r="AA8" s="475"/>
      <c r="AB8" s="475"/>
      <c r="AC8" s="475"/>
      <c r="AD8" s="475"/>
      <c r="AE8" s="475"/>
      <c r="AF8" s="499"/>
      <c r="AG8" s="508" t="s">
        <v>170</v>
      </c>
      <c r="AH8" s="508" t="s">
        <v>163</v>
      </c>
      <c r="AI8" s="506" t="s">
        <v>169</v>
      </c>
      <c r="AJ8" s="510" t="s">
        <v>164</v>
      </c>
    </row>
    <row r="9" spans="1:37" ht="29.25" customHeight="1" thickBot="1">
      <c r="A9" s="513"/>
      <c r="B9" s="507"/>
      <c r="C9" s="60" t="s">
        <v>12</v>
      </c>
      <c r="D9" s="37" t="s">
        <v>24</v>
      </c>
      <c r="E9" s="37" t="s">
        <v>25</v>
      </c>
      <c r="F9" s="37" t="s">
        <v>26</v>
      </c>
      <c r="G9" s="37" t="s">
        <v>27</v>
      </c>
      <c r="H9" s="37" t="s">
        <v>28</v>
      </c>
      <c r="I9" s="37" t="s">
        <v>29</v>
      </c>
      <c r="J9" s="37" t="s">
        <v>30</v>
      </c>
      <c r="K9" s="37" t="s">
        <v>31</v>
      </c>
      <c r="L9" s="37" t="s">
        <v>32</v>
      </c>
      <c r="M9" s="37" t="s">
        <v>33</v>
      </c>
      <c r="N9" s="61" t="s">
        <v>34</v>
      </c>
      <c r="O9" s="509"/>
      <c r="P9" s="509"/>
      <c r="Q9" s="507"/>
      <c r="R9" s="507"/>
      <c r="S9" s="36" t="s">
        <v>13</v>
      </c>
      <c r="T9" s="507"/>
      <c r="U9" s="37" t="s">
        <v>12</v>
      </c>
      <c r="V9" s="37" t="s">
        <v>24</v>
      </c>
      <c r="W9" s="37" t="s">
        <v>25</v>
      </c>
      <c r="X9" s="37" t="s">
        <v>26</v>
      </c>
      <c r="Y9" s="37" t="s">
        <v>27</v>
      </c>
      <c r="Z9" s="37" t="s">
        <v>28</v>
      </c>
      <c r="AA9" s="37" t="s">
        <v>29</v>
      </c>
      <c r="AB9" s="37" t="s">
        <v>30</v>
      </c>
      <c r="AC9" s="37" t="s">
        <v>31</v>
      </c>
      <c r="AD9" s="37" t="s">
        <v>32</v>
      </c>
      <c r="AE9" s="37" t="s">
        <v>33</v>
      </c>
      <c r="AF9" s="37" t="s">
        <v>34</v>
      </c>
      <c r="AG9" s="509"/>
      <c r="AH9" s="509"/>
      <c r="AI9" s="507"/>
      <c r="AJ9" s="511"/>
    </row>
    <row r="10" spans="1:37" ht="15.75" thickBot="1">
      <c r="A10" s="49"/>
      <c r="B10" s="500" t="s">
        <v>149</v>
      </c>
      <c r="C10" s="500"/>
      <c r="D10" s="500"/>
      <c r="E10" s="500"/>
      <c r="F10" s="500"/>
      <c r="G10" s="500"/>
      <c r="H10" s="500"/>
      <c r="I10" s="500"/>
      <c r="J10" s="500"/>
      <c r="K10" s="500"/>
      <c r="L10" s="500"/>
      <c r="M10" s="500"/>
      <c r="N10" s="500"/>
      <c r="O10" s="500"/>
      <c r="P10" s="500"/>
      <c r="Q10" s="500"/>
      <c r="R10" s="500"/>
      <c r="S10" s="49"/>
      <c r="T10" s="500" t="s">
        <v>149</v>
      </c>
      <c r="U10" s="500"/>
      <c r="V10" s="500"/>
      <c r="W10" s="500"/>
      <c r="X10" s="500"/>
      <c r="Y10" s="500"/>
      <c r="Z10" s="500"/>
      <c r="AA10" s="500"/>
      <c r="AB10" s="500"/>
      <c r="AC10" s="500"/>
      <c r="AD10" s="500"/>
      <c r="AE10" s="500"/>
      <c r="AF10" s="500"/>
      <c r="AG10" s="500"/>
      <c r="AH10" s="500"/>
      <c r="AI10" s="500"/>
      <c r="AJ10" s="501"/>
      <c r="AK10" s="40"/>
    </row>
    <row r="11" spans="1:37" ht="18.75" customHeight="1">
      <c r="A11" s="26" t="s">
        <v>161</v>
      </c>
      <c r="B11" s="72">
        <f>ROUNDUP('Mobilization Budget'!E105,0)</f>
        <v>1579876</v>
      </c>
      <c r="C11" s="494">
        <v>1</v>
      </c>
      <c r="D11" s="495"/>
      <c r="E11" s="495"/>
      <c r="F11" s="495"/>
      <c r="G11" s="495"/>
      <c r="H11" s="495"/>
      <c r="I11" s="495"/>
      <c r="J11" s="495"/>
      <c r="K11" s="495"/>
      <c r="L11" s="495"/>
      <c r="M11" s="495"/>
      <c r="N11" s="496"/>
      <c r="O11" s="88">
        <v>1</v>
      </c>
      <c r="P11" s="88">
        <v>1</v>
      </c>
      <c r="Q11" s="84">
        <f>B11*C11*P11</f>
        <v>1579876</v>
      </c>
      <c r="R11" s="78">
        <f>B11*SUM(C11:N11)*P11</f>
        <v>1579876</v>
      </c>
      <c r="S11" s="26" t="s">
        <v>166</v>
      </c>
      <c r="T11" s="491">
        <v>0</v>
      </c>
      <c r="U11" s="492"/>
      <c r="V11" s="492"/>
      <c r="W11" s="492"/>
      <c r="X11" s="492"/>
      <c r="Y11" s="492"/>
      <c r="Z11" s="492"/>
      <c r="AA11" s="492"/>
      <c r="AB11" s="492"/>
      <c r="AC11" s="492"/>
      <c r="AD11" s="492"/>
      <c r="AE11" s="492"/>
      <c r="AF11" s="492"/>
      <c r="AG11" s="492"/>
      <c r="AH11" s="492"/>
      <c r="AI11" s="492"/>
      <c r="AJ11" s="493"/>
    </row>
    <row r="12" spans="1:37" ht="24" customHeight="1" thickBot="1">
      <c r="A12" s="28" t="s">
        <v>159</v>
      </c>
      <c r="B12" s="473">
        <f>R11</f>
        <v>1579876</v>
      </c>
      <c r="C12" s="474"/>
      <c r="D12" s="474"/>
      <c r="E12" s="474"/>
      <c r="F12" s="474"/>
      <c r="G12" s="474"/>
      <c r="H12" s="474"/>
      <c r="I12" s="474"/>
      <c r="J12" s="474"/>
      <c r="K12" s="474"/>
      <c r="L12" s="474"/>
      <c r="M12" s="474"/>
      <c r="N12" s="474"/>
      <c r="O12" s="474"/>
      <c r="P12" s="474"/>
      <c r="Q12" s="474"/>
      <c r="R12" s="474"/>
      <c r="S12" s="28" t="s">
        <v>160</v>
      </c>
      <c r="T12" s="473">
        <f>AJ11</f>
        <v>0</v>
      </c>
      <c r="U12" s="474"/>
      <c r="V12" s="474"/>
      <c r="W12" s="474"/>
      <c r="X12" s="474"/>
      <c r="Y12" s="474"/>
      <c r="Z12" s="474"/>
      <c r="AA12" s="474"/>
      <c r="AB12" s="474"/>
      <c r="AC12" s="474"/>
      <c r="AD12" s="474"/>
      <c r="AE12" s="474"/>
      <c r="AF12" s="474"/>
      <c r="AG12" s="474"/>
      <c r="AH12" s="474"/>
      <c r="AI12" s="474"/>
      <c r="AJ12" s="489"/>
    </row>
    <row r="13" spans="1:37">
      <c r="A13" s="38"/>
      <c r="B13" s="63"/>
      <c r="C13" s="39"/>
      <c r="D13" s="39"/>
      <c r="E13" s="39"/>
      <c r="F13" s="39"/>
      <c r="G13" s="39"/>
      <c r="H13" s="39"/>
      <c r="I13" s="39"/>
      <c r="J13" s="39" t="s">
        <v>15</v>
      </c>
      <c r="K13" s="39"/>
      <c r="L13" s="39"/>
      <c r="M13" s="39"/>
      <c r="N13" s="39"/>
      <c r="O13" s="68"/>
      <c r="P13" s="68"/>
      <c r="Q13" s="63"/>
      <c r="R13" s="63"/>
      <c r="S13" s="38"/>
      <c r="T13" s="502" t="s">
        <v>15</v>
      </c>
      <c r="U13" s="503"/>
      <c r="V13" s="503"/>
      <c r="W13" s="503"/>
      <c r="X13" s="503"/>
      <c r="Y13" s="503"/>
      <c r="Z13" s="503"/>
      <c r="AA13" s="503"/>
      <c r="AB13" s="503"/>
      <c r="AC13" s="503"/>
      <c r="AD13" s="503"/>
      <c r="AE13" s="503"/>
      <c r="AF13" s="503"/>
      <c r="AG13" s="503"/>
      <c r="AH13" s="503"/>
      <c r="AI13" s="503"/>
      <c r="AJ13" s="504"/>
      <c r="AK13" s="40"/>
    </row>
    <row r="14" spans="1:37" ht="18.75" customHeight="1">
      <c r="A14" s="26" t="s">
        <v>43</v>
      </c>
      <c r="B14" s="72">
        <f>'MEP Budget-Y1'!N7</f>
        <v>2419</v>
      </c>
      <c r="C14" s="31">
        <v>1</v>
      </c>
      <c r="D14" s="32">
        <v>1</v>
      </c>
      <c r="E14" s="32">
        <v>1</v>
      </c>
      <c r="F14" s="32">
        <v>1</v>
      </c>
      <c r="G14" s="32">
        <v>1</v>
      </c>
      <c r="H14" s="32">
        <v>1</v>
      </c>
      <c r="I14" s="32">
        <v>1</v>
      </c>
      <c r="J14" s="32">
        <v>1</v>
      </c>
      <c r="K14" s="32">
        <v>1</v>
      </c>
      <c r="L14" s="32">
        <v>1</v>
      </c>
      <c r="M14" s="32">
        <v>1</v>
      </c>
      <c r="N14" s="33">
        <v>1</v>
      </c>
      <c r="O14" s="83">
        <v>1</v>
      </c>
      <c r="P14" s="83">
        <f>O14*30</f>
        <v>30</v>
      </c>
      <c r="Q14" s="84">
        <f>B14*C14*P14</f>
        <v>72570</v>
      </c>
      <c r="R14" s="79">
        <f>B14*SUM(C14:N14)*P14</f>
        <v>870840</v>
      </c>
      <c r="S14" s="26" t="s">
        <v>43</v>
      </c>
      <c r="T14" s="72">
        <f>'MEP Budget-Y2'!N7</f>
        <v>2760</v>
      </c>
      <c r="U14" s="46">
        <v>1</v>
      </c>
      <c r="V14" s="47">
        <v>1</v>
      </c>
      <c r="W14" s="47">
        <v>1</v>
      </c>
      <c r="X14" s="47">
        <v>1</v>
      </c>
      <c r="Y14" s="47">
        <v>1</v>
      </c>
      <c r="Z14" s="47">
        <v>1</v>
      </c>
      <c r="AA14" s="47">
        <v>1</v>
      </c>
      <c r="AB14" s="47">
        <v>1</v>
      </c>
      <c r="AC14" s="47">
        <v>1</v>
      </c>
      <c r="AD14" s="47">
        <v>1</v>
      </c>
      <c r="AE14" s="47">
        <v>1</v>
      </c>
      <c r="AF14" s="48">
        <v>1</v>
      </c>
      <c r="AG14" s="83">
        <v>1</v>
      </c>
      <c r="AH14" s="83">
        <f>AG14*30</f>
        <v>30</v>
      </c>
      <c r="AI14" s="84">
        <f>T14*U14*AH14</f>
        <v>82800</v>
      </c>
      <c r="AJ14" s="80">
        <f>T14*SUM(U14:AF14)*AH14</f>
        <v>993600</v>
      </c>
    </row>
    <row r="15" spans="1:37" ht="18.75" customHeight="1">
      <c r="A15" s="26" t="s">
        <v>0</v>
      </c>
      <c r="B15" s="72">
        <f>'MEP Budget-Y1'!N8</f>
        <v>1573</v>
      </c>
      <c r="C15" s="46">
        <v>1</v>
      </c>
      <c r="D15" s="47">
        <v>1</v>
      </c>
      <c r="E15" s="47">
        <v>1</v>
      </c>
      <c r="F15" s="47">
        <v>1</v>
      </c>
      <c r="G15" s="47">
        <v>1</v>
      </c>
      <c r="H15" s="47">
        <v>1</v>
      </c>
      <c r="I15" s="47">
        <v>1</v>
      </c>
      <c r="J15" s="47">
        <v>1</v>
      </c>
      <c r="K15" s="47">
        <v>1</v>
      </c>
      <c r="L15" s="47">
        <v>1</v>
      </c>
      <c r="M15" s="47">
        <v>1</v>
      </c>
      <c r="N15" s="48">
        <v>1</v>
      </c>
      <c r="O15" s="85">
        <v>1</v>
      </c>
      <c r="P15" s="85">
        <f t="shared" ref="P15:P30" si="0">O15*30</f>
        <v>30</v>
      </c>
      <c r="Q15" s="84">
        <f>B15*C15*P15</f>
        <v>47190</v>
      </c>
      <c r="R15" s="80">
        <f t="shared" ref="R15:R30" si="1">B15*SUM(C15:N15)*P15</f>
        <v>566280</v>
      </c>
      <c r="S15" s="26" t="s">
        <v>0</v>
      </c>
      <c r="T15" s="72">
        <f>'MEP Budget-Y2'!N8</f>
        <v>1794</v>
      </c>
      <c r="U15" s="46">
        <v>2</v>
      </c>
      <c r="V15" s="47">
        <v>2</v>
      </c>
      <c r="W15" s="47">
        <v>2</v>
      </c>
      <c r="X15" s="47">
        <v>2</v>
      </c>
      <c r="Y15" s="47">
        <v>2</v>
      </c>
      <c r="Z15" s="47">
        <v>2</v>
      </c>
      <c r="AA15" s="47">
        <v>2</v>
      </c>
      <c r="AB15" s="47">
        <v>2</v>
      </c>
      <c r="AC15" s="47">
        <v>2</v>
      </c>
      <c r="AD15" s="47">
        <v>2</v>
      </c>
      <c r="AE15" s="47">
        <v>2</v>
      </c>
      <c r="AF15" s="48">
        <v>2</v>
      </c>
      <c r="AG15" s="85">
        <v>1</v>
      </c>
      <c r="AH15" s="85">
        <f t="shared" ref="AH15:AH30" si="2">AG15*30</f>
        <v>30</v>
      </c>
      <c r="AI15" s="84">
        <f t="shared" ref="AI15:AI30" si="3">T15*U15*AH15</f>
        <v>107640</v>
      </c>
      <c r="AJ15" s="80">
        <f t="shared" ref="AJ15:AJ30" si="4">T15*SUM(U15:AF15)*AH15</f>
        <v>1291680</v>
      </c>
    </row>
    <row r="16" spans="1:37" ht="18.75" customHeight="1">
      <c r="A16" s="26" t="s">
        <v>1</v>
      </c>
      <c r="B16" s="72">
        <f>'MEP Budget-Y1'!N9</f>
        <v>883</v>
      </c>
      <c r="C16" s="46">
        <v>1</v>
      </c>
      <c r="D16" s="47">
        <v>1</v>
      </c>
      <c r="E16" s="47">
        <v>1</v>
      </c>
      <c r="F16" s="47">
        <v>1</v>
      </c>
      <c r="G16" s="47">
        <v>1</v>
      </c>
      <c r="H16" s="47">
        <v>1</v>
      </c>
      <c r="I16" s="47">
        <v>1</v>
      </c>
      <c r="J16" s="47">
        <v>1</v>
      </c>
      <c r="K16" s="47">
        <v>1</v>
      </c>
      <c r="L16" s="47">
        <v>1</v>
      </c>
      <c r="M16" s="47">
        <v>1</v>
      </c>
      <c r="N16" s="48">
        <v>1</v>
      </c>
      <c r="O16" s="85">
        <v>1</v>
      </c>
      <c r="P16" s="85">
        <f t="shared" si="0"/>
        <v>30</v>
      </c>
      <c r="Q16" s="84">
        <f t="shared" ref="Q16:Q30" si="5">B16*C16*P16</f>
        <v>26490</v>
      </c>
      <c r="R16" s="80">
        <f t="shared" si="1"/>
        <v>317880</v>
      </c>
      <c r="S16" s="26" t="s">
        <v>1</v>
      </c>
      <c r="T16" s="72">
        <f>'MEP Budget-Y2'!N9</f>
        <v>1008</v>
      </c>
      <c r="U16" s="46">
        <v>2</v>
      </c>
      <c r="V16" s="47">
        <v>2</v>
      </c>
      <c r="W16" s="47">
        <v>2</v>
      </c>
      <c r="X16" s="47">
        <v>2</v>
      </c>
      <c r="Y16" s="47">
        <v>2</v>
      </c>
      <c r="Z16" s="47">
        <v>2</v>
      </c>
      <c r="AA16" s="47">
        <v>2</v>
      </c>
      <c r="AB16" s="47">
        <v>2</v>
      </c>
      <c r="AC16" s="47">
        <v>2</v>
      </c>
      <c r="AD16" s="47">
        <v>2</v>
      </c>
      <c r="AE16" s="47">
        <v>2</v>
      </c>
      <c r="AF16" s="48">
        <v>2</v>
      </c>
      <c r="AG16" s="85">
        <v>1</v>
      </c>
      <c r="AH16" s="85">
        <f t="shared" si="2"/>
        <v>30</v>
      </c>
      <c r="AI16" s="84">
        <f t="shared" si="3"/>
        <v>60480</v>
      </c>
      <c r="AJ16" s="80">
        <f t="shared" si="4"/>
        <v>725760</v>
      </c>
    </row>
    <row r="17" spans="1:36" ht="18.75" customHeight="1">
      <c r="A17" s="26" t="s">
        <v>2</v>
      </c>
      <c r="B17" s="72">
        <f>'MEP Budget-Y1'!N10</f>
        <v>883</v>
      </c>
      <c r="C17" s="46">
        <v>1</v>
      </c>
      <c r="D17" s="47">
        <v>1</v>
      </c>
      <c r="E17" s="47">
        <v>1</v>
      </c>
      <c r="F17" s="47">
        <v>1</v>
      </c>
      <c r="G17" s="47">
        <v>1</v>
      </c>
      <c r="H17" s="47">
        <v>1</v>
      </c>
      <c r="I17" s="47">
        <v>1</v>
      </c>
      <c r="J17" s="47">
        <v>1</v>
      </c>
      <c r="K17" s="47">
        <v>1</v>
      </c>
      <c r="L17" s="47">
        <v>1</v>
      </c>
      <c r="M17" s="47">
        <v>1</v>
      </c>
      <c r="N17" s="48">
        <v>1</v>
      </c>
      <c r="O17" s="85">
        <v>1</v>
      </c>
      <c r="P17" s="85">
        <f t="shared" si="0"/>
        <v>30</v>
      </c>
      <c r="Q17" s="84">
        <f t="shared" si="5"/>
        <v>26490</v>
      </c>
      <c r="R17" s="80">
        <f t="shared" si="1"/>
        <v>317880</v>
      </c>
      <c r="S17" s="26" t="s">
        <v>2</v>
      </c>
      <c r="T17" s="72">
        <f>'MEP Budget-Y2'!N10</f>
        <v>1008</v>
      </c>
      <c r="U17" s="46">
        <v>2</v>
      </c>
      <c r="V17" s="47">
        <v>2</v>
      </c>
      <c r="W17" s="47">
        <v>2</v>
      </c>
      <c r="X17" s="47">
        <v>2</v>
      </c>
      <c r="Y17" s="47">
        <v>2</v>
      </c>
      <c r="Z17" s="47">
        <v>2</v>
      </c>
      <c r="AA17" s="47">
        <v>2</v>
      </c>
      <c r="AB17" s="47">
        <v>2</v>
      </c>
      <c r="AC17" s="47">
        <v>2</v>
      </c>
      <c r="AD17" s="47">
        <v>2</v>
      </c>
      <c r="AE17" s="47">
        <v>2</v>
      </c>
      <c r="AF17" s="48">
        <v>2</v>
      </c>
      <c r="AG17" s="85">
        <v>1</v>
      </c>
      <c r="AH17" s="85">
        <f t="shared" si="2"/>
        <v>30</v>
      </c>
      <c r="AI17" s="84">
        <f t="shared" si="3"/>
        <v>60480</v>
      </c>
      <c r="AJ17" s="80">
        <f t="shared" si="4"/>
        <v>725760</v>
      </c>
    </row>
    <row r="18" spans="1:36" ht="18.75" customHeight="1">
      <c r="A18" s="26" t="s">
        <v>3</v>
      </c>
      <c r="B18" s="72">
        <f>'MEP Budget-Y1'!N11</f>
        <v>883</v>
      </c>
      <c r="C18" s="46">
        <v>1</v>
      </c>
      <c r="D18" s="47">
        <v>1</v>
      </c>
      <c r="E18" s="47">
        <v>1</v>
      </c>
      <c r="F18" s="47">
        <v>1</v>
      </c>
      <c r="G18" s="47">
        <v>1</v>
      </c>
      <c r="H18" s="47">
        <v>1</v>
      </c>
      <c r="I18" s="47">
        <v>1</v>
      </c>
      <c r="J18" s="47">
        <v>1</v>
      </c>
      <c r="K18" s="47">
        <v>1</v>
      </c>
      <c r="L18" s="47">
        <v>1</v>
      </c>
      <c r="M18" s="47">
        <v>1</v>
      </c>
      <c r="N18" s="48">
        <v>1</v>
      </c>
      <c r="O18" s="85">
        <v>1</v>
      </c>
      <c r="P18" s="85">
        <f t="shared" si="0"/>
        <v>30</v>
      </c>
      <c r="Q18" s="84">
        <f t="shared" si="5"/>
        <v>26490</v>
      </c>
      <c r="R18" s="80">
        <f t="shared" si="1"/>
        <v>317880</v>
      </c>
      <c r="S18" s="26" t="s">
        <v>3</v>
      </c>
      <c r="T18" s="72">
        <f>'MEP Budget-Y2'!N11</f>
        <v>1008</v>
      </c>
      <c r="U18" s="46">
        <v>1</v>
      </c>
      <c r="V18" s="47">
        <v>1</v>
      </c>
      <c r="W18" s="47">
        <v>1</v>
      </c>
      <c r="X18" s="47">
        <v>1</v>
      </c>
      <c r="Y18" s="47">
        <v>1</v>
      </c>
      <c r="Z18" s="47">
        <v>1</v>
      </c>
      <c r="AA18" s="47">
        <v>1</v>
      </c>
      <c r="AB18" s="47">
        <v>1</v>
      </c>
      <c r="AC18" s="47">
        <v>1</v>
      </c>
      <c r="AD18" s="47">
        <v>1</v>
      </c>
      <c r="AE18" s="47">
        <v>1</v>
      </c>
      <c r="AF18" s="48">
        <v>1</v>
      </c>
      <c r="AG18" s="85">
        <v>1</v>
      </c>
      <c r="AH18" s="85">
        <f t="shared" si="2"/>
        <v>30</v>
      </c>
      <c r="AI18" s="84">
        <f t="shared" si="3"/>
        <v>30240</v>
      </c>
      <c r="AJ18" s="80">
        <f t="shared" si="4"/>
        <v>362880</v>
      </c>
    </row>
    <row r="19" spans="1:36" ht="18.75" customHeight="1">
      <c r="A19" s="26" t="s">
        <v>4</v>
      </c>
      <c r="B19" s="72">
        <f>'MEP Budget-Y1'!N12</f>
        <v>500</v>
      </c>
      <c r="C19" s="46">
        <v>3</v>
      </c>
      <c r="D19" s="47">
        <v>3</v>
      </c>
      <c r="E19" s="47">
        <v>3</v>
      </c>
      <c r="F19" s="47">
        <v>3</v>
      </c>
      <c r="G19" s="47">
        <v>3</v>
      </c>
      <c r="H19" s="47">
        <v>3</v>
      </c>
      <c r="I19" s="47">
        <v>3</v>
      </c>
      <c r="J19" s="47">
        <v>3</v>
      </c>
      <c r="K19" s="47">
        <v>3</v>
      </c>
      <c r="L19" s="47">
        <v>3</v>
      </c>
      <c r="M19" s="47">
        <v>3</v>
      </c>
      <c r="N19" s="48">
        <v>3</v>
      </c>
      <c r="O19" s="85">
        <v>1</v>
      </c>
      <c r="P19" s="85">
        <f t="shared" si="0"/>
        <v>30</v>
      </c>
      <c r="Q19" s="84">
        <f t="shared" si="5"/>
        <v>45000</v>
      </c>
      <c r="R19" s="80">
        <f t="shared" si="1"/>
        <v>540000</v>
      </c>
      <c r="S19" s="26" t="s">
        <v>4</v>
      </c>
      <c r="T19" s="72">
        <f>'MEP Budget-Y2'!N12</f>
        <v>577</v>
      </c>
      <c r="U19" s="46">
        <v>5</v>
      </c>
      <c r="V19" s="47">
        <v>5</v>
      </c>
      <c r="W19" s="47">
        <v>5</v>
      </c>
      <c r="X19" s="47">
        <v>5</v>
      </c>
      <c r="Y19" s="47">
        <v>5</v>
      </c>
      <c r="Z19" s="47">
        <v>5</v>
      </c>
      <c r="AA19" s="47">
        <v>5</v>
      </c>
      <c r="AB19" s="47">
        <v>5</v>
      </c>
      <c r="AC19" s="47">
        <v>5</v>
      </c>
      <c r="AD19" s="47">
        <v>5</v>
      </c>
      <c r="AE19" s="47">
        <v>5</v>
      </c>
      <c r="AF19" s="48">
        <v>5</v>
      </c>
      <c r="AG19" s="85">
        <v>1</v>
      </c>
      <c r="AH19" s="85">
        <f t="shared" si="2"/>
        <v>30</v>
      </c>
      <c r="AI19" s="84">
        <f>T19*U19*AH19</f>
        <v>86550</v>
      </c>
      <c r="AJ19" s="80">
        <f t="shared" si="4"/>
        <v>1038600</v>
      </c>
    </row>
    <row r="20" spans="1:36" ht="18.75" customHeight="1">
      <c r="A20" s="26" t="s">
        <v>5</v>
      </c>
      <c r="B20" s="72">
        <f>'MEP Budget-Y1'!N13</f>
        <v>530</v>
      </c>
      <c r="C20" s="46">
        <v>1</v>
      </c>
      <c r="D20" s="47">
        <v>1</v>
      </c>
      <c r="E20" s="47">
        <v>1</v>
      </c>
      <c r="F20" s="47">
        <v>1</v>
      </c>
      <c r="G20" s="47">
        <v>1</v>
      </c>
      <c r="H20" s="47">
        <v>1</v>
      </c>
      <c r="I20" s="47">
        <v>1</v>
      </c>
      <c r="J20" s="47">
        <v>1</v>
      </c>
      <c r="K20" s="47">
        <v>1</v>
      </c>
      <c r="L20" s="47">
        <v>1</v>
      </c>
      <c r="M20" s="47">
        <v>1</v>
      </c>
      <c r="N20" s="48">
        <v>1</v>
      </c>
      <c r="O20" s="85">
        <v>1</v>
      </c>
      <c r="P20" s="85">
        <f t="shared" si="0"/>
        <v>30</v>
      </c>
      <c r="Q20" s="84">
        <f t="shared" si="5"/>
        <v>15900</v>
      </c>
      <c r="R20" s="80">
        <f t="shared" si="1"/>
        <v>190800</v>
      </c>
      <c r="S20" s="26" t="s">
        <v>5</v>
      </c>
      <c r="T20" s="72">
        <f>'MEP Budget-Y2'!N13</f>
        <v>604</v>
      </c>
      <c r="U20" s="46">
        <v>2</v>
      </c>
      <c r="V20" s="47">
        <v>2</v>
      </c>
      <c r="W20" s="47">
        <v>2</v>
      </c>
      <c r="X20" s="47">
        <v>2</v>
      </c>
      <c r="Y20" s="47">
        <v>2</v>
      </c>
      <c r="Z20" s="47">
        <v>2</v>
      </c>
      <c r="AA20" s="47">
        <v>2</v>
      </c>
      <c r="AB20" s="47">
        <v>2</v>
      </c>
      <c r="AC20" s="47">
        <v>2</v>
      </c>
      <c r="AD20" s="47">
        <v>2</v>
      </c>
      <c r="AE20" s="47">
        <v>2</v>
      </c>
      <c r="AF20" s="48">
        <v>2</v>
      </c>
      <c r="AG20" s="85">
        <v>1</v>
      </c>
      <c r="AH20" s="85">
        <f t="shared" si="2"/>
        <v>30</v>
      </c>
      <c r="AI20" s="84">
        <f t="shared" si="3"/>
        <v>36240</v>
      </c>
      <c r="AJ20" s="80">
        <f t="shared" si="4"/>
        <v>434880</v>
      </c>
    </row>
    <row r="21" spans="1:36" ht="18.75" customHeight="1">
      <c r="A21" s="26" t="s">
        <v>6</v>
      </c>
      <c r="B21" s="72">
        <f>'MEP Budget-Y1'!N14</f>
        <v>491</v>
      </c>
      <c r="C21" s="46">
        <v>3</v>
      </c>
      <c r="D21" s="47">
        <v>3</v>
      </c>
      <c r="E21" s="47">
        <v>3</v>
      </c>
      <c r="F21" s="47">
        <v>3</v>
      </c>
      <c r="G21" s="47">
        <v>3</v>
      </c>
      <c r="H21" s="47">
        <v>3</v>
      </c>
      <c r="I21" s="47">
        <v>3</v>
      </c>
      <c r="J21" s="47">
        <v>3</v>
      </c>
      <c r="K21" s="47">
        <v>3</v>
      </c>
      <c r="L21" s="47">
        <v>3</v>
      </c>
      <c r="M21" s="47">
        <v>3</v>
      </c>
      <c r="N21" s="48">
        <v>3</v>
      </c>
      <c r="O21" s="85">
        <v>1</v>
      </c>
      <c r="P21" s="85">
        <f t="shared" si="0"/>
        <v>30</v>
      </c>
      <c r="Q21" s="84">
        <f t="shared" si="5"/>
        <v>44190</v>
      </c>
      <c r="R21" s="80">
        <f t="shared" si="1"/>
        <v>530280</v>
      </c>
      <c r="S21" s="26" t="s">
        <v>6</v>
      </c>
      <c r="T21" s="72">
        <f>'MEP Budget-Y2'!N14</f>
        <v>567</v>
      </c>
      <c r="U21" s="46">
        <v>5</v>
      </c>
      <c r="V21" s="47">
        <v>5</v>
      </c>
      <c r="W21" s="47">
        <v>5</v>
      </c>
      <c r="X21" s="47">
        <v>5</v>
      </c>
      <c r="Y21" s="47">
        <v>5</v>
      </c>
      <c r="Z21" s="47">
        <v>5</v>
      </c>
      <c r="AA21" s="47">
        <v>5</v>
      </c>
      <c r="AB21" s="47">
        <v>5</v>
      </c>
      <c r="AC21" s="47">
        <v>5</v>
      </c>
      <c r="AD21" s="47">
        <v>5</v>
      </c>
      <c r="AE21" s="47">
        <v>5</v>
      </c>
      <c r="AF21" s="48">
        <v>5</v>
      </c>
      <c r="AG21" s="85">
        <v>1</v>
      </c>
      <c r="AH21" s="85">
        <f t="shared" si="2"/>
        <v>30</v>
      </c>
      <c r="AI21" s="84">
        <f t="shared" si="3"/>
        <v>85050</v>
      </c>
      <c r="AJ21" s="80">
        <f t="shared" si="4"/>
        <v>1020600</v>
      </c>
    </row>
    <row r="22" spans="1:36" ht="18.75" customHeight="1">
      <c r="A22" s="26" t="s">
        <v>7</v>
      </c>
      <c r="B22" s="72">
        <f>'MEP Budget-Y1'!N15</f>
        <v>545</v>
      </c>
      <c r="C22" s="46">
        <v>1</v>
      </c>
      <c r="D22" s="47">
        <v>1</v>
      </c>
      <c r="E22" s="47">
        <v>1</v>
      </c>
      <c r="F22" s="47">
        <v>1</v>
      </c>
      <c r="G22" s="47">
        <v>1</v>
      </c>
      <c r="H22" s="47">
        <v>1</v>
      </c>
      <c r="I22" s="47">
        <v>1</v>
      </c>
      <c r="J22" s="47">
        <v>1</v>
      </c>
      <c r="K22" s="47">
        <v>1</v>
      </c>
      <c r="L22" s="47">
        <v>1</v>
      </c>
      <c r="M22" s="47">
        <v>1</v>
      </c>
      <c r="N22" s="48">
        <v>1</v>
      </c>
      <c r="O22" s="85">
        <v>1</v>
      </c>
      <c r="P22" s="85">
        <f t="shared" si="0"/>
        <v>30</v>
      </c>
      <c r="Q22" s="84">
        <f t="shared" si="5"/>
        <v>16350</v>
      </c>
      <c r="R22" s="80">
        <f t="shared" si="1"/>
        <v>196200</v>
      </c>
      <c r="S22" s="26" t="s">
        <v>7</v>
      </c>
      <c r="T22" s="72">
        <f>'MEP Budget-Y2'!N15</f>
        <v>621</v>
      </c>
      <c r="U22" s="46">
        <v>1</v>
      </c>
      <c r="V22" s="47">
        <v>1</v>
      </c>
      <c r="W22" s="47">
        <v>1</v>
      </c>
      <c r="X22" s="47">
        <v>1</v>
      </c>
      <c r="Y22" s="47">
        <v>1</v>
      </c>
      <c r="Z22" s="47">
        <v>1</v>
      </c>
      <c r="AA22" s="47">
        <v>1</v>
      </c>
      <c r="AB22" s="47">
        <v>1</v>
      </c>
      <c r="AC22" s="47">
        <v>1</v>
      </c>
      <c r="AD22" s="47">
        <v>1</v>
      </c>
      <c r="AE22" s="47">
        <v>1</v>
      </c>
      <c r="AF22" s="48">
        <v>1</v>
      </c>
      <c r="AG22" s="85">
        <v>1</v>
      </c>
      <c r="AH22" s="85">
        <f t="shared" si="2"/>
        <v>30</v>
      </c>
      <c r="AI22" s="84">
        <f t="shared" si="3"/>
        <v>18630</v>
      </c>
      <c r="AJ22" s="80">
        <f t="shared" si="4"/>
        <v>223560</v>
      </c>
    </row>
    <row r="23" spans="1:36" ht="18.75" customHeight="1">
      <c r="A23" s="26" t="s">
        <v>8</v>
      </c>
      <c r="B23" s="72">
        <f>'MEP Budget-Y1'!N16</f>
        <v>744</v>
      </c>
      <c r="C23" s="46">
        <v>1</v>
      </c>
      <c r="D23" s="47">
        <v>1</v>
      </c>
      <c r="E23" s="47">
        <v>1</v>
      </c>
      <c r="F23" s="47">
        <v>1</v>
      </c>
      <c r="G23" s="47">
        <v>1</v>
      </c>
      <c r="H23" s="47">
        <v>1</v>
      </c>
      <c r="I23" s="47">
        <v>1</v>
      </c>
      <c r="J23" s="47">
        <v>1</v>
      </c>
      <c r="K23" s="47">
        <v>1</v>
      </c>
      <c r="L23" s="47">
        <v>1</v>
      </c>
      <c r="M23" s="47">
        <v>1</v>
      </c>
      <c r="N23" s="48">
        <v>1</v>
      </c>
      <c r="O23" s="85">
        <v>1</v>
      </c>
      <c r="P23" s="85">
        <f t="shared" si="0"/>
        <v>30</v>
      </c>
      <c r="Q23" s="84">
        <f t="shared" si="5"/>
        <v>22320</v>
      </c>
      <c r="R23" s="80">
        <f t="shared" si="1"/>
        <v>267840</v>
      </c>
      <c r="S23" s="26" t="s">
        <v>8</v>
      </c>
      <c r="T23" s="72">
        <f>'MEP Budget-Y2'!N16</f>
        <v>849</v>
      </c>
      <c r="U23" s="46">
        <v>1</v>
      </c>
      <c r="V23" s="47">
        <v>1</v>
      </c>
      <c r="W23" s="47">
        <v>1</v>
      </c>
      <c r="X23" s="47">
        <v>1</v>
      </c>
      <c r="Y23" s="47">
        <v>1</v>
      </c>
      <c r="Z23" s="47">
        <v>1</v>
      </c>
      <c r="AA23" s="47">
        <v>1</v>
      </c>
      <c r="AB23" s="47">
        <v>1</v>
      </c>
      <c r="AC23" s="47">
        <v>1</v>
      </c>
      <c r="AD23" s="47">
        <v>1</v>
      </c>
      <c r="AE23" s="47">
        <v>1</v>
      </c>
      <c r="AF23" s="48">
        <v>1</v>
      </c>
      <c r="AG23" s="85">
        <v>1</v>
      </c>
      <c r="AH23" s="85">
        <f t="shared" si="2"/>
        <v>30</v>
      </c>
      <c r="AI23" s="84">
        <f t="shared" si="3"/>
        <v>25470</v>
      </c>
      <c r="AJ23" s="80">
        <f t="shared" si="4"/>
        <v>305640</v>
      </c>
    </row>
    <row r="24" spans="1:36" ht="18.75" customHeight="1">
      <c r="A24" s="26" t="s">
        <v>9</v>
      </c>
      <c r="B24" s="72">
        <f>'MEP Budget-Y1'!N17</f>
        <v>514</v>
      </c>
      <c r="C24" s="46">
        <v>1</v>
      </c>
      <c r="D24" s="47">
        <v>1</v>
      </c>
      <c r="E24" s="47">
        <v>1</v>
      </c>
      <c r="F24" s="47">
        <v>1</v>
      </c>
      <c r="G24" s="47">
        <v>1</v>
      </c>
      <c r="H24" s="47">
        <v>1</v>
      </c>
      <c r="I24" s="47">
        <v>1</v>
      </c>
      <c r="J24" s="47">
        <v>1</v>
      </c>
      <c r="K24" s="47">
        <v>1</v>
      </c>
      <c r="L24" s="47">
        <v>1</v>
      </c>
      <c r="M24" s="47">
        <v>1</v>
      </c>
      <c r="N24" s="48">
        <v>1</v>
      </c>
      <c r="O24" s="85">
        <v>1</v>
      </c>
      <c r="P24" s="85">
        <f t="shared" si="0"/>
        <v>30</v>
      </c>
      <c r="Q24" s="84">
        <f t="shared" si="5"/>
        <v>15420</v>
      </c>
      <c r="R24" s="80">
        <f t="shared" si="1"/>
        <v>185040</v>
      </c>
      <c r="S24" s="26" t="s">
        <v>9</v>
      </c>
      <c r="T24" s="72">
        <f>'MEP Budget-Y2'!N17</f>
        <v>587</v>
      </c>
      <c r="U24" s="46">
        <v>2</v>
      </c>
      <c r="V24" s="47">
        <v>2</v>
      </c>
      <c r="W24" s="47">
        <v>2</v>
      </c>
      <c r="X24" s="47">
        <v>2</v>
      </c>
      <c r="Y24" s="47">
        <v>2</v>
      </c>
      <c r="Z24" s="47">
        <v>2</v>
      </c>
      <c r="AA24" s="47">
        <v>2</v>
      </c>
      <c r="AB24" s="47">
        <v>2</v>
      </c>
      <c r="AC24" s="47">
        <v>2</v>
      </c>
      <c r="AD24" s="47">
        <v>2</v>
      </c>
      <c r="AE24" s="47">
        <v>2</v>
      </c>
      <c r="AF24" s="48">
        <v>2</v>
      </c>
      <c r="AG24" s="85">
        <v>1</v>
      </c>
      <c r="AH24" s="85">
        <f t="shared" si="2"/>
        <v>30</v>
      </c>
      <c r="AI24" s="84">
        <f t="shared" si="3"/>
        <v>35220</v>
      </c>
      <c r="AJ24" s="80">
        <f t="shared" si="4"/>
        <v>422640</v>
      </c>
    </row>
    <row r="25" spans="1:36" ht="18.75" customHeight="1">
      <c r="A25" s="26" t="s">
        <v>10</v>
      </c>
      <c r="B25" s="72">
        <f>'MEP Budget-Y1'!N18</f>
        <v>514</v>
      </c>
      <c r="C25" s="46">
        <v>1</v>
      </c>
      <c r="D25" s="47">
        <v>1</v>
      </c>
      <c r="E25" s="47">
        <v>1</v>
      </c>
      <c r="F25" s="47">
        <v>1</v>
      </c>
      <c r="G25" s="47">
        <v>1</v>
      </c>
      <c r="H25" s="47">
        <v>1</v>
      </c>
      <c r="I25" s="47">
        <v>1</v>
      </c>
      <c r="J25" s="47">
        <v>1</v>
      </c>
      <c r="K25" s="47">
        <v>1</v>
      </c>
      <c r="L25" s="47">
        <v>1</v>
      </c>
      <c r="M25" s="47">
        <v>1</v>
      </c>
      <c r="N25" s="48">
        <v>1</v>
      </c>
      <c r="O25" s="85">
        <v>1</v>
      </c>
      <c r="P25" s="85">
        <f t="shared" si="0"/>
        <v>30</v>
      </c>
      <c r="Q25" s="84">
        <f t="shared" si="5"/>
        <v>15420</v>
      </c>
      <c r="R25" s="80">
        <f t="shared" si="1"/>
        <v>185040</v>
      </c>
      <c r="S25" s="26" t="s">
        <v>10</v>
      </c>
      <c r="T25" s="72">
        <f>'MEP Budget-Y2'!N18</f>
        <v>587</v>
      </c>
      <c r="U25" s="46">
        <v>2</v>
      </c>
      <c r="V25" s="47">
        <v>2</v>
      </c>
      <c r="W25" s="47">
        <v>2</v>
      </c>
      <c r="X25" s="47">
        <v>2</v>
      </c>
      <c r="Y25" s="47">
        <v>2</v>
      </c>
      <c r="Z25" s="47">
        <v>2</v>
      </c>
      <c r="AA25" s="47">
        <v>2</v>
      </c>
      <c r="AB25" s="47">
        <v>2</v>
      </c>
      <c r="AC25" s="47">
        <v>2</v>
      </c>
      <c r="AD25" s="47">
        <v>2</v>
      </c>
      <c r="AE25" s="47">
        <v>2</v>
      </c>
      <c r="AF25" s="48">
        <v>2</v>
      </c>
      <c r="AG25" s="85">
        <v>1</v>
      </c>
      <c r="AH25" s="85">
        <f t="shared" si="2"/>
        <v>30</v>
      </c>
      <c r="AI25" s="84">
        <f t="shared" si="3"/>
        <v>35220</v>
      </c>
      <c r="AJ25" s="80">
        <f t="shared" si="4"/>
        <v>422640</v>
      </c>
    </row>
    <row r="26" spans="1:36" ht="18.75" customHeight="1">
      <c r="A26" s="26" t="s">
        <v>11</v>
      </c>
      <c r="B26" s="72">
        <f>'MEP Budget-Y1'!N19</f>
        <v>450</v>
      </c>
      <c r="C26" s="46">
        <v>4</v>
      </c>
      <c r="D26" s="47">
        <v>4</v>
      </c>
      <c r="E26" s="47">
        <v>4</v>
      </c>
      <c r="F26" s="47">
        <v>4</v>
      </c>
      <c r="G26" s="47">
        <v>4</v>
      </c>
      <c r="H26" s="47">
        <v>4</v>
      </c>
      <c r="I26" s="47">
        <v>4</v>
      </c>
      <c r="J26" s="47">
        <v>4</v>
      </c>
      <c r="K26" s="47">
        <v>4</v>
      </c>
      <c r="L26" s="47">
        <v>4</v>
      </c>
      <c r="M26" s="47">
        <v>4</v>
      </c>
      <c r="N26" s="48">
        <v>4</v>
      </c>
      <c r="O26" s="85">
        <v>1</v>
      </c>
      <c r="P26" s="85">
        <f t="shared" si="0"/>
        <v>30</v>
      </c>
      <c r="Q26" s="84">
        <f t="shared" si="5"/>
        <v>54000</v>
      </c>
      <c r="R26" s="80">
        <f t="shared" si="1"/>
        <v>648000</v>
      </c>
      <c r="S26" s="26" t="s">
        <v>11</v>
      </c>
      <c r="T26" s="72">
        <f>'MEP Budget-Y2'!N19</f>
        <v>510</v>
      </c>
      <c r="U26" s="46">
        <v>6</v>
      </c>
      <c r="V26" s="47">
        <v>6</v>
      </c>
      <c r="W26" s="47">
        <v>6</v>
      </c>
      <c r="X26" s="47">
        <v>6</v>
      </c>
      <c r="Y26" s="47">
        <v>6</v>
      </c>
      <c r="Z26" s="47">
        <v>6</v>
      </c>
      <c r="AA26" s="47">
        <v>6</v>
      </c>
      <c r="AB26" s="47">
        <v>6</v>
      </c>
      <c r="AC26" s="47">
        <v>6</v>
      </c>
      <c r="AD26" s="47">
        <v>6</v>
      </c>
      <c r="AE26" s="47">
        <v>6</v>
      </c>
      <c r="AF26" s="48">
        <v>6</v>
      </c>
      <c r="AG26" s="85">
        <v>1</v>
      </c>
      <c r="AH26" s="85">
        <f t="shared" si="2"/>
        <v>30</v>
      </c>
      <c r="AI26" s="84">
        <f t="shared" si="3"/>
        <v>91800</v>
      </c>
      <c r="AJ26" s="80">
        <f t="shared" si="4"/>
        <v>1101600</v>
      </c>
    </row>
    <row r="27" spans="1:36" ht="18.75" customHeight="1">
      <c r="A27" s="26" t="s">
        <v>45</v>
      </c>
      <c r="B27" s="72">
        <f>'MEP Budget-Y1'!N20</f>
        <v>998</v>
      </c>
      <c r="C27" s="46">
        <v>1</v>
      </c>
      <c r="D27" s="47">
        <v>1</v>
      </c>
      <c r="E27" s="47">
        <v>1</v>
      </c>
      <c r="F27" s="47">
        <v>1</v>
      </c>
      <c r="G27" s="47">
        <v>1</v>
      </c>
      <c r="H27" s="47">
        <v>1</v>
      </c>
      <c r="I27" s="47">
        <v>1</v>
      </c>
      <c r="J27" s="47">
        <v>1</v>
      </c>
      <c r="K27" s="47">
        <v>1</v>
      </c>
      <c r="L27" s="47">
        <v>1</v>
      </c>
      <c r="M27" s="47">
        <v>1</v>
      </c>
      <c r="N27" s="48">
        <v>1</v>
      </c>
      <c r="O27" s="85">
        <v>1</v>
      </c>
      <c r="P27" s="85">
        <f t="shared" si="0"/>
        <v>30</v>
      </c>
      <c r="Q27" s="84">
        <f t="shared" si="5"/>
        <v>29940</v>
      </c>
      <c r="R27" s="80">
        <f t="shared" si="1"/>
        <v>359280</v>
      </c>
      <c r="S27" s="26" t="s">
        <v>45</v>
      </c>
      <c r="T27" s="72">
        <f>'MEP Budget-Y2'!N20</f>
        <v>1139</v>
      </c>
      <c r="U27" s="46">
        <v>1</v>
      </c>
      <c r="V27" s="47">
        <v>1</v>
      </c>
      <c r="W27" s="47">
        <v>1</v>
      </c>
      <c r="X27" s="47">
        <v>1</v>
      </c>
      <c r="Y27" s="47">
        <v>1</v>
      </c>
      <c r="Z27" s="47">
        <v>1</v>
      </c>
      <c r="AA27" s="47">
        <v>1</v>
      </c>
      <c r="AB27" s="47">
        <v>1</v>
      </c>
      <c r="AC27" s="47">
        <v>1</v>
      </c>
      <c r="AD27" s="47">
        <v>1</v>
      </c>
      <c r="AE27" s="47">
        <v>1</v>
      </c>
      <c r="AF27" s="48">
        <v>1</v>
      </c>
      <c r="AG27" s="85">
        <v>1</v>
      </c>
      <c r="AH27" s="85">
        <f t="shared" si="2"/>
        <v>30</v>
      </c>
      <c r="AI27" s="84">
        <f t="shared" si="3"/>
        <v>34170</v>
      </c>
      <c r="AJ27" s="80">
        <f t="shared" si="4"/>
        <v>410040</v>
      </c>
    </row>
    <row r="28" spans="1:36" ht="18.75" customHeight="1">
      <c r="A28" s="26" t="s">
        <v>42</v>
      </c>
      <c r="B28" s="72">
        <f>'MEP Budget-Y1'!N21</f>
        <v>726</v>
      </c>
      <c r="C28" s="46">
        <v>1</v>
      </c>
      <c r="D28" s="47">
        <v>1</v>
      </c>
      <c r="E28" s="47">
        <v>1</v>
      </c>
      <c r="F28" s="47">
        <v>1</v>
      </c>
      <c r="G28" s="47">
        <v>1</v>
      </c>
      <c r="H28" s="47">
        <v>1</v>
      </c>
      <c r="I28" s="47">
        <v>1</v>
      </c>
      <c r="J28" s="47">
        <v>1</v>
      </c>
      <c r="K28" s="47">
        <v>1</v>
      </c>
      <c r="L28" s="47">
        <v>1</v>
      </c>
      <c r="M28" s="47">
        <v>1</v>
      </c>
      <c r="N28" s="48">
        <v>1</v>
      </c>
      <c r="O28" s="85">
        <v>1</v>
      </c>
      <c r="P28" s="85">
        <f t="shared" si="0"/>
        <v>30</v>
      </c>
      <c r="Q28" s="84">
        <f t="shared" si="5"/>
        <v>21780</v>
      </c>
      <c r="R28" s="80">
        <f t="shared" si="1"/>
        <v>261360</v>
      </c>
      <c r="S28" s="26" t="s">
        <v>42</v>
      </c>
      <c r="T28" s="72">
        <f>'MEP Budget-Y2'!N21</f>
        <v>828</v>
      </c>
      <c r="U28" s="46">
        <v>1</v>
      </c>
      <c r="V28" s="47">
        <v>1</v>
      </c>
      <c r="W28" s="47">
        <v>1</v>
      </c>
      <c r="X28" s="47">
        <v>1</v>
      </c>
      <c r="Y28" s="47">
        <v>1</v>
      </c>
      <c r="Z28" s="47">
        <v>1</v>
      </c>
      <c r="AA28" s="47">
        <v>1</v>
      </c>
      <c r="AB28" s="47">
        <v>1</v>
      </c>
      <c r="AC28" s="47">
        <v>1</v>
      </c>
      <c r="AD28" s="47">
        <v>1</v>
      </c>
      <c r="AE28" s="47">
        <v>1</v>
      </c>
      <c r="AF28" s="48">
        <v>1</v>
      </c>
      <c r="AG28" s="85">
        <v>1</v>
      </c>
      <c r="AH28" s="85">
        <f t="shared" si="2"/>
        <v>30</v>
      </c>
      <c r="AI28" s="84">
        <f t="shared" si="3"/>
        <v>24840</v>
      </c>
      <c r="AJ28" s="80">
        <f t="shared" si="4"/>
        <v>298080</v>
      </c>
    </row>
    <row r="29" spans="1:36" ht="18.75" customHeight="1">
      <c r="A29" s="26" t="s">
        <v>46</v>
      </c>
      <c r="B29" s="72">
        <f>'MEP Budget-Y1'!N22</f>
        <v>726</v>
      </c>
      <c r="C29" s="46">
        <v>1</v>
      </c>
      <c r="D29" s="47">
        <v>1</v>
      </c>
      <c r="E29" s="47">
        <v>1</v>
      </c>
      <c r="F29" s="47">
        <v>1</v>
      </c>
      <c r="G29" s="47">
        <v>1</v>
      </c>
      <c r="H29" s="47">
        <v>1</v>
      </c>
      <c r="I29" s="47">
        <v>1</v>
      </c>
      <c r="J29" s="47">
        <v>1</v>
      </c>
      <c r="K29" s="47">
        <v>1</v>
      </c>
      <c r="L29" s="47">
        <v>1</v>
      </c>
      <c r="M29" s="47">
        <v>1</v>
      </c>
      <c r="N29" s="48">
        <v>1</v>
      </c>
      <c r="O29" s="85">
        <v>1</v>
      </c>
      <c r="P29" s="85">
        <f t="shared" si="0"/>
        <v>30</v>
      </c>
      <c r="Q29" s="84">
        <f t="shared" si="5"/>
        <v>21780</v>
      </c>
      <c r="R29" s="80">
        <f t="shared" si="1"/>
        <v>261360</v>
      </c>
      <c r="S29" s="26" t="s">
        <v>46</v>
      </c>
      <c r="T29" s="72">
        <f>'MEP Budget-Y2'!N22</f>
        <v>828</v>
      </c>
      <c r="U29" s="46">
        <v>1</v>
      </c>
      <c r="V29" s="47">
        <v>1</v>
      </c>
      <c r="W29" s="47">
        <v>1</v>
      </c>
      <c r="X29" s="47">
        <v>1</v>
      </c>
      <c r="Y29" s="47">
        <v>1</v>
      </c>
      <c r="Z29" s="47">
        <v>1</v>
      </c>
      <c r="AA29" s="47">
        <v>1</v>
      </c>
      <c r="AB29" s="47">
        <v>1</v>
      </c>
      <c r="AC29" s="47">
        <v>1</v>
      </c>
      <c r="AD29" s="47">
        <v>1</v>
      </c>
      <c r="AE29" s="47">
        <v>1</v>
      </c>
      <c r="AF29" s="48">
        <v>1</v>
      </c>
      <c r="AG29" s="85">
        <v>1</v>
      </c>
      <c r="AH29" s="85">
        <f t="shared" si="2"/>
        <v>30</v>
      </c>
      <c r="AI29" s="84">
        <f t="shared" si="3"/>
        <v>24840</v>
      </c>
      <c r="AJ29" s="80">
        <f t="shared" si="4"/>
        <v>298080</v>
      </c>
    </row>
    <row r="30" spans="1:36" ht="18.75" customHeight="1">
      <c r="A30" s="26" t="s">
        <v>154</v>
      </c>
      <c r="B30" s="72">
        <f>'MEP Budget-Y1'!N23</f>
        <v>3628</v>
      </c>
      <c r="C30" s="46">
        <v>1</v>
      </c>
      <c r="D30" s="47">
        <v>1</v>
      </c>
      <c r="E30" s="47">
        <v>1</v>
      </c>
      <c r="F30" s="47">
        <v>1</v>
      </c>
      <c r="G30" s="47">
        <v>1</v>
      </c>
      <c r="H30" s="47">
        <v>1</v>
      </c>
      <c r="I30" s="47">
        <v>1</v>
      </c>
      <c r="J30" s="47">
        <v>1</v>
      </c>
      <c r="K30" s="47">
        <v>1</v>
      </c>
      <c r="L30" s="47">
        <v>1</v>
      </c>
      <c r="M30" s="47">
        <v>1</v>
      </c>
      <c r="N30" s="48">
        <v>1</v>
      </c>
      <c r="O30" s="86">
        <v>1</v>
      </c>
      <c r="P30" s="86">
        <f t="shared" si="0"/>
        <v>30</v>
      </c>
      <c r="Q30" s="84">
        <f t="shared" si="5"/>
        <v>108840</v>
      </c>
      <c r="R30" s="81">
        <f t="shared" si="1"/>
        <v>1306080</v>
      </c>
      <c r="S30" s="26" t="s">
        <v>154</v>
      </c>
      <c r="T30" s="72">
        <f>'MEP Budget-Y2'!N23</f>
        <v>4140</v>
      </c>
      <c r="U30" s="46">
        <v>1</v>
      </c>
      <c r="V30" s="47">
        <v>1</v>
      </c>
      <c r="W30" s="47">
        <v>1</v>
      </c>
      <c r="X30" s="47">
        <v>1</v>
      </c>
      <c r="Y30" s="47">
        <v>1</v>
      </c>
      <c r="Z30" s="47">
        <v>1</v>
      </c>
      <c r="AA30" s="47">
        <v>1</v>
      </c>
      <c r="AB30" s="47">
        <v>1</v>
      </c>
      <c r="AC30" s="47">
        <v>1</v>
      </c>
      <c r="AD30" s="47">
        <v>1</v>
      </c>
      <c r="AE30" s="47">
        <v>1</v>
      </c>
      <c r="AF30" s="48">
        <v>1</v>
      </c>
      <c r="AG30" s="86">
        <v>1</v>
      </c>
      <c r="AH30" s="86">
        <f t="shared" si="2"/>
        <v>30</v>
      </c>
      <c r="AI30" s="84">
        <f t="shared" si="3"/>
        <v>124200</v>
      </c>
      <c r="AJ30" s="80">
        <f t="shared" si="4"/>
        <v>1490400</v>
      </c>
    </row>
    <row r="31" spans="1:36" ht="32.1" customHeight="1">
      <c r="A31" s="28" t="s">
        <v>55</v>
      </c>
      <c r="B31" s="473">
        <f>SUM(R14:R30)</f>
        <v>7322040</v>
      </c>
      <c r="C31" s="474"/>
      <c r="D31" s="474"/>
      <c r="E31" s="474"/>
      <c r="F31" s="474"/>
      <c r="G31" s="474"/>
      <c r="H31" s="474"/>
      <c r="I31" s="474"/>
      <c r="J31" s="474"/>
      <c r="K31" s="474"/>
      <c r="L31" s="474"/>
      <c r="M31" s="474"/>
      <c r="N31" s="474"/>
      <c r="O31" s="474"/>
      <c r="P31" s="474"/>
      <c r="Q31" s="474"/>
      <c r="R31" s="474"/>
      <c r="S31" s="28" t="s">
        <v>63</v>
      </c>
      <c r="T31" s="473">
        <f>SUM(AJ14:AJ30)</f>
        <v>11566440</v>
      </c>
      <c r="U31" s="474"/>
      <c r="V31" s="474"/>
      <c r="W31" s="474"/>
      <c r="X31" s="474"/>
      <c r="Y31" s="474"/>
      <c r="Z31" s="474"/>
      <c r="AA31" s="474"/>
      <c r="AB31" s="474"/>
      <c r="AC31" s="474"/>
      <c r="AD31" s="474"/>
      <c r="AE31" s="474"/>
      <c r="AF31" s="474"/>
      <c r="AG31" s="474"/>
      <c r="AH31" s="474"/>
      <c r="AI31" s="474"/>
      <c r="AJ31" s="489"/>
    </row>
    <row r="32" spans="1:36" ht="18.75" customHeight="1">
      <c r="A32" s="29"/>
      <c r="B32" s="64"/>
      <c r="C32" s="30"/>
      <c r="D32" s="30"/>
      <c r="E32" s="30"/>
      <c r="F32" s="30"/>
      <c r="G32" s="30"/>
      <c r="H32" s="30"/>
      <c r="I32" s="30"/>
      <c r="J32" s="30" t="s">
        <v>138</v>
      </c>
      <c r="K32" s="30"/>
      <c r="L32" s="30"/>
      <c r="M32" s="30"/>
      <c r="N32" s="30"/>
      <c r="O32" s="69"/>
      <c r="P32" s="69"/>
      <c r="Q32" s="64"/>
      <c r="R32" s="64"/>
      <c r="S32" s="29"/>
      <c r="T32" s="64"/>
      <c r="U32" s="30"/>
      <c r="V32" s="30"/>
      <c r="W32" s="30"/>
      <c r="X32" s="30"/>
      <c r="Y32" s="30"/>
      <c r="Z32" s="30"/>
      <c r="AA32" s="30"/>
      <c r="AB32" s="30" t="s">
        <v>54</v>
      </c>
      <c r="AC32" s="30"/>
      <c r="AD32" s="30"/>
      <c r="AE32" s="30"/>
      <c r="AF32" s="30"/>
      <c r="AG32" s="69"/>
      <c r="AH32" s="69"/>
      <c r="AI32" s="64"/>
      <c r="AJ32" s="64"/>
    </row>
    <row r="33" spans="1:36" ht="18.75" customHeight="1">
      <c r="A33" s="26" t="s">
        <v>16</v>
      </c>
      <c r="B33" s="72">
        <f>'HK &amp; Waste Management-Y1'!N7</f>
        <v>895</v>
      </c>
      <c r="C33" s="31">
        <v>2</v>
      </c>
      <c r="D33" s="32">
        <v>2</v>
      </c>
      <c r="E33" s="32">
        <v>2</v>
      </c>
      <c r="F33" s="32">
        <v>2</v>
      </c>
      <c r="G33" s="32">
        <v>2</v>
      </c>
      <c r="H33" s="32">
        <v>2</v>
      </c>
      <c r="I33" s="32">
        <v>2</v>
      </c>
      <c r="J33" s="32">
        <v>2</v>
      </c>
      <c r="K33" s="32">
        <v>2</v>
      </c>
      <c r="L33" s="32">
        <v>2</v>
      </c>
      <c r="M33" s="32">
        <v>2</v>
      </c>
      <c r="N33" s="33">
        <v>2</v>
      </c>
      <c r="O33" s="83">
        <v>1</v>
      </c>
      <c r="P33" s="83">
        <f>O33*30</f>
        <v>30</v>
      </c>
      <c r="Q33" s="84">
        <f>B33*C33*P33</f>
        <v>53700</v>
      </c>
      <c r="R33" s="79">
        <f>B33*SUM(C33:N33)*P33</f>
        <v>644400</v>
      </c>
      <c r="S33" s="26" t="s">
        <v>16</v>
      </c>
      <c r="T33" s="72">
        <f>'HK &amp; Waste Management-Y2'!N7</f>
        <v>955</v>
      </c>
      <c r="U33" s="46">
        <v>4</v>
      </c>
      <c r="V33" s="47">
        <v>4</v>
      </c>
      <c r="W33" s="47">
        <v>4</v>
      </c>
      <c r="X33" s="47">
        <v>4</v>
      </c>
      <c r="Y33" s="47">
        <v>4</v>
      </c>
      <c r="Z33" s="47">
        <v>4</v>
      </c>
      <c r="AA33" s="47">
        <v>4</v>
      </c>
      <c r="AB33" s="47">
        <v>4</v>
      </c>
      <c r="AC33" s="47">
        <v>4</v>
      </c>
      <c r="AD33" s="47">
        <v>4</v>
      </c>
      <c r="AE33" s="47">
        <v>4</v>
      </c>
      <c r="AF33" s="47">
        <v>4</v>
      </c>
      <c r="AG33" s="83">
        <v>1</v>
      </c>
      <c r="AH33" s="83">
        <f>AG33*30</f>
        <v>30</v>
      </c>
      <c r="AI33" s="84">
        <f>T33*U33*AH33</f>
        <v>114600</v>
      </c>
      <c r="AJ33" s="80">
        <f>T33*SUM(U33:AF33)*AH33</f>
        <v>1375200</v>
      </c>
    </row>
    <row r="34" spans="1:36" ht="18.75" customHeight="1">
      <c r="A34" s="26" t="s">
        <v>17</v>
      </c>
      <c r="B34" s="72">
        <f>'HK &amp; Waste Management-Y1'!N8</f>
        <v>392</v>
      </c>
      <c r="C34" s="46">
        <v>20</v>
      </c>
      <c r="D34" s="47">
        <v>20</v>
      </c>
      <c r="E34" s="47">
        <v>20</v>
      </c>
      <c r="F34" s="47">
        <v>20</v>
      </c>
      <c r="G34" s="47">
        <v>20</v>
      </c>
      <c r="H34" s="47">
        <v>20</v>
      </c>
      <c r="I34" s="47">
        <v>20</v>
      </c>
      <c r="J34" s="47">
        <v>20</v>
      </c>
      <c r="K34" s="47">
        <v>20</v>
      </c>
      <c r="L34" s="47">
        <v>20</v>
      </c>
      <c r="M34" s="47">
        <v>20</v>
      </c>
      <c r="N34" s="48">
        <v>20</v>
      </c>
      <c r="O34" s="85">
        <v>1</v>
      </c>
      <c r="P34" s="85">
        <f>O34*30</f>
        <v>30</v>
      </c>
      <c r="Q34" s="84">
        <f>B34*C34*P34</f>
        <v>235200</v>
      </c>
      <c r="R34" s="80">
        <f>B34*SUM(C34:N34)*P34</f>
        <v>2822400</v>
      </c>
      <c r="S34" s="26" t="s">
        <v>17</v>
      </c>
      <c r="T34" s="72">
        <f>'HK &amp; Waste Management-Y2'!N8</f>
        <v>430</v>
      </c>
      <c r="U34" s="46">
        <v>40</v>
      </c>
      <c r="V34" s="47">
        <v>40</v>
      </c>
      <c r="W34" s="47">
        <v>40</v>
      </c>
      <c r="X34" s="47">
        <v>40</v>
      </c>
      <c r="Y34" s="47">
        <v>40</v>
      </c>
      <c r="Z34" s="47">
        <v>40</v>
      </c>
      <c r="AA34" s="47">
        <v>40</v>
      </c>
      <c r="AB34" s="47">
        <v>40</v>
      </c>
      <c r="AC34" s="47">
        <v>40</v>
      </c>
      <c r="AD34" s="47">
        <v>40</v>
      </c>
      <c r="AE34" s="47">
        <v>40</v>
      </c>
      <c r="AF34" s="47">
        <v>40</v>
      </c>
      <c r="AG34" s="85">
        <v>1</v>
      </c>
      <c r="AH34" s="85">
        <f>AG34*30</f>
        <v>30</v>
      </c>
      <c r="AI34" s="84">
        <f>T34*U34*AH34</f>
        <v>516000</v>
      </c>
      <c r="AJ34" s="80">
        <f>T34*SUM(U34:AF34)*AH34</f>
        <v>6192000</v>
      </c>
    </row>
    <row r="35" spans="1:36" ht="18.75" customHeight="1">
      <c r="A35" s="26" t="s">
        <v>137</v>
      </c>
      <c r="B35" s="72">
        <f>'HK &amp; Waste Management-Y1'!N9</f>
        <v>7667</v>
      </c>
      <c r="C35" s="46">
        <v>1</v>
      </c>
      <c r="D35" s="47">
        <v>1</v>
      </c>
      <c r="E35" s="47">
        <v>1</v>
      </c>
      <c r="F35" s="47">
        <v>1</v>
      </c>
      <c r="G35" s="47">
        <v>1</v>
      </c>
      <c r="H35" s="47">
        <v>1</v>
      </c>
      <c r="I35" s="47">
        <v>1</v>
      </c>
      <c r="J35" s="47">
        <v>1</v>
      </c>
      <c r="K35" s="47">
        <v>1</v>
      </c>
      <c r="L35" s="47">
        <v>1</v>
      </c>
      <c r="M35" s="47">
        <v>1</v>
      </c>
      <c r="N35" s="48">
        <v>1</v>
      </c>
      <c r="O35" s="85">
        <v>1</v>
      </c>
      <c r="P35" s="85">
        <f>O35*30</f>
        <v>30</v>
      </c>
      <c r="Q35" s="84">
        <f>B35*C35*P35</f>
        <v>230010</v>
      </c>
      <c r="R35" s="80">
        <f>B35*SUM(C35:N35)*P35</f>
        <v>2760120</v>
      </c>
      <c r="S35" s="26" t="s">
        <v>137</v>
      </c>
      <c r="T35" s="72">
        <f>'HK &amp; Waste Management-Y2'!N9</f>
        <v>9095</v>
      </c>
      <c r="U35" s="46">
        <v>1</v>
      </c>
      <c r="V35" s="47">
        <v>1</v>
      </c>
      <c r="W35" s="47">
        <v>1</v>
      </c>
      <c r="X35" s="47">
        <v>1</v>
      </c>
      <c r="Y35" s="47">
        <v>1</v>
      </c>
      <c r="Z35" s="47">
        <v>1</v>
      </c>
      <c r="AA35" s="47">
        <v>1</v>
      </c>
      <c r="AB35" s="47">
        <v>1</v>
      </c>
      <c r="AC35" s="47">
        <v>1</v>
      </c>
      <c r="AD35" s="47">
        <v>1</v>
      </c>
      <c r="AE35" s="47">
        <v>1</v>
      </c>
      <c r="AF35" s="48">
        <v>1</v>
      </c>
      <c r="AG35" s="85">
        <v>1</v>
      </c>
      <c r="AH35" s="85">
        <f>AG35*30</f>
        <v>30</v>
      </c>
      <c r="AI35" s="84">
        <f>T35*U35*AH35</f>
        <v>272850</v>
      </c>
      <c r="AJ35" s="80">
        <f>T35*SUM(U35:AF35)*AH35</f>
        <v>3274200</v>
      </c>
    </row>
    <row r="36" spans="1:36" ht="30" customHeight="1">
      <c r="A36" s="26" t="s">
        <v>157</v>
      </c>
      <c r="B36" s="72">
        <f>'HK &amp; Waste Management-Y1'!N10</f>
        <v>2556</v>
      </c>
      <c r="C36" s="46">
        <v>1</v>
      </c>
      <c r="D36" s="47">
        <v>1</v>
      </c>
      <c r="E36" s="47">
        <v>1</v>
      </c>
      <c r="F36" s="47">
        <v>1</v>
      </c>
      <c r="G36" s="47">
        <v>1</v>
      </c>
      <c r="H36" s="47">
        <v>1</v>
      </c>
      <c r="I36" s="47">
        <v>1</v>
      </c>
      <c r="J36" s="47">
        <v>1</v>
      </c>
      <c r="K36" s="47">
        <v>1</v>
      </c>
      <c r="L36" s="47">
        <v>1</v>
      </c>
      <c r="M36" s="47">
        <v>1</v>
      </c>
      <c r="N36" s="48">
        <v>1</v>
      </c>
      <c r="O36" s="86">
        <v>1</v>
      </c>
      <c r="P36" s="86">
        <f>O36*30</f>
        <v>30</v>
      </c>
      <c r="Q36" s="87">
        <f>B36*C36*P36</f>
        <v>76680</v>
      </c>
      <c r="R36" s="81">
        <f>B36*SUM(C36:N36)*P36</f>
        <v>920160</v>
      </c>
      <c r="S36" s="26" t="s">
        <v>51</v>
      </c>
      <c r="T36" s="72">
        <f>'HK &amp; Waste Management-Y2'!N10</f>
        <v>4714</v>
      </c>
      <c r="U36" s="46">
        <v>1</v>
      </c>
      <c r="V36" s="47">
        <v>1</v>
      </c>
      <c r="W36" s="47">
        <v>1</v>
      </c>
      <c r="X36" s="47">
        <v>1</v>
      </c>
      <c r="Y36" s="47">
        <v>1</v>
      </c>
      <c r="Z36" s="47">
        <v>1</v>
      </c>
      <c r="AA36" s="47">
        <v>1</v>
      </c>
      <c r="AB36" s="47">
        <v>1</v>
      </c>
      <c r="AC36" s="47">
        <v>1</v>
      </c>
      <c r="AD36" s="47">
        <v>1</v>
      </c>
      <c r="AE36" s="47">
        <v>1</v>
      </c>
      <c r="AF36" s="48">
        <v>1</v>
      </c>
      <c r="AG36" s="86">
        <v>1</v>
      </c>
      <c r="AH36" s="86">
        <f>AG36*30</f>
        <v>30</v>
      </c>
      <c r="AI36" s="87">
        <f>T36*U36*AH36</f>
        <v>141420</v>
      </c>
      <c r="AJ36" s="81">
        <f>T36*SUM(U36:AF36)*AH36</f>
        <v>1697040</v>
      </c>
    </row>
    <row r="37" spans="1:36" ht="32.1" customHeight="1">
      <c r="A37" s="28" t="s">
        <v>56</v>
      </c>
      <c r="B37" s="473">
        <f>SUM(R33:R36)</f>
        <v>7147080</v>
      </c>
      <c r="C37" s="474"/>
      <c r="D37" s="474"/>
      <c r="E37" s="474"/>
      <c r="F37" s="474"/>
      <c r="G37" s="474"/>
      <c r="H37" s="474"/>
      <c r="I37" s="474"/>
      <c r="J37" s="474"/>
      <c r="K37" s="474"/>
      <c r="L37" s="474"/>
      <c r="M37" s="474"/>
      <c r="N37" s="474"/>
      <c r="O37" s="474"/>
      <c r="P37" s="474"/>
      <c r="Q37" s="474"/>
      <c r="R37" s="474"/>
      <c r="S37" s="28" t="s">
        <v>64</v>
      </c>
      <c r="T37" s="473">
        <f>SUM(AJ33:AJ36)</f>
        <v>12538440</v>
      </c>
      <c r="U37" s="474"/>
      <c r="V37" s="474"/>
      <c r="W37" s="474"/>
      <c r="X37" s="474"/>
      <c r="Y37" s="474"/>
      <c r="Z37" s="474"/>
      <c r="AA37" s="474"/>
      <c r="AB37" s="474"/>
      <c r="AC37" s="474"/>
      <c r="AD37" s="474"/>
      <c r="AE37" s="474"/>
      <c r="AF37" s="474"/>
      <c r="AG37" s="474"/>
      <c r="AH37" s="474"/>
      <c r="AI37" s="474"/>
      <c r="AJ37" s="489"/>
    </row>
    <row r="38" spans="1:36" ht="18.75" customHeight="1">
      <c r="A38" s="29"/>
      <c r="B38" s="64"/>
      <c r="C38" s="30"/>
      <c r="D38" s="30"/>
      <c r="E38" s="30"/>
      <c r="F38" s="30"/>
      <c r="G38" s="30"/>
      <c r="H38" s="30"/>
      <c r="I38" s="30"/>
      <c r="J38" s="30" t="s">
        <v>18</v>
      </c>
      <c r="K38" s="30"/>
      <c r="L38" s="30"/>
      <c r="M38" s="30"/>
      <c r="N38" s="30"/>
      <c r="O38" s="69"/>
      <c r="P38" s="69"/>
      <c r="Q38" s="64"/>
      <c r="R38" s="64"/>
      <c r="S38" s="29"/>
      <c r="T38" s="64"/>
      <c r="U38" s="30"/>
      <c r="V38" s="30"/>
      <c r="W38" s="30"/>
      <c r="X38" s="30"/>
      <c r="Y38" s="30"/>
      <c r="Z38" s="30"/>
      <c r="AA38" s="30"/>
      <c r="AB38" s="30" t="s">
        <v>18</v>
      </c>
      <c r="AC38" s="30"/>
      <c r="AD38" s="30"/>
      <c r="AE38" s="30"/>
      <c r="AF38" s="30"/>
      <c r="AG38" s="69"/>
      <c r="AH38" s="69"/>
      <c r="AI38" s="64"/>
      <c r="AJ38" s="64"/>
    </row>
    <row r="39" spans="1:36" ht="18.75" customHeight="1">
      <c r="A39" s="26" t="s">
        <v>41</v>
      </c>
      <c r="B39" s="72">
        <f>'Pest Control Y-1'!N7</f>
        <v>850</v>
      </c>
      <c r="C39" s="31">
        <v>1</v>
      </c>
      <c r="D39" s="32">
        <v>1</v>
      </c>
      <c r="E39" s="32">
        <v>1</v>
      </c>
      <c r="F39" s="32">
        <v>1</v>
      </c>
      <c r="G39" s="32">
        <v>1</v>
      </c>
      <c r="H39" s="32">
        <v>1</v>
      </c>
      <c r="I39" s="32">
        <v>1</v>
      </c>
      <c r="J39" s="32">
        <v>1</v>
      </c>
      <c r="K39" s="32">
        <v>1</v>
      </c>
      <c r="L39" s="32">
        <v>1</v>
      </c>
      <c r="M39" s="32">
        <v>1</v>
      </c>
      <c r="N39" s="33">
        <v>1</v>
      </c>
      <c r="O39" s="83">
        <v>1</v>
      </c>
      <c r="P39" s="83">
        <f>O39*30</f>
        <v>30</v>
      </c>
      <c r="Q39" s="84">
        <f>B39*C39*P39</f>
        <v>25500</v>
      </c>
      <c r="R39" s="79">
        <f>B39*SUM(C39:N39)*P39</f>
        <v>306000</v>
      </c>
      <c r="S39" s="26" t="s">
        <v>41</v>
      </c>
      <c r="T39" s="72">
        <f>'Pest Control Y-2'!N7</f>
        <v>844</v>
      </c>
      <c r="U39" s="46">
        <v>1</v>
      </c>
      <c r="V39" s="47">
        <v>1</v>
      </c>
      <c r="W39" s="47">
        <v>1</v>
      </c>
      <c r="X39" s="47">
        <v>1</v>
      </c>
      <c r="Y39" s="47">
        <v>1</v>
      </c>
      <c r="Z39" s="47">
        <v>1</v>
      </c>
      <c r="AA39" s="47">
        <v>1</v>
      </c>
      <c r="AB39" s="47">
        <v>1</v>
      </c>
      <c r="AC39" s="47">
        <v>1</v>
      </c>
      <c r="AD39" s="47">
        <v>1</v>
      </c>
      <c r="AE39" s="47">
        <v>1</v>
      </c>
      <c r="AF39" s="47">
        <v>1</v>
      </c>
      <c r="AG39" s="83">
        <v>1</v>
      </c>
      <c r="AH39" s="83">
        <f>AG39*30</f>
        <v>30</v>
      </c>
      <c r="AI39" s="84">
        <f>T39*U39*AH39</f>
        <v>25320</v>
      </c>
      <c r="AJ39" s="80">
        <f>T39*SUM(U39:AF39)*AH39</f>
        <v>303840</v>
      </c>
    </row>
    <row r="40" spans="1:36" ht="18.75" customHeight="1">
      <c r="A40" s="26" t="s">
        <v>158</v>
      </c>
      <c r="B40" s="72">
        <f>'Pest Control Y-1'!N8</f>
        <v>1950</v>
      </c>
      <c r="C40" s="46">
        <v>1</v>
      </c>
      <c r="D40" s="47">
        <v>1</v>
      </c>
      <c r="E40" s="47">
        <v>1</v>
      </c>
      <c r="F40" s="47">
        <v>1</v>
      </c>
      <c r="G40" s="47">
        <v>1</v>
      </c>
      <c r="H40" s="47">
        <v>1</v>
      </c>
      <c r="I40" s="47">
        <v>1</v>
      </c>
      <c r="J40" s="47">
        <v>1</v>
      </c>
      <c r="K40" s="47">
        <v>1</v>
      </c>
      <c r="L40" s="47">
        <v>1</v>
      </c>
      <c r="M40" s="47">
        <v>1</v>
      </c>
      <c r="N40" s="48">
        <v>1</v>
      </c>
      <c r="O40" s="86">
        <v>1</v>
      </c>
      <c r="P40" s="86">
        <f>O40*30</f>
        <v>30</v>
      </c>
      <c r="Q40" s="84">
        <f>B40*C40*P40</f>
        <v>58500</v>
      </c>
      <c r="R40" s="81">
        <f>B40*SUM(C40:N40)*P40</f>
        <v>702000</v>
      </c>
      <c r="S40" s="26" t="s">
        <v>44</v>
      </c>
      <c r="T40" s="72">
        <f>'Pest Control Y-2'!N8</f>
        <v>5073</v>
      </c>
      <c r="U40" s="46">
        <v>1</v>
      </c>
      <c r="V40" s="47">
        <v>1</v>
      </c>
      <c r="W40" s="47">
        <v>1</v>
      </c>
      <c r="X40" s="47">
        <v>1</v>
      </c>
      <c r="Y40" s="47">
        <v>1</v>
      </c>
      <c r="Z40" s="47">
        <v>1</v>
      </c>
      <c r="AA40" s="47">
        <v>1</v>
      </c>
      <c r="AB40" s="47">
        <v>1</v>
      </c>
      <c r="AC40" s="47">
        <v>1</v>
      </c>
      <c r="AD40" s="47">
        <v>1</v>
      </c>
      <c r="AE40" s="47">
        <v>1</v>
      </c>
      <c r="AF40" s="48">
        <v>1</v>
      </c>
      <c r="AG40" s="86">
        <v>1</v>
      </c>
      <c r="AH40" s="86">
        <f>AG40*30</f>
        <v>30</v>
      </c>
      <c r="AI40" s="84">
        <f>T40*U40*AH40</f>
        <v>152190</v>
      </c>
      <c r="AJ40" s="80">
        <f>T40*SUM(U40:AF40)*AH40</f>
        <v>1826280</v>
      </c>
    </row>
    <row r="41" spans="1:36" ht="32.1" customHeight="1">
      <c r="A41" s="28" t="s">
        <v>57</v>
      </c>
      <c r="B41" s="473">
        <f>SUM(R39:R40)</f>
        <v>1008000</v>
      </c>
      <c r="C41" s="474" t="e">
        <f>#REF!*SUM(#REF!)*B41</f>
        <v>#REF!</v>
      </c>
      <c r="D41" s="474" t="e">
        <f>#REF!*SUM(#REF!)*C41</f>
        <v>#REF!</v>
      </c>
      <c r="E41" s="474" t="e">
        <f>#REF!*SUM(#REF!)*D41</f>
        <v>#REF!</v>
      </c>
      <c r="F41" s="474" t="e">
        <f>#REF!*SUM(#REF!)*E41</f>
        <v>#REF!</v>
      </c>
      <c r="G41" s="474" t="e">
        <f>#REF!*SUM(#REF!)*F41</f>
        <v>#REF!</v>
      </c>
      <c r="H41" s="474" t="e">
        <f>#REF!*SUM(#REF!)*G41</f>
        <v>#REF!</v>
      </c>
      <c r="I41" s="474" t="e">
        <f>#REF!*SUM(#REF!)*H41</f>
        <v>#REF!</v>
      </c>
      <c r="J41" s="474" t="e">
        <f>#REF!*SUM(#REF!)*I41</f>
        <v>#REF!</v>
      </c>
      <c r="K41" s="474" t="e">
        <f>#REF!*SUM(#REF!)*J41</f>
        <v>#REF!</v>
      </c>
      <c r="L41" s="474" t="e">
        <f>#REF!*SUM(#REF!)*K41</f>
        <v>#REF!</v>
      </c>
      <c r="M41" s="474" t="e">
        <f>#REF!*SUM(#REF!)*L41</f>
        <v>#REF!</v>
      </c>
      <c r="N41" s="474" t="e">
        <f>#REF!*SUM(A41:K41)*M41</f>
        <v>#REF!</v>
      </c>
      <c r="O41" s="474" t="e">
        <f>#REF!*SUM(A41:L41)*N41</f>
        <v>#REF!</v>
      </c>
      <c r="P41" s="474" t="e">
        <f>A41*SUM(B41:M41)*O41</f>
        <v>#VALUE!</v>
      </c>
      <c r="Q41" s="474"/>
      <c r="R41" s="474" t="e">
        <f>B41*SUM(C41:N41)*P41</f>
        <v>#REF!</v>
      </c>
      <c r="S41" s="28" t="s">
        <v>65</v>
      </c>
      <c r="T41" s="473">
        <f>SUM(AJ39:AJ40)</f>
        <v>2130120</v>
      </c>
      <c r="U41" s="474"/>
      <c r="V41" s="474"/>
      <c r="W41" s="474"/>
      <c r="X41" s="474"/>
      <c r="Y41" s="474"/>
      <c r="Z41" s="474"/>
      <c r="AA41" s="474"/>
      <c r="AB41" s="474"/>
      <c r="AC41" s="474"/>
      <c r="AD41" s="474"/>
      <c r="AE41" s="474"/>
      <c r="AF41" s="474"/>
      <c r="AG41" s="474"/>
      <c r="AH41" s="474"/>
      <c r="AI41" s="474"/>
      <c r="AJ41" s="489"/>
    </row>
    <row r="42" spans="1:36" ht="18.75" customHeight="1">
      <c r="A42" s="29"/>
      <c r="B42" s="64"/>
      <c r="C42" s="30"/>
      <c r="D42" s="30"/>
      <c r="E42" s="30"/>
      <c r="F42" s="30"/>
      <c r="G42" s="30"/>
      <c r="H42" s="30"/>
      <c r="I42" s="30"/>
      <c r="J42" s="30" t="s">
        <v>141</v>
      </c>
      <c r="K42" s="30"/>
      <c r="L42" s="30"/>
      <c r="M42" s="30"/>
      <c r="N42" s="30"/>
      <c r="O42" s="69"/>
      <c r="P42" s="69"/>
      <c r="Q42" s="64"/>
      <c r="R42" s="64"/>
      <c r="S42" s="29"/>
      <c r="T42" s="64"/>
      <c r="U42" s="30"/>
      <c r="V42" s="30"/>
      <c r="W42" s="30"/>
      <c r="X42" s="30"/>
      <c r="Y42" s="30"/>
      <c r="Z42" s="30"/>
      <c r="AA42" s="30"/>
      <c r="AB42" s="30" t="s">
        <v>141</v>
      </c>
      <c r="AC42" s="30"/>
      <c r="AD42" s="30"/>
      <c r="AE42" s="30"/>
      <c r="AF42" s="30"/>
      <c r="AG42" s="69"/>
      <c r="AH42" s="69"/>
      <c r="AI42" s="64"/>
      <c r="AJ42" s="64"/>
    </row>
    <row r="43" spans="1:36" ht="18.75" customHeight="1">
      <c r="A43" s="26" t="s">
        <v>40</v>
      </c>
      <c r="B43" s="72">
        <f>'Landscape Y1'!N7</f>
        <v>1958</v>
      </c>
      <c r="C43" s="31">
        <v>1</v>
      </c>
      <c r="D43" s="32">
        <v>1</v>
      </c>
      <c r="E43" s="32">
        <v>1</v>
      </c>
      <c r="F43" s="32">
        <v>1</v>
      </c>
      <c r="G43" s="32">
        <v>1</v>
      </c>
      <c r="H43" s="32">
        <v>1</v>
      </c>
      <c r="I43" s="32">
        <v>1</v>
      </c>
      <c r="J43" s="32">
        <v>1</v>
      </c>
      <c r="K43" s="32">
        <v>1</v>
      </c>
      <c r="L43" s="32">
        <v>1</v>
      </c>
      <c r="M43" s="32">
        <v>1</v>
      </c>
      <c r="N43" s="33">
        <v>1</v>
      </c>
      <c r="O43" s="83">
        <v>1</v>
      </c>
      <c r="P43" s="83">
        <f>O43*30</f>
        <v>30</v>
      </c>
      <c r="Q43" s="84">
        <f>B43*C43*P43</f>
        <v>58740</v>
      </c>
      <c r="R43" s="79">
        <f>B43*SUM(C43:N43)*P43</f>
        <v>704880</v>
      </c>
      <c r="S43" s="26" t="s">
        <v>40</v>
      </c>
      <c r="T43" s="72">
        <f>'Landscape Y2'!N7</f>
        <v>2179</v>
      </c>
      <c r="U43" s="46">
        <v>1</v>
      </c>
      <c r="V43" s="47">
        <v>1</v>
      </c>
      <c r="W43" s="47">
        <v>1</v>
      </c>
      <c r="X43" s="47">
        <v>1</v>
      </c>
      <c r="Y43" s="47">
        <v>1</v>
      </c>
      <c r="Z43" s="47">
        <v>1</v>
      </c>
      <c r="AA43" s="47">
        <v>1</v>
      </c>
      <c r="AB43" s="47">
        <v>1</v>
      </c>
      <c r="AC43" s="47">
        <v>1</v>
      </c>
      <c r="AD43" s="47">
        <v>1</v>
      </c>
      <c r="AE43" s="47">
        <v>1</v>
      </c>
      <c r="AF43" s="48">
        <v>1</v>
      </c>
      <c r="AG43" s="83">
        <v>1</v>
      </c>
      <c r="AH43" s="83">
        <f>AG43*30</f>
        <v>30</v>
      </c>
      <c r="AI43" s="84">
        <f>T43*U43*AH43</f>
        <v>65370</v>
      </c>
      <c r="AJ43" s="80">
        <f>T43*SUM(U43:AF43)*AH43</f>
        <v>784440</v>
      </c>
    </row>
    <row r="44" spans="1:36" ht="18.75" customHeight="1">
      <c r="A44" s="26" t="s">
        <v>23</v>
      </c>
      <c r="B44" s="72">
        <f>'Landscape Y1'!N8</f>
        <v>1599</v>
      </c>
      <c r="C44" s="46">
        <v>2</v>
      </c>
      <c r="D44" s="47">
        <v>2</v>
      </c>
      <c r="E44" s="47">
        <v>2</v>
      </c>
      <c r="F44" s="47">
        <v>2</v>
      </c>
      <c r="G44" s="47">
        <v>2</v>
      </c>
      <c r="H44" s="47">
        <v>2</v>
      </c>
      <c r="I44" s="47">
        <v>2</v>
      </c>
      <c r="J44" s="47">
        <v>2</v>
      </c>
      <c r="K44" s="47">
        <v>2</v>
      </c>
      <c r="L44" s="47">
        <v>2</v>
      </c>
      <c r="M44" s="47">
        <v>2</v>
      </c>
      <c r="N44" s="48">
        <v>2</v>
      </c>
      <c r="O44" s="85">
        <v>1</v>
      </c>
      <c r="P44" s="85">
        <f>O44*30</f>
        <v>30</v>
      </c>
      <c r="Q44" s="84">
        <f>B44*C44*P44</f>
        <v>95940</v>
      </c>
      <c r="R44" s="80">
        <f>B44*SUM(C44:N44)*P44</f>
        <v>1151280</v>
      </c>
      <c r="S44" s="26" t="s">
        <v>23</v>
      </c>
      <c r="T44" s="72">
        <f>'Landscape Y2'!N8</f>
        <v>1631</v>
      </c>
      <c r="U44" s="46">
        <v>4</v>
      </c>
      <c r="V44" s="47">
        <v>4</v>
      </c>
      <c r="W44" s="47">
        <v>4</v>
      </c>
      <c r="X44" s="47">
        <v>4</v>
      </c>
      <c r="Y44" s="47">
        <v>4</v>
      </c>
      <c r="Z44" s="47">
        <v>4</v>
      </c>
      <c r="AA44" s="47">
        <v>4</v>
      </c>
      <c r="AB44" s="47">
        <v>4</v>
      </c>
      <c r="AC44" s="47">
        <v>4</v>
      </c>
      <c r="AD44" s="47">
        <v>4</v>
      </c>
      <c r="AE44" s="47">
        <v>4</v>
      </c>
      <c r="AF44" s="48">
        <v>4</v>
      </c>
      <c r="AG44" s="85">
        <v>1</v>
      </c>
      <c r="AH44" s="85">
        <f>AG44*30</f>
        <v>30</v>
      </c>
      <c r="AI44" s="84">
        <f>T44*U44*AH44</f>
        <v>195720</v>
      </c>
      <c r="AJ44" s="80">
        <f>T44*SUM(U44:AF44)*AH44</f>
        <v>2348640</v>
      </c>
    </row>
    <row r="45" spans="1:36" ht="18.75" customHeight="1">
      <c r="A45" s="26" t="s">
        <v>19</v>
      </c>
      <c r="B45" s="72">
        <f>'Landscape Y1'!N9</f>
        <v>526</v>
      </c>
      <c r="C45" s="46">
        <v>20</v>
      </c>
      <c r="D45" s="47">
        <v>20</v>
      </c>
      <c r="E45" s="47">
        <v>20</v>
      </c>
      <c r="F45" s="47">
        <v>20</v>
      </c>
      <c r="G45" s="47">
        <v>20</v>
      </c>
      <c r="H45" s="47">
        <v>20</v>
      </c>
      <c r="I45" s="47">
        <v>20</v>
      </c>
      <c r="J45" s="47">
        <v>20</v>
      </c>
      <c r="K45" s="47">
        <v>20</v>
      </c>
      <c r="L45" s="47">
        <v>20</v>
      </c>
      <c r="M45" s="47">
        <v>20</v>
      </c>
      <c r="N45" s="48">
        <v>20</v>
      </c>
      <c r="O45" s="86">
        <v>1</v>
      </c>
      <c r="P45" s="86">
        <f>O45*30</f>
        <v>30</v>
      </c>
      <c r="Q45" s="84">
        <f>B45*C45*P45</f>
        <v>315600</v>
      </c>
      <c r="R45" s="81">
        <f>B45*SUM(C45:N45)*P45</f>
        <v>3787200</v>
      </c>
      <c r="S45" s="26" t="s">
        <v>19</v>
      </c>
      <c r="T45" s="72">
        <f>'Landscape Y2'!N9</f>
        <v>622</v>
      </c>
      <c r="U45" s="46">
        <v>60</v>
      </c>
      <c r="V45" s="47">
        <v>60</v>
      </c>
      <c r="W45" s="47">
        <v>60</v>
      </c>
      <c r="X45" s="47">
        <v>60</v>
      </c>
      <c r="Y45" s="47">
        <v>60</v>
      </c>
      <c r="Z45" s="47">
        <v>60</v>
      </c>
      <c r="AA45" s="47">
        <v>60</v>
      </c>
      <c r="AB45" s="47">
        <v>60</v>
      </c>
      <c r="AC45" s="47">
        <v>60</v>
      </c>
      <c r="AD45" s="47">
        <v>60</v>
      </c>
      <c r="AE45" s="47">
        <v>60</v>
      </c>
      <c r="AF45" s="48">
        <v>60</v>
      </c>
      <c r="AG45" s="86">
        <v>1</v>
      </c>
      <c r="AH45" s="86">
        <f>AG45*30</f>
        <v>30</v>
      </c>
      <c r="AI45" s="84">
        <f>T45*U45*AH45</f>
        <v>1119600</v>
      </c>
      <c r="AJ45" s="80">
        <f>T45*SUM(U45:AF45)*AH45</f>
        <v>13435200</v>
      </c>
    </row>
    <row r="46" spans="1:36" ht="32.1" customHeight="1">
      <c r="A46" s="28" t="s">
        <v>58</v>
      </c>
      <c r="B46" s="473">
        <f>SUM(R43:R45)</f>
        <v>5643360</v>
      </c>
      <c r="C46" s="474"/>
      <c r="D46" s="474"/>
      <c r="E46" s="474"/>
      <c r="F46" s="474"/>
      <c r="G46" s="474"/>
      <c r="H46" s="474"/>
      <c r="I46" s="474"/>
      <c r="J46" s="474"/>
      <c r="K46" s="474"/>
      <c r="L46" s="474"/>
      <c r="M46" s="474"/>
      <c r="N46" s="474"/>
      <c r="O46" s="474"/>
      <c r="P46" s="474"/>
      <c r="Q46" s="474"/>
      <c r="R46" s="474"/>
      <c r="S46" s="28" t="s">
        <v>66</v>
      </c>
      <c r="T46" s="473">
        <f>SUM(AJ43:AJ45)</f>
        <v>16568280</v>
      </c>
      <c r="U46" s="474"/>
      <c r="V46" s="474"/>
      <c r="W46" s="474"/>
      <c r="X46" s="474"/>
      <c r="Y46" s="474"/>
      <c r="Z46" s="474"/>
      <c r="AA46" s="474"/>
      <c r="AB46" s="474"/>
      <c r="AC46" s="474"/>
      <c r="AD46" s="474"/>
      <c r="AE46" s="474"/>
      <c r="AF46" s="474"/>
      <c r="AG46" s="474"/>
      <c r="AH46" s="474"/>
      <c r="AI46" s="474"/>
      <c r="AJ46" s="489"/>
    </row>
    <row r="47" spans="1:36" ht="18.75" customHeight="1">
      <c r="A47" s="29"/>
      <c r="B47" s="64"/>
      <c r="C47" s="30"/>
      <c r="D47" s="30"/>
      <c r="E47" s="30"/>
      <c r="F47" s="30"/>
      <c r="G47" s="30"/>
      <c r="H47" s="30"/>
      <c r="I47" s="30"/>
      <c r="J47" s="30" t="s">
        <v>20</v>
      </c>
      <c r="K47" s="30"/>
      <c r="L47" s="30"/>
      <c r="M47" s="30"/>
      <c r="N47" s="30"/>
      <c r="O47" s="69"/>
      <c r="P47" s="69"/>
      <c r="Q47" s="64"/>
      <c r="R47" s="64"/>
      <c r="S47" s="29"/>
      <c r="T47" s="64"/>
      <c r="U47" s="30"/>
      <c r="V47" s="30"/>
      <c r="W47" s="30"/>
      <c r="X47" s="30"/>
      <c r="Y47" s="30"/>
      <c r="Z47" s="30"/>
      <c r="AA47" s="30"/>
      <c r="AB47" s="30" t="s">
        <v>20</v>
      </c>
      <c r="AC47" s="30"/>
      <c r="AD47" s="30"/>
      <c r="AE47" s="30"/>
      <c r="AF47" s="30"/>
      <c r="AG47" s="69"/>
      <c r="AH47" s="69"/>
      <c r="AI47" s="64"/>
      <c r="AJ47" s="64"/>
    </row>
    <row r="48" spans="1:36" ht="18.75" customHeight="1">
      <c r="A48" s="26" t="s">
        <v>21</v>
      </c>
      <c r="B48" s="72">
        <f>'Security Y1'!N7</f>
        <v>1374</v>
      </c>
      <c r="C48" s="47">
        <v>1</v>
      </c>
      <c r="D48" s="47">
        <v>1</v>
      </c>
      <c r="E48" s="47">
        <v>1</v>
      </c>
      <c r="F48" s="47">
        <v>1</v>
      </c>
      <c r="G48" s="47">
        <v>1</v>
      </c>
      <c r="H48" s="47">
        <v>1</v>
      </c>
      <c r="I48" s="47">
        <v>1</v>
      </c>
      <c r="J48" s="47">
        <v>1</v>
      </c>
      <c r="K48" s="47">
        <v>1</v>
      </c>
      <c r="L48" s="47">
        <v>1</v>
      </c>
      <c r="M48" s="47">
        <v>1</v>
      </c>
      <c r="N48" s="47">
        <v>1</v>
      </c>
      <c r="O48" s="83">
        <v>1</v>
      </c>
      <c r="P48" s="83">
        <f>O48*30</f>
        <v>30</v>
      </c>
      <c r="Q48" s="84">
        <f>B48*C48*P48</f>
        <v>41220</v>
      </c>
      <c r="R48" s="79">
        <f>B48*SUM(C48:N48)*P48</f>
        <v>494640</v>
      </c>
      <c r="S48" s="26" t="s">
        <v>21</v>
      </c>
      <c r="T48" s="72">
        <f>'Security Y2'!N7</f>
        <v>1456</v>
      </c>
      <c r="U48" s="46">
        <v>1</v>
      </c>
      <c r="V48" s="47">
        <v>1</v>
      </c>
      <c r="W48" s="47">
        <v>1</v>
      </c>
      <c r="X48" s="47">
        <v>1</v>
      </c>
      <c r="Y48" s="47">
        <v>1</v>
      </c>
      <c r="Z48" s="47">
        <v>1</v>
      </c>
      <c r="AA48" s="47">
        <v>1</v>
      </c>
      <c r="AB48" s="47">
        <v>1</v>
      </c>
      <c r="AC48" s="47">
        <v>1</v>
      </c>
      <c r="AD48" s="47">
        <v>1</v>
      </c>
      <c r="AE48" s="47">
        <v>1</v>
      </c>
      <c r="AF48" s="48">
        <v>1</v>
      </c>
      <c r="AG48" s="83">
        <v>1</v>
      </c>
      <c r="AH48" s="83">
        <f>AG48*30</f>
        <v>30</v>
      </c>
      <c r="AI48" s="84">
        <f>T48*U48*AH48</f>
        <v>43680</v>
      </c>
      <c r="AJ48" s="80">
        <f>T48*SUM(U48:AF48)*AH48</f>
        <v>524160</v>
      </c>
    </row>
    <row r="49" spans="1:36" ht="18.75" customHeight="1">
      <c r="A49" s="26" t="s">
        <v>47</v>
      </c>
      <c r="B49" s="72">
        <f>'Security Y1'!N8</f>
        <v>916</v>
      </c>
      <c r="C49" s="47">
        <v>2</v>
      </c>
      <c r="D49" s="47">
        <v>2</v>
      </c>
      <c r="E49" s="47">
        <v>2</v>
      </c>
      <c r="F49" s="47">
        <v>2</v>
      </c>
      <c r="G49" s="47">
        <v>2</v>
      </c>
      <c r="H49" s="47">
        <v>2</v>
      </c>
      <c r="I49" s="47">
        <v>2</v>
      </c>
      <c r="J49" s="47">
        <v>2</v>
      </c>
      <c r="K49" s="47">
        <v>2</v>
      </c>
      <c r="L49" s="47">
        <v>2</v>
      </c>
      <c r="M49" s="47">
        <v>2</v>
      </c>
      <c r="N49" s="47">
        <v>2</v>
      </c>
      <c r="O49" s="85">
        <v>2</v>
      </c>
      <c r="P49" s="85">
        <f>O49*30</f>
        <v>60</v>
      </c>
      <c r="Q49" s="84">
        <f>B49*C49*P49</f>
        <v>109920</v>
      </c>
      <c r="R49" s="80">
        <f>B49*SUM(C49:N49)*P49</f>
        <v>1319040</v>
      </c>
      <c r="S49" s="26" t="s">
        <v>47</v>
      </c>
      <c r="T49" s="72">
        <f>'Security Y2'!N8</f>
        <v>971</v>
      </c>
      <c r="U49" s="46">
        <v>4</v>
      </c>
      <c r="V49" s="47">
        <v>4</v>
      </c>
      <c r="W49" s="47">
        <v>4</v>
      </c>
      <c r="X49" s="47">
        <v>4</v>
      </c>
      <c r="Y49" s="47">
        <v>4</v>
      </c>
      <c r="Z49" s="47">
        <v>4</v>
      </c>
      <c r="AA49" s="47">
        <v>4</v>
      </c>
      <c r="AB49" s="47">
        <v>4</v>
      </c>
      <c r="AC49" s="47">
        <v>4</v>
      </c>
      <c r="AD49" s="47">
        <v>4</v>
      </c>
      <c r="AE49" s="47">
        <v>4</v>
      </c>
      <c r="AF49" s="48">
        <v>4</v>
      </c>
      <c r="AG49" s="85">
        <v>2</v>
      </c>
      <c r="AH49" s="85">
        <f>AG49*30</f>
        <v>60</v>
      </c>
      <c r="AI49" s="84">
        <f>T49*U49*AH49</f>
        <v>233040</v>
      </c>
      <c r="AJ49" s="80">
        <f>T49*SUM(U49:AF49)*AH49</f>
        <v>2796480</v>
      </c>
    </row>
    <row r="50" spans="1:36" ht="18.75" customHeight="1">
      <c r="A50" s="26" t="s">
        <v>52</v>
      </c>
      <c r="B50" s="72">
        <f>'Security Y1'!N9</f>
        <v>620</v>
      </c>
      <c r="C50" s="47">
        <v>1</v>
      </c>
      <c r="D50" s="47">
        <v>1</v>
      </c>
      <c r="E50" s="47">
        <v>1</v>
      </c>
      <c r="F50" s="47">
        <v>1</v>
      </c>
      <c r="G50" s="47">
        <v>1</v>
      </c>
      <c r="H50" s="47">
        <v>1</v>
      </c>
      <c r="I50" s="47">
        <v>1</v>
      </c>
      <c r="J50" s="47">
        <v>1</v>
      </c>
      <c r="K50" s="47">
        <v>1</v>
      </c>
      <c r="L50" s="47">
        <v>1</v>
      </c>
      <c r="M50" s="47">
        <v>1</v>
      </c>
      <c r="N50" s="47">
        <v>1</v>
      </c>
      <c r="O50" s="85">
        <v>2</v>
      </c>
      <c r="P50" s="85">
        <f>O50*30</f>
        <v>60</v>
      </c>
      <c r="Q50" s="84">
        <f>B50*C50*P50</f>
        <v>37200</v>
      </c>
      <c r="R50" s="80">
        <f>B50*SUM(C50:N50)*P50</f>
        <v>446400</v>
      </c>
      <c r="S50" s="26" t="s">
        <v>52</v>
      </c>
      <c r="T50" s="72">
        <f>'Security Y2'!N9</f>
        <v>656</v>
      </c>
      <c r="U50" s="46">
        <v>1</v>
      </c>
      <c r="V50" s="47">
        <v>1</v>
      </c>
      <c r="W50" s="47">
        <v>1</v>
      </c>
      <c r="X50" s="47">
        <v>1</v>
      </c>
      <c r="Y50" s="47">
        <v>1</v>
      </c>
      <c r="Z50" s="47">
        <v>1</v>
      </c>
      <c r="AA50" s="47">
        <v>1</v>
      </c>
      <c r="AB50" s="47">
        <v>1</v>
      </c>
      <c r="AC50" s="47">
        <v>1</v>
      </c>
      <c r="AD50" s="47">
        <v>1</v>
      </c>
      <c r="AE50" s="47">
        <v>1</v>
      </c>
      <c r="AF50" s="48">
        <v>1</v>
      </c>
      <c r="AG50" s="85">
        <v>2</v>
      </c>
      <c r="AH50" s="85">
        <f>AG50*30</f>
        <v>60</v>
      </c>
      <c r="AI50" s="84">
        <f>T50*U50*AH50</f>
        <v>39360</v>
      </c>
      <c r="AJ50" s="80">
        <f>T50*SUM(U50:AF50)*AH50</f>
        <v>472320</v>
      </c>
    </row>
    <row r="51" spans="1:36" ht="18.75" customHeight="1">
      <c r="A51" s="26" t="s">
        <v>139</v>
      </c>
      <c r="B51" s="72">
        <f>'Security Y1'!N10</f>
        <v>344</v>
      </c>
      <c r="C51" s="47">
        <v>40</v>
      </c>
      <c r="D51" s="47">
        <v>40</v>
      </c>
      <c r="E51" s="47">
        <v>40</v>
      </c>
      <c r="F51" s="47">
        <v>40</v>
      </c>
      <c r="G51" s="47">
        <v>40</v>
      </c>
      <c r="H51" s="47">
        <v>40</v>
      </c>
      <c r="I51" s="47">
        <v>40</v>
      </c>
      <c r="J51" s="47">
        <v>40</v>
      </c>
      <c r="K51" s="47">
        <v>40</v>
      </c>
      <c r="L51" s="47">
        <v>40</v>
      </c>
      <c r="M51" s="47">
        <v>40</v>
      </c>
      <c r="N51" s="47">
        <v>40</v>
      </c>
      <c r="O51" s="85">
        <v>2</v>
      </c>
      <c r="P51" s="85">
        <f>O51*30</f>
        <v>60</v>
      </c>
      <c r="Q51" s="84">
        <f>B51*C51*P51</f>
        <v>825600</v>
      </c>
      <c r="R51" s="80">
        <f>B51*SUM(C51:N51)*P51</f>
        <v>9907200</v>
      </c>
      <c r="S51" s="26" t="s">
        <v>48</v>
      </c>
      <c r="T51" s="72">
        <f>'Security Y2'!N10</f>
        <v>364</v>
      </c>
      <c r="U51" s="46">
        <v>120</v>
      </c>
      <c r="V51" s="47">
        <v>120</v>
      </c>
      <c r="W51" s="47">
        <v>120</v>
      </c>
      <c r="X51" s="47">
        <v>120</v>
      </c>
      <c r="Y51" s="47">
        <v>120</v>
      </c>
      <c r="Z51" s="47">
        <v>120</v>
      </c>
      <c r="AA51" s="47">
        <v>120</v>
      </c>
      <c r="AB51" s="47">
        <v>120</v>
      </c>
      <c r="AC51" s="47">
        <v>120</v>
      </c>
      <c r="AD51" s="47">
        <v>120</v>
      </c>
      <c r="AE51" s="47">
        <v>120</v>
      </c>
      <c r="AF51" s="48">
        <v>120</v>
      </c>
      <c r="AG51" s="85">
        <v>2</v>
      </c>
      <c r="AH51" s="85">
        <f>AG51*30</f>
        <v>60</v>
      </c>
      <c r="AI51" s="84">
        <f>T51*U51*AH51</f>
        <v>2620800</v>
      </c>
      <c r="AJ51" s="80">
        <f>T51*SUM(U51:AF51)*AH51</f>
        <v>31449600</v>
      </c>
    </row>
    <row r="52" spans="1:36" ht="18.75" customHeight="1">
      <c r="A52" s="26" t="s">
        <v>22</v>
      </c>
      <c r="B52" s="72"/>
      <c r="C52" s="47"/>
      <c r="D52" s="47"/>
      <c r="E52" s="47"/>
      <c r="F52" s="47"/>
      <c r="G52" s="47"/>
      <c r="H52" s="47"/>
      <c r="I52" s="47"/>
      <c r="J52" s="47"/>
      <c r="K52" s="47"/>
      <c r="L52" s="47"/>
      <c r="M52" s="47"/>
      <c r="N52" s="47"/>
      <c r="O52" s="86">
        <v>0</v>
      </c>
      <c r="P52" s="86">
        <f>O52*30</f>
        <v>0</v>
      </c>
      <c r="Q52" s="84">
        <f>B52*C52*P52</f>
        <v>0</v>
      </c>
      <c r="R52" s="81">
        <f>B52*SUM(C52:N52)*P52</f>
        <v>0</v>
      </c>
      <c r="S52" s="26" t="s">
        <v>22</v>
      </c>
      <c r="T52" s="72">
        <f>'Security Y2'!N11</f>
        <v>647</v>
      </c>
      <c r="U52" s="46">
        <v>2</v>
      </c>
      <c r="V52" s="47">
        <v>2</v>
      </c>
      <c r="W52" s="47">
        <v>2</v>
      </c>
      <c r="X52" s="47">
        <v>2</v>
      </c>
      <c r="Y52" s="47">
        <v>2</v>
      </c>
      <c r="Z52" s="47">
        <v>2</v>
      </c>
      <c r="AA52" s="47">
        <v>2</v>
      </c>
      <c r="AB52" s="47">
        <v>2</v>
      </c>
      <c r="AC52" s="47">
        <v>2</v>
      </c>
      <c r="AD52" s="47">
        <v>2</v>
      </c>
      <c r="AE52" s="47">
        <v>2</v>
      </c>
      <c r="AF52" s="48">
        <v>2</v>
      </c>
      <c r="AG52" s="86">
        <v>2</v>
      </c>
      <c r="AH52" s="86">
        <f>AG52*30</f>
        <v>60</v>
      </c>
      <c r="AI52" s="84">
        <f>T52*U52*AH52</f>
        <v>77640</v>
      </c>
      <c r="AJ52" s="80">
        <f>T52*SUM(U52:AF52)*AH52</f>
        <v>931680</v>
      </c>
    </row>
    <row r="53" spans="1:36" ht="32.1" customHeight="1">
      <c r="A53" s="28" t="s">
        <v>59</v>
      </c>
      <c r="B53" s="473">
        <f>SUM(R48:R52)</f>
        <v>12167280</v>
      </c>
      <c r="C53" s="474"/>
      <c r="D53" s="474"/>
      <c r="E53" s="474"/>
      <c r="F53" s="474"/>
      <c r="G53" s="474"/>
      <c r="H53" s="474"/>
      <c r="I53" s="474"/>
      <c r="J53" s="474"/>
      <c r="K53" s="474"/>
      <c r="L53" s="474"/>
      <c r="M53" s="474"/>
      <c r="N53" s="474"/>
      <c r="O53" s="474"/>
      <c r="P53" s="474"/>
      <c r="Q53" s="474"/>
      <c r="R53" s="474"/>
      <c r="S53" s="28" t="s">
        <v>67</v>
      </c>
      <c r="T53" s="473">
        <f>SUM(AJ48:AJ52)</f>
        <v>36174240</v>
      </c>
      <c r="U53" s="474"/>
      <c r="V53" s="474"/>
      <c r="W53" s="474"/>
      <c r="X53" s="474"/>
      <c r="Y53" s="474"/>
      <c r="Z53" s="474"/>
      <c r="AA53" s="474"/>
      <c r="AB53" s="474"/>
      <c r="AC53" s="474"/>
      <c r="AD53" s="474"/>
      <c r="AE53" s="474"/>
      <c r="AF53" s="474"/>
      <c r="AG53" s="474"/>
      <c r="AH53" s="474"/>
      <c r="AI53" s="474"/>
      <c r="AJ53" s="489"/>
    </row>
    <row r="54" spans="1:36" ht="18.75" customHeight="1">
      <c r="A54" s="29"/>
      <c r="B54" s="64"/>
      <c r="C54" s="30"/>
      <c r="D54" s="30"/>
      <c r="E54" s="30"/>
      <c r="F54" s="30"/>
      <c r="G54" s="30"/>
      <c r="H54" s="30"/>
      <c r="I54" s="30"/>
      <c r="J54" s="30" t="s">
        <v>37</v>
      </c>
      <c r="K54" s="30"/>
      <c r="L54" s="30"/>
      <c r="M54" s="30"/>
      <c r="N54" s="30"/>
      <c r="O54" s="69"/>
      <c r="P54" s="69"/>
      <c r="Q54" s="64"/>
      <c r="R54" s="64"/>
      <c r="S54" s="29"/>
      <c r="T54" s="64"/>
      <c r="U54" s="30"/>
      <c r="V54" s="30"/>
      <c r="W54" s="30"/>
      <c r="X54" s="30"/>
      <c r="Y54" s="30"/>
      <c r="Z54" s="30"/>
      <c r="AA54" s="30"/>
      <c r="AB54" s="30" t="s">
        <v>37</v>
      </c>
      <c r="AC54" s="30"/>
      <c r="AD54" s="30"/>
      <c r="AE54" s="30"/>
      <c r="AF54" s="30"/>
      <c r="AG54" s="69"/>
      <c r="AH54" s="69"/>
      <c r="AI54" s="64"/>
      <c r="AJ54" s="64"/>
    </row>
    <row r="55" spans="1:36" ht="21.75" customHeight="1">
      <c r="A55" s="25" t="s">
        <v>140</v>
      </c>
      <c r="B55" s="72">
        <f>'Transportation Y1'!N7</f>
        <v>2002</v>
      </c>
      <c r="C55" s="47">
        <v>2</v>
      </c>
      <c r="D55" s="47">
        <v>2</v>
      </c>
      <c r="E55" s="47">
        <v>2</v>
      </c>
      <c r="F55" s="47">
        <v>2</v>
      </c>
      <c r="G55" s="47">
        <v>2</v>
      </c>
      <c r="H55" s="47">
        <v>2</v>
      </c>
      <c r="I55" s="47">
        <v>2</v>
      </c>
      <c r="J55" s="47">
        <v>2</v>
      </c>
      <c r="K55" s="47">
        <v>2</v>
      </c>
      <c r="L55" s="47">
        <v>2</v>
      </c>
      <c r="M55" s="47">
        <v>2</v>
      </c>
      <c r="N55" s="47">
        <v>2</v>
      </c>
      <c r="O55" s="83">
        <v>1</v>
      </c>
      <c r="P55" s="83">
        <f>O55*30</f>
        <v>30</v>
      </c>
      <c r="Q55" s="89">
        <f>B55*C55*P55</f>
        <v>120120</v>
      </c>
      <c r="R55" s="79">
        <f>B55*SUM(C55:N55)*P55</f>
        <v>1441440</v>
      </c>
      <c r="S55" s="25" t="s">
        <v>140</v>
      </c>
      <c r="T55" s="72">
        <f>'Transportation Y2'!N7</f>
        <v>2249</v>
      </c>
      <c r="U55" s="47">
        <v>2</v>
      </c>
      <c r="V55" s="47">
        <v>2</v>
      </c>
      <c r="W55" s="47">
        <v>2</v>
      </c>
      <c r="X55" s="47">
        <v>2</v>
      </c>
      <c r="Y55" s="47">
        <v>2</v>
      </c>
      <c r="Z55" s="47">
        <v>2</v>
      </c>
      <c r="AA55" s="47">
        <v>2</v>
      </c>
      <c r="AB55" s="47">
        <v>2</v>
      </c>
      <c r="AC55" s="47">
        <v>2</v>
      </c>
      <c r="AD55" s="47">
        <v>2</v>
      </c>
      <c r="AE55" s="47">
        <v>2</v>
      </c>
      <c r="AF55" s="47">
        <v>2</v>
      </c>
      <c r="AG55" s="83">
        <v>1</v>
      </c>
      <c r="AH55" s="83">
        <f>AG55*30</f>
        <v>30</v>
      </c>
      <c r="AI55" s="89">
        <f>T55*U55*AH55</f>
        <v>134940</v>
      </c>
      <c r="AJ55" s="79">
        <f>T55*SUM(U55:AF55)*AH55</f>
        <v>1619280</v>
      </c>
    </row>
    <row r="56" spans="1:36" ht="18.75" customHeight="1">
      <c r="A56" s="26" t="s">
        <v>49</v>
      </c>
      <c r="B56" s="72">
        <f>'Transportation Y1'!N8</f>
        <v>2310</v>
      </c>
      <c r="C56" s="47">
        <v>2</v>
      </c>
      <c r="D56" s="47">
        <v>2</v>
      </c>
      <c r="E56" s="47">
        <v>2</v>
      </c>
      <c r="F56" s="47">
        <v>2</v>
      </c>
      <c r="G56" s="47">
        <v>2</v>
      </c>
      <c r="H56" s="47">
        <v>2</v>
      </c>
      <c r="I56" s="47">
        <v>2</v>
      </c>
      <c r="J56" s="47">
        <v>2</v>
      </c>
      <c r="K56" s="47">
        <v>2</v>
      </c>
      <c r="L56" s="47">
        <v>2</v>
      </c>
      <c r="M56" s="47">
        <v>2</v>
      </c>
      <c r="N56" s="47">
        <v>2</v>
      </c>
      <c r="O56" s="85">
        <v>1</v>
      </c>
      <c r="P56" s="85">
        <f>O56*30</f>
        <v>30</v>
      </c>
      <c r="Q56" s="84">
        <f>B56*C56*P56</f>
        <v>138600</v>
      </c>
      <c r="R56" s="80">
        <f>B56*SUM(C56:N56)*P56</f>
        <v>1663200</v>
      </c>
      <c r="S56" s="26" t="s">
        <v>49</v>
      </c>
      <c r="T56" s="72">
        <f>'Transportation Y2'!N8</f>
        <v>2595</v>
      </c>
      <c r="U56" s="47">
        <v>2</v>
      </c>
      <c r="V56" s="47">
        <v>2</v>
      </c>
      <c r="W56" s="47">
        <v>2</v>
      </c>
      <c r="X56" s="47">
        <v>2</v>
      </c>
      <c r="Y56" s="47">
        <v>2</v>
      </c>
      <c r="Z56" s="47">
        <v>2</v>
      </c>
      <c r="AA56" s="47">
        <v>2</v>
      </c>
      <c r="AB56" s="47">
        <v>2</v>
      </c>
      <c r="AC56" s="47">
        <v>2</v>
      </c>
      <c r="AD56" s="47">
        <v>2</v>
      </c>
      <c r="AE56" s="47">
        <v>2</v>
      </c>
      <c r="AF56" s="47">
        <v>2</v>
      </c>
      <c r="AG56" s="85">
        <v>1</v>
      </c>
      <c r="AH56" s="85">
        <f>AG56*30</f>
        <v>30</v>
      </c>
      <c r="AI56" s="84">
        <f>T56*U56*AH56</f>
        <v>155700</v>
      </c>
      <c r="AJ56" s="80">
        <f>T56*SUM(U56:AF56)*AH56</f>
        <v>1868400</v>
      </c>
    </row>
    <row r="57" spans="1:36" ht="18.75" customHeight="1" thickBot="1">
      <c r="A57" s="27" t="s">
        <v>50</v>
      </c>
      <c r="B57" s="72">
        <f>'Transportation Y1'!N9</f>
        <v>507</v>
      </c>
      <c r="C57" s="46">
        <v>2</v>
      </c>
      <c r="D57" s="47">
        <v>2</v>
      </c>
      <c r="E57" s="47">
        <v>2</v>
      </c>
      <c r="F57" s="47">
        <v>2</v>
      </c>
      <c r="G57" s="47">
        <v>2</v>
      </c>
      <c r="H57" s="47">
        <v>2</v>
      </c>
      <c r="I57" s="47">
        <v>2</v>
      </c>
      <c r="J57" s="47">
        <v>2</v>
      </c>
      <c r="K57" s="47">
        <v>2</v>
      </c>
      <c r="L57" s="47">
        <v>2</v>
      </c>
      <c r="M57" s="47">
        <v>2</v>
      </c>
      <c r="N57" s="47">
        <v>2</v>
      </c>
      <c r="O57" s="85">
        <v>1</v>
      </c>
      <c r="P57" s="90">
        <f>O57*30</f>
        <v>30</v>
      </c>
      <c r="Q57" s="84">
        <f>B57*C57*P57</f>
        <v>30420</v>
      </c>
      <c r="R57" s="82">
        <f>B57*SUM(C57:N57)*P57</f>
        <v>365040</v>
      </c>
      <c r="S57" s="27" t="s">
        <v>50</v>
      </c>
      <c r="T57" s="72">
        <f>'Transportation Y2'!N9</f>
        <v>570</v>
      </c>
      <c r="U57" s="46">
        <v>2</v>
      </c>
      <c r="V57" s="47">
        <v>2</v>
      </c>
      <c r="W57" s="47">
        <v>2</v>
      </c>
      <c r="X57" s="47">
        <v>2</v>
      </c>
      <c r="Y57" s="47">
        <v>2</v>
      </c>
      <c r="Z57" s="47">
        <v>2</v>
      </c>
      <c r="AA57" s="47">
        <v>2</v>
      </c>
      <c r="AB57" s="47">
        <v>2</v>
      </c>
      <c r="AC57" s="47">
        <v>2</v>
      </c>
      <c r="AD57" s="47">
        <v>2</v>
      </c>
      <c r="AE57" s="47">
        <v>2</v>
      </c>
      <c r="AF57" s="47">
        <v>2</v>
      </c>
      <c r="AG57" s="85">
        <v>1</v>
      </c>
      <c r="AH57" s="85">
        <f>AG57*30</f>
        <v>30</v>
      </c>
      <c r="AI57" s="84">
        <f>T57*U57*AH57</f>
        <v>34200</v>
      </c>
      <c r="AJ57" s="80">
        <f>T57*SUM(U57:AF57)*AH57</f>
        <v>410400</v>
      </c>
    </row>
    <row r="58" spans="1:36" ht="32.1" customHeight="1" thickBot="1">
      <c r="A58" s="16" t="s">
        <v>60</v>
      </c>
      <c r="B58" s="476">
        <f>SUM(R55:R57)</f>
        <v>3469680</v>
      </c>
      <c r="C58" s="477"/>
      <c r="D58" s="477"/>
      <c r="E58" s="477"/>
      <c r="F58" s="477"/>
      <c r="G58" s="477"/>
      <c r="H58" s="477"/>
      <c r="I58" s="477"/>
      <c r="J58" s="477"/>
      <c r="K58" s="477"/>
      <c r="L58" s="477"/>
      <c r="M58" s="477"/>
      <c r="N58" s="477"/>
      <c r="O58" s="477"/>
      <c r="P58" s="477"/>
      <c r="Q58" s="477"/>
      <c r="R58" s="478"/>
      <c r="S58" s="16" t="s">
        <v>62</v>
      </c>
      <c r="T58" s="476">
        <f>SUM(AJ55:AJ57)</f>
        <v>3898080</v>
      </c>
      <c r="U58" s="477"/>
      <c r="V58" s="477"/>
      <c r="W58" s="477"/>
      <c r="X58" s="477"/>
      <c r="Y58" s="477"/>
      <c r="Z58" s="477"/>
      <c r="AA58" s="477"/>
      <c r="AB58" s="477"/>
      <c r="AC58" s="477"/>
      <c r="AD58" s="477"/>
      <c r="AE58" s="477"/>
      <c r="AF58" s="477"/>
      <c r="AG58" s="477"/>
      <c r="AH58" s="477"/>
      <c r="AI58" s="477"/>
      <c r="AJ58" s="478"/>
    </row>
    <row r="59" spans="1:36" ht="28.5" customHeight="1" thickBot="1">
      <c r="A59" s="18" t="s">
        <v>75</v>
      </c>
      <c r="B59" s="487">
        <f>B12+B31+B37+B41+B46+B53+B58</f>
        <v>38337316</v>
      </c>
      <c r="C59" s="488"/>
      <c r="D59" s="488"/>
      <c r="E59" s="488"/>
      <c r="F59" s="488"/>
      <c r="G59" s="488"/>
      <c r="H59" s="488"/>
      <c r="I59" s="488"/>
      <c r="J59" s="488"/>
      <c r="K59" s="488"/>
      <c r="L59" s="488"/>
      <c r="M59" s="488"/>
      <c r="N59" s="488"/>
      <c r="O59" s="488"/>
      <c r="P59" s="488"/>
      <c r="Q59" s="488"/>
      <c r="R59" s="488"/>
      <c r="S59" s="18" t="s">
        <v>76</v>
      </c>
      <c r="T59" s="487">
        <f>T12+T31+T37+T41+T46+T53+T58</f>
        <v>82875600</v>
      </c>
      <c r="U59" s="488"/>
      <c r="V59" s="488"/>
      <c r="W59" s="488"/>
      <c r="X59" s="488"/>
      <c r="Y59" s="488"/>
      <c r="Z59" s="488"/>
      <c r="AA59" s="488"/>
      <c r="AB59" s="488"/>
      <c r="AC59" s="488"/>
      <c r="AD59" s="488"/>
      <c r="AE59" s="488"/>
      <c r="AF59" s="488"/>
      <c r="AG59" s="488"/>
      <c r="AH59" s="488"/>
      <c r="AI59" s="488"/>
      <c r="AJ59" s="490"/>
    </row>
    <row r="60" spans="1:36">
      <c r="A60" s="479" t="s">
        <v>79</v>
      </c>
      <c r="B60" s="481">
        <f>B59+T59</f>
        <v>121212916</v>
      </c>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c r="AA60" s="482"/>
      <c r="AB60" s="482"/>
      <c r="AC60" s="482"/>
      <c r="AD60" s="482"/>
      <c r="AE60" s="482"/>
      <c r="AF60" s="482"/>
      <c r="AG60" s="482"/>
      <c r="AH60" s="482"/>
      <c r="AI60" s="482"/>
      <c r="AJ60" s="483"/>
    </row>
    <row r="61" spans="1:36" ht="15.75" thickBot="1">
      <c r="A61" s="480"/>
      <c r="B61" s="484"/>
      <c r="C61" s="485"/>
      <c r="D61" s="485"/>
      <c r="E61" s="485"/>
      <c r="F61" s="485"/>
      <c r="G61" s="485"/>
      <c r="H61" s="485"/>
      <c r="I61" s="485"/>
      <c r="J61" s="485"/>
      <c r="K61" s="485"/>
      <c r="L61" s="485"/>
      <c r="M61" s="485"/>
      <c r="N61" s="485"/>
      <c r="O61" s="485"/>
      <c r="P61" s="485"/>
      <c r="Q61" s="485"/>
      <c r="R61" s="485"/>
      <c r="S61" s="485"/>
      <c r="T61" s="485"/>
      <c r="U61" s="485"/>
      <c r="V61" s="485"/>
      <c r="W61" s="485"/>
      <c r="X61" s="485"/>
      <c r="Y61" s="485"/>
      <c r="Z61" s="485"/>
      <c r="AA61" s="485"/>
      <c r="AB61" s="485"/>
      <c r="AC61" s="485"/>
      <c r="AD61" s="485"/>
      <c r="AE61" s="485"/>
      <c r="AF61" s="485"/>
      <c r="AG61" s="485"/>
      <c r="AH61" s="485"/>
      <c r="AI61" s="485"/>
      <c r="AJ61" s="486"/>
    </row>
    <row r="62" spans="1:36" s="21" customFormat="1">
      <c r="A62" s="19"/>
      <c r="B62" s="65"/>
      <c r="C62" s="20"/>
      <c r="D62" s="20"/>
      <c r="E62" s="20"/>
      <c r="F62" s="20"/>
      <c r="G62" s="20"/>
      <c r="H62" s="20"/>
      <c r="I62" s="20"/>
      <c r="J62" s="20"/>
      <c r="K62" s="20"/>
      <c r="L62" s="20"/>
      <c r="M62" s="20"/>
      <c r="N62" s="20"/>
      <c r="O62" s="70"/>
      <c r="P62" s="70"/>
      <c r="Q62" s="65"/>
      <c r="R62" s="65"/>
      <c r="S62" s="20"/>
      <c r="T62" s="65"/>
      <c r="U62" s="20"/>
      <c r="V62" s="20"/>
      <c r="W62" s="20"/>
      <c r="X62" s="20"/>
      <c r="Y62" s="20"/>
      <c r="Z62" s="20"/>
      <c r="AA62" s="20"/>
      <c r="AB62" s="20"/>
      <c r="AC62" s="20"/>
      <c r="AD62" s="20"/>
      <c r="AE62" s="20"/>
      <c r="AF62" s="20"/>
      <c r="AG62" s="70"/>
      <c r="AH62" s="70"/>
      <c r="AI62" s="65"/>
      <c r="AJ62" s="65"/>
    </row>
    <row r="63" spans="1:36">
      <c r="A63" s="22"/>
      <c r="B63" s="66"/>
      <c r="C63" s="23"/>
      <c r="D63" s="23"/>
      <c r="E63" s="23"/>
      <c r="F63" s="23"/>
      <c r="G63" s="23"/>
      <c r="H63" s="23"/>
      <c r="I63" s="23"/>
      <c r="J63" s="23"/>
      <c r="K63" s="23"/>
      <c r="L63" s="23"/>
      <c r="M63" s="23"/>
      <c r="N63" s="23"/>
      <c r="O63" s="71"/>
      <c r="P63" s="71"/>
      <c r="Q63" s="66"/>
      <c r="R63" s="73"/>
      <c r="S63" s="22"/>
      <c r="T63" s="66"/>
      <c r="U63" s="23"/>
      <c r="V63" s="23"/>
      <c r="W63" s="23"/>
      <c r="X63" s="23"/>
      <c r="Y63" s="23"/>
      <c r="Z63" s="23"/>
      <c r="AA63" s="23"/>
      <c r="AB63" s="23"/>
      <c r="AC63" s="23"/>
      <c r="AD63" s="23"/>
      <c r="AE63" s="23"/>
      <c r="AF63" s="23"/>
      <c r="AG63" s="71"/>
      <c r="AH63" s="71"/>
      <c r="AI63" s="66"/>
      <c r="AJ63" s="73"/>
    </row>
    <row r="64" spans="1:36" ht="15" customHeight="1">
      <c r="A64" s="472"/>
      <c r="B64" s="472"/>
      <c r="C64" s="472"/>
      <c r="D64" s="472"/>
      <c r="E64" s="472"/>
      <c r="F64" s="472"/>
      <c r="G64" s="472"/>
      <c r="H64" s="472"/>
      <c r="I64" s="472"/>
      <c r="J64" s="472"/>
      <c r="K64" s="472"/>
      <c r="L64" s="472"/>
      <c r="M64" s="472"/>
      <c r="N64" s="472"/>
      <c r="O64" s="472"/>
      <c r="P64" s="472"/>
      <c r="Q64" s="472"/>
      <c r="R64" s="472"/>
      <c r="S64" s="472"/>
      <c r="T64" s="472"/>
      <c r="U64" s="472"/>
      <c r="V64" s="472"/>
      <c r="W64" s="472"/>
      <c r="X64" s="472"/>
      <c r="Y64" s="472"/>
      <c r="Z64" s="472"/>
      <c r="AA64" s="472"/>
      <c r="AB64" s="472"/>
      <c r="AC64" s="472"/>
      <c r="AD64" s="472"/>
      <c r="AE64" s="472"/>
      <c r="AF64" s="472"/>
      <c r="AG64" s="17"/>
      <c r="AH64" s="17"/>
      <c r="AI64" s="17"/>
      <c r="AJ64" s="17"/>
    </row>
    <row r="65" spans="1:36">
      <c r="A65" s="472"/>
      <c r="B65" s="472"/>
      <c r="C65" s="472"/>
      <c r="D65" s="472"/>
      <c r="E65" s="472"/>
      <c r="F65" s="472"/>
      <c r="G65" s="472"/>
      <c r="H65" s="472"/>
      <c r="I65" s="472"/>
      <c r="J65" s="472"/>
      <c r="K65" s="472"/>
      <c r="L65" s="472"/>
      <c r="M65" s="472"/>
      <c r="N65" s="472"/>
      <c r="O65" s="472"/>
      <c r="P65" s="472"/>
      <c r="Q65" s="472"/>
      <c r="R65" s="472"/>
      <c r="S65" s="472"/>
      <c r="T65" s="472"/>
      <c r="U65" s="472"/>
      <c r="V65" s="472"/>
      <c r="W65" s="472"/>
      <c r="X65" s="472"/>
      <c r="Y65" s="472"/>
      <c r="Z65" s="472"/>
      <c r="AA65" s="472"/>
      <c r="AB65" s="472"/>
      <c r="AC65" s="472"/>
      <c r="AD65" s="472"/>
      <c r="AE65" s="472"/>
      <c r="AF65" s="472"/>
      <c r="AG65" s="17"/>
      <c r="AH65" s="17"/>
      <c r="AI65" s="17"/>
      <c r="AJ65" s="17"/>
    </row>
    <row r="66" spans="1:36" ht="31.5" customHeight="1">
      <c r="A66" s="472"/>
      <c r="B66" s="472"/>
      <c r="C66" s="472"/>
      <c r="D66" s="472"/>
      <c r="E66" s="472"/>
      <c r="F66" s="472"/>
      <c r="G66" s="472"/>
      <c r="H66" s="472"/>
      <c r="I66" s="472"/>
      <c r="J66" s="472"/>
      <c r="K66" s="472"/>
      <c r="L66" s="472"/>
      <c r="M66" s="472"/>
      <c r="N66" s="472"/>
      <c r="O66" s="472"/>
      <c r="P66" s="472"/>
      <c r="Q66" s="472"/>
      <c r="R66" s="472"/>
      <c r="S66" s="472"/>
      <c r="T66" s="472"/>
      <c r="U66" s="472"/>
      <c r="V66" s="472"/>
      <c r="W66" s="472"/>
      <c r="X66" s="472"/>
      <c r="Y66" s="472"/>
      <c r="Z66" s="472"/>
      <c r="AA66" s="472"/>
      <c r="AB66" s="472"/>
      <c r="AC66" s="472"/>
      <c r="AD66" s="472"/>
      <c r="AE66" s="472"/>
      <c r="AF66" s="472"/>
      <c r="AG66" s="17"/>
      <c r="AH66" s="17"/>
      <c r="AI66" s="17"/>
      <c r="AJ66" s="17"/>
    </row>
    <row r="67" spans="1:36" ht="21" customHeight="1">
      <c r="A67" s="472"/>
      <c r="B67" s="472"/>
      <c r="C67" s="472"/>
      <c r="D67" s="472"/>
      <c r="E67" s="472"/>
      <c r="F67" s="472"/>
      <c r="G67" s="472"/>
      <c r="H67" s="472"/>
      <c r="I67" s="472"/>
      <c r="J67" s="472"/>
      <c r="K67" s="472"/>
      <c r="L67" s="472"/>
      <c r="M67" s="472"/>
      <c r="N67" s="472"/>
      <c r="O67" s="472"/>
      <c r="P67" s="472"/>
      <c r="Q67" s="472"/>
      <c r="R67" s="472"/>
      <c r="S67" s="472"/>
      <c r="T67" s="472"/>
      <c r="U67" s="472"/>
      <c r="V67" s="472"/>
      <c r="W67" s="472"/>
      <c r="X67" s="472"/>
      <c r="Y67" s="472"/>
      <c r="Z67" s="472"/>
      <c r="AA67" s="472"/>
      <c r="AB67" s="472"/>
      <c r="AC67" s="472"/>
      <c r="AD67" s="472"/>
      <c r="AE67" s="472"/>
      <c r="AF67" s="472"/>
      <c r="AG67" s="17"/>
      <c r="AH67" s="17"/>
      <c r="AI67" s="17"/>
      <c r="AJ67" s="17"/>
    </row>
    <row r="68" spans="1:36" ht="24.75" customHeight="1">
      <c r="A68" s="472"/>
      <c r="B68" s="472"/>
      <c r="C68" s="472"/>
      <c r="D68" s="472"/>
      <c r="E68" s="472"/>
      <c r="F68" s="472"/>
      <c r="G68" s="472"/>
      <c r="H68" s="472"/>
      <c r="I68" s="472"/>
      <c r="J68" s="472"/>
      <c r="K68" s="472"/>
      <c r="L68" s="472"/>
      <c r="M68" s="472"/>
      <c r="N68" s="472"/>
      <c r="O68" s="472"/>
      <c r="P68" s="472"/>
      <c r="Q68" s="472"/>
      <c r="R68" s="472"/>
      <c r="S68" s="472"/>
      <c r="T68" s="472"/>
      <c r="U68" s="472"/>
      <c r="V68" s="472"/>
      <c r="W68" s="472"/>
      <c r="X68" s="472"/>
      <c r="Y68" s="472"/>
      <c r="Z68" s="472"/>
      <c r="AA68" s="472"/>
      <c r="AB68" s="472"/>
      <c r="AC68" s="472"/>
      <c r="AD68" s="472"/>
      <c r="AE68" s="472"/>
      <c r="AF68" s="472"/>
      <c r="AG68" s="17"/>
      <c r="AH68" s="17"/>
      <c r="AI68" s="17"/>
      <c r="AJ68" s="17"/>
    </row>
    <row r="69" spans="1:36" ht="36" customHeight="1">
      <c r="A69" s="472"/>
      <c r="B69" s="472"/>
      <c r="C69" s="472"/>
      <c r="D69" s="472"/>
      <c r="E69" s="472"/>
      <c r="F69" s="472"/>
      <c r="G69" s="472"/>
      <c r="H69" s="472"/>
      <c r="I69" s="472"/>
      <c r="J69" s="472"/>
      <c r="K69" s="472"/>
      <c r="L69" s="472"/>
      <c r="M69" s="472"/>
      <c r="N69" s="472"/>
      <c r="O69" s="472"/>
      <c r="P69" s="472"/>
      <c r="Q69" s="472"/>
      <c r="R69" s="472"/>
      <c r="S69" s="472"/>
      <c r="T69" s="472"/>
      <c r="U69" s="472"/>
      <c r="V69" s="472"/>
      <c r="W69" s="472"/>
      <c r="X69" s="472"/>
      <c r="Y69" s="472"/>
      <c r="Z69" s="472"/>
      <c r="AA69" s="472"/>
      <c r="AB69" s="472"/>
      <c r="AC69" s="472"/>
      <c r="AD69" s="472"/>
      <c r="AE69" s="472"/>
      <c r="AF69" s="472"/>
      <c r="AG69" s="17"/>
      <c r="AH69" s="17"/>
      <c r="AI69" s="17"/>
      <c r="AJ69" s="17"/>
    </row>
    <row r="70" spans="1:36" ht="18.75" customHeight="1">
      <c r="A70" s="472"/>
      <c r="B70" s="472"/>
      <c r="C70" s="472"/>
      <c r="D70" s="472"/>
      <c r="E70" s="472"/>
      <c r="F70" s="472"/>
      <c r="G70" s="472"/>
      <c r="H70" s="472"/>
      <c r="I70" s="472"/>
      <c r="J70" s="472"/>
      <c r="K70" s="472"/>
      <c r="L70" s="472"/>
      <c r="M70" s="472"/>
      <c r="N70" s="472"/>
      <c r="O70" s="472"/>
      <c r="P70" s="472"/>
      <c r="Q70" s="472"/>
      <c r="R70" s="472"/>
      <c r="S70" s="472"/>
      <c r="T70" s="472"/>
      <c r="U70" s="472"/>
      <c r="V70" s="472"/>
      <c r="W70" s="472"/>
      <c r="X70" s="472"/>
      <c r="Y70" s="472"/>
      <c r="Z70" s="472"/>
      <c r="AA70" s="472"/>
      <c r="AB70" s="472"/>
      <c r="AC70" s="472"/>
      <c r="AD70" s="472"/>
      <c r="AE70" s="472"/>
      <c r="AF70" s="472"/>
      <c r="AG70" s="17"/>
      <c r="AH70" s="17"/>
      <c r="AI70" s="17"/>
      <c r="AJ70" s="17"/>
    </row>
    <row r="71" spans="1:36" ht="18.75" customHeight="1">
      <c r="A71" s="472"/>
      <c r="B71" s="472"/>
      <c r="C71" s="472"/>
      <c r="D71" s="472"/>
      <c r="E71" s="472"/>
      <c r="F71" s="472"/>
      <c r="G71" s="472"/>
      <c r="H71" s="472"/>
      <c r="I71" s="472"/>
      <c r="J71" s="472"/>
      <c r="K71" s="472"/>
      <c r="L71" s="472"/>
      <c r="M71" s="472"/>
      <c r="N71" s="472"/>
      <c r="O71" s="472"/>
      <c r="P71" s="472"/>
      <c r="Q71" s="472"/>
      <c r="R71" s="472"/>
      <c r="S71" s="472"/>
      <c r="T71" s="472"/>
      <c r="U71" s="472"/>
      <c r="V71" s="472"/>
      <c r="W71" s="472"/>
      <c r="X71" s="472"/>
      <c r="Y71" s="472"/>
      <c r="Z71" s="472"/>
      <c r="AA71" s="472"/>
      <c r="AB71" s="472"/>
      <c r="AC71" s="472"/>
      <c r="AD71" s="472"/>
      <c r="AE71" s="472"/>
      <c r="AF71" s="472"/>
      <c r="AG71" s="17"/>
      <c r="AH71" s="17"/>
      <c r="AI71" s="17"/>
      <c r="AJ71" s="17"/>
    </row>
    <row r="72" spans="1:36" ht="18.75" customHeight="1">
      <c r="A72" s="472"/>
      <c r="B72" s="472"/>
      <c r="C72" s="472"/>
      <c r="D72" s="472"/>
      <c r="E72" s="472"/>
      <c r="F72" s="472"/>
      <c r="G72" s="472"/>
      <c r="H72" s="472"/>
      <c r="I72" s="472"/>
      <c r="J72" s="472"/>
      <c r="K72" s="472"/>
      <c r="L72" s="472"/>
      <c r="M72" s="472"/>
      <c r="N72" s="472"/>
      <c r="O72" s="472"/>
      <c r="P72" s="472"/>
      <c r="Q72" s="472"/>
      <c r="R72" s="472"/>
      <c r="S72" s="472"/>
      <c r="T72" s="472"/>
      <c r="U72" s="472"/>
      <c r="V72" s="472"/>
      <c r="W72" s="472"/>
      <c r="X72" s="472"/>
      <c r="Y72" s="472"/>
      <c r="Z72" s="472"/>
      <c r="AA72" s="472"/>
      <c r="AB72" s="472"/>
      <c r="AC72" s="472"/>
      <c r="AD72" s="472"/>
      <c r="AE72" s="472"/>
      <c r="AF72" s="472"/>
      <c r="AG72" s="17"/>
      <c r="AH72" s="17"/>
      <c r="AI72" s="17"/>
      <c r="AJ72" s="17"/>
    </row>
    <row r="73" spans="1:36" ht="18.75" customHeight="1">
      <c r="A73" s="17"/>
    </row>
    <row r="90" spans="3:3">
      <c r="C90" s="24"/>
    </row>
  </sheetData>
  <sheetProtection algorithmName="SHA-512" hashValue="lDVo+UcvdOxCflaCRjyXfKW8fWNVEVjez2hAigS3djwYF6FBmDNaoTKsl7PVg6GP4XNOi2xv/TMY5Lfx1m4u9Q==" saltValue="EdsqG2uX4o1kKHsSGhRbPQ==" spinCount="100000" sheet="1" objects="1" scenarios="1"/>
  <mergeCells count="52">
    <mergeCell ref="B7:R7"/>
    <mergeCell ref="T7:AJ7"/>
    <mergeCell ref="A2:AJ2"/>
    <mergeCell ref="A3:AJ3"/>
    <mergeCell ref="A4:AJ4"/>
    <mergeCell ref="B6:R6"/>
    <mergeCell ref="T6:AJ6"/>
    <mergeCell ref="A8:A9"/>
    <mergeCell ref="B8:B9"/>
    <mergeCell ref="C8:N8"/>
    <mergeCell ref="O8:O9"/>
    <mergeCell ref="P8:P9"/>
    <mergeCell ref="B41:R41"/>
    <mergeCell ref="T41:AJ41"/>
    <mergeCell ref="AJ8:AJ9"/>
    <mergeCell ref="B10:R10"/>
    <mergeCell ref="T10:AJ10"/>
    <mergeCell ref="C11:N11"/>
    <mergeCell ref="T11:AJ11"/>
    <mergeCell ref="B12:R12"/>
    <mergeCell ref="T12:AJ12"/>
    <mergeCell ref="R8:R9"/>
    <mergeCell ref="T8:T9"/>
    <mergeCell ref="U8:AF8"/>
    <mergeCell ref="AG8:AG9"/>
    <mergeCell ref="AH8:AH9"/>
    <mergeCell ref="AI8:AI9"/>
    <mergeCell ref="Q8:Q9"/>
    <mergeCell ref="T13:AJ13"/>
    <mergeCell ref="B31:R31"/>
    <mergeCell ref="T31:AJ31"/>
    <mergeCell ref="B37:R37"/>
    <mergeCell ref="T37:AJ37"/>
    <mergeCell ref="A65:AF65"/>
    <mergeCell ref="B46:R46"/>
    <mergeCell ref="T46:AJ46"/>
    <mergeCell ref="B53:R53"/>
    <mergeCell ref="T53:AJ53"/>
    <mergeCell ref="B58:R58"/>
    <mergeCell ref="T58:AJ58"/>
    <mergeCell ref="B59:R59"/>
    <mergeCell ref="T59:AJ59"/>
    <mergeCell ref="A60:A61"/>
    <mergeCell ref="B60:AJ61"/>
    <mergeCell ref="A64:AF64"/>
    <mergeCell ref="A72:AF72"/>
    <mergeCell ref="A66:AF66"/>
    <mergeCell ref="A67:AF67"/>
    <mergeCell ref="A68:AF68"/>
    <mergeCell ref="A69:AF69"/>
    <mergeCell ref="A70:AF70"/>
    <mergeCell ref="A71:AF71"/>
  </mergeCells>
  <pageMargins left="0.7" right="0.7" top="0.75" bottom="0.75" header="0.3" footer="0.3"/>
  <pageSetup paperSize="8" scale="5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E9C9-D389-4C68-9EB6-0AC1633D59C3}">
  <dimension ref="B1:X368"/>
  <sheetViews>
    <sheetView tabSelected="1" zoomScale="85" zoomScaleNormal="85" workbookViewId="0">
      <pane xSplit="2" topLeftCell="C1" activePane="topRight" state="frozen"/>
      <selection activeCell="A57" sqref="A57"/>
      <selection pane="topRight" activeCell="Q24" sqref="Q24"/>
    </sheetView>
  </sheetViews>
  <sheetFormatPr defaultRowHeight="15"/>
  <cols>
    <col min="1" max="1" width="6.5703125" customWidth="1"/>
    <col min="2" max="2" width="48.7109375" bestFit="1" customWidth="1"/>
    <col min="3" max="3" width="2.42578125" style="238" customWidth="1"/>
    <col min="4" max="4" width="12" style="217" customWidth="1"/>
    <col min="5" max="5" width="10.5703125" style="212" customWidth="1"/>
    <col min="6" max="6" width="16.140625" style="212" bestFit="1" customWidth="1"/>
    <col min="7" max="7" width="14.5703125" style="212" bestFit="1" customWidth="1"/>
    <col min="8" max="8" width="1.140625" style="236" customWidth="1"/>
    <col min="9" max="9" width="14.28515625" style="217" bestFit="1" customWidth="1"/>
    <col min="10" max="10" width="11.28515625" style="217" bestFit="1" customWidth="1"/>
    <col min="11" max="11" width="16.140625" style="217" bestFit="1" customWidth="1"/>
    <col min="12" max="12" width="14.5703125" style="217" bestFit="1" customWidth="1"/>
    <col min="13" max="13" width="1.140625" style="236" customWidth="1"/>
    <col min="14" max="14" width="11.5703125" style="212" bestFit="1" customWidth="1"/>
    <col min="15" max="15" width="8.5703125" style="212" bestFit="1" customWidth="1"/>
    <col min="16" max="16" width="16.140625" style="212" bestFit="1" customWidth="1"/>
    <col min="17" max="17" width="14.5703125" style="377" bestFit="1" customWidth="1"/>
    <col min="18" max="23" width="10.5703125" bestFit="1" customWidth="1"/>
    <col min="24" max="24" width="11.5703125" bestFit="1" customWidth="1"/>
  </cols>
  <sheetData>
    <row r="1" spans="2:21">
      <c r="B1" s="319" t="s">
        <v>395</v>
      </c>
    </row>
    <row r="2" spans="2:21">
      <c r="B2" s="225" t="s">
        <v>368</v>
      </c>
      <c r="D2" s="224" t="s">
        <v>142</v>
      </c>
      <c r="E2" s="224" t="s">
        <v>366</v>
      </c>
      <c r="F2" s="224" t="s">
        <v>367</v>
      </c>
      <c r="G2" s="224" t="s">
        <v>275</v>
      </c>
      <c r="I2" s="224" t="s">
        <v>142</v>
      </c>
      <c r="J2" s="224" t="s">
        <v>366</v>
      </c>
      <c r="K2" s="224" t="s">
        <v>367</v>
      </c>
      <c r="L2" s="224" t="s">
        <v>275</v>
      </c>
      <c r="N2" s="224" t="s">
        <v>142</v>
      </c>
      <c r="O2" s="224" t="s">
        <v>366</v>
      </c>
      <c r="P2" s="224" t="s">
        <v>367</v>
      </c>
      <c r="Q2" s="378" t="s">
        <v>275</v>
      </c>
    </row>
    <row r="3" spans="2:21">
      <c r="B3" s="240" t="s">
        <v>21</v>
      </c>
      <c r="D3" s="218">
        <v>1374</v>
      </c>
      <c r="E3" s="213">
        <v>1</v>
      </c>
      <c r="F3" s="213">
        <v>30</v>
      </c>
      <c r="G3" s="232">
        <f>F3*E3*D3</f>
        <v>41220</v>
      </c>
      <c r="I3" s="221">
        <v>1456</v>
      </c>
      <c r="J3" s="216">
        <v>1</v>
      </c>
      <c r="K3" s="216">
        <v>30</v>
      </c>
      <c r="L3" s="227">
        <f>I3*F3*E3</f>
        <v>43680</v>
      </c>
      <c r="N3" s="221">
        <v>1456</v>
      </c>
      <c r="O3" s="216">
        <v>1</v>
      </c>
      <c r="P3" s="216">
        <v>30</v>
      </c>
      <c r="Q3" s="379">
        <f>P3*O3*N3</f>
        <v>43680</v>
      </c>
    </row>
    <row r="4" spans="2:21">
      <c r="B4" s="241" t="s">
        <v>47</v>
      </c>
      <c r="D4" s="219">
        <v>916</v>
      </c>
      <c r="E4" s="239">
        <v>4</v>
      </c>
      <c r="F4" s="214">
        <v>30</v>
      </c>
      <c r="G4" s="245">
        <f>F4*E4*D4</f>
        <v>109920</v>
      </c>
      <c r="I4" s="219">
        <v>971</v>
      </c>
      <c r="J4" s="239">
        <v>4</v>
      </c>
      <c r="K4" s="214">
        <v>30</v>
      </c>
      <c r="L4" s="245">
        <f>I4*F4*E4</f>
        <v>116520</v>
      </c>
      <c r="N4" s="219">
        <v>971</v>
      </c>
      <c r="O4" s="247">
        <v>8</v>
      </c>
      <c r="P4" s="214">
        <v>30</v>
      </c>
      <c r="Q4" s="380">
        <f>P4*O4*N4</f>
        <v>233040</v>
      </c>
    </row>
    <row r="5" spans="2:21">
      <c r="B5" s="241" t="s">
        <v>52</v>
      </c>
      <c r="D5" s="219">
        <v>620</v>
      </c>
      <c r="E5" s="214">
        <v>2</v>
      </c>
      <c r="F5" s="214">
        <v>30</v>
      </c>
      <c r="G5" s="228">
        <f>F5*E5*D5</f>
        <v>37200</v>
      </c>
      <c r="I5" s="219">
        <v>656</v>
      </c>
      <c r="J5" s="214">
        <v>2</v>
      </c>
      <c r="K5" s="214">
        <v>30</v>
      </c>
      <c r="L5" s="228">
        <f>I5*F5*E5</f>
        <v>39360</v>
      </c>
      <c r="N5" s="219">
        <v>656</v>
      </c>
      <c r="O5" s="214">
        <v>2</v>
      </c>
      <c r="P5" s="214">
        <v>30</v>
      </c>
      <c r="Q5" s="380">
        <f>P5*O5*N5</f>
        <v>39360</v>
      </c>
    </row>
    <row r="6" spans="2:21">
      <c r="B6" s="241" t="s">
        <v>139</v>
      </c>
      <c r="D6" s="219">
        <v>344</v>
      </c>
      <c r="E6" s="214">
        <v>80</v>
      </c>
      <c r="F6" s="214">
        <v>30</v>
      </c>
      <c r="G6" s="228">
        <f>F6*E6*D6</f>
        <v>825600</v>
      </c>
      <c r="I6" s="219">
        <v>364</v>
      </c>
      <c r="J6" s="214">
        <v>80</v>
      </c>
      <c r="K6" s="214">
        <v>30</v>
      </c>
      <c r="L6" s="228">
        <f>I6*F6*E6</f>
        <v>873600</v>
      </c>
      <c r="N6" s="219">
        <v>364</v>
      </c>
      <c r="O6" s="214">
        <v>240</v>
      </c>
      <c r="P6" s="214">
        <v>30</v>
      </c>
      <c r="Q6" s="380">
        <f>P6*O6*N6</f>
        <v>2620800</v>
      </c>
      <c r="S6" s="211"/>
      <c r="T6" s="211"/>
      <c r="U6" s="211"/>
    </row>
    <row r="7" spans="2:21">
      <c r="B7" s="241" t="s">
        <v>22</v>
      </c>
      <c r="D7" s="219">
        <v>0</v>
      </c>
      <c r="E7" s="219">
        <v>0</v>
      </c>
      <c r="F7" s="219">
        <v>0</v>
      </c>
      <c r="G7" s="228">
        <f>F7*E7*D7</f>
        <v>0</v>
      </c>
      <c r="I7" s="219">
        <v>647</v>
      </c>
      <c r="J7" s="219">
        <v>0</v>
      </c>
      <c r="K7" s="219">
        <v>0</v>
      </c>
      <c r="L7" s="228">
        <f>I7*F7*E7</f>
        <v>0</v>
      </c>
      <c r="N7" s="219">
        <v>647</v>
      </c>
      <c r="O7" s="214">
        <v>4</v>
      </c>
      <c r="P7" s="214">
        <v>30</v>
      </c>
      <c r="Q7" s="380">
        <f>P7*O7*N7</f>
        <v>77640</v>
      </c>
    </row>
    <row r="8" spans="2:21">
      <c r="B8" s="242" t="s">
        <v>263</v>
      </c>
      <c r="D8" s="226">
        <f>Table1511[[#Totals],[Monthly]]/Table1511[[#Totals],[Qty]]</f>
        <v>11654.48275862069</v>
      </c>
      <c r="E8" s="223">
        <f>SUBTOTAL(109,Table1511[Qty])</f>
        <v>87</v>
      </c>
      <c r="F8" s="223"/>
      <c r="G8" s="230">
        <f>SUBTOTAL(109,Table1511[Monthly])</f>
        <v>1013940</v>
      </c>
      <c r="I8" s="226">
        <f>Table2612[[#Totals],[Monthly]]/Table2612[[#Totals],[Qty]]</f>
        <v>12335.172413793103</v>
      </c>
      <c r="J8" s="226">
        <f>SUBTOTAL(109,Table2612[Qty])</f>
        <v>87</v>
      </c>
      <c r="K8" s="226"/>
      <c r="L8" s="226">
        <f>SUBTOTAL(109,Table2612[Monthly])</f>
        <v>1073160</v>
      </c>
      <c r="N8" s="226">
        <f>Table3713[[#Totals],[Monthly]]/Table3713[[#Totals],[Qty]]</f>
        <v>11821.64705882353</v>
      </c>
      <c r="O8" s="223">
        <f>SUBTOTAL(109,Table3713[Qty])</f>
        <v>255</v>
      </c>
      <c r="P8" s="223"/>
      <c r="Q8" s="381">
        <f>SUBTOTAL(109,Table3713[Monthly])</f>
        <v>3014520</v>
      </c>
    </row>
    <row r="10" spans="2:21">
      <c r="B10" s="253" t="s">
        <v>37</v>
      </c>
      <c r="D10" s="258" t="s">
        <v>142</v>
      </c>
      <c r="E10" s="258" t="s">
        <v>366</v>
      </c>
      <c r="F10" s="258" t="s">
        <v>367</v>
      </c>
      <c r="G10" s="258" t="s">
        <v>275</v>
      </c>
      <c r="I10" s="258" t="s">
        <v>142</v>
      </c>
      <c r="J10" s="258" t="s">
        <v>366</v>
      </c>
      <c r="K10" s="258" t="s">
        <v>367</v>
      </c>
      <c r="L10" s="258" t="s">
        <v>275</v>
      </c>
      <c r="N10" s="258" t="s">
        <v>142</v>
      </c>
      <c r="O10" s="258" t="s">
        <v>366</v>
      </c>
      <c r="P10" s="258" t="s">
        <v>367</v>
      </c>
      <c r="Q10" s="382" t="s">
        <v>275</v>
      </c>
    </row>
    <row r="11" spans="2:21">
      <c r="B11" s="251" t="s">
        <v>370</v>
      </c>
      <c r="D11" s="255">
        <v>2002</v>
      </c>
      <c r="E11" s="248">
        <v>0</v>
      </c>
      <c r="F11" s="248">
        <v>30</v>
      </c>
      <c r="G11" s="256">
        <f>D11*E11*F11</f>
        <v>0</v>
      </c>
      <c r="I11" s="255">
        <v>2249</v>
      </c>
      <c r="J11" s="248">
        <v>0</v>
      </c>
      <c r="K11" s="248">
        <v>30</v>
      </c>
      <c r="L11" s="256">
        <f>I11*J11*K11</f>
        <v>0</v>
      </c>
      <c r="N11" s="255">
        <v>2249</v>
      </c>
      <c r="O11" s="248">
        <v>0</v>
      </c>
      <c r="P11" s="248">
        <v>30</v>
      </c>
      <c r="Q11" s="383">
        <f>N11*O11*P11</f>
        <v>0</v>
      </c>
    </row>
    <row r="12" spans="2:21">
      <c r="B12" s="252" t="s">
        <v>49</v>
      </c>
      <c r="D12" s="237">
        <v>2310</v>
      </c>
      <c r="E12" s="247">
        <v>1</v>
      </c>
      <c r="F12" s="249">
        <v>30</v>
      </c>
      <c r="G12" s="246">
        <f>D12*E12*F12</f>
        <v>69300</v>
      </c>
      <c r="I12" s="237">
        <v>2595</v>
      </c>
      <c r="J12" s="247">
        <v>1</v>
      </c>
      <c r="K12" s="249">
        <v>30</v>
      </c>
      <c r="L12" s="257">
        <f>I12*J12*K12</f>
        <v>77850</v>
      </c>
      <c r="N12" s="237">
        <v>2595</v>
      </c>
      <c r="O12" s="247">
        <v>1</v>
      </c>
      <c r="P12" s="249">
        <v>30</v>
      </c>
      <c r="Q12" s="384">
        <f>N12*O12*P12</f>
        <v>77850</v>
      </c>
    </row>
    <row r="13" spans="2:21">
      <c r="B13" s="252" t="s">
        <v>50</v>
      </c>
      <c r="D13" s="237">
        <v>507</v>
      </c>
      <c r="E13" s="249">
        <v>2</v>
      </c>
      <c r="F13" s="249">
        <v>30</v>
      </c>
      <c r="G13" s="257">
        <f>D13*E13*F13</f>
        <v>30420</v>
      </c>
      <c r="I13" s="237">
        <v>570</v>
      </c>
      <c r="J13" s="249">
        <v>2</v>
      </c>
      <c r="K13" s="249">
        <v>30</v>
      </c>
      <c r="L13" s="257">
        <f>I13*J13*K13</f>
        <v>34200</v>
      </c>
      <c r="N13" s="222">
        <v>570</v>
      </c>
      <c r="O13" s="263">
        <v>2</v>
      </c>
      <c r="P13" s="263">
        <v>30</v>
      </c>
      <c r="Q13" s="385">
        <f>N13*O13*P13</f>
        <v>34200</v>
      </c>
    </row>
    <row r="14" spans="2:21">
      <c r="B14" s="254" t="s">
        <v>263</v>
      </c>
      <c r="D14" s="264"/>
      <c r="E14" s="223"/>
      <c r="F14" s="265"/>
      <c r="G14" s="230">
        <f>SUBTOTAL(109,Table15[Monthly])</f>
        <v>99720</v>
      </c>
      <c r="I14" s="264"/>
      <c r="J14" s="259"/>
      <c r="K14" s="265"/>
      <c r="L14" s="226">
        <f>SUBTOTAL(109,Table16[Monthly])</f>
        <v>112050</v>
      </c>
      <c r="N14" s="264"/>
      <c r="O14" s="259"/>
      <c r="P14" s="265"/>
      <c r="Q14" s="386">
        <f>SUBTOTAL(109,Table17[Monthly])</f>
        <v>112050</v>
      </c>
    </row>
    <row r="16" spans="2:21">
      <c r="B16" s="260" t="s">
        <v>371</v>
      </c>
      <c r="D16" s="261">
        <f>G16/Table1511[[#Totals],[Qty]]</f>
        <v>12800.689655172413</v>
      </c>
      <c r="E16" s="262"/>
      <c r="F16" s="262"/>
      <c r="G16" s="261">
        <f>Table15[[#Totals],[Monthly]]+Table1511[[#Totals],[Monthly]]</f>
        <v>1113660</v>
      </c>
      <c r="I16" s="261">
        <f>L16/Table2612[[#Totals],[Qty]]</f>
        <v>13623.103448275862</v>
      </c>
      <c r="J16" s="262"/>
      <c r="K16" s="262"/>
      <c r="L16" s="261">
        <f>Table16[[#Totals],[Monthly]]+Table2612[[#Totals],[Monthly]]</f>
        <v>1185210</v>
      </c>
      <c r="N16" s="261">
        <f>Q16/Table3713[[#Totals],[Qty]]</f>
        <v>12261.058823529413</v>
      </c>
      <c r="O16" s="262"/>
      <c r="P16" s="262"/>
      <c r="Q16" s="387">
        <f>Table17[[#Totals],[Monthly]]+Table3713[[#Totals],[Monthly]]</f>
        <v>3126570</v>
      </c>
    </row>
    <row r="18" spans="2:24">
      <c r="B18" s="347" t="s">
        <v>368</v>
      </c>
      <c r="D18" s="349" t="s">
        <v>142</v>
      </c>
      <c r="E18" s="350" t="s">
        <v>366</v>
      </c>
      <c r="F18" s="350" t="s">
        <v>367</v>
      </c>
      <c r="G18" s="351" t="s">
        <v>275</v>
      </c>
      <c r="I18" s="349" t="s">
        <v>142</v>
      </c>
      <c r="J18" s="350" t="s">
        <v>366</v>
      </c>
      <c r="K18" s="350" t="s">
        <v>367</v>
      </c>
      <c r="L18" s="351" t="s">
        <v>275</v>
      </c>
      <c r="N18" s="349" t="s">
        <v>142</v>
      </c>
      <c r="O18" s="350" t="s">
        <v>366</v>
      </c>
      <c r="P18" s="350" t="s">
        <v>367</v>
      </c>
      <c r="Q18" s="406" t="s">
        <v>275</v>
      </c>
    </row>
    <row r="19" spans="2:24">
      <c r="B19" s="321" t="s">
        <v>21</v>
      </c>
      <c r="D19" s="531">
        <v>29000</v>
      </c>
      <c r="E19" s="532">
        <v>1</v>
      </c>
      <c r="F19" s="328">
        <v>30</v>
      </c>
      <c r="G19" s="329">
        <f>'Fianl All'!$D19*'Fianl All'!$E19</f>
        <v>29000</v>
      </c>
      <c r="I19" s="531">
        <v>29000</v>
      </c>
      <c r="J19" s="532">
        <v>1</v>
      </c>
      <c r="K19" s="328">
        <v>30</v>
      </c>
      <c r="L19" s="329">
        <f>'Fianl All'!$I19*'Fianl All'!$J19</f>
        <v>29000</v>
      </c>
      <c r="N19" s="531">
        <v>29000</v>
      </c>
      <c r="O19" s="532">
        <v>1</v>
      </c>
      <c r="P19" s="328">
        <v>30</v>
      </c>
      <c r="Q19" s="403">
        <f>'Fianl All'!$N19*'Fianl All'!$O19</f>
        <v>29000</v>
      </c>
      <c r="S19" s="211">
        <f>('Fianl All'!$D19/30)*(16/12)</f>
        <v>1288.8888888888887</v>
      </c>
      <c r="T19" s="539">
        <f>S19*'Fianl All'!$E19</f>
        <v>1288.8888888888887</v>
      </c>
      <c r="U19" s="211">
        <f>('Fianl All'!$I19/30)*(16/12)</f>
        <v>1288.8888888888887</v>
      </c>
      <c r="V19" s="539">
        <f>U19*'Fianl All'!$J19</f>
        <v>1288.8888888888887</v>
      </c>
      <c r="W19" s="211">
        <f>('Fianl All'!$N19/30)*(16/12)</f>
        <v>1288.8888888888887</v>
      </c>
      <c r="X19" s="539">
        <f>W19*'Fianl All'!$O19</f>
        <v>1288.8888888888887</v>
      </c>
    </row>
    <row r="20" spans="2:24">
      <c r="B20" s="322" t="s">
        <v>47</v>
      </c>
      <c r="D20" s="352">
        <v>14000</v>
      </c>
      <c r="E20" s="533">
        <v>5</v>
      </c>
      <c r="F20" s="263">
        <v>30</v>
      </c>
      <c r="G20" s="331">
        <f>'Fianl All'!$D20*'Fianl All'!$E20</f>
        <v>70000</v>
      </c>
      <c r="I20" s="352">
        <v>14000</v>
      </c>
      <c r="J20" s="533">
        <v>5</v>
      </c>
      <c r="K20" s="263">
        <v>30</v>
      </c>
      <c r="L20" s="331">
        <f>'Fianl All'!$I20*'Fianl All'!$J20</f>
        <v>70000</v>
      </c>
      <c r="N20" s="352">
        <v>14000</v>
      </c>
      <c r="O20" s="360">
        <v>9</v>
      </c>
      <c r="P20" s="263">
        <v>30</v>
      </c>
      <c r="Q20" s="401">
        <f>'Fianl All'!$N20*'Fianl All'!$O20</f>
        <v>126000</v>
      </c>
      <c r="S20" s="211">
        <f>('Fianl All'!$D20/30)*(16/12)</f>
        <v>622.22222222222217</v>
      </c>
      <c r="T20" s="539">
        <f>S20*'Fianl All'!$E20</f>
        <v>3111.1111111111109</v>
      </c>
      <c r="U20" s="211">
        <f>('Fianl All'!$I20/30)*(16/12)</f>
        <v>622.22222222222217</v>
      </c>
      <c r="V20" s="539">
        <f>U20*'Fianl All'!$J20</f>
        <v>3111.1111111111109</v>
      </c>
      <c r="W20" s="211">
        <f>('Fianl All'!$N20/30)*(16/12)</f>
        <v>622.22222222222217</v>
      </c>
      <c r="X20" s="539">
        <f>W20*'Fianl All'!$O20</f>
        <v>5600</v>
      </c>
    </row>
    <row r="21" spans="2:24">
      <c r="B21" s="322" t="s">
        <v>52</v>
      </c>
      <c r="D21" s="352">
        <v>9000</v>
      </c>
      <c r="E21" s="353">
        <v>3</v>
      </c>
      <c r="F21" s="263">
        <v>30</v>
      </c>
      <c r="G21" s="332">
        <f>'Fianl All'!$D21*'Fianl All'!$E21</f>
        <v>27000</v>
      </c>
      <c r="I21" s="352">
        <v>9500</v>
      </c>
      <c r="J21" s="353">
        <v>3</v>
      </c>
      <c r="K21" s="263">
        <v>30</v>
      </c>
      <c r="L21" s="332">
        <f>'Fianl All'!$I21*'Fianl All'!$J21</f>
        <v>28500</v>
      </c>
      <c r="N21" s="352">
        <v>9500</v>
      </c>
      <c r="O21" s="353">
        <v>3</v>
      </c>
      <c r="P21" s="263">
        <v>30</v>
      </c>
      <c r="Q21" s="401">
        <f>'Fianl All'!$N21*'Fianl All'!$O21</f>
        <v>28500</v>
      </c>
      <c r="S21" s="211">
        <f>('Fianl All'!$D21/30)*(16/12)</f>
        <v>400</v>
      </c>
      <c r="T21" s="539">
        <f>S21*'Fianl All'!$E21</f>
        <v>1200</v>
      </c>
      <c r="U21" s="211">
        <f>('Fianl All'!$I21/30)*(16/12)</f>
        <v>422.22222222222223</v>
      </c>
      <c r="V21" s="539">
        <f>U21*'Fianl All'!$J21</f>
        <v>1266.6666666666667</v>
      </c>
      <c r="W21" s="211">
        <f>('Fianl All'!$N21/30)*(16/12)</f>
        <v>422.22222222222223</v>
      </c>
      <c r="X21" s="539">
        <f>W21*'Fianl All'!$O21</f>
        <v>1266.6666666666667</v>
      </c>
    </row>
    <row r="22" spans="2:24">
      <c r="B22" s="322" t="s">
        <v>139</v>
      </c>
      <c r="D22" s="352">
        <v>7000</v>
      </c>
      <c r="E22" s="353">
        <v>96</v>
      </c>
      <c r="F22" s="263">
        <v>30</v>
      </c>
      <c r="G22" s="332">
        <f>'Fianl All'!$D22*'Fianl All'!$E22</f>
        <v>672000</v>
      </c>
      <c r="I22" s="352">
        <v>8000</v>
      </c>
      <c r="J22" s="353">
        <v>96</v>
      </c>
      <c r="K22" s="263">
        <v>30</v>
      </c>
      <c r="L22" s="332">
        <f>'Fianl All'!$I22*'Fianl All'!$J22</f>
        <v>768000</v>
      </c>
      <c r="N22" s="352">
        <v>8200</v>
      </c>
      <c r="O22" s="353">
        <v>288</v>
      </c>
      <c r="P22" s="263">
        <v>30</v>
      </c>
      <c r="Q22" s="401">
        <f>'Fianl All'!$N22*'Fianl All'!$O22</f>
        <v>2361600</v>
      </c>
      <c r="S22" s="211">
        <f>('Fianl All'!$D22/30)*(16/12)</f>
        <v>311.11111111111109</v>
      </c>
      <c r="T22" s="539">
        <f>S22*'Fianl All'!$E22</f>
        <v>29866.666666666664</v>
      </c>
      <c r="U22" s="211">
        <f>('Fianl All'!$I22/30)*(16/12)</f>
        <v>355.55555555555554</v>
      </c>
      <c r="V22" s="539">
        <f>U22*'Fianl All'!$J22</f>
        <v>34133.333333333328</v>
      </c>
      <c r="W22" s="211">
        <f>('Fianl All'!$N22/30)*(16/12)</f>
        <v>364.4444444444444</v>
      </c>
      <c r="X22" s="539">
        <f>W22*'Fianl All'!$O22</f>
        <v>104959.99999999999</v>
      </c>
    </row>
    <row r="23" spans="2:24">
      <c r="B23" s="322" t="s">
        <v>22</v>
      </c>
      <c r="D23" s="352">
        <v>8000</v>
      </c>
      <c r="E23" s="353">
        <v>0</v>
      </c>
      <c r="F23" s="263">
        <v>0</v>
      </c>
      <c r="G23" s="332">
        <f>'Fianl All'!$D23*'Fianl All'!$E23</f>
        <v>0</v>
      </c>
      <c r="I23" s="352">
        <v>9000</v>
      </c>
      <c r="J23" s="534">
        <v>0</v>
      </c>
      <c r="K23" s="263">
        <v>0</v>
      </c>
      <c r="L23" s="332">
        <f>'Fianl All'!$I23*'Fianl All'!$J23</f>
        <v>0</v>
      </c>
      <c r="N23" s="352">
        <v>9000</v>
      </c>
      <c r="O23" s="534">
        <v>0</v>
      </c>
      <c r="P23" s="222">
        <v>0</v>
      </c>
      <c r="Q23" s="401">
        <f>'Fianl All'!$N23*'Fianl All'!$O23</f>
        <v>0</v>
      </c>
      <c r="S23" s="376"/>
    </row>
    <row r="24" spans="2:24">
      <c r="B24" s="322" t="s">
        <v>432</v>
      </c>
      <c r="D24" s="352">
        <f>T24</f>
        <v>35466.666666666664</v>
      </c>
      <c r="E24" s="353">
        <v>1</v>
      </c>
      <c r="F24" s="263">
        <v>30</v>
      </c>
      <c r="G24" s="332">
        <f>'Fianl All'!$D24*'Fianl All'!$E24</f>
        <v>35466.666666666664</v>
      </c>
      <c r="I24" s="352">
        <f>V24</f>
        <v>39799.999999999993</v>
      </c>
      <c r="J24" s="353">
        <v>1</v>
      </c>
      <c r="K24" s="263">
        <v>30</v>
      </c>
      <c r="L24" s="332">
        <f>'Fianl All'!$I24*'Fianl All'!$J24</f>
        <v>39799.999999999993</v>
      </c>
      <c r="N24" s="352">
        <f>X24</f>
        <v>113115.55555555555</v>
      </c>
      <c r="O24" s="353">
        <v>1</v>
      </c>
      <c r="P24" s="222">
        <v>0</v>
      </c>
      <c r="Q24" s="401">
        <f>'Fianl All'!$N24*'Fianl All'!$O24</f>
        <v>113115.55555555555</v>
      </c>
      <c r="S24" s="529">
        <f>SUM(S19:S23)</f>
        <v>2622.2222222222217</v>
      </c>
      <c r="T24" s="529">
        <f t="shared" ref="T24:W24" si="0">SUM(T19:T23)</f>
        <v>35466.666666666664</v>
      </c>
      <c r="U24" s="529">
        <f t="shared" si="0"/>
        <v>2688.8888888888887</v>
      </c>
      <c r="V24" s="529">
        <f t="shared" si="0"/>
        <v>39799.999999999993</v>
      </c>
      <c r="W24" s="529">
        <f t="shared" si="0"/>
        <v>2697.7777777777774</v>
      </c>
      <c r="X24" s="529">
        <f>SUM(X19:X23)</f>
        <v>113115.55555555555</v>
      </c>
    </row>
    <row r="25" spans="2:24">
      <c r="B25" s="348" t="s">
        <v>263</v>
      </c>
      <c r="D25" s="354">
        <f>'Fianl All'!$G$25/'Fianl All'!$E$25</f>
        <v>8907.6190476190477</v>
      </c>
      <c r="E25" s="355">
        <f>SUBTOTAL(109,'Fianl All'!$E$19:$E$23)</f>
        <v>105</v>
      </c>
      <c r="F25" s="356">
        <f>'Fianl All'!$G$25/G16</f>
        <v>0.83984339924213858</v>
      </c>
      <c r="G25" s="357">
        <f>SUBTOTAL(109,'Fianl All'!$L$19:$L$24)</f>
        <v>935300</v>
      </c>
      <c r="I25" s="354">
        <f>'Fianl All'!$L$25/'Fianl All'!$J$25</f>
        <v>8907.6190476190477</v>
      </c>
      <c r="J25" s="358">
        <f>SUBTOTAL(109,'Fianl All'!$J$19:$J$23)</f>
        <v>105</v>
      </c>
      <c r="K25" s="356">
        <f>'Fianl All'!$L$25/L16</f>
        <v>0.78914285232152948</v>
      </c>
      <c r="L25" s="357">
        <f>SUBTOTAL(109,'Fianl All'!$L$19:$L$24)</f>
        <v>935300</v>
      </c>
      <c r="N25" s="354">
        <f>'Fianl All'!$Q$25/'Fianl All'!$O$25</f>
        <v>8831.2809154669612</v>
      </c>
      <c r="O25" s="355">
        <f>SUBTOTAL(109,'Fianl All'!$O$19:$O$23)</f>
        <v>301</v>
      </c>
      <c r="P25" s="356">
        <f>'Fianl All'!$Q$25/Q16</f>
        <v>0.85020183637518287</v>
      </c>
      <c r="Q25" s="357">
        <f>SUM(Q19:Q24)</f>
        <v>2658215.5555555555</v>
      </c>
      <c r="S25" s="376"/>
    </row>
    <row r="27" spans="2:24">
      <c r="B27" s="271" t="s">
        <v>373</v>
      </c>
      <c r="D27" s="273" t="s">
        <v>142</v>
      </c>
      <c r="E27" s="270" t="s">
        <v>366</v>
      </c>
      <c r="F27" s="284" t="s">
        <v>382</v>
      </c>
      <c r="G27" s="270" t="s">
        <v>275</v>
      </c>
      <c r="I27" s="273" t="s">
        <v>142</v>
      </c>
      <c r="J27" s="273" t="s">
        <v>366</v>
      </c>
      <c r="K27" s="273" t="s">
        <v>382</v>
      </c>
      <c r="L27" s="273" t="s">
        <v>275</v>
      </c>
      <c r="N27" s="270" t="s">
        <v>142</v>
      </c>
      <c r="O27" s="270" t="s">
        <v>366</v>
      </c>
      <c r="P27" s="270" t="s">
        <v>382</v>
      </c>
      <c r="Q27" s="389" t="s">
        <v>275</v>
      </c>
    </row>
    <row r="28" spans="2:24">
      <c r="B28" s="241" t="s">
        <v>372</v>
      </c>
      <c r="D28" s="291">
        <v>2750</v>
      </c>
      <c r="E28" s="293">
        <v>1</v>
      </c>
      <c r="F28" s="214"/>
      <c r="G28" s="228">
        <f>D28*E28</f>
        <v>2750</v>
      </c>
      <c r="I28" s="291">
        <f>Table23[[#This Row],[Rate]]</f>
        <v>2750</v>
      </c>
      <c r="J28" s="297">
        <v>1</v>
      </c>
      <c r="K28" s="214">
        <v>0</v>
      </c>
      <c r="L28" s="228">
        <f>I28*J28</f>
        <v>2750</v>
      </c>
      <c r="N28" s="291">
        <f>Table23[[#This Row],[Rate]]</f>
        <v>2750</v>
      </c>
      <c r="O28" s="293">
        <v>3</v>
      </c>
      <c r="P28" s="214">
        <v>0</v>
      </c>
      <c r="Q28" s="380">
        <f>N28*O28</f>
        <v>8250</v>
      </c>
    </row>
    <row r="29" spans="2:24">
      <c r="B29" s="241" t="s">
        <v>374</v>
      </c>
      <c r="D29" s="291">
        <v>10000</v>
      </c>
      <c r="E29" s="293">
        <v>1</v>
      </c>
      <c r="F29" s="214"/>
      <c r="G29" s="228">
        <f>D29*E29</f>
        <v>10000</v>
      </c>
      <c r="I29" s="291">
        <f>Table23[[#This Row],[Rate]]</f>
        <v>10000</v>
      </c>
      <c r="J29" s="297">
        <v>1</v>
      </c>
      <c r="K29" s="214">
        <v>0</v>
      </c>
      <c r="L29" s="228">
        <f>I29*J29</f>
        <v>10000</v>
      </c>
      <c r="N29" s="291">
        <f>Table23[[#This Row],[Rate]]</f>
        <v>10000</v>
      </c>
      <c r="O29" s="293">
        <v>3</v>
      </c>
      <c r="P29" s="214">
        <v>0</v>
      </c>
      <c r="Q29" s="380">
        <f>N29*O29</f>
        <v>30000</v>
      </c>
    </row>
    <row r="30" spans="2:24">
      <c r="B30" s="241" t="s">
        <v>375</v>
      </c>
      <c r="D30" s="291">
        <v>600</v>
      </c>
      <c r="E30" s="293">
        <f>'Fianl All'!$E$25-E19</f>
        <v>104</v>
      </c>
      <c r="F30" s="214"/>
      <c r="G30" s="228">
        <f>D30*E30</f>
        <v>62400</v>
      </c>
      <c r="I30" s="291">
        <f>Table23[[#This Row],[Rate]]</f>
        <v>600</v>
      </c>
      <c r="J30" s="297">
        <f>'Fianl All'!$J$25-J19</f>
        <v>104</v>
      </c>
      <c r="K30" s="214">
        <v>0</v>
      </c>
      <c r="L30" s="228">
        <f>I30*J30</f>
        <v>62400</v>
      </c>
      <c r="N30" s="291">
        <f>Table23[[#This Row],[Rate]]</f>
        <v>600</v>
      </c>
      <c r="O30" s="293">
        <f>'Fianl All'!$O$25-O19</f>
        <v>300</v>
      </c>
      <c r="P30" s="214">
        <v>0</v>
      </c>
      <c r="Q30" s="380">
        <f>N30*O30</f>
        <v>180000</v>
      </c>
    </row>
    <row r="31" spans="2:24">
      <c r="B31" s="271" t="s">
        <v>376</v>
      </c>
      <c r="D31" s="271"/>
      <c r="E31" s="271"/>
      <c r="F31" s="276">
        <f>Table23[[#Totals],[Monthly]]/G16</f>
        <v>6.7480200420235975E-2</v>
      </c>
      <c r="G31" s="274">
        <f>SUBTOTAL(109,Table24[Monthly])</f>
        <v>75150</v>
      </c>
      <c r="I31" s="272"/>
      <c r="J31" s="275"/>
      <c r="K31" s="307">
        <f>Table24[[#Totals],[Monthly]]/L16</f>
        <v>6.3406484926721851E-2</v>
      </c>
      <c r="L31" s="308">
        <f>SUBTOTAL(109,Table24[Monthly])</f>
        <v>75150</v>
      </c>
      <c r="N31" s="271"/>
      <c r="O31" s="271"/>
      <c r="P31" s="310">
        <f>Table25[[#Totals],[Monthly]]/Q16</f>
        <v>6.9804930003166413E-2</v>
      </c>
      <c r="Q31" s="390">
        <f>SUBTOTAL(109,Table25[Monthly])</f>
        <v>218250</v>
      </c>
    </row>
    <row r="33" spans="2:20">
      <c r="B33" s="366" t="s">
        <v>377</v>
      </c>
      <c r="D33" s="288" t="s">
        <v>142</v>
      </c>
      <c r="E33" s="285" t="s">
        <v>366</v>
      </c>
      <c r="F33" s="286" t="s">
        <v>382</v>
      </c>
      <c r="G33" s="278" t="s">
        <v>275</v>
      </c>
      <c r="I33" s="288" t="s">
        <v>142</v>
      </c>
      <c r="J33" s="279" t="s">
        <v>366</v>
      </c>
      <c r="K33" s="286" t="s">
        <v>382</v>
      </c>
      <c r="L33" s="278" t="s">
        <v>275</v>
      </c>
      <c r="N33" s="288" t="s">
        <v>142</v>
      </c>
      <c r="O33" s="279" t="s">
        <v>366</v>
      </c>
      <c r="P33" s="286" t="s">
        <v>382</v>
      </c>
      <c r="Q33" s="391" t="s">
        <v>275</v>
      </c>
    </row>
    <row r="34" spans="2:20">
      <c r="B34" s="321" t="s">
        <v>378</v>
      </c>
      <c r="D34" s="294">
        <v>8000</v>
      </c>
      <c r="E34" s="295">
        <v>1</v>
      </c>
      <c r="F34" s="252">
        <v>0</v>
      </c>
      <c r="G34" s="250">
        <f>D34*E34</f>
        <v>8000</v>
      </c>
      <c r="I34" s="294">
        <f t="shared" ref="I34:I39" si="1">D34</f>
        <v>8000</v>
      </c>
      <c r="J34" s="295">
        <v>1</v>
      </c>
      <c r="K34" s="252"/>
      <c r="L34" s="250">
        <f>I34*J34</f>
        <v>8000</v>
      </c>
      <c r="N34" s="294">
        <f t="shared" ref="N34:N39" si="2">D34</f>
        <v>8000</v>
      </c>
      <c r="O34" s="295">
        <v>1</v>
      </c>
      <c r="P34" s="252"/>
      <c r="Q34" s="392">
        <f>N34*O34</f>
        <v>8000</v>
      </c>
      <c r="T34" s="376">
        <f>D19/30</f>
        <v>966.66666666666663</v>
      </c>
    </row>
    <row r="35" spans="2:20">
      <c r="B35" s="322" t="s">
        <v>379</v>
      </c>
      <c r="D35" s="294">
        <v>2500</v>
      </c>
      <c r="E35" s="295">
        <v>1</v>
      </c>
      <c r="F35" s="252">
        <v>0</v>
      </c>
      <c r="G35" s="250">
        <f>D35*E35</f>
        <v>2500</v>
      </c>
      <c r="I35" s="294">
        <f t="shared" si="1"/>
        <v>2500</v>
      </c>
      <c r="J35" s="295">
        <v>1</v>
      </c>
      <c r="K35" s="252"/>
      <c r="L35" s="250">
        <f>I35*J35</f>
        <v>2500</v>
      </c>
      <c r="N35" s="294">
        <f t="shared" si="2"/>
        <v>2500</v>
      </c>
      <c r="O35" s="295">
        <v>2</v>
      </c>
      <c r="P35" s="252"/>
      <c r="Q35" s="392">
        <f>N35*O35</f>
        <v>5000</v>
      </c>
      <c r="T35" s="376">
        <f>T34*16</f>
        <v>15466.666666666666</v>
      </c>
    </row>
    <row r="36" spans="2:20">
      <c r="B36" s="322" t="s">
        <v>313</v>
      </c>
      <c r="D36" s="294">
        <v>16250</v>
      </c>
      <c r="E36" s="295">
        <v>1</v>
      </c>
      <c r="F36" s="252">
        <v>0</v>
      </c>
      <c r="G36" s="250">
        <f>D36*E36</f>
        <v>16250</v>
      </c>
      <c r="I36" s="294">
        <f t="shared" si="1"/>
        <v>16250</v>
      </c>
      <c r="J36" s="295">
        <v>1</v>
      </c>
      <c r="K36" s="252"/>
      <c r="L36" s="250">
        <f>I36*J36</f>
        <v>16250</v>
      </c>
      <c r="N36" s="294">
        <f t="shared" si="2"/>
        <v>16250</v>
      </c>
      <c r="O36" s="295">
        <v>1.5</v>
      </c>
      <c r="P36" s="252"/>
      <c r="Q36" s="392">
        <f>N36*O36</f>
        <v>24375</v>
      </c>
      <c r="T36" s="376">
        <f>T35/12</f>
        <v>1288.8888888888889</v>
      </c>
    </row>
    <row r="37" spans="2:20">
      <c r="B37" s="322" t="s">
        <v>380</v>
      </c>
      <c r="D37" s="294">
        <v>30000</v>
      </c>
      <c r="E37" s="295">
        <v>1</v>
      </c>
      <c r="F37" s="252">
        <v>0</v>
      </c>
      <c r="G37" s="250">
        <f>D37*E37</f>
        <v>30000</v>
      </c>
      <c r="I37" s="294">
        <f t="shared" si="1"/>
        <v>30000</v>
      </c>
      <c r="J37" s="295">
        <v>1</v>
      </c>
      <c r="K37" s="252"/>
      <c r="L37" s="250">
        <f>I37*J37</f>
        <v>30000</v>
      </c>
      <c r="N37" s="294">
        <f t="shared" si="2"/>
        <v>30000</v>
      </c>
      <c r="O37" s="295">
        <v>1.5</v>
      </c>
      <c r="P37" s="252"/>
      <c r="Q37" s="392">
        <f>N37*O37</f>
        <v>45000</v>
      </c>
    </row>
    <row r="38" spans="2:20" s="375" customFormat="1">
      <c r="B38" s="322" t="s">
        <v>381</v>
      </c>
      <c r="C38" s="238"/>
      <c r="D38" s="294">
        <f>30*30</f>
        <v>900</v>
      </c>
      <c r="E38" s="295">
        <f>Table1511[[#Totals],[Qty]]</f>
        <v>87</v>
      </c>
      <c r="F38" s="252">
        <v>0</v>
      </c>
      <c r="G38" s="250">
        <f>D38*E38</f>
        <v>78300</v>
      </c>
      <c r="H38" s="236"/>
      <c r="I38" s="294">
        <f t="shared" si="1"/>
        <v>900</v>
      </c>
      <c r="J38" s="295">
        <f>Table2612[[#Totals],[Qty]]</f>
        <v>87</v>
      </c>
      <c r="K38" s="252"/>
      <c r="L38" s="250">
        <f>I38*J38</f>
        <v>78300</v>
      </c>
      <c r="M38" s="236"/>
      <c r="N38" s="294">
        <f t="shared" si="2"/>
        <v>900</v>
      </c>
      <c r="O38" s="295">
        <f>Table3713[[#Totals],[Qty]]</f>
        <v>255</v>
      </c>
      <c r="P38" s="252"/>
      <c r="Q38" s="392">
        <f>N38*O38</f>
        <v>229500</v>
      </c>
    </row>
    <row r="39" spans="2:20">
      <c r="B39" s="455" t="s">
        <v>431</v>
      </c>
      <c r="C39" s="370"/>
      <c r="D39" s="458">
        <f>110*30</f>
        <v>3300</v>
      </c>
      <c r="E39" s="372">
        <f>Table1511[[#Totals],[Qty]]</f>
        <v>87</v>
      </c>
      <c r="F39" s="369"/>
      <c r="G39" s="457">
        <f>(D39*E39)/12</f>
        <v>23925</v>
      </c>
      <c r="H39" s="374"/>
      <c r="I39" s="458">
        <f t="shared" si="1"/>
        <v>3300</v>
      </c>
      <c r="J39" s="372">
        <f>Table2612[[#Totals],[Qty]]</f>
        <v>87</v>
      </c>
      <c r="K39" s="369"/>
      <c r="L39" s="457">
        <f>(I39*J39)/12</f>
        <v>23925</v>
      </c>
      <c r="M39" s="374"/>
      <c r="N39" s="458">
        <f t="shared" si="2"/>
        <v>3300</v>
      </c>
      <c r="O39" s="372">
        <f>Table3713[[#Totals],[Qty]]</f>
        <v>255</v>
      </c>
      <c r="P39" s="369"/>
      <c r="Q39" s="457">
        <f>(N39*O39)/12</f>
        <v>70125</v>
      </c>
    </row>
    <row r="40" spans="2:20">
      <c r="B40" s="367" t="s">
        <v>376</v>
      </c>
      <c r="D40" s="289"/>
      <c r="E40" s="287"/>
      <c r="F40" s="305">
        <f>G40/G16</f>
        <v>0.12126681392884722</v>
      </c>
      <c r="G40" s="282">
        <f>SUM(G34:G38)</f>
        <v>135050</v>
      </c>
      <c r="I40" s="289"/>
      <c r="J40" s="280"/>
      <c r="K40" s="305">
        <f>L40/L16</f>
        <v>0.11394605175454139</v>
      </c>
      <c r="L40" s="283">
        <f>SUM(L34:L38)</f>
        <v>135050</v>
      </c>
      <c r="N40" s="289"/>
      <c r="O40" s="280"/>
      <c r="P40" s="305">
        <f>Q40/Q16</f>
        <v>9.9749885657445705E-2</v>
      </c>
      <c r="Q40" s="393">
        <f>SUM(Q34:Q38)</f>
        <v>311875</v>
      </c>
    </row>
    <row r="42" spans="2:20">
      <c r="B42" s="271" t="s">
        <v>386</v>
      </c>
      <c r="D42" s="298" t="s">
        <v>142</v>
      </c>
      <c r="E42" s="298" t="s">
        <v>366</v>
      </c>
      <c r="F42" s="298" t="s">
        <v>382</v>
      </c>
      <c r="G42" s="298" t="s">
        <v>275</v>
      </c>
      <c r="I42" s="298" t="s">
        <v>142</v>
      </c>
      <c r="J42" s="298" t="s">
        <v>366</v>
      </c>
      <c r="K42" s="298" t="s">
        <v>382</v>
      </c>
      <c r="L42" s="298" t="s">
        <v>275</v>
      </c>
      <c r="N42" s="298" t="s">
        <v>142</v>
      </c>
      <c r="O42" s="298" t="s">
        <v>366</v>
      </c>
      <c r="P42" s="298" t="s">
        <v>382</v>
      </c>
      <c r="Q42" s="394" t="s">
        <v>275</v>
      </c>
    </row>
    <row r="43" spans="2:20">
      <c r="B43" s="252" t="s">
        <v>383</v>
      </c>
      <c r="D43" s="300">
        <v>10000</v>
      </c>
      <c r="E43" s="295">
        <v>5</v>
      </c>
      <c r="F43" s="252">
        <v>0</v>
      </c>
      <c r="G43" s="241">
        <f>Table29[[#This Row],[Rate]]*Table29[[#This Row],[Qty]]</f>
        <v>50000</v>
      </c>
      <c r="I43" s="300">
        <f>Table29[[#This Row],[Rate]]</f>
        <v>10000</v>
      </c>
      <c r="J43" s="295">
        <v>5</v>
      </c>
      <c r="K43" s="252">
        <v>0</v>
      </c>
      <c r="L43" s="241">
        <f>Table2931[[#This Row],[Rate]]*Table2931[[#This Row],[Qty]]</f>
        <v>50000</v>
      </c>
      <c r="N43" s="300">
        <f>Table29[[#This Row],[Rate]]</f>
        <v>10000</v>
      </c>
      <c r="O43" s="295">
        <v>12</v>
      </c>
      <c r="P43" s="252">
        <v>0</v>
      </c>
      <c r="Q43" s="395">
        <f>Table2932[[#This Row],[Rate]]*Table2932[[#This Row],[Qty]]</f>
        <v>120000</v>
      </c>
    </row>
    <row r="44" spans="2:20">
      <c r="B44" s="252" t="s">
        <v>384</v>
      </c>
      <c r="D44" s="300">
        <v>1000</v>
      </c>
      <c r="E44" s="295">
        <v>5</v>
      </c>
      <c r="F44" s="252">
        <v>0</v>
      </c>
      <c r="G44" s="241">
        <f>Table29[[#This Row],[Rate]]*Table29[[#This Row],[Qty]]</f>
        <v>5000</v>
      </c>
      <c r="I44" s="300">
        <f>Table29[[#This Row],[Rate]]</f>
        <v>1000</v>
      </c>
      <c r="J44" s="295">
        <v>5</v>
      </c>
      <c r="K44" s="252">
        <v>0</v>
      </c>
      <c r="L44" s="241">
        <f>Table2931[[#This Row],[Rate]]*Table2931[[#This Row],[Qty]]</f>
        <v>5000</v>
      </c>
      <c r="N44" s="300">
        <f>Table29[[#This Row],[Rate]]</f>
        <v>1000</v>
      </c>
      <c r="O44" s="295">
        <v>12</v>
      </c>
      <c r="P44" s="252">
        <v>0</v>
      </c>
      <c r="Q44" s="395">
        <f>Table2932[[#This Row],[Rate]]*Table2932[[#This Row],[Qty]]</f>
        <v>12000</v>
      </c>
    </row>
    <row r="45" spans="2:20">
      <c r="B45" s="252" t="s">
        <v>385</v>
      </c>
      <c r="D45" s="300">
        <v>10000</v>
      </c>
      <c r="E45" s="295">
        <v>1</v>
      </c>
      <c r="F45" s="252">
        <v>0</v>
      </c>
      <c r="G45" s="241">
        <f>Table29[[#This Row],[Rate]]*Table29[[#This Row],[Qty]]</f>
        <v>10000</v>
      </c>
      <c r="I45" s="300">
        <f>Table29[[#This Row],[Rate]]</f>
        <v>10000</v>
      </c>
      <c r="J45" s="295">
        <v>1</v>
      </c>
      <c r="K45" s="252">
        <v>0</v>
      </c>
      <c r="L45" s="241">
        <f>Table2931[[#This Row],[Rate]]*Table2931[[#This Row],[Qty]]</f>
        <v>10000</v>
      </c>
      <c r="N45" s="300">
        <f>Table29[[#This Row],[Rate]]</f>
        <v>10000</v>
      </c>
      <c r="O45" s="295">
        <v>4</v>
      </c>
      <c r="P45" s="252">
        <v>0</v>
      </c>
      <c r="Q45" s="395">
        <f>Table2932[[#This Row],[Rate]]*Table2932[[#This Row],[Qty]]</f>
        <v>40000</v>
      </c>
    </row>
    <row r="46" spans="2:20">
      <c r="B46" s="281" t="s">
        <v>376</v>
      </c>
      <c r="D46" s="281"/>
      <c r="E46" s="281"/>
      <c r="F46" s="306">
        <f>Table29[[#Totals],[Monthly]]/G16</f>
        <v>5.8366108147908699E-2</v>
      </c>
      <c r="G46" s="299">
        <f>SUBTOTAL(109,Table29[Monthly])</f>
        <v>65000</v>
      </c>
      <c r="I46" s="281"/>
      <c r="J46" s="281"/>
      <c r="K46" s="309">
        <f>Table2931[[#Totals],[Monthly]]/L16</f>
        <v>5.4842601733026214E-2</v>
      </c>
      <c r="L46" s="302">
        <f>SUBTOTAL(109,Table2931[Monthly])</f>
        <v>65000</v>
      </c>
      <c r="N46" s="281"/>
      <c r="O46" s="281"/>
      <c r="P46" s="309">
        <f>Table2932[[#Totals],[Monthly]]/Q16</f>
        <v>5.5012361789436984E-2</v>
      </c>
      <c r="Q46" s="396">
        <f>SUBTOTAL(109,Table2932[Monthly])</f>
        <v>172000</v>
      </c>
    </row>
    <row r="48" spans="2:20">
      <c r="B48" s="271" t="s">
        <v>37</v>
      </c>
      <c r="D48" s="298" t="s">
        <v>142</v>
      </c>
      <c r="E48" s="298" t="s">
        <v>366</v>
      </c>
      <c r="F48" s="298" t="s">
        <v>382</v>
      </c>
      <c r="G48" s="298" t="s">
        <v>275</v>
      </c>
      <c r="I48" s="298" t="s">
        <v>142</v>
      </c>
      <c r="J48" s="298" t="s">
        <v>366</v>
      </c>
      <c r="K48" s="298" t="s">
        <v>382</v>
      </c>
      <c r="L48" s="298" t="s">
        <v>275</v>
      </c>
      <c r="N48" s="298" t="s">
        <v>142</v>
      </c>
      <c r="O48" s="298" t="s">
        <v>366</v>
      </c>
      <c r="P48" s="298" t="s">
        <v>382</v>
      </c>
      <c r="Q48" s="394" t="s">
        <v>275</v>
      </c>
    </row>
    <row r="49" spans="2:17">
      <c r="B49" s="252" t="s">
        <v>387</v>
      </c>
      <c r="D49" s="300">
        <v>12000</v>
      </c>
      <c r="E49" s="295">
        <v>1</v>
      </c>
      <c r="F49" s="252">
        <v>0</v>
      </c>
      <c r="G49" s="241">
        <f>Table2934[[#This Row],[Rate]]*Table2934[[#This Row],[Qty]]</f>
        <v>12000</v>
      </c>
      <c r="I49" s="300">
        <f>Table2934[[#This Row],[Rate]]</f>
        <v>12000</v>
      </c>
      <c r="J49" s="295">
        <v>1</v>
      </c>
      <c r="K49" s="252">
        <v>0</v>
      </c>
      <c r="L49" s="241">
        <f>Table293435[[#This Row],[Rate]]*Table293435[[#This Row],[Qty]]</f>
        <v>12000</v>
      </c>
      <c r="N49" s="300">
        <f>Table2934[[#This Row],[Rate]]</f>
        <v>12000</v>
      </c>
      <c r="O49" s="295">
        <v>1</v>
      </c>
      <c r="P49" s="252">
        <v>0</v>
      </c>
      <c r="Q49" s="395">
        <f>Table293436[[#This Row],[Rate]]*Table293436[[#This Row],[Qty]]</f>
        <v>12000</v>
      </c>
    </row>
    <row r="50" spans="2:17">
      <c r="B50" s="252" t="s">
        <v>388</v>
      </c>
      <c r="D50" s="300">
        <v>12500</v>
      </c>
      <c r="E50" s="295">
        <v>1</v>
      </c>
      <c r="F50" s="252">
        <v>0</v>
      </c>
      <c r="G50" s="241">
        <f>Table2934[[#This Row],[Rate]]*Table2934[[#This Row],[Qty]]</f>
        <v>12500</v>
      </c>
      <c r="I50" s="300">
        <f>Table2934[[#This Row],[Rate]]</f>
        <v>12500</v>
      </c>
      <c r="J50" s="295">
        <v>1.1000000000000001</v>
      </c>
      <c r="K50" s="252">
        <v>0</v>
      </c>
      <c r="L50" s="241">
        <f>Table293435[[#This Row],[Rate]]*Table293435[[#This Row],[Qty]]</f>
        <v>13750.000000000002</v>
      </c>
      <c r="N50" s="300">
        <f>Table2934[[#This Row],[Rate]]</f>
        <v>12500</v>
      </c>
      <c r="O50" s="295">
        <v>1.1499999999999999</v>
      </c>
      <c r="P50" s="252">
        <v>0</v>
      </c>
      <c r="Q50" s="395">
        <f>Table293436[[#This Row],[Rate]]*Table293436[[#This Row],[Qty]]</f>
        <v>14374.999999999998</v>
      </c>
    </row>
    <row r="51" spans="2:17">
      <c r="B51" s="252" t="s">
        <v>389</v>
      </c>
      <c r="D51" s="300">
        <v>45000</v>
      </c>
      <c r="E51" s="295">
        <v>1</v>
      </c>
      <c r="F51" s="252">
        <v>0</v>
      </c>
      <c r="G51" s="241">
        <f>Table2934[[#This Row],[Rate]]*Table2934[[#This Row],[Qty]]</f>
        <v>45000</v>
      </c>
      <c r="I51" s="300">
        <f>Table2934[[#This Row],[Rate]]</f>
        <v>45000</v>
      </c>
      <c r="J51" s="295">
        <v>1</v>
      </c>
      <c r="K51" s="252">
        <v>0</v>
      </c>
      <c r="L51" s="241">
        <f>Table293435[[#This Row],[Rate]]*Table293435[[#This Row],[Qty]]</f>
        <v>45000</v>
      </c>
      <c r="N51" s="300">
        <f>Table2934[[#This Row],[Rate]]</f>
        <v>45000</v>
      </c>
      <c r="O51" s="295">
        <v>1</v>
      </c>
      <c r="P51" s="252">
        <v>0</v>
      </c>
      <c r="Q51" s="395">
        <f>Table293436[[#This Row],[Rate]]*Table293436[[#This Row],[Qty]]</f>
        <v>45000</v>
      </c>
    </row>
    <row r="52" spans="2:17">
      <c r="B52" s="252" t="s">
        <v>391</v>
      </c>
      <c r="D52" s="300">
        <v>3000</v>
      </c>
      <c r="E52" s="295">
        <v>2</v>
      </c>
      <c r="F52" s="252">
        <v>0</v>
      </c>
      <c r="G52" s="252">
        <f>Table2934[[#This Row],[Rate]]*Table2934[[#This Row],[Qty]]</f>
        <v>6000</v>
      </c>
      <c r="I52" s="300">
        <f>Table2934[[#This Row],[Rate]]</f>
        <v>3000</v>
      </c>
      <c r="J52" s="295">
        <v>2</v>
      </c>
      <c r="K52" s="252">
        <v>0</v>
      </c>
      <c r="L52" s="252">
        <f>Table293435[[#This Row],[Rate]]*Table293435[[#This Row],[Qty]]</f>
        <v>6000</v>
      </c>
      <c r="N52" s="300">
        <f>Table2934[[#This Row],[Rate]]</f>
        <v>3000</v>
      </c>
      <c r="O52" s="295">
        <v>2</v>
      </c>
      <c r="P52" s="252">
        <v>0</v>
      </c>
      <c r="Q52" s="395">
        <f>Table293436[[#This Row],[Rate]]*Table293436[[#This Row],[Qty]]</f>
        <v>6000</v>
      </c>
    </row>
    <row r="53" spans="2:17">
      <c r="B53" s="252" t="s">
        <v>390</v>
      </c>
      <c r="D53" s="303">
        <v>9500</v>
      </c>
      <c r="E53" s="304">
        <v>1</v>
      </c>
      <c r="F53" s="301">
        <v>0</v>
      </c>
      <c r="G53" s="301">
        <f>Table2934[[#This Row],[Rate]]*Table2934[[#This Row],[Qty]]</f>
        <v>9500</v>
      </c>
      <c r="I53" s="300">
        <f>Table2934[[#This Row],[Rate]]</f>
        <v>9500</v>
      </c>
      <c r="J53" s="304">
        <v>1.25</v>
      </c>
      <c r="K53" s="301">
        <v>0</v>
      </c>
      <c r="L53" s="301">
        <f>Table293435[[#This Row],[Rate]]*Table293435[[#This Row],[Qty]]</f>
        <v>11875</v>
      </c>
      <c r="N53" s="300">
        <f>Table2934[[#This Row],[Rate]]</f>
        <v>9500</v>
      </c>
      <c r="O53" s="304">
        <v>4</v>
      </c>
      <c r="P53" s="301">
        <v>0</v>
      </c>
      <c r="Q53" s="397">
        <f>Table293436[[#This Row],[Rate]]*Table293436[[#This Row],[Qty]]</f>
        <v>38000</v>
      </c>
    </row>
    <row r="54" spans="2:17">
      <c r="B54" s="281" t="s">
        <v>376</v>
      </c>
      <c r="D54" s="281"/>
      <c r="E54" s="281"/>
      <c r="F54" s="306">
        <f>Table2934[[#Totals],[Monthly]]/G16</f>
        <v>7.6324910654957528E-2</v>
      </c>
      <c r="G54" s="302">
        <f>SUBTOTAL(109,Table2934[Monthly])</f>
        <v>85000</v>
      </c>
      <c r="I54" s="281"/>
      <c r="J54" s="281"/>
      <c r="K54" s="309">
        <f>Table293435[[#Totals],[Monthly]]/L16</f>
        <v>7.4775778132145351E-2</v>
      </c>
      <c r="L54" s="302">
        <f>SUBTOTAL(109,Table293435[Monthly])</f>
        <v>88625</v>
      </c>
      <c r="N54" s="281"/>
      <c r="O54" s="281"/>
      <c r="P54" s="309">
        <f>Table293436[[#Totals],[Monthly]]/Q16</f>
        <v>3.6901460706141233E-2</v>
      </c>
      <c r="Q54" s="396">
        <f>SUBTOTAL(109,Table293436[Monthly])</f>
        <v>115375</v>
      </c>
    </row>
    <row r="56" spans="2:17">
      <c r="B56" s="281" t="s">
        <v>392</v>
      </c>
      <c r="D56" s="281"/>
      <c r="E56" s="281"/>
      <c r="F56" s="281"/>
      <c r="G56" s="302">
        <f>Table2934[[#Totals],[Monthly]]+Table29[[#Totals],[Monthly]]+G40+Table23[[#Totals],[Monthly]]+'Fianl All'!$G$25</f>
        <v>1295500</v>
      </c>
      <c r="I56" s="281"/>
      <c r="J56" s="281"/>
      <c r="K56" s="281"/>
      <c r="L56" s="302">
        <f>Table293435[[#Totals],[Monthly]]+Table2931[[#Totals],[Monthly]]+L40+Table24[[#Totals],[Monthly]]+'Fianl All'!$L$25</f>
        <v>1299125</v>
      </c>
      <c r="N56" s="281"/>
      <c r="O56" s="281"/>
      <c r="P56" s="281"/>
      <c r="Q56" s="396">
        <f>Table293436[[#Totals],[Monthly]]+Table2932[[#Totals],[Monthly]]+Q40+Table25[[#Totals],[Monthly]]+'Fianl All'!$Q$25</f>
        <v>3475715.5555555555</v>
      </c>
    </row>
    <row r="58" spans="2:17">
      <c r="B58" s="260" t="s">
        <v>371</v>
      </c>
      <c r="D58" s="261"/>
      <c r="E58" s="262"/>
      <c r="F58" s="262"/>
      <c r="G58" s="261">
        <f>Table15[[#Totals],[Monthly]]+Table1511[[#Totals],[Monthly]]</f>
        <v>1113660</v>
      </c>
      <c r="I58" s="261"/>
      <c r="J58" s="262"/>
      <c r="K58" s="262"/>
      <c r="L58" s="261">
        <f>Table16[[#Totals],[Monthly]]+Table2612[[#Totals],[Monthly]]</f>
        <v>1185210</v>
      </c>
      <c r="N58" s="261"/>
      <c r="O58" s="262"/>
      <c r="P58" s="262"/>
      <c r="Q58" s="387">
        <f>Table17[[#Totals],[Monthly]]+Table3713[[#Totals],[Monthly]]</f>
        <v>3126570</v>
      </c>
    </row>
    <row r="60" spans="2:17">
      <c r="B60" s="415" t="s">
        <v>427</v>
      </c>
      <c r="D60" s="416">
        <v>0.09</v>
      </c>
      <c r="E60" s="417">
        <v>-1</v>
      </c>
      <c r="F60" s="418"/>
      <c r="G60" s="419">
        <f>E60*D60*G58</f>
        <v>-100229.4</v>
      </c>
      <c r="I60" s="416">
        <f>D60</f>
        <v>0.09</v>
      </c>
      <c r="J60" s="420">
        <v>-1</v>
      </c>
      <c r="K60" s="421"/>
      <c r="L60" s="419">
        <f>J60*I60*L58</f>
        <v>-106668.9</v>
      </c>
      <c r="N60" s="422">
        <v>0.09</v>
      </c>
      <c r="O60" s="417">
        <v>-1</v>
      </c>
      <c r="P60" s="418"/>
      <c r="Q60" s="419">
        <f>O60*N60*Q58</f>
        <v>-281391.3</v>
      </c>
    </row>
    <row r="61" spans="2:17" s="319" customFormat="1">
      <c r="B61"/>
      <c r="C61" s="238"/>
      <c r="D61" s="217"/>
      <c r="E61" s="212"/>
      <c r="F61" s="212"/>
      <c r="G61" s="212"/>
      <c r="H61" s="236"/>
      <c r="I61" s="217"/>
      <c r="J61" s="217"/>
      <c r="K61" s="217"/>
      <c r="L61" s="212"/>
      <c r="M61" s="236"/>
      <c r="N61" s="212"/>
      <c r="O61" s="212"/>
      <c r="P61" s="212"/>
      <c r="Q61" s="212"/>
    </row>
    <row r="62" spans="2:17" s="319" customFormat="1">
      <c r="B62" s="423" t="s">
        <v>393</v>
      </c>
      <c r="C62" s="424"/>
      <c r="D62" s="425"/>
      <c r="E62" s="426"/>
      <c r="F62" s="426"/>
      <c r="G62" s="425">
        <f>G58-G56+G60</f>
        <v>-282069.40000000002</v>
      </c>
      <c r="H62" s="427"/>
      <c r="I62" s="425"/>
      <c r="J62" s="425"/>
      <c r="K62" s="425"/>
      <c r="L62" s="425">
        <f>L58-L56+L60</f>
        <v>-220583.9</v>
      </c>
      <c r="M62" s="427"/>
      <c r="N62" s="426"/>
      <c r="O62" s="426"/>
      <c r="P62" s="426"/>
      <c r="Q62" s="425">
        <f>Q58-Q56+Q60</f>
        <v>-630536.85555555555</v>
      </c>
    </row>
    <row r="63" spans="2:17" s="319" customFormat="1">
      <c r="C63" s="424"/>
      <c r="D63" s="428"/>
      <c r="E63" s="429"/>
      <c r="F63" s="429"/>
      <c r="G63" s="429"/>
      <c r="H63" s="427"/>
      <c r="I63" s="428"/>
      <c r="J63" s="428"/>
      <c r="K63" s="428"/>
      <c r="L63" s="429"/>
      <c r="M63" s="427"/>
      <c r="N63" s="429"/>
      <c r="O63" s="429"/>
      <c r="P63" s="429"/>
      <c r="Q63" s="429"/>
    </row>
    <row r="64" spans="2:17" s="433" customFormat="1">
      <c r="B64" s="423" t="s">
        <v>394</v>
      </c>
      <c r="C64" s="424"/>
      <c r="D64" s="425"/>
      <c r="E64" s="426"/>
      <c r="F64" s="426"/>
      <c r="G64" s="430">
        <f>G62/G58</f>
        <v>-0.25328143239408796</v>
      </c>
      <c r="H64" s="427"/>
      <c r="I64" s="425"/>
      <c r="J64" s="425"/>
      <c r="K64" s="425"/>
      <c r="L64" s="430">
        <f>L62/L58</f>
        <v>-0.18611376886796432</v>
      </c>
      <c r="M64" s="427"/>
      <c r="N64" s="426"/>
      <c r="O64" s="426"/>
      <c r="P64" s="426"/>
      <c r="Q64" s="430">
        <f>Q62/Q58</f>
        <v>-0.20167047453137321</v>
      </c>
    </row>
    <row r="65" spans="2:20" s="433" customFormat="1" ht="6.75" customHeight="1">
      <c r="B65" s="432"/>
      <c r="D65" s="434"/>
      <c r="E65" s="435"/>
      <c r="F65" s="435"/>
      <c r="G65" s="436"/>
      <c r="H65" s="437"/>
      <c r="I65" s="434"/>
      <c r="J65" s="434"/>
      <c r="K65" s="434"/>
      <c r="L65" s="436"/>
      <c r="M65" s="437"/>
      <c r="N65" s="435"/>
      <c r="O65" s="435"/>
      <c r="P65" s="435"/>
      <c r="Q65" s="436"/>
    </row>
    <row r="66" spans="2:20">
      <c r="B66" s="432"/>
      <c r="C66" s="433"/>
      <c r="D66" s="434"/>
      <c r="E66" s="435"/>
      <c r="F66" s="435"/>
      <c r="G66" s="436"/>
      <c r="H66" s="437"/>
      <c r="I66" s="434"/>
      <c r="J66" s="434"/>
      <c r="K66" s="434"/>
      <c r="L66" s="436"/>
      <c r="M66" s="437"/>
      <c r="N66" s="435"/>
      <c r="O66" s="435"/>
      <c r="P66" s="435"/>
      <c r="Q66" s="436"/>
    </row>
    <row r="67" spans="2:20">
      <c r="B67" s="319" t="s">
        <v>405</v>
      </c>
    </row>
    <row r="68" spans="2:20">
      <c r="B68" s="225" t="s">
        <v>396</v>
      </c>
      <c r="D68" s="224" t="s">
        <v>142</v>
      </c>
      <c r="E68" s="224" t="s">
        <v>366</v>
      </c>
      <c r="F68" s="224" t="s">
        <v>367</v>
      </c>
      <c r="G68" s="224" t="s">
        <v>275</v>
      </c>
      <c r="I68" s="224" t="s">
        <v>142</v>
      </c>
      <c r="J68" s="224" t="s">
        <v>366</v>
      </c>
      <c r="K68" s="224" t="s">
        <v>367</v>
      </c>
      <c r="L68" s="224" t="s">
        <v>275</v>
      </c>
      <c r="N68" s="224" t="s">
        <v>142</v>
      </c>
      <c r="O68" s="224" t="s">
        <v>366</v>
      </c>
      <c r="P68" s="224" t="s">
        <v>367</v>
      </c>
      <c r="Q68" s="378" t="s">
        <v>275</v>
      </c>
      <c r="S68" s="211"/>
      <c r="T68" s="376"/>
    </row>
    <row r="69" spans="2:20">
      <c r="B69" s="240" t="s">
        <v>16</v>
      </c>
      <c r="D69" s="218">
        <v>895</v>
      </c>
      <c r="E69" s="213">
        <v>2</v>
      </c>
      <c r="F69" s="213">
        <v>30</v>
      </c>
      <c r="G69" s="232">
        <f>F69*E69*D69</f>
        <v>53700</v>
      </c>
      <c r="I69" s="221">
        <v>955</v>
      </c>
      <c r="J69" s="216">
        <v>2</v>
      </c>
      <c r="K69" s="216">
        <v>30</v>
      </c>
      <c r="L69" s="227">
        <f>I69*F69*E69</f>
        <v>57300</v>
      </c>
      <c r="N69" s="221">
        <v>955</v>
      </c>
      <c r="O69" s="216">
        <v>4</v>
      </c>
      <c r="P69" s="216">
        <v>30</v>
      </c>
      <c r="Q69" s="379">
        <f>P69*O69*N69</f>
        <v>114600</v>
      </c>
      <c r="S69" s="211"/>
      <c r="T69" s="376"/>
    </row>
    <row r="70" spans="2:20">
      <c r="B70" s="241" t="s">
        <v>17</v>
      </c>
      <c r="D70" s="219">
        <v>392</v>
      </c>
      <c r="E70" s="239">
        <v>20</v>
      </c>
      <c r="F70" s="214">
        <v>30</v>
      </c>
      <c r="G70" s="245">
        <f>F70*E70*D70</f>
        <v>235200</v>
      </c>
      <c r="I70" s="219">
        <v>430</v>
      </c>
      <c r="J70" s="239">
        <v>20</v>
      </c>
      <c r="K70" s="214">
        <v>30</v>
      </c>
      <c r="L70" s="245">
        <f>I70*F70*E70</f>
        <v>258000</v>
      </c>
      <c r="N70" s="219">
        <v>430</v>
      </c>
      <c r="O70" s="247">
        <v>40</v>
      </c>
      <c r="P70" s="214">
        <v>30</v>
      </c>
      <c r="Q70" s="380">
        <f>P70*O70*N70</f>
        <v>516000</v>
      </c>
      <c r="S70" s="211"/>
      <c r="T70" s="376"/>
    </row>
    <row r="71" spans="2:20">
      <c r="B71" s="241" t="s">
        <v>137</v>
      </c>
      <c r="D71" s="219">
        <v>7667</v>
      </c>
      <c r="E71" s="214">
        <v>0</v>
      </c>
      <c r="F71" s="214">
        <v>30</v>
      </c>
      <c r="G71" s="228">
        <f>F71*E71*D71</f>
        <v>0</v>
      </c>
      <c r="I71" s="219">
        <v>9095</v>
      </c>
      <c r="J71" s="214">
        <v>1</v>
      </c>
      <c r="K71" s="214">
        <v>30</v>
      </c>
      <c r="L71" s="228">
        <f>I71*F71*E71</f>
        <v>0</v>
      </c>
      <c r="N71" s="219">
        <v>9095</v>
      </c>
      <c r="O71" s="214">
        <v>1</v>
      </c>
      <c r="P71" s="214">
        <v>30</v>
      </c>
      <c r="Q71" s="380">
        <f>P71*O71*N71</f>
        <v>272850</v>
      </c>
      <c r="S71" s="211"/>
      <c r="T71" s="376"/>
    </row>
    <row r="72" spans="2:20">
      <c r="B72" s="241" t="s">
        <v>157</v>
      </c>
      <c r="D72" s="219">
        <v>2556</v>
      </c>
      <c r="E72" s="214">
        <v>1</v>
      </c>
      <c r="F72" s="214">
        <v>30</v>
      </c>
      <c r="G72" s="228">
        <f>F72*E72*D72</f>
        <v>76680</v>
      </c>
      <c r="I72" s="219">
        <v>4714</v>
      </c>
      <c r="J72" s="214">
        <v>1</v>
      </c>
      <c r="K72" s="214">
        <v>30</v>
      </c>
      <c r="L72" s="228">
        <f>I72*F72*E72</f>
        <v>141420</v>
      </c>
      <c r="N72" s="219">
        <v>4714</v>
      </c>
      <c r="O72" s="214">
        <v>1</v>
      </c>
      <c r="P72" s="214">
        <v>30</v>
      </c>
      <c r="Q72" s="380">
        <f>P72*O72*N72</f>
        <v>141420</v>
      </c>
    </row>
    <row r="73" spans="2:20">
      <c r="B73" s="241"/>
      <c r="D73" s="219"/>
      <c r="E73" s="219"/>
      <c r="F73" s="219"/>
      <c r="G73" s="228"/>
      <c r="I73" s="219"/>
      <c r="J73" s="219"/>
      <c r="K73" s="219"/>
      <c r="L73" s="228"/>
      <c r="N73" s="219"/>
      <c r="O73" s="214"/>
      <c r="P73" s="214"/>
      <c r="Q73" s="380"/>
    </row>
    <row r="74" spans="2:20">
      <c r="B74" s="242" t="s">
        <v>263</v>
      </c>
      <c r="D74" s="226">
        <f>Table15115[[#Totals],[Monthly]]/Table15115[[#Totals],[Qty]]</f>
        <v>15894.782608695652</v>
      </c>
      <c r="E74" s="223">
        <f>SUBTOTAL(109,Table15115[Qty])</f>
        <v>23</v>
      </c>
      <c r="F74" s="223"/>
      <c r="G74" s="230">
        <f>SUBTOTAL(109,Table15115[Monthly])</f>
        <v>365580</v>
      </c>
      <c r="I74" s="226">
        <f>Table26126[[#Totals],[Monthly]]/Table26126[[#Totals],[Qty]]</f>
        <v>19030</v>
      </c>
      <c r="J74" s="226">
        <f>SUBTOTAL(109,Table26126[Qty])</f>
        <v>24</v>
      </c>
      <c r="K74" s="226"/>
      <c r="L74" s="226">
        <f>SUBTOTAL(109,Table26126[Monthly])</f>
        <v>456720</v>
      </c>
      <c r="N74" s="226">
        <f>Table37137[[#Totals],[Monthly]]/Table37137[[#Totals],[Qty]]</f>
        <v>22714.565217391304</v>
      </c>
      <c r="O74" s="223">
        <f>SUBTOTAL(109,Table37137[Qty])</f>
        <v>46</v>
      </c>
      <c r="P74" s="223"/>
      <c r="Q74" s="381">
        <f>SUBTOTAL(109,Table37137[Monthly])</f>
        <v>1044870</v>
      </c>
    </row>
    <row r="76" spans="2:20">
      <c r="B76" s="253" t="s">
        <v>37</v>
      </c>
      <c r="D76" s="258" t="s">
        <v>142</v>
      </c>
      <c r="E76" s="258" t="s">
        <v>366</v>
      </c>
      <c r="F76" s="258" t="s">
        <v>367</v>
      </c>
      <c r="G76" s="258" t="s">
        <v>275</v>
      </c>
      <c r="I76" s="258" t="s">
        <v>142</v>
      </c>
      <c r="J76" s="258" t="s">
        <v>366</v>
      </c>
      <c r="K76" s="258" t="s">
        <v>367</v>
      </c>
      <c r="L76" s="258" t="s">
        <v>275</v>
      </c>
      <c r="N76" s="258" t="s">
        <v>142</v>
      </c>
      <c r="O76" s="258" t="s">
        <v>366</v>
      </c>
      <c r="P76" s="258" t="s">
        <v>367</v>
      </c>
      <c r="Q76" s="382" t="s">
        <v>275</v>
      </c>
    </row>
    <row r="77" spans="2:20">
      <c r="B77" s="251" t="s">
        <v>403</v>
      </c>
      <c r="D77" s="255">
        <v>2002</v>
      </c>
      <c r="E77" s="248">
        <v>1</v>
      </c>
      <c r="F77" s="248">
        <v>30</v>
      </c>
      <c r="G77" s="256">
        <f>D77*E77*F77</f>
        <v>60060</v>
      </c>
      <c r="I77" s="255">
        <v>2249</v>
      </c>
      <c r="J77" s="248">
        <v>1</v>
      </c>
      <c r="K77" s="248">
        <v>30</v>
      </c>
      <c r="L77" s="256">
        <f>I77*J77*K77</f>
        <v>67470</v>
      </c>
      <c r="N77" s="255">
        <v>2249</v>
      </c>
      <c r="O77" s="248">
        <v>1</v>
      </c>
      <c r="P77" s="248">
        <v>30</v>
      </c>
      <c r="Q77" s="383">
        <f>N77*O77*P77</f>
        <v>67470</v>
      </c>
    </row>
    <row r="78" spans="2:20">
      <c r="B78" s="252" t="s">
        <v>49</v>
      </c>
      <c r="D78" s="237">
        <v>2310</v>
      </c>
      <c r="E78" s="247">
        <v>0</v>
      </c>
      <c r="F78" s="249">
        <v>30</v>
      </c>
      <c r="G78" s="246">
        <f>D78*E78*F78</f>
        <v>0</v>
      </c>
      <c r="I78" s="237">
        <v>2595</v>
      </c>
      <c r="J78" s="247">
        <v>0</v>
      </c>
      <c r="K78" s="249">
        <v>30</v>
      </c>
      <c r="L78" s="257">
        <f>I78*J78*K78</f>
        <v>0</v>
      </c>
      <c r="N78" s="237">
        <v>2595</v>
      </c>
      <c r="O78" s="247">
        <v>0</v>
      </c>
      <c r="P78" s="249">
        <v>30</v>
      </c>
      <c r="Q78" s="384">
        <f>N78*O78*P78</f>
        <v>0</v>
      </c>
    </row>
    <row r="79" spans="2:20">
      <c r="B79" s="252" t="s">
        <v>50</v>
      </c>
      <c r="D79" s="237">
        <v>507</v>
      </c>
      <c r="E79" s="249">
        <v>0</v>
      </c>
      <c r="F79" s="249">
        <v>30</v>
      </c>
      <c r="G79" s="257">
        <f>D79*E79*F79</f>
        <v>0</v>
      </c>
      <c r="I79" s="237">
        <v>570</v>
      </c>
      <c r="J79" s="249">
        <v>0</v>
      </c>
      <c r="K79" s="249">
        <v>30</v>
      </c>
      <c r="L79" s="257">
        <f>I79*J79*K79</f>
        <v>0</v>
      </c>
      <c r="N79" s="222">
        <v>570</v>
      </c>
      <c r="O79" s="263">
        <v>0</v>
      </c>
      <c r="P79" s="263">
        <v>30</v>
      </c>
      <c r="Q79" s="385">
        <f>N79*O79*P79</f>
        <v>0</v>
      </c>
    </row>
    <row r="80" spans="2:20">
      <c r="B80" s="254" t="s">
        <v>263</v>
      </c>
      <c r="D80" s="264"/>
      <c r="E80" s="223"/>
      <c r="F80" s="265"/>
      <c r="G80" s="230">
        <f>SUBTOTAL(109,Table1510[Monthly])</f>
        <v>60060</v>
      </c>
      <c r="I80" s="264"/>
      <c r="J80" s="259"/>
      <c r="K80" s="265"/>
      <c r="L80" s="226">
        <f>SUBTOTAL(109,Table1628[Monthly])</f>
        <v>67470</v>
      </c>
      <c r="N80" s="264"/>
      <c r="O80" s="259"/>
      <c r="P80" s="265"/>
      <c r="Q80" s="386">
        <f>SUBTOTAL(109,Table1737[Monthly])</f>
        <v>67470</v>
      </c>
    </row>
    <row r="82" spans="2:24">
      <c r="B82" s="260" t="s">
        <v>371</v>
      </c>
      <c r="D82" s="261">
        <f>G82/Table15115[[#Totals],[Qty]]</f>
        <v>18506.08695652174</v>
      </c>
      <c r="E82" s="262"/>
      <c r="F82" s="262"/>
      <c r="G82" s="261">
        <f>Table1510[[#Totals],[Monthly]]+Table15115[[#Totals],[Monthly]]</f>
        <v>425640</v>
      </c>
      <c r="I82" s="261">
        <f>L82/Table26126[[#Totals],[Qty]]</f>
        <v>21841.25</v>
      </c>
      <c r="J82" s="262"/>
      <c r="K82" s="262"/>
      <c r="L82" s="261">
        <f>Table1628[[#Totals],[Monthly]]+Table26126[[#Totals],[Monthly]]</f>
        <v>524190</v>
      </c>
      <c r="N82" s="261">
        <f>Q82/Table37137[[#Totals],[Qty]]</f>
        <v>24181.304347826088</v>
      </c>
      <c r="O82" s="262"/>
      <c r="P82" s="262"/>
      <c r="Q82" s="387">
        <f>Table1737[[#Totals],[Monthly]]+Table37137[[#Totals],[Monthly]]</f>
        <v>1112340</v>
      </c>
    </row>
    <row r="84" spans="2:24">
      <c r="B84" s="347" t="s">
        <v>398</v>
      </c>
      <c r="D84" s="349" t="s">
        <v>142</v>
      </c>
      <c r="E84" s="350" t="s">
        <v>366</v>
      </c>
      <c r="F84" s="350" t="s">
        <v>367</v>
      </c>
      <c r="G84" s="351" t="s">
        <v>275</v>
      </c>
      <c r="I84" s="349" t="s">
        <v>142</v>
      </c>
      <c r="J84" s="350" t="s">
        <v>366</v>
      </c>
      <c r="K84" s="350" t="s">
        <v>367</v>
      </c>
      <c r="L84" s="351" t="s">
        <v>275</v>
      </c>
      <c r="N84" s="349" t="s">
        <v>142</v>
      </c>
      <c r="O84" s="350" t="s">
        <v>366</v>
      </c>
      <c r="P84" s="350" t="s">
        <v>367</v>
      </c>
      <c r="Q84" s="406" t="s">
        <v>275</v>
      </c>
      <c r="S84" s="211"/>
      <c r="T84" s="376"/>
      <c r="U84" s="211"/>
      <c r="V84" s="376"/>
      <c r="W84" s="211"/>
      <c r="X84" s="376"/>
    </row>
    <row r="85" spans="2:24">
      <c r="B85" s="321" t="str">
        <f t="shared" ref="B85:B90" si="3">B69</f>
        <v>HK Supervisors</v>
      </c>
      <c r="D85" s="531">
        <v>10000</v>
      </c>
      <c r="E85" s="532">
        <f>E69</f>
        <v>2</v>
      </c>
      <c r="F85" s="328">
        <v>30</v>
      </c>
      <c r="G85" s="329">
        <f>'Fianl All'!$D85*'Fianl All'!$E85</f>
        <v>20000</v>
      </c>
      <c r="I85" s="531">
        <v>11000</v>
      </c>
      <c r="J85" s="532">
        <f>J69</f>
        <v>2</v>
      </c>
      <c r="K85" s="328">
        <v>30</v>
      </c>
      <c r="L85" s="329">
        <f>'Fianl All'!$I85*'Fianl All'!$J85</f>
        <v>22000</v>
      </c>
      <c r="N85" s="536">
        <v>11000</v>
      </c>
      <c r="O85" s="532">
        <f>O69</f>
        <v>4</v>
      </c>
      <c r="P85" s="328">
        <v>30</v>
      </c>
      <c r="Q85" s="403">
        <f>'Fianl All'!$N85*'Fianl All'!$O85</f>
        <v>44000</v>
      </c>
      <c r="S85" s="211">
        <f>('Fianl All'!$D85/30)*(16/12)</f>
        <v>444.4444444444444</v>
      </c>
      <c r="T85" s="539">
        <f>S85*'Fianl All'!$E85</f>
        <v>888.8888888888888</v>
      </c>
      <c r="U85" s="211">
        <f>('Fianl All'!$I85/30)*(16/12)</f>
        <v>488.88888888888891</v>
      </c>
      <c r="V85" s="540">
        <f>U85*'Fianl All'!$J85</f>
        <v>977.77777777777783</v>
      </c>
      <c r="W85" s="211">
        <f>('Fianl All'!$N85/30)*(16/12)</f>
        <v>488.88888888888891</v>
      </c>
      <c r="X85" s="539">
        <f>W85*'Fianl All'!$O85</f>
        <v>1955.5555555555557</v>
      </c>
    </row>
    <row r="86" spans="2:24">
      <c r="B86" s="322" t="str">
        <f t="shared" si="3"/>
        <v>Janitors</v>
      </c>
      <c r="D86" s="352">
        <v>8100</v>
      </c>
      <c r="E86" s="533">
        <f>E70</f>
        <v>20</v>
      </c>
      <c r="F86" s="263">
        <v>30</v>
      </c>
      <c r="G86" s="331">
        <f>'Fianl All'!$D86*'Fianl All'!$E86</f>
        <v>162000</v>
      </c>
      <c r="I86" s="352">
        <v>8550</v>
      </c>
      <c r="J86" s="533">
        <f>J70</f>
        <v>20</v>
      </c>
      <c r="K86" s="263">
        <v>30</v>
      </c>
      <c r="L86" s="331">
        <f>'Fianl All'!$I86*'Fianl All'!$J86</f>
        <v>171000</v>
      </c>
      <c r="N86" s="359">
        <v>8550</v>
      </c>
      <c r="O86" s="360">
        <f>O70</f>
        <v>40</v>
      </c>
      <c r="P86" s="263">
        <v>30</v>
      </c>
      <c r="Q86" s="401">
        <f>'Fianl All'!$N86*'Fianl All'!$O86</f>
        <v>342000</v>
      </c>
      <c r="S86" s="211">
        <f>('Fianl All'!$D86/30)*(16/12)</f>
        <v>360</v>
      </c>
      <c r="T86" s="539">
        <f>S86*'Fianl All'!$E86</f>
        <v>7200</v>
      </c>
      <c r="U86" s="211">
        <f>('Fianl All'!$I86/30)*(16/12)</f>
        <v>380</v>
      </c>
      <c r="V86" s="540">
        <f>U86*'Fianl All'!$J86</f>
        <v>7600</v>
      </c>
      <c r="W86" s="211">
        <f>('Fianl All'!$N86/30)*(16/12)</f>
        <v>380</v>
      </c>
      <c r="X86" s="539">
        <f>W86*'Fianl All'!$O86</f>
        <v>15200</v>
      </c>
    </row>
    <row r="87" spans="2:24">
      <c r="B87" s="322" t="str">
        <f t="shared" si="3"/>
        <v>Road Sweeper</v>
      </c>
      <c r="D87" s="352">
        <v>0</v>
      </c>
      <c r="E87" s="353">
        <f>E71</f>
        <v>0</v>
      </c>
      <c r="F87" s="263">
        <v>30</v>
      </c>
      <c r="G87" s="332">
        <f>'Fianl All'!$D87*'Fianl All'!$E87</f>
        <v>0</v>
      </c>
      <c r="I87" s="352"/>
      <c r="J87" s="353">
        <f>J71</f>
        <v>1</v>
      </c>
      <c r="K87" s="263">
        <v>30</v>
      </c>
      <c r="L87" s="332">
        <f>'Fianl All'!$I87*'Fianl All'!$J87</f>
        <v>0</v>
      </c>
      <c r="N87" s="359">
        <v>137000</v>
      </c>
      <c r="O87" s="353">
        <f>O71</f>
        <v>1</v>
      </c>
      <c r="P87" s="263">
        <v>30</v>
      </c>
      <c r="Q87" s="401">
        <f>'Fianl All'!$N87*'Fianl All'!$O87</f>
        <v>137000</v>
      </c>
      <c r="S87" s="211">
        <f>('Fianl All'!$D87/30)*(16/365)</f>
        <v>0</v>
      </c>
      <c r="T87" s="539">
        <f>S87*'Fianl All'!$E87</f>
        <v>0</v>
      </c>
      <c r="U87" s="211"/>
      <c r="V87" s="539">
        <f>U87*'Fianl All'!$J87</f>
        <v>0</v>
      </c>
      <c r="W87" s="211"/>
      <c r="X87" s="539">
        <f>W87*'Fianl All'!$O87</f>
        <v>0</v>
      </c>
    </row>
    <row r="88" spans="2:24">
      <c r="B88" s="322" t="str">
        <f t="shared" si="3"/>
        <v>Waste Management (Lumpsum item per month)</v>
      </c>
      <c r="D88" s="352">
        <v>0</v>
      </c>
      <c r="E88" s="353">
        <f>E72</f>
        <v>1</v>
      </c>
      <c r="F88" s="263">
        <v>30</v>
      </c>
      <c r="G88" s="332">
        <f>'Fianl All'!$D88*'Fianl All'!$E88</f>
        <v>0</v>
      </c>
      <c r="I88" s="352"/>
      <c r="J88" s="353">
        <f>J72</f>
        <v>1</v>
      </c>
      <c r="K88" s="263">
        <v>30</v>
      </c>
      <c r="L88" s="332">
        <f>'Fianl All'!$I88*'Fianl All'!$J88</f>
        <v>0</v>
      </c>
      <c r="N88" s="359">
        <v>0</v>
      </c>
      <c r="O88" s="353">
        <f>O72</f>
        <v>1</v>
      </c>
      <c r="P88" s="263">
        <v>30</v>
      </c>
      <c r="Q88" s="401">
        <f>'Fianl All'!$N88*'Fianl All'!$O88</f>
        <v>0</v>
      </c>
      <c r="S88" s="211">
        <f>('Fianl All'!$D88/30)*(16/365)</f>
        <v>0</v>
      </c>
      <c r="T88" s="539">
        <f>S88*'Fianl All'!$E88</f>
        <v>0</v>
      </c>
      <c r="U88" s="211"/>
      <c r="V88" s="539">
        <f>U88*'Fianl All'!$J88</f>
        <v>0</v>
      </c>
      <c r="W88" s="211">
        <f>('Fianl All'!$N88/30)*(16/12)</f>
        <v>0</v>
      </c>
      <c r="X88" s="539">
        <f>W88*'Fianl All'!$O88</f>
        <v>0</v>
      </c>
    </row>
    <row r="89" spans="2:24">
      <c r="B89" s="322" t="s">
        <v>402</v>
      </c>
      <c r="D89" s="352">
        <v>18000</v>
      </c>
      <c r="E89" s="353">
        <v>1</v>
      </c>
      <c r="F89" s="263">
        <v>30</v>
      </c>
      <c r="G89" s="332">
        <f>'Fianl All'!$D89*'Fianl All'!$E89</f>
        <v>18000</v>
      </c>
      <c r="I89" s="535">
        <v>20000</v>
      </c>
      <c r="J89" s="353">
        <v>1</v>
      </c>
      <c r="K89" s="222">
        <v>0</v>
      </c>
      <c r="L89" s="332">
        <f>'Fianl All'!$I89*'Fianl All'!$J89</f>
        <v>20000</v>
      </c>
      <c r="N89" s="359">
        <v>20000</v>
      </c>
      <c r="O89" s="353">
        <v>1</v>
      </c>
      <c r="P89" s="222">
        <v>0</v>
      </c>
      <c r="Q89" s="401">
        <f>'Fianl All'!$N89*'Fianl All'!$O89</f>
        <v>20000</v>
      </c>
      <c r="S89" s="211">
        <f>('Fianl All'!$D89/30)*(16/12)</f>
        <v>800</v>
      </c>
      <c r="T89" s="539">
        <f>S89*'Fianl All'!$E89</f>
        <v>800</v>
      </c>
      <c r="V89" s="539">
        <f>U89*'Fianl All'!$J89</f>
        <v>0</v>
      </c>
      <c r="W89" s="211">
        <f>('Fianl All'!$N89/30)*(16/12)</f>
        <v>888.8888888888888</v>
      </c>
      <c r="X89" s="539">
        <f>W89*'Fianl All'!$O89</f>
        <v>888.8888888888888</v>
      </c>
    </row>
    <row r="90" spans="2:24">
      <c r="B90" s="348" t="str">
        <f t="shared" si="3"/>
        <v>Total</v>
      </c>
      <c r="D90" s="354">
        <f>'Fianl All'!$G$90/'Fianl All'!$E$90</f>
        <v>8333.3333333333339</v>
      </c>
      <c r="E90" s="355">
        <f>SUBTOTAL(109,'Fianl All'!$E$85:$E$89)</f>
        <v>24</v>
      </c>
      <c r="F90" s="356">
        <f>'Fianl All'!$G$90/G82</f>
        <v>0.46988065031482001</v>
      </c>
      <c r="G90" s="357">
        <f>SUBTOTAL(109,'Fianl All'!$G$85:$G$89)</f>
        <v>200000</v>
      </c>
      <c r="I90" s="354">
        <f>'Fianl All'!$L$90/'Fianl All'!$J$90</f>
        <v>8520</v>
      </c>
      <c r="J90" s="358">
        <f>SUBTOTAL(109,'Fianl All'!$J$85:$J$89)</f>
        <v>25</v>
      </c>
      <c r="K90" s="356">
        <f>'Fianl All'!$L$90/L82</f>
        <v>0.40634121215589769</v>
      </c>
      <c r="L90" s="357">
        <f>SUBTOTAL(109,'Fianl All'!$L$85:$L$89)</f>
        <v>213000</v>
      </c>
      <c r="N90" s="354">
        <f>'Fianl All'!$Q$90/'Fianl All'!$O$90</f>
        <v>11553.191489361701</v>
      </c>
      <c r="O90" s="355">
        <f>SUBTOTAL(109,'Fianl All'!$O$85:$O$89)</f>
        <v>47</v>
      </c>
      <c r="P90" s="356">
        <f>'Fianl All'!$Q$90/Q82</f>
        <v>0.4881600949350019</v>
      </c>
      <c r="Q90" s="407">
        <f>SUBTOTAL(109,'Fianl All'!$Q$85:$Q$89)</f>
        <v>543000</v>
      </c>
      <c r="S90" s="530">
        <f>SUM(S84:S89)</f>
        <v>1604.4444444444443</v>
      </c>
      <c r="T90" s="530">
        <f t="shared" ref="T90:X90" si="4">SUM(T84:T89)</f>
        <v>8888.8888888888887</v>
      </c>
      <c r="U90" s="530">
        <f t="shared" si="4"/>
        <v>868.88888888888891</v>
      </c>
      <c r="V90" s="530">
        <f t="shared" si="4"/>
        <v>8577.7777777777774</v>
      </c>
      <c r="W90" s="530">
        <f t="shared" si="4"/>
        <v>1757.7777777777778</v>
      </c>
      <c r="X90" s="530">
        <f t="shared" si="4"/>
        <v>18044.444444444445</v>
      </c>
    </row>
    <row r="92" spans="2:24">
      <c r="B92" s="271" t="s">
        <v>397</v>
      </c>
      <c r="D92" s="273" t="s">
        <v>142</v>
      </c>
      <c r="E92" s="270" t="s">
        <v>366</v>
      </c>
      <c r="F92" s="284" t="s">
        <v>382</v>
      </c>
      <c r="G92" s="270" t="s">
        <v>275</v>
      </c>
      <c r="I92" s="273" t="s">
        <v>142</v>
      </c>
      <c r="J92" s="273" t="s">
        <v>366</v>
      </c>
      <c r="K92" s="273" t="s">
        <v>382</v>
      </c>
      <c r="L92" s="273" t="s">
        <v>275</v>
      </c>
      <c r="N92" s="270" t="s">
        <v>142</v>
      </c>
      <c r="O92" s="270" t="s">
        <v>366</v>
      </c>
      <c r="P92" s="270" t="s">
        <v>382</v>
      </c>
      <c r="Q92" s="389" t="s">
        <v>275</v>
      </c>
    </row>
    <row r="93" spans="2:24">
      <c r="B93" s="241" t="s">
        <v>399</v>
      </c>
      <c r="D93" s="291">
        <v>18750</v>
      </c>
      <c r="E93" s="293">
        <v>1</v>
      </c>
      <c r="F93" s="214"/>
      <c r="G93" s="228">
        <f>D93*E93</f>
        <v>18750</v>
      </c>
      <c r="I93" s="291">
        <f>Table2343[[#This Row],[Rate]]</f>
        <v>18750</v>
      </c>
      <c r="J93" s="297">
        <v>1</v>
      </c>
      <c r="K93" s="214">
        <v>0</v>
      </c>
      <c r="L93" s="228">
        <f>I93*J93</f>
        <v>18750</v>
      </c>
      <c r="N93" s="291">
        <v>37500</v>
      </c>
      <c r="O93" s="293">
        <v>1</v>
      </c>
      <c r="P93" s="214">
        <v>0</v>
      </c>
      <c r="Q93" s="380">
        <f>N93*O93</f>
        <v>37500</v>
      </c>
    </row>
    <row r="94" spans="2:24">
      <c r="B94" s="241" t="s">
        <v>400</v>
      </c>
      <c r="D94" s="291">
        <v>6500</v>
      </c>
      <c r="E94" s="293">
        <v>1</v>
      </c>
      <c r="F94" s="214"/>
      <c r="G94" s="228">
        <f>D94*E94</f>
        <v>6500</v>
      </c>
      <c r="I94" s="291">
        <f>Table2343[[#This Row],[Rate]]</f>
        <v>6500</v>
      </c>
      <c r="J94" s="297">
        <v>1</v>
      </c>
      <c r="K94" s="214">
        <v>0</v>
      </c>
      <c r="L94" s="228">
        <f>I94*J94</f>
        <v>6500</v>
      </c>
      <c r="N94" s="291">
        <v>13000</v>
      </c>
      <c r="O94" s="293">
        <v>1</v>
      </c>
      <c r="P94" s="214">
        <v>0</v>
      </c>
      <c r="Q94" s="380">
        <f>N94*O94</f>
        <v>13000</v>
      </c>
    </row>
    <row r="95" spans="2:24">
      <c r="B95" s="241" t="s">
        <v>375</v>
      </c>
      <c r="D95" s="291">
        <v>400</v>
      </c>
      <c r="E95" s="293">
        <v>22</v>
      </c>
      <c r="F95" s="214"/>
      <c r="G95" s="228">
        <f>D95*E95</f>
        <v>8800</v>
      </c>
      <c r="I95" s="291">
        <f>Table2343[[#This Row],[Rate]]</f>
        <v>400</v>
      </c>
      <c r="J95" s="297">
        <v>22</v>
      </c>
      <c r="K95" s="214">
        <v>0</v>
      </c>
      <c r="L95" s="228">
        <f>I95*J95</f>
        <v>8800</v>
      </c>
      <c r="N95" s="291">
        <f>Table2343[[#This Row],[Rate]]</f>
        <v>400</v>
      </c>
      <c r="O95" s="293">
        <v>44</v>
      </c>
      <c r="P95" s="214">
        <v>0</v>
      </c>
      <c r="Q95" s="380">
        <f>N95*O95</f>
        <v>17600</v>
      </c>
    </row>
    <row r="96" spans="2:24">
      <c r="B96" s="271" t="s">
        <v>376</v>
      </c>
      <c r="D96" s="271"/>
      <c r="E96" s="271"/>
      <c r="F96" s="276">
        <f>Table2343[[#Totals],[Monthly]]/G82</f>
        <v>7.9997180716098112E-2</v>
      </c>
      <c r="G96" s="274">
        <f>SUBTOTAL(109,Table2343[Monthly])</f>
        <v>34050</v>
      </c>
      <c r="I96" s="272"/>
      <c r="J96" s="275"/>
      <c r="K96" s="307">
        <f>Table2444[[#Totals],[Monthly]]/L82</f>
        <v>6.4957362788301956E-2</v>
      </c>
      <c r="L96" s="308">
        <f>SUBTOTAL(109,Table2444[Monthly])</f>
        <v>34050</v>
      </c>
      <c r="N96" s="271"/>
      <c r="O96" s="271"/>
      <c r="P96" s="310">
        <f>Table2545[[#Totals],[Monthly]]/Q82</f>
        <v>6.1222288149306865E-2</v>
      </c>
      <c r="Q96" s="390">
        <f>SUBTOTAL(109,Table2545[Monthly])</f>
        <v>68100</v>
      </c>
    </row>
    <row r="98" spans="2:17">
      <c r="B98" s="271" t="s">
        <v>377</v>
      </c>
      <c r="D98" s="288" t="s">
        <v>142</v>
      </c>
      <c r="E98" s="285" t="s">
        <v>366</v>
      </c>
      <c r="F98" s="286" t="s">
        <v>382</v>
      </c>
      <c r="G98" s="278" t="s">
        <v>275</v>
      </c>
      <c r="I98" s="288" t="s">
        <v>142</v>
      </c>
      <c r="J98" s="279" t="s">
        <v>366</v>
      </c>
      <c r="K98" s="286" t="s">
        <v>382</v>
      </c>
      <c r="L98" s="278" t="s">
        <v>275</v>
      </c>
      <c r="N98" s="288" t="s">
        <v>142</v>
      </c>
      <c r="O98" s="279" t="s">
        <v>366</v>
      </c>
      <c r="P98" s="286" t="s">
        <v>382</v>
      </c>
      <c r="Q98" s="391" t="s">
        <v>275</v>
      </c>
    </row>
    <row r="99" spans="2:17">
      <c r="B99" s="252" t="s">
        <v>378</v>
      </c>
      <c r="D99" s="313">
        <v>4000</v>
      </c>
      <c r="E99" s="295">
        <v>1</v>
      </c>
      <c r="F99" s="252">
        <v>0</v>
      </c>
      <c r="G99" s="250">
        <f>D99*E99</f>
        <v>4000</v>
      </c>
      <c r="I99" s="294">
        <f>D99</f>
        <v>4000</v>
      </c>
      <c r="J99" s="295">
        <v>1</v>
      </c>
      <c r="K99" s="252"/>
      <c r="L99" s="250">
        <f>I99*J99</f>
        <v>4000</v>
      </c>
      <c r="N99" s="294">
        <f>D99</f>
        <v>4000</v>
      </c>
      <c r="O99" s="295">
        <v>1</v>
      </c>
      <c r="P99" s="252"/>
      <c r="Q99" s="392">
        <f>N99*O99</f>
        <v>4000</v>
      </c>
    </row>
    <row r="100" spans="2:17">
      <c r="B100" s="252" t="s">
        <v>401</v>
      </c>
      <c r="D100" s="313">
        <v>3000</v>
      </c>
      <c r="E100" s="295">
        <v>1</v>
      </c>
      <c r="F100" s="252">
        <v>0</v>
      </c>
      <c r="G100" s="250">
        <f>D100*E100</f>
        <v>3000</v>
      </c>
      <c r="I100" s="294">
        <f>D100</f>
        <v>3000</v>
      </c>
      <c r="J100" s="295">
        <v>1</v>
      </c>
      <c r="K100" s="252"/>
      <c r="L100" s="250">
        <f>I100*J100</f>
        <v>3000</v>
      </c>
      <c r="N100" s="294">
        <f>D100</f>
        <v>3000</v>
      </c>
      <c r="O100" s="295">
        <v>1</v>
      </c>
      <c r="P100" s="252"/>
      <c r="Q100" s="392">
        <f>N100*O100</f>
        <v>3000</v>
      </c>
    </row>
    <row r="101" spans="2:17">
      <c r="B101" s="252" t="s">
        <v>313</v>
      </c>
      <c r="D101" s="313">
        <v>8000</v>
      </c>
      <c r="E101" s="295">
        <v>1</v>
      </c>
      <c r="F101" s="252">
        <v>0</v>
      </c>
      <c r="G101" s="250">
        <f>D101*E101</f>
        <v>8000</v>
      </c>
      <c r="I101" s="294">
        <f>D101</f>
        <v>8000</v>
      </c>
      <c r="J101" s="295">
        <v>1</v>
      </c>
      <c r="K101" s="252"/>
      <c r="L101" s="250">
        <f>I101*J101</f>
        <v>8000</v>
      </c>
      <c r="N101" s="294">
        <f>D101</f>
        <v>8000</v>
      </c>
      <c r="O101" s="295">
        <v>1</v>
      </c>
      <c r="P101" s="252"/>
      <c r="Q101" s="392">
        <f>N101*O101</f>
        <v>8000</v>
      </c>
    </row>
    <row r="102" spans="2:17">
      <c r="B102" s="252" t="s">
        <v>380</v>
      </c>
      <c r="D102" s="313">
        <v>0</v>
      </c>
      <c r="E102" s="295">
        <v>1</v>
      </c>
      <c r="F102" s="252">
        <v>0</v>
      </c>
      <c r="G102" s="250">
        <f>D102*E102</f>
        <v>0</v>
      </c>
      <c r="I102" s="294">
        <f>D102</f>
        <v>0</v>
      </c>
      <c r="J102" s="295">
        <v>1</v>
      </c>
      <c r="K102" s="252"/>
      <c r="L102" s="250">
        <f>I102*J102</f>
        <v>0</v>
      </c>
      <c r="N102" s="294">
        <v>9000</v>
      </c>
      <c r="O102" s="295">
        <v>1</v>
      </c>
      <c r="P102" s="252"/>
      <c r="Q102" s="392">
        <f>N102*O102</f>
        <v>9000</v>
      </c>
    </row>
    <row r="103" spans="2:17">
      <c r="B103" s="252" t="s">
        <v>381</v>
      </c>
      <c r="D103" s="313">
        <v>0</v>
      </c>
      <c r="E103" s="295">
        <v>0</v>
      </c>
      <c r="F103" s="252">
        <v>0</v>
      </c>
      <c r="G103" s="250">
        <f>D103*E103</f>
        <v>0</v>
      </c>
      <c r="I103" s="294">
        <f>D103</f>
        <v>0</v>
      </c>
      <c r="J103" s="295">
        <v>0</v>
      </c>
      <c r="K103" s="252"/>
      <c r="L103" s="250">
        <f>I103*J103</f>
        <v>0</v>
      </c>
      <c r="N103" s="294">
        <f>D103</f>
        <v>0</v>
      </c>
      <c r="O103" s="295">
        <v>0</v>
      </c>
      <c r="P103" s="252"/>
      <c r="Q103" s="392">
        <f>N103*O103</f>
        <v>0</v>
      </c>
    </row>
    <row r="104" spans="2:17">
      <c r="B104" s="281" t="s">
        <v>376</v>
      </c>
      <c r="D104" s="289"/>
      <c r="E104" s="287"/>
      <c r="F104" s="305">
        <f>G104/G82</f>
        <v>3.5241048773611505E-2</v>
      </c>
      <c r="G104" s="282">
        <f>SUM(G99:G103)</f>
        <v>15000</v>
      </c>
      <c r="I104" s="289"/>
      <c r="J104" s="280"/>
      <c r="K104" s="305">
        <f>L104/L82</f>
        <v>2.8615578320837866E-2</v>
      </c>
      <c r="L104" s="283">
        <f>SUM(L99:L103)</f>
        <v>15000</v>
      </c>
      <c r="N104" s="289"/>
      <c r="O104" s="280"/>
      <c r="P104" s="305">
        <f>Q104/Q82</f>
        <v>2.1576136792707267E-2</v>
      </c>
      <c r="Q104" s="393">
        <f>SUM(Q99:Q103)</f>
        <v>24000</v>
      </c>
    </row>
    <row r="106" spans="2:17">
      <c r="B106" s="271" t="s">
        <v>386</v>
      </c>
      <c r="D106" s="298" t="s">
        <v>142</v>
      </c>
      <c r="E106" s="298" t="s">
        <v>366</v>
      </c>
      <c r="F106" s="298" t="s">
        <v>382</v>
      </c>
      <c r="G106" s="298" t="s">
        <v>275</v>
      </c>
      <c r="I106" s="298" t="s">
        <v>142</v>
      </c>
      <c r="J106" s="298" t="s">
        <v>366</v>
      </c>
      <c r="K106" s="298" t="s">
        <v>382</v>
      </c>
      <c r="L106" s="298" t="s">
        <v>275</v>
      </c>
      <c r="N106" s="298" t="s">
        <v>142</v>
      </c>
      <c r="O106" s="298" t="s">
        <v>366</v>
      </c>
      <c r="P106" s="298" t="s">
        <v>382</v>
      </c>
      <c r="Q106" s="394" t="s">
        <v>275</v>
      </c>
    </row>
    <row r="107" spans="2:17">
      <c r="B107" s="252" t="s">
        <v>383</v>
      </c>
      <c r="D107" s="300">
        <v>0</v>
      </c>
      <c r="E107" s="295">
        <v>0</v>
      </c>
      <c r="F107" s="252">
        <v>0</v>
      </c>
      <c r="G107" s="241">
        <f>Table2948[[#This Row],[Rate]]*Table2948[[#This Row],[Qty]]</f>
        <v>0</v>
      </c>
      <c r="I107" s="300">
        <f>Table2948[[#This Row],[Rate]]</f>
        <v>0</v>
      </c>
      <c r="J107" s="295">
        <v>0</v>
      </c>
      <c r="K107" s="252">
        <v>0</v>
      </c>
      <c r="L107" s="241">
        <f>Table293149[[#This Row],[Rate]]*Table293149[[#This Row],[Qty]]</f>
        <v>0</v>
      </c>
      <c r="N107" s="300">
        <f>Table2948[[#This Row],[Rate]]</f>
        <v>0</v>
      </c>
      <c r="O107" s="295">
        <v>0</v>
      </c>
      <c r="P107" s="252">
        <v>0</v>
      </c>
      <c r="Q107" s="395">
        <f>Table293250[[#This Row],[Rate]]*Table293250[[#This Row],[Qty]]</f>
        <v>0</v>
      </c>
    </row>
    <row r="108" spans="2:17">
      <c r="B108" s="252" t="s">
        <v>384</v>
      </c>
      <c r="D108" s="300">
        <v>0</v>
      </c>
      <c r="E108" s="295">
        <v>0</v>
      </c>
      <c r="F108" s="252">
        <v>0</v>
      </c>
      <c r="G108" s="241">
        <f>Table2948[[#This Row],[Rate]]*Table2948[[#This Row],[Qty]]</f>
        <v>0</v>
      </c>
      <c r="I108" s="300">
        <f>Table2948[[#This Row],[Rate]]</f>
        <v>0</v>
      </c>
      <c r="J108" s="295">
        <v>0</v>
      </c>
      <c r="K108" s="252">
        <v>0</v>
      </c>
      <c r="L108" s="241">
        <f>Table293149[[#This Row],[Rate]]*Table293149[[#This Row],[Qty]]</f>
        <v>0</v>
      </c>
      <c r="N108" s="300">
        <f>Table2948[[#This Row],[Rate]]</f>
        <v>0</v>
      </c>
      <c r="O108" s="295">
        <v>0</v>
      </c>
      <c r="P108" s="252">
        <v>0</v>
      </c>
      <c r="Q108" s="395">
        <f>Table293250[[#This Row],[Rate]]*Table293250[[#This Row],[Qty]]</f>
        <v>0</v>
      </c>
    </row>
    <row r="109" spans="2:17">
      <c r="B109" s="252" t="s">
        <v>385</v>
      </c>
      <c r="D109" s="300">
        <v>0</v>
      </c>
      <c r="E109" s="295">
        <v>0</v>
      </c>
      <c r="F109" s="252">
        <v>0</v>
      </c>
      <c r="G109" s="241">
        <f>Table2948[[#This Row],[Rate]]*Table2948[[#This Row],[Qty]]</f>
        <v>0</v>
      </c>
      <c r="I109" s="300">
        <f>Table2948[[#This Row],[Rate]]</f>
        <v>0</v>
      </c>
      <c r="J109" s="295">
        <v>0</v>
      </c>
      <c r="K109" s="252">
        <v>0</v>
      </c>
      <c r="L109" s="241">
        <f>Table293149[[#This Row],[Rate]]*Table293149[[#This Row],[Qty]]</f>
        <v>0</v>
      </c>
      <c r="N109" s="300">
        <f>Table2948[[#This Row],[Rate]]</f>
        <v>0</v>
      </c>
      <c r="O109" s="295">
        <v>0</v>
      </c>
      <c r="P109" s="252">
        <v>0</v>
      </c>
      <c r="Q109" s="395">
        <f>Table293250[[#This Row],[Rate]]*Table293250[[#This Row],[Qty]]</f>
        <v>0</v>
      </c>
    </row>
    <row r="110" spans="2:17">
      <c r="B110" s="281" t="s">
        <v>376</v>
      </c>
      <c r="D110" s="281"/>
      <c r="E110" s="281"/>
      <c r="F110" s="306">
        <f>Table2948[[#Totals],[Monthly]]/G82</f>
        <v>0</v>
      </c>
      <c r="G110" s="299">
        <f>SUBTOTAL(109,Table2948[Monthly])</f>
        <v>0</v>
      </c>
      <c r="I110" s="281"/>
      <c r="J110" s="281"/>
      <c r="K110" s="309">
        <f>Table293149[[#Totals],[Monthly]]/L82</f>
        <v>0</v>
      </c>
      <c r="L110" s="302">
        <f>SUBTOTAL(109,Table293149[Monthly])</f>
        <v>0</v>
      </c>
      <c r="N110" s="281"/>
      <c r="O110" s="281"/>
      <c r="P110" s="309">
        <f>Table293250[[#Totals],[Monthly]]/Q82</f>
        <v>0</v>
      </c>
      <c r="Q110" s="396">
        <f>SUBTOTAL(109,Table293250[Monthly])</f>
        <v>0</v>
      </c>
    </row>
    <row r="112" spans="2:17">
      <c r="B112" s="271" t="s">
        <v>37</v>
      </c>
      <c r="D112" s="298" t="s">
        <v>142</v>
      </c>
      <c r="E112" s="298" t="s">
        <v>366</v>
      </c>
      <c r="F112" s="298" t="s">
        <v>382</v>
      </c>
      <c r="G112" s="298" t="s">
        <v>275</v>
      </c>
      <c r="I112" s="298" t="s">
        <v>142</v>
      </c>
      <c r="J112" s="298" t="s">
        <v>366</v>
      </c>
      <c r="K112" s="298" t="s">
        <v>382</v>
      </c>
      <c r="L112" s="298" t="s">
        <v>275</v>
      </c>
      <c r="N112" s="298" t="s">
        <v>142</v>
      </c>
      <c r="O112" s="298" t="s">
        <v>366</v>
      </c>
      <c r="P112" s="298" t="s">
        <v>382</v>
      </c>
      <c r="Q112" s="394" t="s">
        <v>275</v>
      </c>
    </row>
    <row r="113" spans="2:17">
      <c r="B113" s="252" t="s">
        <v>403</v>
      </c>
      <c r="D113" s="300">
        <v>45000</v>
      </c>
      <c r="E113" s="295">
        <v>1</v>
      </c>
      <c r="F113" s="252">
        <v>0</v>
      </c>
      <c r="G113" s="241">
        <f>Table293452[[#This Row],[Rate]]*Table293452[[#This Row],[Qty]]</f>
        <v>45000</v>
      </c>
      <c r="I113" s="300">
        <f>Table293452[[#This Row],[Rate]]</f>
        <v>45000</v>
      </c>
      <c r="J113" s="295">
        <v>1</v>
      </c>
      <c r="K113" s="252">
        <v>0</v>
      </c>
      <c r="L113" s="241">
        <f>Table29343553[[#This Row],[Rate]]*Table29343553[[#This Row],[Qty]]</f>
        <v>45000</v>
      </c>
      <c r="N113" s="300">
        <f>Table293452[[#This Row],[Rate]]</f>
        <v>45000</v>
      </c>
      <c r="O113" s="295">
        <v>1</v>
      </c>
      <c r="P113" s="252">
        <v>0</v>
      </c>
      <c r="Q113" s="395">
        <f>Table29343654[[#This Row],[Rate]]*Table29343654[[#This Row],[Qty]]</f>
        <v>45000</v>
      </c>
    </row>
    <row r="114" spans="2:17">
      <c r="B114" s="252" t="s">
        <v>404</v>
      </c>
      <c r="D114" s="300">
        <v>60000</v>
      </c>
      <c r="E114" s="295">
        <v>1</v>
      </c>
      <c r="F114" s="252">
        <v>0</v>
      </c>
      <c r="G114" s="241">
        <f>Table293452[[#This Row],[Rate]]*Table293452[[#This Row],[Qty]]</f>
        <v>60000</v>
      </c>
      <c r="I114" s="300">
        <f>Table293452[[#This Row],[Rate]]</f>
        <v>60000</v>
      </c>
      <c r="J114" s="295">
        <v>1</v>
      </c>
      <c r="K114" s="252">
        <v>0</v>
      </c>
      <c r="L114" s="241">
        <f>Table29343553[[#This Row],[Rate]]*Table29343553[[#This Row],[Qty]]</f>
        <v>60000</v>
      </c>
      <c r="N114" s="300">
        <f>Table293452[[#This Row],[Rate]]</f>
        <v>60000</v>
      </c>
      <c r="O114" s="295">
        <v>1</v>
      </c>
      <c r="P114" s="252">
        <v>0</v>
      </c>
      <c r="Q114" s="395">
        <f>Table29343654[[#This Row],[Rate]]*Table29343654[[#This Row],[Qty]]</f>
        <v>60000</v>
      </c>
    </row>
    <row r="115" spans="2:17">
      <c r="B115" s="252"/>
      <c r="D115" s="300">
        <v>0</v>
      </c>
      <c r="E115" s="295">
        <v>0</v>
      </c>
      <c r="F115" s="252">
        <v>0</v>
      </c>
      <c r="G115" s="241">
        <f>Table293452[[#This Row],[Rate]]*Table293452[[#This Row],[Qty]]</f>
        <v>0</v>
      </c>
      <c r="I115" s="300">
        <f>Table293452[[#This Row],[Rate]]</f>
        <v>0</v>
      </c>
      <c r="J115" s="295">
        <v>0</v>
      </c>
      <c r="K115" s="252">
        <v>0</v>
      </c>
      <c r="L115" s="241">
        <f>Table29343553[[#This Row],[Rate]]*Table29343553[[#This Row],[Qty]]</f>
        <v>0</v>
      </c>
      <c r="N115" s="300">
        <f>Table293452[[#This Row],[Rate]]</f>
        <v>0</v>
      </c>
      <c r="O115" s="295">
        <v>0</v>
      </c>
      <c r="P115" s="252">
        <v>0</v>
      </c>
      <c r="Q115" s="395">
        <f>Table29343654[[#This Row],[Rate]]*Table29343654[[#This Row],[Qty]]</f>
        <v>0</v>
      </c>
    </row>
    <row r="116" spans="2:17">
      <c r="B116" s="252"/>
      <c r="D116" s="300">
        <v>0</v>
      </c>
      <c r="E116" s="295">
        <v>0</v>
      </c>
      <c r="F116" s="252">
        <v>0</v>
      </c>
      <c r="G116" s="252">
        <f>Table293452[[#This Row],[Rate]]*Table293452[[#This Row],[Qty]]</f>
        <v>0</v>
      </c>
      <c r="I116" s="300">
        <f>Table293452[[#This Row],[Rate]]</f>
        <v>0</v>
      </c>
      <c r="J116" s="295">
        <v>0</v>
      </c>
      <c r="K116" s="252">
        <v>0</v>
      </c>
      <c r="L116" s="252">
        <f>Table29343553[[#This Row],[Rate]]*Table29343553[[#This Row],[Qty]]</f>
        <v>0</v>
      </c>
      <c r="N116" s="300">
        <f>Table293452[[#This Row],[Rate]]</f>
        <v>0</v>
      </c>
      <c r="O116" s="295">
        <v>0</v>
      </c>
      <c r="P116" s="252">
        <v>0</v>
      </c>
      <c r="Q116" s="395">
        <f>Table29343654[[#This Row],[Rate]]*Table29343654[[#This Row],[Qty]]</f>
        <v>0</v>
      </c>
    </row>
    <row r="117" spans="2:17">
      <c r="B117" s="252"/>
      <c r="D117" s="303">
        <v>0</v>
      </c>
      <c r="E117" s="304">
        <v>0</v>
      </c>
      <c r="F117" s="301">
        <v>0</v>
      </c>
      <c r="G117" s="301">
        <f>Table293452[[#This Row],[Rate]]*Table293452[[#This Row],[Qty]]</f>
        <v>0</v>
      </c>
      <c r="I117" s="300">
        <f>Table293452[[#This Row],[Rate]]</f>
        <v>0</v>
      </c>
      <c r="J117" s="304">
        <v>0</v>
      </c>
      <c r="K117" s="301">
        <v>0</v>
      </c>
      <c r="L117" s="301">
        <f>Table29343553[[#This Row],[Rate]]*Table29343553[[#This Row],[Qty]]</f>
        <v>0</v>
      </c>
      <c r="N117" s="300">
        <f>Table293452[[#This Row],[Rate]]</f>
        <v>0</v>
      </c>
      <c r="O117" s="304">
        <v>0</v>
      </c>
      <c r="P117" s="301">
        <v>0</v>
      </c>
      <c r="Q117" s="397">
        <f>Table29343654[[#This Row],[Rate]]*Table29343654[[#This Row],[Qty]]</f>
        <v>0</v>
      </c>
    </row>
    <row r="118" spans="2:17">
      <c r="B118" s="281" t="s">
        <v>376</v>
      </c>
      <c r="D118" s="281"/>
      <c r="E118" s="281"/>
      <c r="F118" s="306">
        <f>Table293452[[#Totals],[Monthly]]/G82</f>
        <v>0.24668734141528051</v>
      </c>
      <c r="G118" s="302">
        <f>SUBTOTAL(109,Table293452[Monthly])</f>
        <v>105000</v>
      </c>
      <c r="I118" s="281"/>
      <c r="J118" s="281"/>
      <c r="K118" s="309">
        <f>Table29343553[[#Totals],[Monthly]]/L82</f>
        <v>0.20030904824586504</v>
      </c>
      <c r="L118" s="302">
        <f>SUBTOTAL(109,Table29343553[Monthly])</f>
        <v>105000</v>
      </c>
      <c r="N118" s="281"/>
      <c r="O118" s="281"/>
      <c r="P118" s="309">
        <f>Table29343654[[#Totals],[Monthly]]/Q82</f>
        <v>9.4395598468094283E-2</v>
      </c>
      <c r="Q118" s="396">
        <f>SUBTOTAL(109,Table29343654[Monthly])</f>
        <v>105000</v>
      </c>
    </row>
    <row r="120" spans="2:17">
      <c r="B120" s="281" t="s">
        <v>392</v>
      </c>
      <c r="D120" s="281"/>
      <c r="E120" s="281"/>
      <c r="F120" s="281"/>
      <c r="G120" s="302">
        <f>Table293452[[#Totals],[Monthly]]+Table2948[[#Totals],[Monthly]]+G104+Table2343[[#Totals],[Monthly]]+'Fianl All'!$G$90</f>
        <v>354050</v>
      </c>
      <c r="I120" s="281"/>
      <c r="J120" s="281"/>
      <c r="K120" s="281"/>
      <c r="L120" s="302">
        <f>Table29343553[[#Totals],[Monthly]]+Table293149[[#Totals],[Monthly]]+L104+Table2444[[#Totals],[Monthly]]+'Fianl All'!$L$90</f>
        <v>367050</v>
      </c>
      <c r="N120" s="281"/>
      <c r="O120" s="281"/>
      <c r="P120" s="281"/>
      <c r="Q120" s="396">
        <f>Table29343654[[#Totals],[Monthly]]+Table293250[[#Totals],[Monthly]]+Q104+Table2545[[#Totals],[Monthly]]+'Fianl All'!$Q$90</f>
        <v>740100</v>
      </c>
    </row>
    <row r="122" spans="2:17">
      <c r="B122" s="260" t="s">
        <v>371</v>
      </c>
      <c r="D122" s="261"/>
      <c r="E122" s="262"/>
      <c r="F122" s="262"/>
      <c r="G122" s="261">
        <f>Table1510[[#Totals],[Monthly]]+Table15115[[#Totals],[Monthly]]</f>
        <v>425640</v>
      </c>
      <c r="I122" s="261"/>
      <c r="J122" s="262"/>
      <c r="K122" s="262"/>
      <c r="L122" s="261">
        <f>Table1628[[#Totals],[Monthly]]+Table26126[[#Totals],[Monthly]]</f>
        <v>524190</v>
      </c>
      <c r="N122" s="261"/>
      <c r="O122" s="262"/>
      <c r="P122" s="262"/>
      <c r="Q122" s="387">
        <f>Table1737[[#Totals],[Monthly]]+Table37137[[#Totals],[Monthly]]</f>
        <v>1112340</v>
      </c>
    </row>
    <row r="124" spans="2:17">
      <c r="B124" s="415" t="s">
        <v>427</v>
      </c>
      <c r="D124" s="440">
        <v>8.2699999999999996E-2</v>
      </c>
      <c r="E124" s="417">
        <v>-1</v>
      </c>
      <c r="F124" s="418"/>
      <c r="G124" s="419">
        <f>E124*D124*G122</f>
        <v>-35200.428</v>
      </c>
      <c r="I124" s="440">
        <v>8.2699999999999996E-2</v>
      </c>
      <c r="J124" s="420">
        <v>-1</v>
      </c>
      <c r="K124" s="421"/>
      <c r="L124" s="419">
        <f>J124*I124*L122</f>
        <v>-43350.512999999999</v>
      </c>
      <c r="N124" s="440">
        <v>8.2699999999999996E-2</v>
      </c>
      <c r="O124" s="417">
        <v>-1</v>
      </c>
      <c r="P124" s="418"/>
      <c r="Q124" s="419">
        <f>O124*N124*Q122</f>
        <v>-91990.517999999996</v>
      </c>
    </row>
    <row r="125" spans="2:17" s="319" customFormat="1">
      <c r="B125"/>
      <c r="C125" s="238"/>
      <c r="D125" s="217"/>
      <c r="E125" s="212"/>
      <c r="F125" s="212"/>
      <c r="G125" s="212"/>
      <c r="H125" s="236"/>
      <c r="I125" s="217"/>
      <c r="J125" s="217"/>
      <c r="K125" s="217"/>
      <c r="L125" s="212"/>
      <c r="M125" s="236"/>
      <c r="N125" s="212"/>
      <c r="O125" s="212"/>
      <c r="P125" s="212"/>
      <c r="Q125" s="212"/>
    </row>
    <row r="126" spans="2:17" s="319" customFormat="1">
      <c r="B126" s="423" t="s">
        <v>393</v>
      </c>
      <c r="C126" s="424"/>
      <c r="D126" s="425"/>
      <c r="E126" s="426"/>
      <c r="F126" s="426"/>
      <c r="G126" s="425">
        <f>G122-G120+G124</f>
        <v>36389.572</v>
      </c>
      <c r="H126" s="427"/>
      <c r="I126" s="425"/>
      <c r="J126" s="425"/>
      <c r="K126" s="425"/>
      <c r="L126" s="425">
        <f>L122-L120+L124</f>
        <v>113789.48699999999</v>
      </c>
      <c r="M126" s="427"/>
      <c r="N126" s="426"/>
      <c r="O126" s="426"/>
      <c r="P126" s="426"/>
      <c r="Q126" s="425">
        <f>Q122-Q120+Q124</f>
        <v>280249.48200000002</v>
      </c>
    </row>
    <row r="127" spans="2:17" s="463" customFormat="1">
      <c r="B127" s="319"/>
      <c r="C127" s="424"/>
      <c r="D127" s="428"/>
      <c r="E127" s="429"/>
      <c r="F127" s="429"/>
      <c r="G127" s="429"/>
      <c r="H127" s="427"/>
      <c r="I127" s="428"/>
      <c r="J127" s="428"/>
      <c r="K127" s="428"/>
      <c r="L127" s="429"/>
      <c r="M127" s="427"/>
      <c r="N127" s="429"/>
      <c r="O127" s="429"/>
      <c r="P127" s="429"/>
      <c r="Q127" s="429"/>
    </row>
    <row r="128" spans="2:17" s="432" customFormat="1">
      <c r="B128" s="459" t="s">
        <v>394</v>
      </c>
      <c r="C128" s="460"/>
      <c r="D128" s="461"/>
      <c r="E128" s="461"/>
      <c r="F128" s="461"/>
      <c r="G128" s="461">
        <f>G126/G122</f>
        <v>8.5493778780189836E-2</v>
      </c>
      <c r="H128" s="462"/>
      <c r="I128" s="461"/>
      <c r="J128" s="461"/>
      <c r="K128" s="461"/>
      <c r="L128" s="461">
        <f>L126/L122</f>
        <v>0.21707679848909744</v>
      </c>
      <c r="M128" s="462"/>
      <c r="N128" s="461"/>
      <c r="O128" s="461"/>
      <c r="P128" s="461"/>
      <c r="Q128" s="461">
        <f>Q126/Q122</f>
        <v>0.25194588165488968</v>
      </c>
    </row>
    <row r="129" spans="2:17" s="433" customFormat="1" ht="6.75" customHeight="1">
      <c r="B129" s="432"/>
      <c r="C129" s="432"/>
      <c r="D129" s="434"/>
      <c r="E129" s="435"/>
      <c r="F129" s="435"/>
      <c r="G129" s="436"/>
      <c r="H129" s="435"/>
      <c r="I129" s="434"/>
      <c r="J129" s="434"/>
      <c r="K129" s="434"/>
      <c r="L129" s="436"/>
      <c r="M129" s="435"/>
      <c r="N129" s="435"/>
      <c r="O129" s="435"/>
      <c r="P129" s="435"/>
      <c r="Q129" s="436"/>
    </row>
    <row r="130" spans="2:17" s="445" customFormat="1">
      <c r="B130" s="432"/>
      <c r="C130" s="433"/>
      <c r="D130" s="434"/>
      <c r="E130" s="435"/>
      <c r="F130" s="435"/>
      <c r="G130" s="436"/>
      <c r="H130" s="437"/>
      <c r="I130" s="434"/>
      <c r="J130" s="434"/>
      <c r="K130" s="434"/>
      <c r="L130" s="436"/>
      <c r="M130" s="437"/>
      <c r="N130" s="435"/>
      <c r="O130" s="435"/>
      <c r="P130" s="435"/>
      <c r="Q130" s="436"/>
    </row>
    <row r="131" spans="2:17">
      <c r="B131" s="445"/>
      <c r="C131" s="445"/>
      <c r="D131" s="446"/>
      <c r="E131" s="447"/>
      <c r="F131" s="447"/>
      <c r="G131" s="447"/>
      <c r="H131" s="447"/>
      <c r="I131" s="446"/>
      <c r="J131" s="446"/>
      <c r="K131" s="446"/>
      <c r="L131" s="446"/>
      <c r="M131" s="447"/>
      <c r="N131" s="447"/>
      <c r="O131" s="447"/>
      <c r="P131" s="447"/>
      <c r="Q131" s="448"/>
    </row>
    <row r="132" spans="2:17">
      <c r="B132" s="319" t="s">
        <v>406</v>
      </c>
    </row>
    <row r="133" spans="2:17">
      <c r="B133" s="320" t="s">
        <v>407</v>
      </c>
      <c r="D133" s="324" t="s">
        <v>142</v>
      </c>
      <c r="E133" s="325" t="s">
        <v>366</v>
      </c>
      <c r="F133" s="325" t="s">
        <v>367</v>
      </c>
      <c r="G133" s="326" t="s">
        <v>275</v>
      </c>
      <c r="I133" s="324" t="s">
        <v>142</v>
      </c>
      <c r="J133" s="325" t="s">
        <v>366</v>
      </c>
      <c r="K133" s="325" t="s">
        <v>367</v>
      </c>
      <c r="L133" s="326" t="s">
        <v>275</v>
      </c>
      <c r="N133" s="324" t="s">
        <v>142</v>
      </c>
      <c r="O133" s="325" t="s">
        <v>366</v>
      </c>
      <c r="P133" s="325" t="s">
        <v>367</v>
      </c>
      <c r="Q133" s="400" t="s">
        <v>275</v>
      </c>
    </row>
    <row r="134" spans="2:17">
      <c r="B134" s="322" t="s">
        <v>43</v>
      </c>
      <c r="D134" s="341">
        <v>2419</v>
      </c>
      <c r="E134" s="248">
        <v>1</v>
      </c>
      <c r="F134" s="263">
        <v>30</v>
      </c>
      <c r="G134" s="331">
        <f>F134*E134*D134</f>
        <v>72570</v>
      </c>
      <c r="I134" s="345">
        <v>2760</v>
      </c>
      <c r="J134" s="346">
        <v>1</v>
      </c>
      <c r="K134" s="263">
        <v>30</v>
      </c>
      <c r="L134" s="331">
        <f>I134*F134*E134</f>
        <v>82800</v>
      </c>
      <c r="N134" s="345">
        <v>2760</v>
      </c>
      <c r="O134" s="346">
        <v>1</v>
      </c>
      <c r="P134" s="263">
        <v>30</v>
      </c>
      <c r="Q134" s="401">
        <f>P134*O134*N134</f>
        <v>82800</v>
      </c>
    </row>
    <row r="135" spans="2:17">
      <c r="B135" s="322" t="s">
        <v>0</v>
      </c>
      <c r="D135" s="342">
        <v>1573</v>
      </c>
      <c r="E135" s="239">
        <v>1</v>
      </c>
      <c r="F135" s="263">
        <v>30</v>
      </c>
      <c r="G135" s="332">
        <f t="shared" ref="G135:G150" si="5">F135*E135*D135</f>
        <v>47190</v>
      </c>
      <c r="I135" s="342">
        <v>1794</v>
      </c>
      <c r="J135" s="239">
        <v>1</v>
      </c>
      <c r="K135" s="263">
        <v>30</v>
      </c>
      <c r="L135" s="332">
        <f t="shared" ref="L135:L150" si="6">I135*F135*E135</f>
        <v>53820</v>
      </c>
      <c r="N135" s="342">
        <v>1794</v>
      </c>
      <c r="O135" s="239">
        <v>2</v>
      </c>
      <c r="P135" s="263">
        <v>30</v>
      </c>
      <c r="Q135" s="401">
        <f t="shared" ref="Q135:Q150" si="7">P135*O135*N135</f>
        <v>107640</v>
      </c>
    </row>
    <row r="136" spans="2:17">
      <c r="B136" s="322" t="s">
        <v>1</v>
      </c>
      <c r="D136" s="342">
        <v>883</v>
      </c>
      <c r="E136" s="249">
        <v>1</v>
      </c>
      <c r="F136" s="263">
        <v>30</v>
      </c>
      <c r="G136" s="332">
        <f t="shared" si="5"/>
        <v>26490</v>
      </c>
      <c r="I136" s="342">
        <v>1008</v>
      </c>
      <c r="J136" s="249">
        <v>1</v>
      </c>
      <c r="K136" s="263">
        <v>30</v>
      </c>
      <c r="L136" s="332">
        <f t="shared" si="6"/>
        <v>30240</v>
      </c>
      <c r="N136" s="342">
        <v>1008</v>
      </c>
      <c r="O136" s="249">
        <v>2</v>
      </c>
      <c r="P136" s="263">
        <v>30</v>
      </c>
      <c r="Q136" s="401">
        <f t="shared" si="7"/>
        <v>60480</v>
      </c>
    </row>
    <row r="137" spans="2:17">
      <c r="B137" s="322" t="s">
        <v>2</v>
      </c>
      <c r="D137" s="342">
        <v>883</v>
      </c>
      <c r="E137" s="249">
        <v>1</v>
      </c>
      <c r="F137" s="263">
        <v>30</v>
      </c>
      <c r="G137" s="331">
        <f t="shared" si="5"/>
        <v>26490</v>
      </c>
      <c r="I137" s="342">
        <v>1008</v>
      </c>
      <c r="J137" s="249">
        <v>1</v>
      </c>
      <c r="K137" s="263">
        <v>30</v>
      </c>
      <c r="L137" s="331">
        <f t="shared" si="6"/>
        <v>30240</v>
      </c>
      <c r="N137" s="342">
        <v>1008</v>
      </c>
      <c r="O137" s="249">
        <v>2</v>
      </c>
      <c r="P137" s="263">
        <v>30</v>
      </c>
      <c r="Q137" s="401">
        <f t="shared" si="7"/>
        <v>60480</v>
      </c>
    </row>
    <row r="138" spans="2:17">
      <c r="B138" s="322" t="s">
        <v>3</v>
      </c>
      <c r="D138" s="342">
        <v>883</v>
      </c>
      <c r="E138" s="249">
        <v>1</v>
      </c>
      <c r="F138" s="263">
        <v>30</v>
      </c>
      <c r="G138" s="332">
        <f t="shared" si="5"/>
        <v>26490</v>
      </c>
      <c r="I138" s="342">
        <v>1008</v>
      </c>
      <c r="J138" s="249">
        <v>1</v>
      </c>
      <c r="K138" s="263">
        <v>30</v>
      </c>
      <c r="L138" s="332">
        <f t="shared" si="6"/>
        <v>30240</v>
      </c>
      <c r="N138" s="342">
        <v>1008</v>
      </c>
      <c r="O138" s="249">
        <v>1</v>
      </c>
      <c r="P138" s="263">
        <v>30</v>
      </c>
      <c r="Q138" s="401">
        <f t="shared" si="7"/>
        <v>30240</v>
      </c>
    </row>
    <row r="139" spans="2:17">
      <c r="B139" s="322" t="s">
        <v>4</v>
      </c>
      <c r="D139" s="342">
        <v>500</v>
      </c>
      <c r="E139" s="249">
        <v>3</v>
      </c>
      <c r="F139" s="263">
        <v>30</v>
      </c>
      <c r="G139" s="332">
        <f t="shared" si="5"/>
        <v>45000</v>
      </c>
      <c r="I139" s="342">
        <v>577</v>
      </c>
      <c r="J139" s="249">
        <v>3</v>
      </c>
      <c r="K139" s="263">
        <v>30</v>
      </c>
      <c r="L139" s="332">
        <f t="shared" si="6"/>
        <v>51930</v>
      </c>
      <c r="N139" s="342">
        <v>577</v>
      </c>
      <c r="O139" s="249">
        <v>5</v>
      </c>
      <c r="P139" s="263">
        <v>30</v>
      </c>
      <c r="Q139" s="401">
        <f t="shared" si="7"/>
        <v>86550</v>
      </c>
    </row>
    <row r="140" spans="2:17">
      <c r="B140" s="322" t="s">
        <v>5</v>
      </c>
      <c r="D140" s="342">
        <v>530</v>
      </c>
      <c r="E140" s="249">
        <v>1</v>
      </c>
      <c r="F140" s="263">
        <v>30</v>
      </c>
      <c r="G140" s="331">
        <f t="shared" si="5"/>
        <v>15900</v>
      </c>
      <c r="I140" s="342">
        <v>604</v>
      </c>
      <c r="J140" s="249">
        <v>1</v>
      </c>
      <c r="K140" s="263">
        <v>30</v>
      </c>
      <c r="L140" s="331">
        <f t="shared" si="6"/>
        <v>18120</v>
      </c>
      <c r="N140" s="342">
        <v>604</v>
      </c>
      <c r="O140" s="249">
        <v>2</v>
      </c>
      <c r="P140" s="263">
        <v>30</v>
      </c>
      <c r="Q140" s="401">
        <f t="shared" si="7"/>
        <v>36240</v>
      </c>
    </row>
    <row r="141" spans="2:17">
      <c r="B141" s="322" t="s">
        <v>6</v>
      </c>
      <c r="D141" s="342">
        <v>491</v>
      </c>
      <c r="E141" s="249">
        <v>3</v>
      </c>
      <c r="F141" s="263">
        <v>30</v>
      </c>
      <c r="G141" s="332">
        <f t="shared" si="5"/>
        <v>44190</v>
      </c>
      <c r="I141" s="342">
        <v>567</v>
      </c>
      <c r="J141" s="249">
        <v>3</v>
      </c>
      <c r="K141" s="263">
        <v>30</v>
      </c>
      <c r="L141" s="332">
        <f t="shared" si="6"/>
        <v>51030</v>
      </c>
      <c r="N141" s="342">
        <v>567</v>
      </c>
      <c r="O141" s="249">
        <v>5</v>
      </c>
      <c r="P141" s="263">
        <v>30</v>
      </c>
      <c r="Q141" s="401">
        <f t="shared" si="7"/>
        <v>85050</v>
      </c>
    </row>
    <row r="142" spans="2:17">
      <c r="B142" s="322" t="s">
        <v>7</v>
      </c>
      <c r="D142" s="342">
        <v>545</v>
      </c>
      <c r="E142" s="249">
        <v>1</v>
      </c>
      <c r="F142" s="263">
        <v>30</v>
      </c>
      <c r="G142" s="332">
        <f t="shared" si="5"/>
        <v>16350</v>
      </c>
      <c r="I142" s="342">
        <v>621</v>
      </c>
      <c r="J142" s="249">
        <v>1</v>
      </c>
      <c r="K142" s="263">
        <v>30</v>
      </c>
      <c r="L142" s="332">
        <f t="shared" si="6"/>
        <v>18630</v>
      </c>
      <c r="N142" s="342">
        <v>621</v>
      </c>
      <c r="O142" s="249">
        <v>1</v>
      </c>
      <c r="P142" s="263">
        <v>30</v>
      </c>
      <c r="Q142" s="401">
        <f t="shared" si="7"/>
        <v>18630</v>
      </c>
    </row>
    <row r="143" spans="2:17">
      <c r="B143" s="322" t="s">
        <v>8</v>
      </c>
      <c r="D143" s="342">
        <v>744</v>
      </c>
      <c r="E143" s="239">
        <v>1</v>
      </c>
      <c r="F143" s="263">
        <v>30</v>
      </c>
      <c r="G143" s="331">
        <f t="shared" si="5"/>
        <v>22320</v>
      </c>
      <c r="I143" s="342">
        <v>849</v>
      </c>
      <c r="J143" s="239">
        <v>1</v>
      </c>
      <c r="K143" s="263">
        <v>30</v>
      </c>
      <c r="L143" s="331">
        <f t="shared" si="6"/>
        <v>25470</v>
      </c>
      <c r="N143" s="342">
        <v>849</v>
      </c>
      <c r="O143" s="239">
        <v>1</v>
      </c>
      <c r="P143" s="263">
        <v>30</v>
      </c>
      <c r="Q143" s="401">
        <f t="shared" si="7"/>
        <v>25470</v>
      </c>
    </row>
    <row r="144" spans="2:17">
      <c r="B144" s="322" t="s">
        <v>9</v>
      </c>
      <c r="D144" s="342">
        <v>514</v>
      </c>
      <c r="E144" s="249">
        <v>1</v>
      </c>
      <c r="F144" s="263">
        <v>30</v>
      </c>
      <c r="G144" s="332">
        <f t="shared" si="5"/>
        <v>15420</v>
      </c>
      <c r="I144" s="342">
        <v>587</v>
      </c>
      <c r="J144" s="249">
        <v>1</v>
      </c>
      <c r="K144" s="263">
        <v>30</v>
      </c>
      <c r="L144" s="332">
        <f t="shared" si="6"/>
        <v>17610</v>
      </c>
      <c r="N144" s="342">
        <v>587</v>
      </c>
      <c r="O144" s="249">
        <v>2</v>
      </c>
      <c r="P144" s="263">
        <v>30</v>
      </c>
      <c r="Q144" s="401">
        <f t="shared" si="7"/>
        <v>35220</v>
      </c>
    </row>
    <row r="145" spans="2:17">
      <c r="B145" s="322" t="s">
        <v>10</v>
      </c>
      <c r="D145" s="342">
        <v>514</v>
      </c>
      <c r="E145" s="249">
        <v>1</v>
      </c>
      <c r="F145" s="263">
        <v>30</v>
      </c>
      <c r="G145" s="332">
        <f t="shared" si="5"/>
        <v>15420</v>
      </c>
      <c r="I145" s="342">
        <v>587</v>
      </c>
      <c r="J145" s="249">
        <v>1</v>
      </c>
      <c r="K145" s="263">
        <v>30</v>
      </c>
      <c r="L145" s="332">
        <f t="shared" si="6"/>
        <v>17610</v>
      </c>
      <c r="N145" s="342">
        <v>587</v>
      </c>
      <c r="O145" s="249">
        <v>2</v>
      </c>
      <c r="P145" s="263">
        <v>30</v>
      </c>
      <c r="Q145" s="401">
        <f t="shared" si="7"/>
        <v>35220</v>
      </c>
    </row>
    <row r="146" spans="2:17">
      <c r="B146" s="322" t="s">
        <v>11</v>
      </c>
      <c r="D146" s="342">
        <v>450</v>
      </c>
      <c r="E146" s="249">
        <v>4</v>
      </c>
      <c r="F146" s="263">
        <v>30</v>
      </c>
      <c r="G146" s="331">
        <f t="shared" si="5"/>
        <v>54000</v>
      </c>
      <c r="I146" s="342">
        <v>510</v>
      </c>
      <c r="J146" s="249">
        <v>4</v>
      </c>
      <c r="K146" s="263">
        <v>30</v>
      </c>
      <c r="L146" s="331">
        <f t="shared" si="6"/>
        <v>61200</v>
      </c>
      <c r="N146" s="342">
        <v>510</v>
      </c>
      <c r="O146" s="249">
        <v>6</v>
      </c>
      <c r="P146" s="263">
        <v>30</v>
      </c>
      <c r="Q146" s="401">
        <f t="shared" si="7"/>
        <v>91800</v>
      </c>
    </row>
    <row r="147" spans="2:17">
      <c r="B147" s="322" t="s">
        <v>45</v>
      </c>
      <c r="D147" s="342">
        <v>998</v>
      </c>
      <c r="E147" s="249">
        <v>1</v>
      </c>
      <c r="F147" s="263">
        <v>30</v>
      </c>
      <c r="G147" s="332">
        <f t="shared" si="5"/>
        <v>29940</v>
      </c>
      <c r="I147" s="342">
        <v>1139</v>
      </c>
      <c r="J147" s="249">
        <v>1</v>
      </c>
      <c r="K147" s="263">
        <v>30</v>
      </c>
      <c r="L147" s="332">
        <f t="shared" si="6"/>
        <v>34170</v>
      </c>
      <c r="N147" s="342">
        <v>1139</v>
      </c>
      <c r="O147" s="249">
        <v>1</v>
      </c>
      <c r="P147" s="263">
        <v>30</v>
      </c>
      <c r="Q147" s="401">
        <f t="shared" si="7"/>
        <v>34170</v>
      </c>
    </row>
    <row r="148" spans="2:17">
      <c r="B148" s="322" t="s">
        <v>42</v>
      </c>
      <c r="D148" s="342">
        <v>726</v>
      </c>
      <c r="E148" s="249">
        <v>1</v>
      </c>
      <c r="F148" s="263">
        <v>30</v>
      </c>
      <c r="G148" s="332">
        <f t="shared" si="5"/>
        <v>21780</v>
      </c>
      <c r="I148" s="342">
        <v>828</v>
      </c>
      <c r="J148" s="249">
        <v>1</v>
      </c>
      <c r="K148" s="263">
        <v>30</v>
      </c>
      <c r="L148" s="332">
        <f t="shared" si="6"/>
        <v>24840</v>
      </c>
      <c r="N148" s="342">
        <v>828</v>
      </c>
      <c r="O148" s="249">
        <v>1</v>
      </c>
      <c r="P148" s="263">
        <v>30</v>
      </c>
      <c r="Q148" s="401">
        <f t="shared" si="7"/>
        <v>24840</v>
      </c>
    </row>
    <row r="149" spans="2:17">
      <c r="B149" s="322" t="s">
        <v>46</v>
      </c>
      <c r="D149" s="342">
        <v>726</v>
      </c>
      <c r="E149" s="249">
        <v>1</v>
      </c>
      <c r="F149" s="263">
        <v>30</v>
      </c>
      <c r="G149" s="331">
        <f t="shared" si="5"/>
        <v>21780</v>
      </c>
      <c r="I149" s="342">
        <v>828</v>
      </c>
      <c r="J149" s="249">
        <v>1</v>
      </c>
      <c r="K149" s="263">
        <v>30</v>
      </c>
      <c r="L149" s="331">
        <f t="shared" si="6"/>
        <v>24840</v>
      </c>
      <c r="N149" s="342">
        <v>828</v>
      </c>
      <c r="O149" s="249">
        <v>1</v>
      </c>
      <c r="P149" s="263">
        <v>30</v>
      </c>
      <c r="Q149" s="401">
        <f t="shared" si="7"/>
        <v>24840</v>
      </c>
    </row>
    <row r="150" spans="2:17">
      <c r="B150" s="322" t="s">
        <v>154</v>
      </c>
      <c r="D150" s="343">
        <v>3628</v>
      </c>
      <c r="E150" s="344">
        <v>0</v>
      </c>
      <c r="F150" s="263">
        <v>30</v>
      </c>
      <c r="G150" s="332">
        <f t="shared" si="5"/>
        <v>0</v>
      </c>
      <c r="I150" s="343">
        <v>4140</v>
      </c>
      <c r="J150" s="344">
        <v>0</v>
      </c>
      <c r="K150" s="263">
        <v>30</v>
      </c>
      <c r="L150" s="332">
        <f t="shared" si="6"/>
        <v>0</v>
      </c>
      <c r="N150" s="343">
        <v>4140</v>
      </c>
      <c r="O150" s="344">
        <v>0</v>
      </c>
      <c r="P150" s="263">
        <v>30</v>
      </c>
      <c r="Q150" s="401">
        <f t="shared" si="7"/>
        <v>0</v>
      </c>
    </row>
    <row r="151" spans="2:17">
      <c r="B151" s="323" t="s">
        <v>263</v>
      </c>
      <c r="D151" s="333">
        <f>'Fianl All'!$G$151/'Fianl All'!$E$151</f>
        <v>21796.956521739132</v>
      </c>
      <c r="E151" s="334">
        <f>SUBTOTAL(109,'Fianl All'!$E$134:$E$150)</f>
        <v>23</v>
      </c>
      <c r="F151" s="334"/>
      <c r="G151" s="335">
        <f>SUBTOTAL(109,'Fianl All'!$G$134:$G$150)</f>
        <v>501330</v>
      </c>
      <c r="I151" s="333">
        <f>'Fianl All'!$L$151/'Fianl All'!$J$151</f>
        <v>24903.91304347826</v>
      </c>
      <c r="J151" s="336">
        <f>SUBTOTAL(109,'Fianl All'!$J$134:$J$150)</f>
        <v>23</v>
      </c>
      <c r="K151" s="336"/>
      <c r="L151" s="335">
        <f>SUBTOTAL(109,'Fianl All'!$L$134:$L$150)</f>
        <v>572790</v>
      </c>
      <c r="N151" s="333">
        <f>'Fianl All'!$Q$151/'Fianl All'!$O$151</f>
        <v>23990.571428571428</v>
      </c>
      <c r="O151" s="334">
        <f>SUBTOTAL(109,'Fianl All'!$O$134:$O$150)</f>
        <v>35</v>
      </c>
      <c r="P151" s="334"/>
      <c r="Q151" s="402">
        <f>SUBTOTAL(109,'Fianl All'!$Q$134:$Q$150)</f>
        <v>839670</v>
      </c>
    </row>
    <row r="153" spans="2:17">
      <c r="B153" s="320" t="s">
        <v>37</v>
      </c>
      <c r="D153" s="324" t="s">
        <v>142</v>
      </c>
      <c r="E153" s="325" t="s">
        <v>366</v>
      </c>
      <c r="F153" s="325" t="s">
        <v>367</v>
      </c>
      <c r="G153" s="326" t="s">
        <v>275</v>
      </c>
      <c r="I153" s="324" t="s">
        <v>142</v>
      </c>
      <c r="J153" s="325" t="s">
        <v>366</v>
      </c>
      <c r="K153" s="325" t="s">
        <v>367</v>
      </c>
      <c r="L153" s="326" t="s">
        <v>275</v>
      </c>
      <c r="N153" s="324" t="s">
        <v>142</v>
      </c>
      <c r="O153" s="325" t="s">
        <v>366</v>
      </c>
      <c r="P153" s="325" t="s">
        <v>367</v>
      </c>
      <c r="Q153" s="400" t="s">
        <v>275</v>
      </c>
    </row>
    <row r="154" spans="2:17">
      <c r="B154" s="321" t="s">
        <v>403</v>
      </c>
      <c r="D154" s="327">
        <v>2002</v>
      </c>
      <c r="E154" s="328">
        <v>0</v>
      </c>
      <c r="F154" s="328">
        <v>30</v>
      </c>
      <c r="G154" s="329">
        <f>D154*E154*F154</f>
        <v>0</v>
      </c>
      <c r="I154" s="327">
        <v>2249</v>
      </c>
      <c r="J154" s="328">
        <v>0</v>
      </c>
      <c r="K154" s="328">
        <v>30</v>
      </c>
      <c r="L154" s="329">
        <f>I154*J154*K154</f>
        <v>0</v>
      </c>
      <c r="N154" s="327">
        <v>2249</v>
      </c>
      <c r="O154" s="328">
        <v>1</v>
      </c>
      <c r="P154" s="328">
        <v>30</v>
      </c>
      <c r="Q154" s="403">
        <f>N154*O154*P154</f>
        <v>67470</v>
      </c>
    </row>
    <row r="155" spans="2:17">
      <c r="B155" s="322" t="s">
        <v>49</v>
      </c>
      <c r="D155" s="330">
        <v>2310</v>
      </c>
      <c r="E155" s="337">
        <v>0</v>
      </c>
      <c r="F155" s="263">
        <v>30</v>
      </c>
      <c r="G155" s="338">
        <f>D155*E155*F155</f>
        <v>0</v>
      </c>
      <c r="I155" s="330">
        <v>2595</v>
      </c>
      <c r="J155" s="337">
        <v>0</v>
      </c>
      <c r="K155" s="263">
        <v>30</v>
      </c>
      <c r="L155" s="332">
        <f>I155*J155*K155</f>
        <v>0</v>
      </c>
      <c r="N155" s="330">
        <v>2595</v>
      </c>
      <c r="O155" s="337">
        <v>0</v>
      </c>
      <c r="P155" s="263">
        <v>30</v>
      </c>
      <c r="Q155" s="404">
        <f>N155*O155*P155</f>
        <v>0</v>
      </c>
    </row>
    <row r="156" spans="2:17">
      <c r="B156" s="322" t="s">
        <v>50</v>
      </c>
      <c r="D156" s="330">
        <v>507</v>
      </c>
      <c r="E156" s="263">
        <v>0</v>
      </c>
      <c r="F156" s="263">
        <v>30</v>
      </c>
      <c r="G156" s="332">
        <f>D156*E156*F156</f>
        <v>0</v>
      </c>
      <c r="I156" s="330">
        <v>570</v>
      </c>
      <c r="J156" s="263">
        <v>0</v>
      </c>
      <c r="K156" s="263">
        <v>30</v>
      </c>
      <c r="L156" s="332">
        <f>I156*J156*K156</f>
        <v>0</v>
      </c>
      <c r="N156" s="330">
        <v>570</v>
      </c>
      <c r="O156" s="263">
        <v>0</v>
      </c>
      <c r="P156" s="263">
        <v>30</v>
      </c>
      <c r="Q156" s="401">
        <f>N156*O156*P156</f>
        <v>0</v>
      </c>
    </row>
    <row r="157" spans="2:17">
      <c r="B157" s="323" t="s">
        <v>263</v>
      </c>
      <c r="D157" s="339"/>
      <c r="E157" s="334"/>
      <c r="F157" s="334"/>
      <c r="G157" s="335">
        <f>SUBTOTAL(109,'Fianl All'!$G$154:$G$156)</f>
        <v>0</v>
      </c>
      <c r="I157" s="339"/>
      <c r="J157" s="334"/>
      <c r="K157" s="334"/>
      <c r="L157" s="335">
        <f>SUBTOTAL(109,'Fianl All'!$L$154:$L$156)</f>
        <v>0</v>
      </c>
      <c r="N157" s="340"/>
      <c r="O157" s="262"/>
      <c r="P157" s="262"/>
      <c r="Q157" s="405">
        <f>SUBTOTAL(109,'Fianl All'!$Q$154:$Q$156)</f>
        <v>67470</v>
      </c>
    </row>
    <row r="159" spans="2:17">
      <c r="B159" s="260" t="s">
        <v>371</v>
      </c>
      <c r="D159" s="261">
        <f>G159/'Fianl All'!$E$151</f>
        <v>21796.956521739132</v>
      </c>
      <c r="E159" s="262"/>
      <c r="F159" s="262"/>
      <c r="G159" s="261">
        <f>'Fianl All'!$G$157+'Fianl All'!$G$151</f>
        <v>501330</v>
      </c>
      <c r="I159" s="261">
        <f>L159/'Fianl All'!$J$151</f>
        <v>24903.91304347826</v>
      </c>
      <c r="J159" s="262"/>
      <c r="K159" s="262"/>
      <c r="L159" s="261">
        <f>'Fianl All'!$L$157+'Fianl All'!$L$151</f>
        <v>572790</v>
      </c>
      <c r="N159" s="261">
        <f>Q159/'Fianl All'!$O$151</f>
        <v>25918.285714285714</v>
      </c>
      <c r="O159" s="262"/>
      <c r="P159" s="262"/>
      <c r="Q159" s="387">
        <f>'Fianl All'!$Q$157+'Fianl All'!$Q$151</f>
        <v>907140</v>
      </c>
    </row>
    <row r="161" spans="2:24" ht="15.75" thickBot="1">
      <c r="B161" s="314"/>
      <c r="C161" s="315"/>
      <c r="D161" s="316"/>
      <c r="E161" s="317"/>
      <c r="F161" s="317"/>
      <c r="G161" s="317"/>
      <c r="H161" s="318"/>
      <c r="I161" s="316"/>
      <c r="J161" s="316"/>
      <c r="K161" s="316"/>
      <c r="L161" s="316"/>
      <c r="M161" s="318"/>
      <c r="N161" s="317"/>
      <c r="O161" s="317"/>
      <c r="P161" s="317"/>
      <c r="Q161" s="399"/>
    </row>
    <row r="163" spans="2:24" s="365" customFormat="1">
      <c r="B163" s="347" t="s">
        <v>369</v>
      </c>
      <c r="C163" s="238"/>
      <c r="D163" s="349" t="s">
        <v>142</v>
      </c>
      <c r="E163" s="350" t="s">
        <v>366</v>
      </c>
      <c r="F163" s="350" t="s">
        <v>367</v>
      </c>
      <c r="G163" s="351" t="s">
        <v>275</v>
      </c>
      <c r="H163" s="236"/>
      <c r="I163" s="349" t="s">
        <v>142</v>
      </c>
      <c r="J163" s="350" t="s">
        <v>366</v>
      </c>
      <c r="K163" s="350" t="s">
        <v>367</v>
      </c>
      <c r="L163" s="351" t="s">
        <v>275</v>
      </c>
      <c r="M163" s="236"/>
      <c r="N163" s="349" t="s">
        <v>142</v>
      </c>
      <c r="O163" s="350" t="s">
        <v>366</v>
      </c>
      <c r="P163" s="350" t="s">
        <v>367</v>
      </c>
      <c r="Q163" s="406" t="s">
        <v>275</v>
      </c>
      <c r="S163"/>
      <c r="T163"/>
      <c r="U163"/>
      <c r="V163"/>
      <c r="W163"/>
      <c r="X163"/>
    </row>
    <row r="164" spans="2:24" s="365" customFormat="1">
      <c r="B164" s="361" t="str">
        <f>B134</f>
        <v>FM Manager</v>
      </c>
      <c r="C164" s="362"/>
      <c r="D164" s="364">
        <v>60000</v>
      </c>
      <c r="E164" s="360">
        <f>E134</f>
        <v>1</v>
      </c>
      <c r="F164" s="337">
        <v>30</v>
      </c>
      <c r="G164" s="338">
        <f>'Fianl All'!$D164*'Fianl All'!$E164</f>
        <v>60000</v>
      </c>
      <c r="H164" s="363"/>
      <c r="I164" s="364">
        <v>60000</v>
      </c>
      <c r="J164" s="360">
        <v>1</v>
      </c>
      <c r="K164" s="337">
        <v>30</v>
      </c>
      <c r="L164" s="338">
        <f>'Fianl All'!$I164*'Fianl All'!$J164</f>
        <v>60000</v>
      </c>
      <c r="M164" s="363"/>
      <c r="N164" s="364">
        <v>60000</v>
      </c>
      <c r="O164" s="360">
        <v>1</v>
      </c>
      <c r="P164" s="337">
        <v>30</v>
      </c>
      <c r="Q164" s="404">
        <f>'Fianl All'!$N164*'Fianl All'!$O164</f>
        <v>60000</v>
      </c>
      <c r="S164" s="211">
        <f>(D164/30)*(16/12)</f>
        <v>2666.6666666666665</v>
      </c>
      <c r="T164" s="539">
        <f>S164*E164</f>
        <v>2666.6666666666665</v>
      </c>
      <c r="U164" s="211">
        <f>(I164/30)*(16/12)</f>
        <v>2666.6666666666665</v>
      </c>
      <c r="V164" s="539">
        <f>U164*J164</f>
        <v>2666.6666666666665</v>
      </c>
      <c r="W164" s="211">
        <f>(N164/30)*(16/12)</f>
        <v>2666.6666666666665</v>
      </c>
      <c r="X164" s="539">
        <f>W164*O164</f>
        <v>2666.6666666666665</v>
      </c>
    </row>
    <row r="165" spans="2:24" s="365" customFormat="1">
      <c r="B165" s="361" t="str">
        <f>B135</f>
        <v>Senior Engineer MEP</v>
      </c>
      <c r="C165" s="362"/>
      <c r="D165" s="364">
        <v>26000</v>
      </c>
      <c r="E165" s="360">
        <f>E135</f>
        <v>1</v>
      </c>
      <c r="F165" s="337">
        <v>30</v>
      </c>
      <c r="G165" s="338">
        <f>'Fianl All'!$D165*'Fianl All'!$E165</f>
        <v>26000</v>
      </c>
      <c r="H165" s="363"/>
      <c r="I165" s="364">
        <v>26000</v>
      </c>
      <c r="J165" s="360">
        <v>1</v>
      </c>
      <c r="K165" s="337">
        <v>30</v>
      </c>
      <c r="L165" s="338">
        <f>'Fianl All'!$I165*'Fianl All'!$J165</f>
        <v>26000</v>
      </c>
      <c r="M165" s="363"/>
      <c r="N165" s="364">
        <v>26000</v>
      </c>
      <c r="O165" s="360">
        <v>2</v>
      </c>
      <c r="P165" s="337">
        <v>30</v>
      </c>
      <c r="Q165" s="404">
        <f>'Fianl All'!$N165*'Fianl All'!$O165</f>
        <v>52000</v>
      </c>
      <c r="S165" s="211">
        <f t="shared" ref="S165:S182" si="8">(D165/30)*(16/12)</f>
        <v>1155.5555555555554</v>
      </c>
      <c r="T165" s="539">
        <f>S165*E165</f>
        <v>1155.5555555555554</v>
      </c>
      <c r="U165" s="211">
        <f t="shared" ref="U165:U182" si="9">(I165/30)*(16/12)</f>
        <v>1155.5555555555554</v>
      </c>
      <c r="V165" s="539">
        <f>U165*J165</f>
        <v>1155.5555555555554</v>
      </c>
      <c r="W165" s="211">
        <f t="shared" ref="W165:W182" si="10">(N165/30)*(16/12)</f>
        <v>1155.5555555555554</v>
      </c>
      <c r="X165" s="539">
        <f>W165*O165</f>
        <v>2311.1111111111109</v>
      </c>
    </row>
    <row r="166" spans="2:24" s="365" customFormat="1">
      <c r="B166" s="361" t="str">
        <f>B136</f>
        <v>Supervisor - Electrical</v>
      </c>
      <c r="C166" s="362"/>
      <c r="D166" s="364">
        <v>16000</v>
      </c>
      <c r="E166" s="360">
        <f>E136</f>
        <v>1</v>
      </c>
      <c r="F166" s="337">
        <v>30</v>
      </c>
      <c r="G166" s="338">
        <f>'Fianl All'!$D166*'Fianl All'!$E166</f>
        <v>16000</v>
      </c>
      <c r="H166" s="363"/>
      <c r="I166" s="364">
        <v>16000</v>
      </c>
      <c r="J166" s="360">
        <v>1</v>
      </c>
      <c r="K166" s="337">
        <v>30</v>
      </c>
      <c r="L166" s="338">
        <f>'Fianl All'!$I166*'Fianl All'!$J166</f>
        <v>16000</v>
      </c>
      <c r="M166" s="363"/>
      <c r="N166" s="364">
        <v>16000</v>
      </c>
      <c r="O166" s="360">
        <v>2</v>
      </c>
      <c r="P166" s="337">
        <v>30</v>
      </c>
      <c r="Q166" s="404">
        <f>'Fianl All'!$N166*'Fianl All'!$O166</f>
        <v>32000</v>
      </c>
      <c r="S166" s="211">
        <f t="shared" si="8"/>
        <v>711.11111111111109</v>
      </c>
      <c r="T166" s="539">
        <f>S166*E166</f>
        <v>711.11111111111109</v>
      </c>
      <c r="U166" s="211">
        <f t="shared" si="9"/>
        <v>711.11111111111109</v>
      </c>
      <c r="V166" s="539">
        <f>U166*J166</f>
        <v>711.11111111111109</v>
      </c>
      <c r="W166" s="211">
        <f t="shared" si="10"/>
        <v>711.11111111111109</v>
      </c>
      <c r="X166" s="539">
        <f>W166*O166</f>
        <v>1422.2222222222222</v>
      </c>
    </row>
    <row r="167" spans="2:24" s="365" customFormat="1">
      <c r="B167" s="361" t="str">
        <f>B137</f>
        <v>Supervisor - Mechanical</v>
      </c>
      <c r="C167" s="362"/>
      <c r="D167" s="364">
        <v>16000</v>
      </c>
      <c r="E167" s="360">
        <f>E137</f>
        <v>1</v>
      </c>
      <c r="F167" s="337">
        <v>30</v>
      </c>
      <c r="G167" s="338">
        <f>'Fianl All'!$D167*'Fianl All'!$E167</f>
        <v>16000</v>
      </c>
      <c r="H167" s="363"/>
      <c r="I167" s="364">
        <v>16000</v>
      </c>
      <c r="J167" s="360">
        <v>1</v>
      </c>
      <c r="K167" s="337">
        <v>30</v>
      </c>
      <c r="L167" s="338">
        <f>'Fianl All'!$I167*'Fianl All'!$J167</f>
        <v>16000</v>
      </c>
      <c r="M167" s="363"/>
      <c r="N167" s="364">
        <v>16000</v>
      </c>
      <c r="O167" s="360">
        <v>2</v>
      </c>
      <c r="P167" s="337">
        <v>30</v>
      </c>
      <c r="Q167" s="404">
        <f>'Fianl All'!$N167*'Fianl All'!$O167</f>
        <v>32000</v>
      </c>
      <c r="S167" s="211">
        <f t="shared" si="8"/>
        <v>711.11111111111109</v>
      </c>
      <c r="T167" s="539">
        <f>S167*E167</f>
        <v>711.11111111111109</v>
      </c>
      <c r="U167" s="211">
        <f t="shared" si="9"/>
        <v>711.11111111111109</v>
      </c>
      <c r="V167" s="539">
        <f>U167*J167</f>
        <v>711.11111111111109</v>
      </c>
      <c r="W167" s="211">
        <f t="shared" si="10"/>
        <v>711.11111111111109</v>
      </c>
      <c r="X167" s="539">
        <f>W167*O167</f>
        <v>1422.2222222222222</v>
      </c>
    </row>
    <row r="168" spans="2:24" s="365" customFormat="1">
      <c r="B168" s="361" t="str">
        <f>B138</f>
        <v>Supervisor - Light Current</v>
      </c>
      <c r="C168" s="362"/>
      <c r="D168" s="364">
        <v>16000</v>
      </c>
      <c r="E168" s="360">
        <f>E138</f>
        <v>1</v>
      </c>
      <c r="F168" s="337">
        <v>30</v>
      </c>
      <c r="G168" s="338">
        <f>'Fianl All'!$D168*'Fianl All'!$E168</f>
        <v>16000</v>
      </c>
      <c r="H168" s="363"/>
      <c r="I168" s="364">
        <v>16000</v>
      </c>
      <c r="J168" s="360">
        <v>1</v>
      </c>
      <c r="K168" s="337">
        <v>30</v>
      </c>
      <c r="L168" s="338">
        <f>'Fianl All'!$I168*'Fianl All'!$J168</f>
        <v>16000</v>
      </c>
      <c r="M168" s="363"/>
      <c r="N168" s="364">
        <v>16000</v>
      </c>
      <c r="O168" s="360">
        <v>1</v>
      </c>
      <c r="P168" s="337">
        <v>30</v>
      </c>
      <c r="Q168" s="404">
        <f>'Fianl All'!$N168*'Fianl All'!$O168</f>
        <v>16000</v>
      </c>
      <c r="S168" s="211">
        <f t="shared" si="8"/>
        <v>711.11111111111109</v>
      </c>
      <c r="T168" s="539">
        <f>S168*E168</f>
        <v>711.11111111111109</v>
      </c>
      <c r="U168" s="211">
        <f t="shared" si="9"/>
        <v>711.11111111111109</v>
      </c>
      <c r="V168" s="539">
        <f>U168*J168</f>
        <v>711.11111111111109</v>
      </c>
      <c r="W168" s="211">
        <f t="shared" si="10"/>
        <v>711.11111111111109</v>
      </c>
      <c r="X168" s="539">
        <f>W168*O168</f>
        <v>711.11111111111109</v>
      </c>
    </row>
    <row r="169" spans="2:24" s="365" customFormat="1">
      <c r="B169" s="361" t="s">
        <v>409</v>
      </c>
      <c r="C169" s="362"/>
      <c r="D169" s="364">
        <v>16000</v>
      </c>
      <c r="E169" s="360">
        <v>1</v>
      </c>
      <c r="F169" s="337">
        <v>30</v>
      </c>
      <c r="G169" s="338">
        <f>'Fianl All'!$D169*'Fianl All'!$E169</f>
        <v>16000</v>
      </c>
      <c r="H169" s="363"/>
      <c r="I169" s="364">
        <v>16000</v>
      </c>
      <c r="J169" s="360">
        <v>1</v>
      </c>
      <c r="K169" s="337">
        <v>30</v>
      </c>
      <c r="L169" s="338">
        <f>'Fianl All'!$I169*'Fianl All'!$J169</f>
        <v>16000</v>
      </c>
      <c r="M169" s="363"/>
      <c r="N169" s="364">
        <v>16000</v>
      </c>
      <c r="O169" s="360">
        <v>1</v>
      </c>
      <c r="P169" s="337">
        <v>30</v>
      </c>
      <c r="Q169" s="404">
        <f>'Fianl All'!$N169*'Fianl All'!$O169</f>
        <v>16000</v>
      </c>
      <c r="S169" s="211">
        <f t="shared" si="8"/>
        <v>711.11111111111109</v>
      </c>
      <c r="T169" s="539">
        <f>S169*E169</f>
        <v>711.11111111111109</v>
      </c>
      <c r="U169" s="211">
        <f t="shared" si="9"/>
        <v>711.11111111111109</v>
      </c>
      <c r="V169" s="539">
        <f>U169*J169</f>
        <v>711.11111111111109</v>
      </c>
      <c r="W169" s="211">
        <f t="shared" si="10"/>
        <v>711.11111111111109</v>
      </c>
      <c r="X169" s="539">
        <f>W169*O169</f>
        <v>711.11111111111109</v>
      </c>
    </row>
    <row r="170" spans="2:24" s="365" customFormat="1">
      <c r="B170" s="361" t="str">
        <f>B139</f>
        <v>Technician - Electrical</v>
      </c>
      <c r="C170" s="362"/>
      <c r="D170" s="364">
        <v>10000</v>
      </c>
      <c r="E170" s="360">
        <f>E139</f>
        <v>3</v>
      </c>
      <c r="F170" s="337">
        <v>30</v>
      </c>
      <c r="G170" s="338">
        <f>'Fianl All'!$D170*'Fianl All'!$E170</f>
        <v>30000</v>
      </c>
      <c r="H170" s="363"/>
      <c r="I170" s="364">
        <v>10000</v>
      </c>
      <c r="J170" s="360">
        <v>3</v>
      </c>
      <c r="K170" s="337">
        <v>30</v>
      </c>
      <c r="L170" s="338">
        <f>'Fianl All'!$I170*'Fianl All'!$J170</f>
        <v>30000</v>
      </c>
      <c r="M170" s="363"/>
      <c r="N170" s="364">
        <v>10000</v>
      </c>
      <c r="O170" s="360">
        <v>5</v>
      </c>
      <c r="P170" s="337">
        <v>30</v>
      </c>
      <c r="Q170" s="404">
        <f>'Fianl All'!$N170*'Fianl All'!$O170</f>
        <v>50000</v>
      </c>
      <c r="S170" s="211">
        <f t="shared" si="8"/>
        <v>444.4444444444444</v>
      </c>
      <c r="T170" s="539">
        <f>S170*E170</f>
        <v>1333.3333333333333</v>
      </c>
      <c r="U170" s="211">
        <f t="shared" si="9"/>
        <v>444.4444444444444</v>
      </c>
      <c r="V170" s="539">
        <f>U170*J170</f>
        <v>1333.3333333333333</v>
      </c>
      <c r="W170" s="211">
        <f t="shared" si="10"/>
        <v>444.4444444444444</v>
      </c>
      <c r="X170" s="539">
        <f>W170*O170</f>
        <v>2222.2222222222222</v>
      </c>
    </row>
    <row r="171" spans="2:24" s="365" customFormat="1">
      <c r="B171" s="361" t="str">
        <f>B140</f>
        <v>Technician - Mechanical</v>
      </c>
      <c r="C171" s="362"/>
      <c r="D171" s="364">
        <v>10000</v>
      </c>
      <c r="E171" s="360">
        <f>E140</f>
        <v>1</v>
      </c>
      <c r="F171" s="337">
        <v>30</v>
      </c>
      <c r="G171" s="338">
        <f>'Fianl All'!$D171*'Fianl All'!$E171</f>
        <v>10000</v>
      </c>
      <c r="H171" s="363"/>
      <c r="I171" s="364">
        <v>10000</v>
      </c>
      <c r="J171" s="360">
        <v>1</v>
      </c>
      <c r="K171" s="337">
        <v>30</v>
      </c>
      <c r="L171" s="338">
        <f>'Fianl All'!$I171*'Fianl All'!$J171</f>
        <v>10000</v>
      </c>
      <c r="M171" s="363"/>
      <c r="N171" s="364">
        <v>10000</v>
      </c>
      <c r="O171" s="360">
        <v>2</v>
      </c>
      <c r="P171" s="337">
        <v>30</v>
      </c>
      <c r="Q171" s="404">
        <f>'Fianl All'!$N171*'Fianl All'!$O171</f>
        <v>20000</v>
      </c>
      <c r="S171" s="211">
        <f t="shared" si="8"/>
        <v>444.4444444444444</v>
      </c>
      <c r="T171" s="539">
        <f>S171*E171</f>
        <v>444.4444444444444</v>
      </c>
      <c r="U171" s="211">
        <f t="shared" si="9"/>
        <v>444.4444444444444</v>
      </c>
      <c r="V171" s="539">
        <f>U171*J171</f>
        <v>444.4444444444444</v>
      </c>
      <c r="W171" s="211">
        <f t="shared" si="10"/>
        <v>444.4444444444444</v>
      </c>
      <c r="X171" s="539">
        <f>W171*O171</f>
        <v>888.8888888888888</v>
      </c>
    </row>
    <row r="172" spans="2:24" s="365" customFormat="1">
      <c r="B172" s="361" t="str">
        <f>B141</f>
        <v>Technician - Pluming</v>
      </c>
      <c r="C172" s="362"/>
      <c r="D172" s="364">
        <v>10000</v>
      </c>
      <c r="E172" s="360">
        <f>E141</f>
        <v>3</v>
      </c>
      <c r="F172" s="337">
        <v>30</v>
      </c>
      <c r="G172" s="338">
        <f>'Fianl All'!$D172*'Fianl All'!$E172</f>
        <v>30000</v>
      </c>
      <c r="H172" s="363"/>
      <c r="I172" s="364">
        <v>10000</v>
      </c>
      <c r="J172" s="360">
        <v>3</v>
      </c>
      <c r="K172" s="337">
        <v>30</v>
      </c>
      <c r="L172" s="338">
        <f>'Fianl All'!$I172*'Fianl All'!$J172</f>
        <v>30000</v>
      </c>
      <c r="M172" s="363"/>
      <c r="N172" s="364">
        <v>10000</v>
      </c>
      <c r="O172" s="360">
        <v>5</v>
      </c>
      <c r="P172" s="337">
        <v>30</v>
      </c>
      <c r="Q172" s="404">
        <f>'Fianl All'!$N172*'Fianl All'!$O172</f>
        <v>50000</v>
      </c>
      <c r="S172" s="211">
        <f t="shared" si="8"/>
        <v>444.4444444444444</v>
      </c>
      <c r="T172" s="539">
        <f>S172*E172</f>
        <v>1333.3333333333333</v>
      </c>
      <c r="U172" s="211">
        <f t="shared" si="9"/>
        <v>444.4444444444444</v>
      </c>
      <c r="V172" s="539">
        <f>U172*J172</f>
        <v>1333.3333333333333</v>
      </c>
      <c r="W172" s="211">
        <f t="shared" si="10"/>
        <v>444.4444444444444</v>
      </c>
      <c r="X172" s="539">
        <f>W172*O172</f>
        <v>2222.2222222222222</v>
      </c>
    </row>
    <row r="173" spans="2:24" s="365" customFormat="1">
      <c r="B173" s="361" t="str">
        <f>B142</f>
        <v>Technician - light Current</v>
      </c>
      <c r="C173" s="362"/>
      <c r="D173" s="364">
        <v>11000</v>
      </c>
      <c r="E173" s="360">
        <f>E142</f>
        <v>1</v>
      </c>
      <c r="F173" s="337">
        <v>30</v>
      </c>
      <c r="G173" s="338">
        <f>'Fianl All'!$D173*'Fianl All'!$E173</f>
        <v>11000</v>
      </c>
      <c r="H173" s="363"/>
      <c r="I173" s="364">
        <v>11000</v>
      </c>
      <c r="J173" s="360">
        <v>1</v>
      </c>
      <c r="K173" s="337">
        <v>30</v>
      </c>
      <c r="L173" s="338">
        <f>'Fianl All'!$I173*'Fianl All'!$J173</f>
        <v>11000</v>
      </c>
      <c r="M173" s="363"/>
      <c r="N173" s="364">
        <v>11000</v>
      </c>
      <c r="O173" s="360">
        <v>1</v>
      </c>
      <c r="P173" s="337">
        <v>30</v>
      </c>
      <c r="Q173" s="404">
        <f>'Fianl All'!$N173*'Fianl All'!$O173</f>
        <v>11000</v>
      </c>
      <c r="S173" s="211">
        <f t="shared" si="8"/>
        <v>488.88888888888891</v>
      </c>
      <c r="T173" s="539">
        <f>S173*E173</f>
        <v>488.88888888888891</v>
      </c>
      <c r="U173" s="211">
        <f t="shared" si="9"/>
        <v>488.88888888888891</v>
      </c>
      <c r="V173" s="539">
        <f>U173*J173</f>
        <v>488.88888888888891</v>
      </c>
      <c r="W173" s="211">
        <f t="shared" si="10"/>
        <v>488.88888888888891</v>
      </c>
      <c r="X173" s="539">
        <f>W173*O173</f>
        <v>488.88888888888891</v>
      </c>
    </row>
    <row r="174" spans="2:24" s="365" customFormat="1">
      <c r="B174" s="361" t="s">
        <v>410</v>
      </c>
      <c r="C174" s="362"/>
      <c r="D174" s="364">
        <v>10000</v>
      </c>
      <c r="E174" s="360">
        <v>3</v>
      </c>
      <c r="F174" s="337">
        <v>30</v>
      </c>
      <c r="G174" s="338">
        <f>'Fianl All'!$D174*'Fianl All'!$E174</f>
        <v>30000</v>
      </c>
      <c r="H174" s="363"/>
      <c r="I174" s="364">
        <v>10000</v>
      </c>
      <c r="J174" s="360">
        <v>3</v>
      </c>
      <c r="K174" s="337">
        <v>30</v>
      </c>
      <c r="L174" s="338">
        <f>'Fianl All'!$I174*'Fianl All'!$J174</f>
        <v>30000</v>
      </c>
      <c r="M174" s="363"/>
      <c r="N174" s="364">
        <v>10000</v>
      </c>
      <c r="O174" s="360">
        <v>5</v>
      </c>
      <c r="P174" s="337">
        <v>30</v>
      </c>
      <c r="Q174" s="404">
        <f>'Fianl All'!$N174*'Fianl All'!$O174</f>
        <v>50000</v>
      </c>
      <c r="S174" s="211">
        <f t="shared" si="8"/>
        <v>444.4444444444444</v>
      </c>
      <c r="T174" s="539">
        <f>S174*E174</f>
        <v>1333.3333333333333</v>
      </c>
      <c r="U174" s="211">
        <f t="shared" si="9"/>
        <v>444.4444444444444</v>
      </c>
      <c r="V174" s="539">
        <f>U174*J174</f>
        <v>1333.3333333333333</v>
      </c>
      <c r="W174" s="211">
        <f t="shared" si="10"/>
        <v>444.4444444444444</v>
      </c>
      <c r="X174" s="539">
        <f>W174*O174</f>
        <v>2222.2222222222222</v>
      </c>
    </row>
    <row r="175" spans="2:24" s="365" customFormat="1">
      <c r="B175" s="361" t="str">
        <f t="shared" ref="B175:B182" si="11">B143</f>
        <v>CAFM - Coordinator</v>
      </c>
      <c r="C175" s="362"/>
      <c r="D175" s="364">
        <v>14500</v>
      </c>
      <c r="E175" s="360">
        <f t="shared" ref="E175:E182" si="12">E143</f>
        <v>1</v>
      </c>
      <c r="F175" s="337">
        <v>30</v>
      </c>
      <c r="G175" s="338">
        <f>'Fianl All'!$D175*'Fianl All'!$E175</f>
        <v>14500</v>
      </c>
      <c r="H175" s="363"/>
      <c r="I175" s="364">
        <v>14500</v>
      </c>
      <c r="J175" s="360">
        <v>1</v>
      </c>
      <c r="K175" s="337">
        <v>30</v>
      </c>
      <c r="L175" s="338">
        <f>'Fianl All'!$I175*'Fianl All'!$J175</f>
        <v>14500</v>
      </c>
      <c r="M175" s="363"/>
      <c r="N175" s="364">
        <v>14500</v>
      </c>
      <c r="O175" s="360">
        <v>1</v>
      </c>
      <c r="P175" s="337">
        <v>30</v>
      </c>
      <c r="Q175" s="404">
        <f>'Fianl All'!$N175*'Fianl All'!$O175</f>
        <v>14500</v>
      </c>
      <c r="S175" s="211">
        <f t="shared" si="8"/>
        <v>644.44444444444434</v>
      </c>
      <c r="T175" s="539">
        <f>S175*E175</f>
        <v>644.44444444444434</v>
      </c>
      <c r="U175" s="211">
        <f t="shared" si="9"/>
        <v>644.44444444444434</v>
      </c>
      <c r="V175" s="539">
        <f>U175*J175</f>
        <v>644.44444444444434</v>
      </c>
      <c r="W175" s="211">
        <f t="shared" si="10"/>
        <v>644.44444444444434</v>
      </c>
      <c r="X175" s="539">
        <f>W175*O175</f>
        <v>644.44444444444434</v>
      </c>
    </row>
    <row r="176" spans="2:24" s="365" customFormat="1">
      <c r="B176" s="361" t="str">
        <f t="shared" si="11"/>
        <v>Painter</v>
      </c>
      <c r="C176" s="362"/>
      <c r="D176" s="364">
        <v>10000</v>
      </c>
      <c r="E176" s="360">
        <f t="shared" si="12"/>
        <v>1</v>
      </c>
      <c r="F176" s="337">
        <v>30</v>
      </c>
      <c r="G176" s="338">
        <f>'Fianl All'!$D176*'Fianl All'!$E176</f>
        <v>10000</v>
      </c>
      <c r="H176" s="363"/>
      <c r="I176" s="364">
        <v>10000</v>
      </c>
      <c r="J176" s="360">
        <v>1</v>
      </c>
      <c r="K176" s="337">
        <v>30</v>
      </c>
      <c r="L176" s="338">
        <f>'Fianl All'!$I176*'Fianl All'!$J176</f>
        <v>10000</v>
      </c>
      <c r="M176" s="363"/>
      <c r="N176" s="364">
        <v>10000</v>
      </c>
      <c r="O176" s="360">
        <v>2</v>
      </c>
      <c r="P176" s="337">
        <v>30</v>
      </c>
      <c r="Q176" s="404">
        <f>'Fianl All'!$N176*'Fianl All'!$O176</f>
        <v>20000</v>
      </c>
      <c r="S176" s="211">
        <f t="shared" si="8"/>
        <v>444.4444444444444</v>
      </c>
      <c r="T176" s="539">
        <f>S176*E176</f>
        <v>444.4444444444444</v>
      </c>
      <c r="U176" s="211">
        <f t="shared" si="9"/>
        <v>444.4444444444444</v>
      </c>
      <c r="V176" s="539">
        <f>U176*J176</f>
        <v>444.4444444444444</v>
      </c>
      <c r="W176" s="211">
        <f t="shared" si="10"/>
        <v>444.4444444444444</v>
      </c>
      <c r="X176" s="539">
        <f>W176*O176</f>
        <v>888.8888888888888</v>
      </c>
    </row>
    <row r="177" spans="2:24" s="365" customFormat="1">
      <c r="B177" s="361" t="str">
        <f t="shared" si="11"/>
        <v>Carpenter</v>
      </c>
      <c r="C177" s="362"/>
      <c r="D177" s="364">
        <v>10000</v>
      </c>
      <c r="E177" s="360">
        <f t="shared" si="12"/>
        <v>1</v>
      </c>
      <c r="F177" s="337">
        <v>30</v>
      </c>
      <c r="G177" s="338">
        <f>'Fianl All'!$D177*'Fianl All'!$E177</f>
        <v>10000</v>
      </c>
      <c r="H177" s="363"/>
      <c r="I177" s="364">
        <v>10000</v>
      </c>
      <c r="J177" s="360">
        <v>1</v>
      </c>
      <c r="K177" s="337">
        <v>30</v>
      </c>
      <c r="L177" s="338">
        <f>'Fianl All'!$I177*'Fianl All'!$J177</f>
        <v>10000</v>
      </c>
      <c r="M177" s="363"/>
      <c r="N177" s="364">
        <v>10000</v>
      </c>
      <c r="O177" s="360">
        <v>2</v>
      </c>
      <c r="P177" s="337">
        <v>30</v>
      </c>
      <c r="Q177" s="404">
        <f>'Fianl All'!$N177*'Fianl All'!$O177</f>
        <v>20000</v>
      </c>
      <c r="S177" s="211">
        <f t="shared" si="8"/>
        <v>444.4444444444444</v>
      </c>
      <c r="T177" s="539">
        <f>S177*E177</f>
        <v>444.4444444444444</v>
      </c>
      <c r="U177" s="211">
        <f t="shared" si="9"/>
        <v>444.4444444444444</v>
      </c>
      <c r="V177" s="539">
        <f>U177*J177</f>
        <v>444.4444444444444</v>
      </c>
      <c r="W177" s="211">
        <f t="shared" si="10"/>
        <v>444.4444444444444</v>
      </c>
      <c r="X177" s="539">
        <f>W177*O177</f>
        <v>888.8888888888888</v>
      </c>
    </row>
    <row r="178" spans="2:24" s="365" customFormat="1">
      <c r="B178" s="361" t="str">
        <f t="shared" si="11"/>
        <v>Helpers</v>
      </c>
      <c r="C178" s="362"/>
      <c r="D178" s="364">
        <v>9000</v>
      </c>
      <c r="E178" s="360">
        <f t="shared" si="12"/>
        <v>4</v>
      </c>
      <c r="F178" s="337">
        <v>30</v>
      </c>
      <c r="G178" s="338">
        <f>'Fianl All'!$D178*'Fianl All'!$E178</f>
        <v>36000</v>
      </c>
      <c r="H178" s="363"/>
      <c r="I178" s="364">
        <v>9000</v>
      </c>
      <c r="J178" s="360">
        <v>4</v>
      </c>
      <c r="K178" s="337">
        <v>30</v>
      </c>
      <c r="L178" s="338">
        <f>'Fianl All'!$I178*'Fianl All'!$J178</f>
        <v>36000</v>
      </c>
      <c r="M178" s="363"/>
      <c r="N178" s="364">
        <v>9000</v>
      </c>
      <c r="O178" s="360">
        <v>6</v>
      </c>
      <c r="P178" s="337">
        <v>30</v>
      </c>
      <c r="Q178" s="404">
        <f>'Fianl All'!$N178*'Fianl All'!$O178</f>
        <v>54000</v>
      </c>
      <c r="S178" s="211">
        <f t="shared" si="8"/>
        <v>400</v>
      </c>
      <c r="T178" s="539">
        <f>S178*E178</f>
        <v>1600</v>
      </c>
      <c r="U178" s="211">
        <f t="shared" si="9"/>
        <v>400</v>
      </c>
      <c r="V178" s="539">
        <f>U178*J178</f>
        <v>1600</v>
      </c>
      <c r="W178" s="211">
        <f t="shared" si="10"/>
        <v>400</v>
      </c>
      <c r="X178" s="539">
        <f>W178*O178</f>
        <v>2400</v>
      </c>
    </row>
    <row r="179" spans="2:24" s="365" customFormat="1">
      <c r="B179" s="361" t="str">
        <f t="shared" si="11"/>
        <v xml:space="preserve">Purchaser </v>
      </c>
      <c r="C179" s="362"/>
      <c r="D179" s="364">
        <v>16000</v>
      </c>
      <c r="E179" s="360">
        <f t="shared" si="12"/>
        <v>1</v>
      </c>
      <c r="F179" s="337">
        <v>30</v>
      </c>
      <c r="G179" s="338">
        <f>'Fianl All'!$D179*'Fianl All'!$E179</f>
        <v>16000</v>
      </c>
      <c r="H179" s="363"/>
      <c r="I179" s="364">
        <v>16000</v>
      </c>
      <c r="J179" s="360">
        <v>1</v>
      </c>
      <c r="K179" s="337">
        <v>30</v>
      </c>
      <c r="L179" s="338">
        <f>'Fianl All'!$I179*'Fianl All'!$J179</f>
        <v>16000</v>
      </c>
      <c r="M179" s="363"/>
      <c r="N179" s="364">
        <v>16000</v>
      </c>
      <c r="O179" s="360">
        <v>1</v>
      </c>
      <c r="P179" s="337">
        <v>30</v>
      </c>
      <c r="Q179" s="404">
        <f>'Fianl All'!$N179*'Fianl All'!$O179</f>
        <v>16000</v>
      </c>
      <c r="S179" s="211">
        <f t="shared" si="8"/>
        <v>711.11111111111109</v>
      </c>
      <c r="T179" s="539">
        <f>S179*E179</f>
        <v>711.11111111111109</v>
      </c>
      <c r="U179" s="211">
        <f t="shared" si="9"/>
        <v>711.11111111111109</v>
      </c>
      <c r="V179" s="539">
        <f>U179*J179</f>
        <v>711.11111111111109</v>
      </c>
      <c r="W179" s="211">
        <f t="shared" si="10"/>
        <v>711.11111111111109</v>
      </c>
      <c r="X179" s="539">
        <f>W179*O179</f>
        <v>711.11111111111109</v>
      </c>
    </row>
    <row r="180" spans="2:24" s="365" customFormat="1">
      <c r="B180" s="361" t="str">
        <f t="shared" si="11"/>
        <v xml:space="preserve">Store keeper </v>
      </c>
      <c r="C180" s="362"/>
      <c r="D180" s="364">
        <v>13000</v>
      </c>
      <c r="E180" s="360">
        <f t="shared" si="12"/>
        <v>1</v>
      </c>
      <c r="F180" s="337">
        <v>30</v>
      </c>
      <c r="G180" s="338">
        <f>'Fianl All'!$D180*'Fianl All'!$E180</f>
        <v>13000</v>
      </c>
      <c r="H180" s="363"/>
      <c r="I180" s="364">
        <v>13000</v>
      </c>
      <c r="J180" s="360">
        <v>1</v>
      </c>
      <c r="K180" s="337">
        <v>30</v>
      </c>
      <c r="L180" s="338">
        <f>'Fianl All'!$I180*'Fianl All'!$J180</f>
        <v>13000</v>
      </c>
      <c r="M180" s="363"/>
      <c r="N180" s="364">
        <v>13000</v>
      </c>
      <c r="O180" s="360">
        <v>1</v>
      </c>
      <c r="P180" s="337">
        <v>30</v>
      </c>
      <c r="Q180" s="404">
        <f>'Fianl All'!$N180*'Fianl All'!$O180</f>
        <v>13000</v>
      </c>
      <c r="S180" s="211">
        <f t="shared" si="8"/>
        <v>577.77777777777771</v>
      </c>
      <c r="T180" s="539">
        <f>S180*E180</f>
        <v>577.77777777777771</v>
      </c>
      <c r="U180" s="211">
        <f t="shared" si="9"/>
        <v>577.77777777777771</v>
      </c>
      <c r="V180" s="539">
        <f>U180*J180</f>
        <v>577.77777777777771</v>
      </c>
      <c r="W180" s="211">
        <f t="shared" si="10"/>
        <v>577.77777777777771</v>
      </c>
      <c r="X180" s="539">
        <f>W180*O180</f>
        <v>577.77777777777771</v>
      </c>
    </row>
    <row r="181" spans="2:24">
      <c r="B181" s="361" t="str">
        <f t="shared" si="11"/>
        <v xml:space="preserve">Controller </v>
      </c>
      <c r="C181" s="362"/>
      <c r="D181" s="364">
        <v>14500</v>
      </c>
      <c r="E181" s="360">
        <f t="shared" si="12"/>
        <v>1</v>
      </c>
      <c r="F181" s="337">
        <v>30</v>
      </c>
      <c r="G181" s="338">
        <f>'Fianl All'!$D181*'Fianl All'!$E181</f>
        <v>14500</v>
      </c>
      <c r="H181" s="363"/>
      <c r="I181" s="364">
        <v>14500</v>
      </c>
      <c r="J181" s="360">
        <v>1</v>
      </c>
      <c r="K181" s="337">
        <v>30</v>
      </c>
      <c r="L181" s="338">
        <f>'Fianl All'!$I181*'Fianl All'!$J181</f>
        <v>14500</v>
      </c>
      <c r="M181" s="363"/>
      <c r="N181" s="364">
        <v>14500</v>
      </c>
      <c r="O181" s="360">
        <v>1</v>
      </c>
      <c r="P181" s="337">
        <v>30</v>
      </c>
      <c r="Q181" s="404">
        <f>'Fianl All'!$N181*'Fianl All'!$O181</f>
        <v>14500</v>
      </c>
      <c r="S181" s="211">
        <f t="shared" si="8"/>
        <v>644.44444444444434</v>
      </c>
      <c r="T181" s="539">
        <f>S181*E181</f>
        <v>644.44444444444434</v>
      </c>
      <c r="U181" s="211">
        <f t="shared" si="9"/>
        <v>644.44444444444434</v>
      </c>
      <c r="V181" s="539">
        <f>U181*J181</f>
        <v>644.44444444444434</v>
      </c>
      <c r="W181" s="211">
        <f t="shared" si="10"/>
        <v>644.44444444444434</v>
      </c>
      <c r="X181" s="539">
        <f>W181*O181</f>
        <v>644.44444444444434</v>
      </c>
    </row>
    <row r="182" spans="2:24">
      <c r="B182" s="322" t="str">
        <f t="shared" si="11"/>
        <v xml:space="preserve">Manlift </v>
      </c>
      <c r="D182" s="359">
        <v>0</v>
      </c>
      <c r="E182" s="353">
        <f t="shared" si="12"/>
        <v>0</v>
      </c>
      <c r="F182" s="263">
        <v>30</v>
      </c>
      <c r="G182" s="338">
        <f>'Fianl All'!$D182*'Fianl All'!$E182</f>
        <v>0</v>
      </c>
      <c r="I182" s="352">
        <v>0</v>
      </c>
      <c r="J182" s="360">
        <v>0</v>
      </c>
      <c r="K182" s="263">
        <v>30</v>
      </c>
      <c r="L182" s="338">
        <f>'Fianl All'!$I182*'Fianl All'!$J182</f>
        <v>0</v>
      </c>
      <c r="N182" s="359">
        <v>0</v>
      </c>
      <c r="O182" s="353">
        <v>0</v>
      </c>
      <c r="P182" s="263">
        <v>30</v>
      </c>
      <c r="Q182" s="404">
        <f>'Fianl All'!$N182*'Fianl All'!$O182</f>
        <v>0</v>
      </c>
      <c r="S182" s="211">
        <f t="shared" si="8"/>
        <v>0</v>
      </c>
      <c r="T182" s="539">
        <f>S182*E182</f>
        <v>0</v>
      </c>
      <c r="U182" s="211">
        <f t="shared" si="9"/>
        <v>0</v>
      </c>
      <c r="V182" s="539">
        <f>U182*J182</f>
        <v>0</v>
      </c>
      <c r="W182" s="211">
        <f t="shared" si="10"/>
        <v>0</v>
      </c>
      <c r="X182" s="539">
        <f>W182*O182</f>
        <v>0</v>
      </c>
    </row>
    <row r="183" spans="2:24">
      <c r="B183" s="322" t="s">
        <v>432</v>
      </c>
      <c r="D183" s="359">
        <f>T184</f>
        <v>16666.666666666668</v>
      </c>
      <c r="E183" s="353">
        <v>1</v>
      </c>
      <c r="F183" s="263"/>
      <c r="G183" s="338">
        <f>'Fianl All'!$D183*'Fianl All'!$E183</f>
        <v>16666.666666666668</v>
      </c>
      <c r="I183" s="352">
        <f>V184</f>
        <v>16666.666666666668</v>
      </c>
      <c r="J183" s="360">
        <v>1</v>
      </c>
      <c r="K183" s="263">
        <v>30</v>
      </c>
      <c r="L183" s="338">
        <f>'Fianl All'!$I183*'Fianl All'!$J183</f>
        <v>16666.666666666668</v>
      </c>
      <c r="N183" s="359">
        <f>X184</f>
        <v>24044.444444444449</v>
      </c>
      <c r="O183" s="353">
        <v>1</v>
      </c>
      <c r="P183" s="263">
        <v>30</v>
      </c>
      <c r="Q183" s="537">
        <f>'Fianl All'!$N183*'Fianl All'!$O183</f>
        <v>24044.444444444449</v>
      </c>
      <c r="S183" s="211"/>
      <c r="T183" s="376"/>
      <c r="U183" s="211"/>
      <c r="V183" s="376"/>
      <c r="W183" s="211"/>
      <c r="X183" s="376"/>
    </row>
    <row r="184" spans="2:24">
      <c r="B184" s="348" t="str">
        <f>B151</f>
        <v>Total</v>
      </c>
      <c r="D184" s="354">
        <f>'Fianl All'!$G$184/'Fianl All'!$E$184</f>
        <v>14506.172839506173</v>
      </c>
      <c r="E184" s="355">
        <f>SUBTOTAL(109,'Fianl All'!$E$164:$E$182)</f>
        <v>27</v>
      </c>
      <c r="F184" s="356">
        <f>'Fianl All'!$G$184/G159</f>
        <v>0.78125519451592107</v>
      </c>
      <c r="G184" s="357">
        <f>SUM(G164:G183)</f>
        <v>391666.66666666669</v>
      </c>
      <c r="I184" s="354">
        <f>'Fianl All'!$L$184/'Fianl All'!$J$184</f>
        <v>14506.172839506173</v>
      </c>
      <c r="J184" s="358">
        <f>SUBTOTAL(109,'Fianl All'!$J$164:$J$182)</f>
        <v>27</v>
      </c>
      <c r="K184" s="356">
        <f>'Fianl All'!$L$184/L159</f>
        <v>0.68378754284583654</v>
      </c>
      <c r="L184" s="357">
        <f>SUM(L164:L183)</f>
        <v>391666.66666666669</v>
      </c>
      <c r="N184" s="354">
        <f>'Fianl All'!$Q$184/'Fianl All'!$O$184</f>
        <v>13781.571815718158</v>
      </c>
      <c r="O184" s="355">
        <f>SUBTOTAL(109,'Fianl All'!$O$164:$O$182)</f>
        <v>41</v>
      </c>
      <c r="P184" s="356">
        <f>'Fianl All'!$Q$184/Q159</f>
        <v>0.6228856013894708</v>
      </c>
      <c r="Q184" s="407">
        <f>SUM(Q164:Q183)</f>
        <v>565044.4444444445</v>
      </c>
      <c r="S184" s="530">
        <f>SUM(S164:S182)</f>
        <v>12800</v>
      </c>
      <c r="T184" s="530">
        <f t="shared" ref="T184:X184" si="13">SUM(T164:T182)</f>
        <v>16666.666666666668</v>
      </c>
      <c r="U184" s="530">
        <f t="shared" si="13"/>
        <v>12800</v>
      </c>
      <c r="V184" s="530">
        <f t="shared" si="13"/>
        <v>16666.666666666668</v>
      </c>
      <c r="W184" s="530">
        <f t="shared" si="13"/>
        <v>12800</v>
      </c>
      <c r="X184" s="530">
        <f t="shared" si="13"/>
        <v>24044.444444444449</v>
      </c>
    </row>
    <row r="186" spans="2:24">
      <c r="B186" s="271" t="s">
        <v>408</v>
      </c>
      <c r="D186" s="273" t="s">
        <v>142</v>
      </c>
      <c r="E186" s="270" t="s">
        <v>366</v>
      </c>
      <c r="F186" s="350" t="s">
        <v>382</v>
      </c>
      <c r="G186" s="270" t="s">
        <v>275</v>
      </c>
      <c r="I186" s="273" t="s">
        <v>142</v>
      </c>
      <c r="J186" s="273" t="s">
        <v>366</v>
      </c>
      <c r="K186" s="273" t="s">
        <v>382</v>
      </c>
      <c r="L186" s="273" t="s">
        <v>275</v>
      </c>
      <c r="N186" s="270" t="s">
        <v>142</v>
      </c>
      <c r="O186" s="270" t="s">
        <v>366</v>
      </c>
      <c r="P186" s="270" t="s">
        <v>382</v>
      </c>
      <c r="Q186" s="389" t="s">
        <v>275</v>
      </c>
    </row>
    <row r="187" spans="2:24">
      <c r="B187" s="241" t="s">
        <v>411</v>
      </c>
      <c r="D187" s="291">
        <v>22100</v>
      </c>
      <c r="E187" s="293">
        <v>1</v>
      </c>
      <c r="F187" s="214">
        <v>30</v>
      </c>
      <c r="G187" s="228">
        <f>D187*E187</f>
        <v>22100</v>
      </c>
      <c r="I187" s="291">
        <f>Table234368[[#This Row],[Rate]]</f>
        <v>22100</v>
      </c>
      <c r="J187" s="297">
        <v>1</v>
      </c>
      <c r="K187" s="214">
        <v>0</v>
      </c>
      <c r="L187" s="228">
        <f>I187*J187</f>
        <v>22100</v>
      </c>
      <c r="N187" s="291">
        <v>30000</v>
      </c>
      <c r="O187" s="293">
        <v>1</v>
      </c>
      <c r="P187" s="214">
        <v>0</v>
      </c>
      <c r="Q187" s="380">
        <f>N187*O187</f>
        <v>30000</v>
      </c>
    </row>
    <row r="188" spans="2:24">
      <c r="B188" s="241" t="s">
        <v>400</v>
      </c>
      <c r="D188" s="291">
        <v>27900</v>
      </c>
      <c r="E188" s="293">
        <v>1</v>
      </c>
      <c r="F188" s="214">
        <v>30</v>
      </c>
      <c r="G188" s="228">
        <f>D188*E188</f>
        <v>27900</v>
      </c>
      <c r="I188" s="291">
        <f>Table234368[[#This Row],[Rate]]</f>
        <v>27900</v>
      </c>
      <c r="J188" s="297">
        <v>1</v>
      </c>
      <c r="K188" s="214">
        <v>0</v>
      </c>
      <c r="L188" s="228">
        <f>I188*J188</f>
        <v>27900</v>
      </c>
      <c r="N188" s="291">
        <v>35000</v>
      </c>
      <c r="O188" s="293">
        <v>1</v>
      </c>
      <c r="P188" s="214">
        <v>0</v>
      </c>
      <c r="Q188" s="380">
        <f>N188*O188</f>
        <v>35000</v>
      </c>
    </row>
    <row r="189" spans="2:24">
      <c r="B189" s="241" t="s">
        <v>375</v>
      </c>
      <c r="D189" s="291">
        <v>400</v>
      </c>
      <c r="E189" s="293">
        <v>27</v>
      </c>
      <c r="F189" s="214">
        <v>30</v>
      </c>
      <c r="G189" s="228">
        <f>D189*E189</f>
        <v>10800</v>
      </c>
      <c r="I189" s="291">
        <f>Table234368[[#This Row],[Rate]]</f>
        <v>400</v>
      </c>
      <c r="J189" s="297">
        <v>27</v>
      </c>
      <c r="K189" s="214">
        <v>0</v>
      </c>
      <c r="L189" s="228">
        <f>I189*J189</f>
        <v>10800</v>
      </c>
      <c r="N189" s="291">
        <f>Table234368[[#This Row],[Rate]]</f>
        <v>400</v>
      </c>
      <c r="O189" s="293">
        <v>41</v>
      </c>
      <c r="P189" s="214">
        <v>0</v>
      </c>
      <c r="Q189" s="380">
        <f>N189*O189</f>
        <v>16400</v>
      </c>
    </row>
    <row r="190" spans="2:24">
      <c r="B190" s="271" t="s">
        <v>376</v>
      </c>
      <c r="D190" s="271"/>
      <c r="E190" s="271"/>
      <c r="F190" s="310">
        <f>Table234368[[#Totals],[Monthly]]/G159</f>
        <v>0.12127740211038637</v>
      </c>
      <c r="G190" s="311">
        <f>SUBTOTAL(109,Table234368[Monthly])</f>
        <v>60800</v>
      </c>
      <c r="I190" s="272"/>
      <c r="J190" s="275"/>
      <c r="K190" s="307">
        <f>Table244469[[#Totals],[Monthly]]/L159</f>
        <v>0.10614710452347283</v>
      </c>
      <c r="L190" s="308">
        <f>SUBTOTAL(109,Table244469[Monthly])</f>
        <v>60800</v>
      </c>
      <c r="N190" s="271"/>
      <c r="O190" s="271"/>
      <c r="P190" s="310">
        <f>Table254570[[#Totals],[Monthly]]/Q159</f>
        <v>8.9732566086822327E-2</v>
      </c>
      <c r="Q190" s="390">
        <f>SUBTOTAL(109,Table254570[Monthly])</f>
        <v>81400</v>
      </c>
    </row>
    <row r="192" spans="2:24">
      <c r="B192" s="366" t="s">
        <v>377</v>
      </c>
      <c r="D192" s="288" t="s">
        <v>142</v>
      </c>
      <c r="E192" s="285" t="s">
        <v>366</v>
      </c>
      <c r="F192" s="286" t="s">
        <v>382</v>
      </c>
      <c r="G192" s="278" t="s">
        <v>275</v>
      </c>
      <c r="I192" s="368" t="s">
        <v>142</v>
      </c>
      <c r="J192" s="279" t="s">
        <v>366</v>
      </c>
      <c r="K192" s="286" t="s">
        <v>382</v>
      </c>
      <c r="L192" s="278" t="s">
        <v>275</v>
      </c>
      <c r="N192" s="288" t="s">
        <v>142</v>
      </c>
      <c r="O192" s="279" t="s">
        <v>366</v>
      </c>
      <c r="P192" s="286" t="s">
        <v>382</v>
      </c>
      <c r="Q192" s="391" t="s">
        <v>275</v>
      </c>
    </row>
    <row r="193" spans="2:24">
      <c r="B193" s="321" t="s">
        <v>378</v>
      </c>
      <c r="D193" s="313">
        <v>8000</v>
      </c>
      <c r="E193" s="295">
        <v>1</v>
      </c>
      <c r="F193" s="252">
        <v>0</v>
      </c>
      <c r="G193" s="250">
        <f>D193*E193</f>
        <v>8000</v>
      </c>
      <c r="I193" s="313">
        <f>D193</f>
        <v>8000</v>
      </c>
      <c r="J193" s="295">
        <v>1</v>
      </c>
      <c r="K193" s="252"/>
      <c r="L193" s="250">
        <f>I193*J193</f>
        <v>8000</v>
      </c>
      <c r="N193" s="294">
        <f>D193</f>
        <v>8000</v>
      </c>
      <c r="O193" s="295">
        <v>1</v>
      </c>
      <c r="P193" s="252"/>
      <c r="Q193" s="392">
        <f>N193*O193</f>
        <v>8000</v>
      </c>
    </row>
    <row r="194" spans="2:24">
      <c r="B194" s="322" t="s">
        <v>401</v>
      </c>
      <c r="D194" s="313">
        <v>3000</v>
      </c>
      <c r="E194" s="295">
        <v>1</v>
      </c>
      <c r="F194" s="252">
        <v>0</v>
      </c>
      <c r="G194" s="250">
        <f t="shared" ref="G194:G200" si="14">D194*E194</f>
        <v>3000</v>
      </c>
      <c r="I194" s="313">
        <f t="shared" ref="I194:I200" si="15">D194</f>
        <v>3000</v>
      </c>
      <c r="J194" s="295">
        <v>1</v>
      </c>
      <c r="K194" s="252"/>
      <c r="L194" s="250">
        <f t="shared" ref="L194:L200" si="16">I194*J194</f>
        <v>3000</v>
      </c>
      <c r="N194" s="294">
        <f>D194</f>
        <v>3000</v>
      </c>
      <c r="O194" s="295">
        <v>1</v>
      </c>
      <c r="P194" s="252"/>
      <c r="Q194" s="392">
        <f t="shared" ref="Q194:Q200" si="17">N194*O194</f>
        <v>3000</v>
      </c>
    </row>
    <row r="195" spans="2:24">
      <c r="B195" s="322" t="s">
        <v>313</v>
      </c>
      <c r="D195" s="313">
        <v>8000</v>
      </c>
      <c r="E195" s="295">
        <v>1</v>
      </c>
      <c r="F195" s="252"/>
      <c r="G195" s="250">
        <f t="shared" si="14"/>
        <v>8000</v>
      </c>
      <c r="I195" s="313">
        <v>8000</v>
      </c>
      <c r="J195" s="295">
        <v>1</v>
      </c>
      <c r="K195" s="252"/>
      <c r="L195" s="250">
        <f t="shared" si="16"/>
        <v>8000</v>
      </c>
      <c r="N195" s="294">
        <v>8000</v>
      </c>
      <c r="O195" s="295">
        <v>1</v>
      </c>
      <c r="P195" s="252"/>
      <c r="Q195" s="392">
        <f t="shared" si="17"/>
        <v>8000</v>
      </c>
    </row>
    <row r="196" spans="2:24" s="375" customFormat="1">
      <c r="B196" s="322" t="s">
        <v>426</v>
      </c>
      <c r="C196" s="238"/>
      <c r="D196" s="313">
        <v>10000</v>
      </c>
      <c r="E196" s="295">
        <v>1</v>
      </c>
      <c r="F196" s="252"/>
      <c r="G196" s="250">
        <f t="shared" si="14"/>
        <v>10000</v>
      </c>
      <c r="H196" s="236"/>
      <c r="I196" s="313">
        <v>10000</v>
      </c>
      <c r="J196" s="295">
        <v>1</v>
      </c>
      <c r="K196" s="252"/>
      <c r="L196" s="250">
        <f t="shared" si="16"/>
        <v>10000</v>
      </c>
      <c r="M196" s="236"/>
      <c r="N196" s="294">
        <v>15000</v>
      </c>
      <c r="O196" s="295">
        <v>1</v>
      </c>
      <c r="P196" s="252"/>
      <c r="Q196" s="392">
        <f t="shared" si="17"/>
        <v>15000</v>
      </c>
      <c r="S196"/>
      <c r="T196"/>
      <c r="U196"/>
      <c r="V196"/>
      <c r="W196"/>
      <c r="X196"/>
    </row>
    <row r="197" spans="2:24">
      <c r="B197" s="455" t="s">
        <v>430</v>
      </c>
      <c r="C197" s="370"/>
      <c r="D197" s="456">
        <f>(140*0.8)*30</f>
        <v>3360</v>
      </c>
      <c r="E197" s="372">
        <f>E184</f>
        <v>27</v>
      </c>
      <c r="F197" s="369"/>
      <c r="G197" s="457">
        <f>(D197*E197)/12</f>
        <v>7560</v>
      </c>
      <c r="H197" s="374"/>
      <c r="I197" s="456">
        <f>D197</f>
        <v>3360</v>
      </c>
      <c r="J197" s="372">
        <f>J184</f>
        <v>27</v>
      </c>
      <c r="K197" s="369"/>
      <c r="L197" s="457">
        <f>(I197*J197)/12</f>
        <v>7560</v>
      </c>
      <c r="M197" s="374"/>
      <c r="N197" s="456">
        <f>I197</f>
        <v>3360</v>
      </c>
      <c r="O197" s="372">
        <f>O184</f>
        <v>41</v>
      </c>
      <c r="P197" s="369"/>
      <c r="Q197" s="457">
        <f>(N197*O197)/12</f>
        <v>11480</v>
      </c>
      <c r="S197" s="375"/>
      <c r="T197" s="375"/>
      <c r="U197" s="375"/>
      <c r="V197" s="375"/>
      <c r="W197" s="375"/>
      <c r="X197" s="375"/>
    </row>
    <row r="198" spans="2:24">
      <c r="B198" s="322" t="s">
        <v>414</v>
      </c>
      <c r="D198" s="313">
        <v>13000</v>
      </c>
      <c r="E198" s="295">
        <v>1</v>
      </c>
      <c r="F198" s="252">
        <v>0</v>
      </c>
      <c r="G198" s="250">
        <f t="shared" si="14"/>
        <v>13000</v>
      </c>
      <c r="I198" s="313">
        <f t="shared" si="15"/>
        <v>13000</v>
      </c>
      <c r="J198" s="295">
        <v>1</v>
      </c>
      <c r="K198" s="252"/>
      <c r="L198" s="250">
        <f t="shared" si="16"/>
        <v>13000</v>
      </c>
      <c r="N198" s="294">
        <v>41000</v>
      </c>
      <c r="O198" s="295">
        <v>1</v>
      </c>
      <c r="P198" s="252"/>
      <c r="Q198" s="392">
        <f t="shared" si="17"/>
        <v>41000</v>
      </c>
    </row>
    <row r="199" spans="2:24">
      <c r="B199" s="322" t="s">
        <v>412</v>
      </c>
      <c r="D199" s="313">
        <v>9000</v>
      </c>
      <c r="E199" s="295">
        <v>1</v>
      </c>
      <c r="F199" s="252">
        <v>0</v>
      </c>
      <c r="G199" s="250">
        <f t="shared" si="14"/>
        <v>9000</v>
      </c>
      <c r="I199" s="313">
        <f t="shared" si="15"/>
        <v>9000</v>
      </c>
      <c r="J199" s="295">
        <v>1</v>
      </c>
      <c r="K199" s="252"/>
      <c r="L199" s="250">
        <f t="shared" si="16"/>
        <v>9000</v>
      </c>
      <c r="N199" s="294">
        <v>9000</v>
      </c>
      <c r="O199" s="295">
        <v>1</v>
      </c>
      <c r="P199" s="252"/>
      <c r="Q199" s="392">
        <f t="shared" si="17"/>
        <v>9000</v>
      </c>
    </row>
    <row r="200" spans="2:24">
      <c r="B200" s="322"/>
      <c r="D200" s="313"/>
      <c r="E200" s="295"/>
      <c r="F200" s="252">
        <v>0</v>
      </c>
      <c r="G200" s="250">
        <f t="shared" si="14"/>
        <v>0</v>
      </c>
      <c r="I200" s="294">
        <f t="shared" si="15"/>
        <v>0</v>
      </c>
      <c r="J200" s="295">
        <v>0</v>
      </c>
      <c r="K200" s="252"/>
      <c r="L200" s="250">
        <f t="shared" si="16"/>
        <v>0</v>
      </c>
      <c r="N200" s="294">
        <f>D200</f>
        <v>0</v>
      </c>
      <c r="O200" s="295">
        <v>0</v>
      </c>
      <c r="P200" s="252"/>
      <c r="Q200" s="392">
        <f t="shared" si="17"/>
        <v>0</v>
      </c>
    </row>
    <row r="201" spans="2:24">
      <c r="B201" s="367" t="s">
        <v>376</v>
      </c>
      <c r="D201" s="289"/>
      <c r="E201" s="287"/>
      <c r="F201" s="305">
        <f>G201/G159</f>
        <v>0.11680928729579319</v>
      </c>
      <c r="G201" s="282">
        <f>SUM(G193:G200)</f>
        <v>58560</v>
      </c>
      <c r="I201" s="289"/>
      <c r="J201" s="280"/>
      <c r="K201" s="305">
        <f>L201/L159</f>
        <v>0.10223642172523961</v>
      </c>
      <c r="L201" s="283">
        <f>SUM(L193:L200)</f>
        <v>58560</v>
      </c>
      <c r="N201" s="289"/>
      <c r="O201" s="280"/>
      <c r="P201" s="305">
        <f>Q201/Q159</f>
        <v>0.10525387481535375</v>
      </c>
      <c r="Q201" s="393">
        <f>SUM(Q193:Q200)</f>
        <v>95480</v>
      </c>
    </row>
    <row r="203" spans="2:24">
      <c r="B203" s="271" t="s">
        <v>386</v>
      </c>
      <c r="D203" s="298" t="s">
        <v>142</v>
      </c>
      <c r="E203" s="298" t="s">
        <v>366</v>
      </c>
      <c r="F203" s="298" t="s">
        <v>382</v>
      </c>
      <c r="G203" s="298" t="s">
        <v>275</v>
      </c>
      <c r="I203" s="298" t="s">
        <v>142</v>
      </c>
      <c r="J203" s="298" t="s">
        <v>366</v>
      </c>
      <c r="K203" s="298" t="s">
        <v>382</v>
      </c>
      <c r="L203" s="298" t="s">
        <v>275</v>
      </c>
      <c r="N203" s="298" t="s">
        <v>142</v>
      </c>
      <c r="O203" s="298" t="s">
        <v>366</v>
      </c>
      <c r="P203" s="298" t="s">
        <v>382</v>
      </c>
      <c r="Q203" s="394" t="s">
        <v>275</v>
      </c>
    </row>
    <row r="204" spans="2:24">
      <c r="B204" s="252" t="s">
        <v>383</v>
      </c>
      <c r="D204" s="300">
        <v>0</v>
      </c>
      <c r="E204" s="295">
        <v>0</v>
      </c>
      <c r="F204" s="252">
        <v>0</v>
      </c>
      <c r="G204" s="241">
        <f>Table294873[[#This Row],[Rate]]*Table294873[[#This Row],[Qty]]</f>
        <v>0</v>
      </c>
      <c r="I204" s="300">
        <f>Table294873[[#This Row],[Rate]]</f>
        <v>0</v>
      </c>
      <c r="J204" s="295">
        <v>0</v>
      </c>
      <c r="K204" s="252">
        <v>0</v>
      </c>
      <c r="L204" s="241">
        <f>Table29314974[[#This Row],[Rate]]*Table29314974[[#This Row],[Qty]]</f>
        <v>0</v>
      </c>
      <c r="N204" s="300">
        <f>Table294873[[#This Row],[Rate]]</f>
        <v>0</v>
      </c>
      <c r="O204" s="295">
        <v>0</v>
      </c>
      <c r="P204" s="252">
        <v>0</v>
      </c>
      <c r="Q204" s="395">
        <f>Table29325075[[#This Row],[Rate]]*Table29325075[[#This Row],[Qty]]</f>
        <v>0</v>
      </c>
    </row>
    <row r="205" spans="2:24">
      <c r="B205" s="252" t="s">
        <v>384</v>
      </c>
      <c r="D205" s="300">
        <v>4000</v>
      </c>
      <c r="E205" s="295">
        <v>1</v>
      </c>
      <c r="F205" s="252">
        <v>0</v>
      </c>
      <c r="G205" s="241">
        <f>Table294873[[#This Row],[Rate]]*Table294873[[#This Row],[Qty]]</f>
        <v>4000</v>
      </c>
      <c r="I205" s="300">
        <f>Table294873[[#This Row],[Rate]]</f>
        <v>4000</v>
      </c>
      <c r="J205" s="295">
        <v>1</v>
      </c>
      <c r="K205" s="252">
        <v>0</v>
      </c>
      <c r="L205" s="241">
        <f>Table29314974[[#This Row],[Rate]]*Table29314974[[#This Row],[Qty]]</f>
        <v>4000</v>
      </c>
      <c r="N205" s="300">
        <v>6000</v>
      </c>
      <c r="O205" s="295">
        <v>1</v>
      </c>
      <c r="P205" s="252">
        <v>0</v>
      </c>
      <c r="Q205" s="395">
        <f>Table29325075[[#This Row],[Rate]]*Table29325075[[#This Row],[Qty]]</f>
        <v>6000</v>
      </c>
    </row>
    <row r="206" spans="2:24">
      <c r="B206" s="252" t="s">
        <v>385</v>
      </c>
      <c r="D206" s="300">
        <v>0</v>
      </c>
      <c r="E206" s="295">
        <v>0</v>
      </c>
      <c r="F206" s="252">
        <v>0</v>
      </c>
      <c r="G206" s="241">
        <f>Table294873[[#This Row],[Rate]]*Table294873[[#This Row],[Qty]]</f>
        <v>0</v>
      </c>
      <c r="I206" s="300">
        <f>Table294873[[#This Row],[Rate]]</f>
        <v>0</v>
      </c>
      <c r="J206" s="295">
        <v>0</v>
      </c>
      <c r="K206" s="252">
        <v>0</v>
      </c>
      <c r="L206" s="241">
        <f>Table29314974[[#This Row],[Rate]]*Table29314974[[#This Row],[Qty]]</f>
        <v>0</v>
      </c>
      <c r="N206" s="300">
        <f>Table294873[[#This Row],[Rate]]</f>
        <v>0</v>
      </c>
      <c r="O206" s="295">
        <v>0</v>
      </c>
      <c r="P206" s="252">
        <v>0</v>
      </c>
      <c r="Q206" s="395">
        <f>Table29325075[[#This Row],[Rate]]*Table29325075[[#This Row],[Qty]]</f>
        <v>0</v>
      </c>
    </row>
    <row r="207" spans="2:24">
      <c r="B207" s="281" t="s">
        <v>376</v>
      </c>
      <c r="D207" s="281"/>
      <c r="E207" s="281"/>
      <c r="F207" s="306">
        <f>Table294873[[#Totals],[Monthly]]/G159</f>
        <v>7.978776454630682E-3</v>
      </c>
      <c r="G207" s="299">
        <f>SUBTOTAL(109,Table294873[Monthly])</f>
        <v>4000</v>
      </c>
      <c r="I207" s="281"/>
      <c r="J207" s="281"/>
      <c r="K207" s="309">
        <f>Table29314974[[#Totals],[Monthly]]/L159</f>
        <v>6.9833621397021595E-3</v>
      </c>
      <c r="L207" s="302">
        <f>SUBTOTAL(109,Table29314974[Monthly])</f>
        <v>4000</v>
      </c>
      <c r="N207" s="281"/>
      <c r="O207" s="281"/>
      <c r="P207" s="309">
        <f>Table29325075[[#Totals],[Monthly]]/Q159</f>
        <v>6.6141940604537335E-3</v>
      </c>
      <c r="Q207" s="396">
        <f>SUBTOTAL(109,Table29325075[Monthly])</f>
        <v>6000</v>
      </c>
    </row>
    <row r="209" spans="2:24">
      <c r="B209" s="271" t="s">
        <v>37</v>
      </c>
      <c r="D209" s="298" t="s">
        <v>142</v>
      </c>
      <c r="E209" s="298" t="s">
        <v>366</v>
      </c>
      <c r="F209" s="298" t="s">
        <v>382</v>
      </c>
      <c r="G209" s="298" t="s">
        <v>275</v>
      </c>
      <c r="I209" s="298" t="s">
        <v>142</v>
      </c>
      <c r="J209" s="298" t="s">
        <v>366</v>
      </c>
      <c r="K209" s="298" t="s">
        <v>382</v>
      </c>
      <c r="L209" s="298" t="s">
        <v>275</v>
      </c>
      <c r="N209" s="298" t="s">
        <v>142</v>
      </c>
      <c r="O209" s="298" t="s">
        <v>366</v>
      </c>
      <c r="P209" s="298" t="s">
        <v>382</v>
      </c>
      <c r="Q209" s="394" t="s">
        <v>275</v>
      </c>
    </row>
    <row r="210" spans="2:24" s="375" customFormat="1">
      <c r="B210" s="252" t="s">
        <v>413</v>
      </c>
      <c r="C210" s="238"/>
      <c r="D210" s="300">
        <v>0</v>
      </c>
      <c r="E210" s="295">
        <v>1</v>
      </c>
      <c r="F210" s="252">
        <v>0</v>
      </c>
      <c r="G210" s="241">
        <f>Table29345277[[#This Row],[Rate]]*Table29345277[[#This Row],[Qty]]</f>
        <v>0</v>
      </c>
      <c r="H210" s="236"/>
      <c r="I210" s="300">
        <f>Table29345277[[#This Row],[Rate]]</f>
        <v>0</v>
      </c>
      <c r="J210" s="295">
        <v>1</v>
      </c>
      <c r="K210" s="252">
        <v>0</v>
      </c>
      <c r="L210" s="241">
        <f>Table2934355378[[#This Row],[Rate]]*Table2934355378[[#This Row],[Qty]]</f>
        <v>0</v>
      </c>
      <c r="M210" s="236"/>
      <c r="N210" s="300">
        <f>Table29345277[[#This Row],[Rate]]</f>
        <v>0</v>
      </c>
      <c r="O210" s="295">
        <v>1</v>
      </c>
      <c r="P210" s="252">
        <v>0</v>
      </c>
      <c r="Q210" s="395">
        <f>Table2934365479[[#This Row],[Rate]]*Table2934365479[[#This Row],[Qty]]</f>
        <v>0</v>
      </c>
      <c r="S210"/>
      <c r="T210"/>
      <c r="U210"/>
      <c r="V210"/>
      <c r="W210"/>
      <c r="X210"/>
    </row>
    <row r="211" spans="2:24">
      <c r="B211" s="369" t="s">
        <v>415</v>
      </c>
      <c r="C211" s="370"/>
      <c r="D211" s="371">
        <v>30000</v>
      </c>
      <c r="E211" s="372">
        <v>1</v>
      </c>
      <c r="F211" s="369">
        <v>0</v>
      </c>
      <c r="G211" s="373">
        <f>Table29345277[[#This Row],[Rate]]*Table29345277[[#This Row],[Qty]]</f>
        <v>30000</v>
      </c>
      <c r="H211" s="374"/>
      <c r="I211" s="371">
        <v>30000</v>
      </c>
      <c r="J211" s="372">
        <v>1</v>
      </c>
      <c r="K211" s="369">
        <v>0</v>
      </c>
      <c r="L211" s="373">
        <f>Table2934355378[[#This Row],[Rate]]*Table2934355378[[#This Row],[Qty]]</f>
        <v>30000</v>
      </c>
      <c r="M211" s="374"/>
      <c r="N211" s="371">
        <v>30000</v>
      </c>
      <c r="O211" s="372">
        <v>1</v>
      </c>
      <c r="P211" s="369">
        <v>0</v>
      </c>
      <c r="Q211" s="408">
        <f>Table2934365479[[#This Row],[Rate]]*Table2934365479[[#This Row],[Qty]]</f>
        <v>30000</v>
      </c>
      <c r="S211" s="375"/>
      <c r="T211" s="375"/>
      <c r="U211" s="375"/>
      <c r="V211" s="375"/>
      <c r="W211" s="375"/>
      <c r="X211" s="375"/>
    </row>
    <row r="212" spans="2:24">
      <c r="B212" s="252"/>
      <c r="D212" s="300">
        <v>0</v>
      </c>
      <c r="E212" s="295">
        <v>0</v>
      </c>
      <c r="F212" s="252">
        <v>0</v>
      </c>
      <c r="G212" s="241">
        <f>Table29345277[[#This Row],[Rate]]*Table29345277[[#This Row],[Qty]]</f>
        <v>0</v>
      </c>
      <c r="I212" s="300">
        <f>Table29345277[[#This Row],[Rate]]</f>
        <v>0</v>
      </c>
      <c r="J212" s="295">
        <v>0</v>
      </c>
      <c r="K212" s="252">
        <v>0</v>
      </c>
      <c r="L212" s="241">
        <f>Table2934355378[[#This Row],[Rate]]*Table2934355378[[#This Row],[Qty]]</f>
        <v>0</v>
      </c>
      <c r="N212" s="300">
        <f>Table29345277[[#This Row],[Rate]]</f>
        <v>0</v>
      </c>
      <c r="O212" s="295">
        <v>0</v>
      </c>
      <c r="P212" s="252">
        <v>0</v>
      </c>
      <c r="Q212" s="395">
        <f>Table2934365479[[#This Row],[Rate]]*Table2934365479[[#This Row],[Qty]]</f>
        <v>0</v>
      </c>
    </row>
    <row r="213" spans="2:24">
      <c r="B213" s="252"/>
      <c r="D213" s="300">
        <v>0</v>
      </c>
      <c r="E213" s="295">
        <v>0</v>
      </c>
      <c r="F213" s="252">
        <v>0</v>
      </c>
      <c r="G213" s="252">
        <f>Table29345277[[#This Row],[Rate]]*Table29345277[[#This Row],[Qty]]</f>
        <v>0</v>
      </c>
      <c r="I213" s="300">
        <f>Table29345277[[#This Row],[Rate]]</f>
        <v>0</v>
      </c>
      <c r="J213" s="295">
        <v>0</v>
      </c>
      <c r="K213" s="252">
        <v>0</v>
      </c>
      <c r="L213" s="252">
        <f>Table2934355378[[#This Row],[Rate]]*Table2934355378[[#This Row],[Qty]]</f>
        <v>0</v>
      </c>
      <c r="N213" s="300">
        <f>Table29345277[[#This Row],[Rate]]</f>
        <v>0</v>
      </c>
      <c r="O213" s="295">
        <v>0</v>
      </c>
      <c r="P213" s="252">
        <v>0</v>
      </c>
      <c r="Q213" s="395">
        <f>Table2934365479[[#This Row],[Rate]]*Table2934365479[[#This Row],[Qty]]</f>
        <v>0</v>
      </c>
    </row>
    <row r="214" spans="2:24">
      <c r="B214" s="252"/>
      <c r="D214" s="303">
        <v>0</v>
      </c>
      <c r="E214" s="304">
        <v>0</v>
      </c>
      <c r="F214" s="301">
        <v>0</v>
      </c>
      <c r="G214" s="301">
        <f>Table29345277[[#This Row],[Rate]]*Table29345277[[#This Row],[Qty]]</f>
        <v>0</v>
      </c>
      <c r="I214" s="300">
        <f>Table29345277[[#This Row],[Rate]]</f>
        <v>0</v>
      </c>
      <c r="J214" s="304">
        <v>0</v>
      </c>
      <c r="K214" s="301">
        <v>0</v>
      </c>
      <c r="L214" s="301">
        <f>Table2934355378[[#This Row],[Rate]]*Table2934355378[[#This Row],[Qty]]</f>
        <v>0</v>
      </c>
      <c r="N214" s="300">
        <f>Table29345277[[#This Row],[Rate]]</f>
        <v>0</v>
      </c>
      <c r="O214" s="304">
        <v>0</v>
      </c>
      <c r="P214" s="301">
        <v>0</v>
      </c>
      <c r="Q214" s="397">
        <f>Table2934365479[[#This Row],[Rate]]*Table2934365479[[#This Row],[Qty]]</f>
        <v>0</v>
      </c>
    </row>
    <row r="215" spans="2:24">
      <c r="B215" s="281" t="s">
        <v>376</v>
      </c>
      <c r="D215" s="281"/>
      <c r="E215" s="281"/>
      <c r="F215" s="306">
        <f>Table29345277[[#Totals],[Monthly]]/G159</f>
        <v>5.9840823409730119E-2</v>
      </c>
      <c r="G215" s="302">
        <f>SUBTOTAL(109,Table29345277[Monthly])</f>
        <v>30000</v>
      </c>
      <c r="I215" s="281"/>
      <c r="J215" s="281"/>
      <c r="K215" s="309">
        <f>Table2934355378[[#Totals],[Monthly]]/L159</f>
        <v>5.2375216047766196E-2</v>
      </c>
      <c r="L215" s="302">
        <f>SUBTOTAL(109,Table2934355378[Monthly])</f>
        <v>30000</v>
      </c>
      <c r="N215" s="281"/>
      <c r="O215" s="281"/>
      <c r="P215" s="309">
        <f>Table2934365479[[#Totals],[Monthly]]/Q159</f>
        <v>3.3070970302268667E-2</v>
      </c>
      <c r="Q215" s="396">
        <f>SUBTOTAL(109,Table2934365479[Monthly])</f>
        <v>30000</v>
      </c>
    </row>
    <row r="217" spans="2:24">
      <c r="B217" s="281" t="s">
        <v>392</v>
      </c>
      <c r="D217" s="281"/>
      <c r="E217" s="281"/>
      <c r="F217" s="281"/>
      <c r="G217" s="302">
        <f>Table29345277[[#Totals],[Monthly]]+Table294873[[#Totals],[Monthly]]+G201+Table234368[[#Totals],[Monthly]]+'Fianl All'!$G$184</f>
        <v>545026.66666666674</v>
      </c>
      <c r="I217" s="281"/>
      <c r="J217" s="281"/>
      <c r="K217" s="281"/>
      <c r="L217" s="302">
        <f>Table2934355378[[#Totals],[Monthly]]+Table29314974[[#Totals],[Monthly]]+L201+Table244469[[#Totals],[Monthly]]+'Fianl All'!$L$184</f>
        <v>545026.66666666674</v>
      </c>
      <c r="N217" s="281"/>
      <c r="O217" s="281"/>
      <c r="P217" s="281"/>
      <c r="Q217" s="396">
        <f>Table2934365479[[#Totals],[Monthly]]+Table29325075[[#Totals],[Monthly]]+Q201+Table254570[[#Totals],[Monthly]]+'Fianl All'!$Q$184</f>
        <v>777924.4444444445</v>
      </c>
    </row>
    <row r="219" spans="2:24">
      <c r="B219" s="260" t="s">
        <v>371</v>
      </c>
      <c r="D219" s="261"/>
      <c r="E219" s="262"/>
      <c r="F219" s="262"/>
      <c r="G219" s="261">
        <f>'Fianl All'!$G$157+'Fianl All'!$G$151</f>
        <v>501330</v>
      </c>
      <c r="I219" s="261"/>
      <c r="J219" s="262"/>
      <c r="K219" s="262"/>
      <c r="L219" s="261">
        <f>'Fianl All'!$L$157+'Fianl All'!$L$151</f>
        <v>572790</v>
      </c>
      <c r="N219" s="261"/>
      <c r="O219" s="262"/>
      <c r="P219" s="262"/>
      <c r="Q219" s="387">
        <f>'Fianl All'!$Q$157+'Fianl All'!$Q$151</f>
        <v>907140</v>
      </c>
      <c r="S219" s="376"/>
    </row>
    <row r="221" spans="2:24">
      <c r="B221" s="415" t="s">
        <v>427</v>
      </c>
      <c r="D221" s="431">
        <v>2.5000000000000001E-2</v>
      </c>
      <c r="E221" s="417">
        <v>-1</v>
      </c>
      <c r="F221" s="418"/>
      <c r="G221" s="419">
        <f>E221*D221*G219</f>
        <v>-12533.25</v>
      </c>
      <c r="I221" s="431">
        <v>2.5000000000000001E-2</v>
      </c>
      <c r="J221" s="420">
        <v>-1</v>
      </c>
      <c r="K221" s="421"/>
      <c r="L221" s="419">
        <f>J221*I221*L219</f>
        <v>-14319.75</v>
      </c>
      <c r="N221" s="438">
        <v>2.5000000000000001E-2</v>
      </c>
      <c r="O221" s="417">
        <v>-1</v>
      </c>
      <c r="P221" s="418"/>
      <c r="Q221" s="419">
        <f>O221*N221*Q219</f>
        <v>-22678.5</v>
      </c>
    </row>
    <row r="222" spans="2:24" s="319" customFormat="1">
      <c r="B222"/>
      <c r="C222" s="238"/>
      <c r="D222" s="217"/>
      <c r="E222" s="212"/>
      <c r="F222" s="212"/>
      <c r="G222" s="212"/>
      <c r="H222" s="236"/>
      <c r="I222" s="217"/>
      <c r="J222" s="217"/>
      <c r="K222" s="217"/>
      <c r="L222" s="212"/>
      <c r="M222" s="236"/>
      <c r="N222" s="212"/>
      <c r="O222" s="212"/>
      <c r="P222" s="212"/>
      <c r="Q222" s="212"/>
      <c r="S222"/>
      <c r="T222"/>
      <c r="U222"/>
      <c r="V222"/>
      <c r="W222"/>
      <c r="X222"/>
    </row>
    <row r="223" spans="2:24" s="319" customFormat="1">
      <c r="B223" s="423" t="s">
        <v>393</v>
      </c>
      <c r="C223" s="424"/>
      <c r="D223" s="425"/>
      <c r="E223" s="426"/>
      <c r="F223" s="426"/>
      <c r="G223" s="425">
        <f>G219-G217+G221</f>
        <v>-56229.916666666744</v>
      </c>
      <c r="H223" s="427"/>
      <c r="I223" s="425"/>
      <c r="J223" s="425"/>
      <c r="K223" s="425"/>
      <c r="L223" s="425">
        <f>L219-L217+L221</f>
        <v>13443.583333333256</v>
      </c>
      <c r="M223" s="427"/>
      <c r="N223" s="426"/>
      <c r="O223" s="426"/>
      <c r="P223" s="426"/>
      <c r="Q223" s="425">
        <f>Q219-Q217+Q221</f>
        <v>106537.0555555555</v>
      </c>
    </row>
    <row r="224" spans="2:24" s="319" customFormat="1">
      <c r="C224" s="424"/>
      <c r="D224" s="428"/>
      <c r="E224" s="429"/>
      <c r="F224" s="429"/>
      <c r="G224" s="429"/>
      <c r="H224" s="427"/>
      <c r="I224" s="428"/>
      <c r="J224" s="428"/>
      <c r="K224" s="428"/>
      <c r="L224" s="429"/>
      <c r="M224" s="427"/>
      <c r="N224" s="429"/>
      <c r="O224" s="429"/>
      <c r="P224" s="429"/>
      <c r="Q224" s="429"/>
    </row>
    <row r="225" spans="2:24" s="432" customFormat="1">
      <c r="B225" s="441" t="s">
        <v>394</v>
      </c>
      <c r="C225" s="424"/>
      <c r="D225" s="442"/>
      <c r="E225" s="443"/>
      <c r="F225" s="443"/>
      <c r="G225" s="444">
        <f>G223/G219</f>
        <v>-0.1121614837864615</v>
      </c>
      <c r="H225" s="427"/>
      <c r="I225" s="442"/>
      <c r="J225" s="442"/>
      <c r="K225" s="442"/>
      <c r="L225" s="444">
        <f>L223/L219</f>
        <v>2.3470352717982604E-2</v>
      </c>
      <c r="M225" s="427"/>
      <c r="N225" s="443"/>
      <c r="O225" s="443"/>
      <c r="P225" s="443"/>
      <c r="Q225" s="444">
        <f>Q223/Q219</f>
        <v>0.11744279334563078</v>
      </c>
      <c r="S225" s="319"/>
      <c r="T225" s="319"/>
      <c r="U225" s="319"/>
      <c r="V225" s="319"/>
      <c r="W225" s="319"/>
      <c r="X225" s="319"/>
    </row>
    <row r="226" spans="2:24">
      <c r="B226" s="432"/>
      <c r="C226" s="432"/>
      <c r="D226" s="434"/>
      <c r="E226" s="435"/>
      <c r="F226" s="435"/>
      <c r="G226" s="436"/>
      <c r="H226" s="435"/>
      <c r="I226" s="434"/>
      <c r="J226" s="434"/>
      <c r="K226" s="434"/>
      <c r="L226" s="436"/>
      <c r="M226" s="435"/>
      <c r="N226" s="435"/>
      <c r="O226" s="435"/>
      <c r="P226" s="435"/>
      <c r="Q226" s="436"/>
      <c r="S226" s="432"/>
      <c r="T226" s="432"/>
      <c r="U226" s="432"/>
      <c r="V226" s="432"/>
      <c r="W226" s="432"/>
      <c r="X226" s="432"/>
    </row>
    <row r="227" spans="2:24" s="432" customFormat="1" ht="6.75" customHeight="1">
      <c r="B227"/>
      <c r="C227" s="238"/>
      <c r="D227" s="217"/>
      <c r="E227" s="212"/>
      <c r="F227" s="212"/>
      <c r="G227" s="212"/>
      <c r="H227" s="236"/>
      <c r="I227" s="217"/>
      <c r="J227" s="217"/>
      <c r="K227" s="217"/>
      <c r="L227" s="217"/>
      <c r="M227" s="236"/>
      <c r="N227" s="212"/>
      <c r="O227" s="212"/>
      <c r="P227" s="212"/>
      <c r="Q227" s="377"/>
      <c r="S227"/>
      <c r="T227"/>
      <c r="U227"/>
      <c r="V227"/>
      <c r="W227"/>
      <c r="X227"/>
    </row>
    <row r="228" spans="2:24">
      <c r="B228" s="432"/>
      <c r="C228" s="432"/>
      <c r="D228" s="434"/>
      <c r="E228" s="435"/>
      <c r="F228" s="435"/>
      <c r="G228" s="436"/>
      <c r="H228" s="435"/>
      <c r="I228" s="434"/>
      <c r="J228" s="434"/>
      <c r="K228" s="434"/>
      <c r="L228" s="436"/>
      <c r="M228" s="435"/>
      <c r="N228" s="435"/>
      <c r="O228" s="435"/>
      <c r="P228" s="435"/>
      <c r="Q228" s="436"/>
      <c r="S228" s="432"/>
      <c r="T228" s="432"/>
      <c r="U228" s="432"/>
      <c r="V228" s="432"/>
      <c r="W228" s="432"/>
      <c r="X228" s="432"/>
    </row>
    <row r="229" spans="2:24">
      <c r="B229" s="319" t="s">
        <v>416</v>
      </c>
    </row>
    <row r="230" spans="2:24">
      <c r="B230" s="225" t="s">
        <v>417</v>
      </c>
      <c r="D230" s="224" t="s">
        <v>142</v>
      </c>
      <c r="E230" s="224" t="s">
        <v>366</v>
      </c>
      <c r="F230" s="224" t="s">
        <v>367</v>
      </c>
      <c r="G230" s="224" t="s">
        <v>275</v>
      </c>
      <c r="I230" s="224" t="s">
        <v>142</v>
      </c>
      <c r="J230" s="224" t="s">
        <v>366</v>
      </c>
      <c r="K230" s="224" t="s">
        <v>367</v>
      </c>
      <c r="L230" s="224" t="s">
        <v>275</v>
      </c>
      <c r="N230" s="224" t="s">
        <v>142</v>
      </c>
      <c r="O230" s="224" t="s">
        <v>366</v>
      </c>
      <c r="P230" s="224" t="s">
        <v>367</v>
      </c>
      <c r="Q230" s="378" t="s">
        <v>275</v>
      </c>
    </row>
    <row r="231" spans="2:24">
      <c r="B231" s="240" t="s">
        <v>40</v>
      </c>
      <c r="D231" s="218">
        <v>1958</v>
      </c>
      <c r="E231" s="213">
        <v>0</v>
      </c>
      <c r="F231" s="213">
        <v>30</v>
      </c>
      <c r="G231" s="232">
        <f>F231*E231*D231</f>
        <v>0</v>
      </c>
      <c r="I231" s="221">
        <v>2179</v>
      </c>
      <c r="J231" s="216">
        <v>1</v>
      </c>
      <c r="K231" s="216">
        <v>30</v>
      </c>
      <c r="L231" s="227">
        <f>Table261281[[#This Row],[Shift/Month]]*Table261281[[#This Row],[Qty]]*Table261281[[#This Row],[Rate]]</f>
        <v>65370</v>
      </c>
      <c r="N231" s="221">
        <v>2179</v>
      </c>
      <c r="O231" s="216">
        <v>1</v>
      </c>
      <c r="P231" s="216">
        <v>30</v>
      </c>
      <c r="Q231" s="379">
        <f>P231*O231*N231</f>
        <v>65370</v>
      </c>
    </row>
    <row r="232" spans="2:24">
      <c r="B232" s="241" t="s">
        <v>23</v>
      </c>
      <c r="D232" s="219">
        <v>1599</v>
      </c>
      <c r="E232" s="239">
        <v>0</v>
      </c>
      <c r="F232" s="214">
        <v>30</v>
      </c>
      <c r="G232" s="245">
        <f>F232*E232*D232</f>
        <v>0</v>
      </c>
      <c r="I232" s="219">
        <v>1631</v>
      </c>
      <c r="J232" s="239">
        <v>2</v>
      </c>
      <c r="K232" s="214">
        <v>30</v>
      </c>
      <c r="L232" s="245">
        <f>Table261281[[#This Row],[Shift/Month]]*Table261281[[#This Row],[Qty]]*Table261281[[#This Row],[Rate]]</f>
        <v>97860</v>
      </c>
      <c r="N232" s="219">
        <v>1631</v>
      </c>
      <c r="O232" s="247">
        <v>4</v>
      </c>
      <c r="P232" s="214">
        <v>30</v>
      </c>
      <c r="Q232" s="380">
        <f>P232*O232*N232</f>
        <v>195720</v>
      </c>
    </row>
    <row r="233" spans="2:24">
      <c r="B233" s="241" t="s">
        <v>19</v>
      </c>
      <c r="D233" s="219">
        <v>526</v>
      </c>
      <c r="E233" s="214">
        <v>0</v>
      </c>
      <c r="F233" s="214">
        <v>30</v>
      </c>
      <c r="G233" s="228">
        <f>F233*E233*D233</f>
        <v>0</v>
      </c>
      <c r="I233" s="219">
        <v>622</v>
      </c>
      <c r="J233" s="214">
        <v>20</v>
      </c>
      <c r="K233" s="214">
        <v>30</v>
      </c>
      <c r="L233" s="228">
        <f>Table261281[[#This Row],[Shift/Month]]*Table261281[[#This Row],[Qty]]*Table261281[[#This Row],[Rate]]</f>
        <v>373200</v>
      </c>
      <c r="N233" s="219">
        <v>622</v>
      </c>
      <c r="O233" s="214">
        <v>60</v>
      </c>
      <c r="P233" s="214">
        <v>30</v>
      </c>
      <c r="Q233" s="380">
        <f>P233*O233*N233</f>
        <v>1119600</v>
      </c>
    </row>
    <row r="234" spans="2:24">
      <c r="B234" s="241"/>
      <c r="D234" s="219"/>
      <c r="E234" s="214"/>
      <c r="F234" s="214"/>
      <c r="G234" s="228"/>
      <c r="I234" s="219"/>
      <c r="J234" s="214"/>
      <c r="K234" s="214"/>
      <c r="L234" s="228">
        <f>Table261281[[#This Row],[Shift/Month]]*Table261281[[#This Row],[Qty]]*Table261281[[#This Row],[Rate]]</f>
        <v>0</v>
      </c>
      <c r="N234" s="219"/>
      <c r="O234" s="214"/>
      <c r="P234" s="214"/>
      <c r="Q234" s="380"/>
    </row>
    <row r="235" spans="2:24">
      <c r="B235" s="241"/>
      <c r="D235" s="219"/>
      <c r="E235" s="219"/>
      <c r="F235" s="219"/>
      <c r="G235" s="228"/>
      <c r="I235" s="219"/>
      <c r="J235" s="219"/>
      <c r="K235" s="219"/>
      <c r="L235" s="228">
        <f>Table261281[[#This Row],[Shift/Month]]*Table261281[[#This Row],[Qty]]*Table261281[[#This Row],[Rate]]</f>
        <v>0</v>
      </c>
      <c r="N235" s="219"/>
      <c r="O235" s="214"/>
      <c r="P235" s="214"/>
      <c r="Q235" s="380"/>
    </row>
    <row r="236" spans="2:24">
      <c r="B236" s="242" t="s">
        <v>263</v>
      </c>
      <c r="D236" s="226" t="e">
        <f>Table151180[[#Totals],[Monthly]]/Table151180[[#Totals],[Qty]]</f>
        <v>#DIV/0!</v>
      </c>
      <c r="E236" s="223">
        <f>SUBTOTAL(109,Table151180[Qty])</f>
        <v>0</v>
      </c>
      <c r="F236" s="223"/>
      <c r="G236" s="230">
        <f>SUBTOTAL(109,Table151180[Monthly])</f>
        <v>0</v>
      </c>
      <c r="I236" s="226">
        <f>Table261281[[#Totals],[Monthly]]/Table261281[[#Totals],[Qty]]</f>
        <v>23323.043478260868</v>
      </c>
      <c r="J236" s="226">
        <f>SUBTOTAL(109,Table261281[Qty])</f>
        <v>23</v>
      </c>
      <c r="K236" s="226"/>
      <c r="L236" s="226">
        <f>SUBTOTAL(109,Table261281[Monthly])</f>
        <v>536430</v>
      </c>
      <c r="N236" s="226">
        <f>Table371382[[#Totals],[Monthly]]/Table371382[[#Totals],[Qty]]</f>
        <v>21241.384615384617</v>
      </c>
      <c r="O236" s="223">
        <f>SUBTOTAL(109,Table371382[Qty])</f>
        <v>65</v>
      </c>
      <c r="P236" s="223"/>
      <c r="Q236" s="410">
        <f>SUBTOTAL(109,Table371382[Monthly])</f>
        <v>1380690</v>
      </c>
    </row>
    <row r="238" spans="2:24">
      <c r="B238" s="253" t="s">
        <v>37</v>
      </c>
      <c r="D238" s="258" t="s">
        <v>142</v>
      </c>
      <c r="E238" s="258" t="s">
        <v>366</v>
      </c>
      <c r="F238" s="258" t="s">
        <v>367</v>
      </c>
      <c r="G238" s="258" t="s">
        <v>275</v>
      </c>
      <c r="I238" s="258" t="s">
        <v>142</v>
      </c>
      <c r="J238" s="258" t="s">
        <v>366</v>
      </c>
      <c r="K238" s="258" t="s">
        <v>367</v>
      </c>
      <c r="L238" s="258" t="s">
        <v>275</v>
      </c>
      <c r="N238" s="258" t="s">
        <v>142</v>
      </c>
      <c r="O238" s="258" t="s">
        <v>366</v>
      </c>
      <c r="P238" s="258" t="s">
        <v>367</v>
      </c>
      <c r="Q238" s="382" t="s">
        <v>275</v>
      </c>
    </row>
    <row r="239" spans="2:24">
      <c r="B239" s="251" t="s">
        <v>370</v>
      </c>
      <c r="D239" s="255">
        <v>2002</v>
      </c>
      <c r="E239" s="248">
        <v>0</v>
      </c>
      <c r="F239" s="248">
        <v>30</v>
      </c>
      <c r="G239" s="256">
        <f>D239*E239*F239</f>
        <v>0</v>
      </c>
      <c r="I239" s="255">
        <v>2249</v>
      </c>
      <c r="J239" s="248">
        <v>0</v>
      </c>
      <c r="K239" s="248">
        <v>30</v>
      </c>
      <c r="L239" s="256">
        <f>I239*J239*K239</f>
        <v>0</v>
      </c>
      <c r="N239" s="255">
        <v>2249</v>
      </c>
      <c r="O239" s="248">
        <v>0</v>
      </c>
      <c r="P239" s="248">
        <v>30</v>
      </c>
      <c r="Q239" s="383">
        <f>N239*O239*P239</f>
        <v>0</v>
      </c>
    </row>
    <row r="240" spans="2:24">
      <c r="B240" s="252" t="s">
        <v>49</v>
      </c>
      <c r="D240" s="237">
        <v>2310</v>
      </c>
      <c r="E240" s="247">
        <v>0</v>
      </c>
      <c r="F240" s="249">
        <v>30</v>
      </c>
      <c r="G240" s="246">
        <f>D240*E240*F240</f>
        <v>0</v>
      </c>
      <c r="I240" s="237">
        <v>2595</v>
      </c>
      <c r="J240" s="247">
        <v>0</v>
      </c>
      <c r="K240" s="249">
        <v>30</v>
      </c>
      <c r="L240" s="257">
        <f>I240*J240*K240</f>
        <v>0</v>
      </c>
      <c r="N240" s="237">
        <v>2595</v>
      </c>
      <c r="O240" s="247">
        <v>0</v>
      </c>
      <c r="P240" s="249">
        <v>30</v>
      </c>
      <c r="Q240" s="384">
        <f>N240*O240*P240</f>
        <v>0</v>
      </c>
    </row>
    <row r="241" spans="2:24">
      <c r="B241" s="252" t="s">
        <v>50</v>
      </c>
      <c r="D241" s="237">
        <v>507</v>
      </c>
      <c r="E241" s="249">
        <v>0</v>
      </c>
      <c r="F241" s="249">
        <v>30</v>
      </c>
      <c r="G241" s="257">
        <f>D241*E241*F241</f>
        <v>0</v>
      </c>
      <c r="I241" s="237">
        <v>570</v>
      </c>
      <c r="J241" s="249">
        <v>0</v>
      </c>
      <c r="K241" s="249">
        <v>30</v>
      </c>
      <c r="L241" s="257">
        <f>I241*J241*K241</f>
        <v>0</v>
      </c>
      <c r="N241" s="222">
        <v>570</v>
      </c>
      <c r="O241" s="263">
        <v>0</v>
      </c>
      <c r="P241" s="263">
        <v>30</v>
      </c>
      <c r="Q241" s="385">
        <f>N241*O241*P241</f>
        <v>0</v>
      </c>
    </row>
    <row r="242" spans="2:24">
      <c r="B242" s="254" t="s">
        <v>263</v>
      </c>
      <c r="D242" s="264"/>
      <c r="E242" s="223"/>
      <c r="F242" s="265"/>
      <c r="G242" s="230">
        <f>SUBTOTAL(109,Table1585[Monthly])</f>
        <v>0</v>
      </c>
      <c r="I242" s="264"/>
      <c r="J242" s="259"/>
      <c r="K242" s="265"/>
      <c r="L242" s="226">
        <f>SUBTOTAL(109,Table1686[Monthly])</f>
        <v>0</v>
      </c>
      <c r="N242" s="264"/>
      <c r="O242" s="259"/>
      <c r="P242" s="265"/>
      <c r="Q242" s="386">
        <f>SUBTOTAL(109,Table1787[Monthly])</f>
        <v>0</v>
      </c>
    </row>
    <row r="244" spans="2:24">
      <c r="B244" s="260" t="s">
        <v>371</v>
      </c>
      <c r="D244" s="261" t="e">
        <f>G244/Table151180[[#Totals],[Qty]]</f>
        <v>#DIV/0!</v>
      </c>
      <c r="E244" s="262"/>
      <c r="F244" s="262"/>
      <c r="G244" s="261">
        <f>Table1585[[#Totals],[Monthly]]+Table151180[[#Totals],[Monthly]]</f>
        <v>0</v>
      </c>
      <c r="I244" s="261">
        <f>L244/Table261281[[#Totals],[Qty]]</f>
        <v>23323.043478260868</v>
      </c>
      <c r="J244" s="262"/>
      <c r="K244" s="262"/>
      <c r="L244" s="261">
        <f>Table1686[[#Totals],[Monthly]]+Table261281[[#Totals],[Monthly]]</f>
        <v>536430</v>
      </c>
      <c r="N244" s="261">
        <f>Q244/Table371382[[#Totals],[Qty]]</f>
        <v>21241.384615384617</v>
      </c>
      <c r="O244" s="262"/>
      <c r="P244" s="262"/>
      <c r="Q244" s="387">
        <f>Table1787[[#Totals],[Monthly]]+Table371382[[#Totals],[Monthly]]</f>
        <v>1380690</v>
      </c>
    </row>
    <row r="246" spans="2:24">
      <c r="B246" s="277" t="s">
        <v>418</v>
      </c>
      <c r="D246" s="349" t="s">
        <v>142</v>
      </c>
      <c r="E246" s="350" t="s">
        <v>366</v>
      </c>
      <c r="F246" s="350" t="s">
        <v>367</v>
      </c>
      <c r="G246" s="351" t="s">
        <v>275</v>
      </c>
      <c r="I246" s="349" t="s">
        <v>142</v>
      </c>
      <c r="J246" s="350" t="s">
        <v>366</v>
      </c>
      <c r="K246" s="350" t="s">
        <v>367</v>
      </c>
      <c r="L246" s="351" t="s">
        <v>275</v>
      </c>
      <c r="N246" s="349" t="s">
        <v>142</v>
      </c>
      <c r="O246" s="350" t="s">
        <v>366</v>
      </c>
      <c r="P246" s="350" t="s">
        <v>367</v>
      </c>
      <c r="Q246" s="406" t="s">
        <v>275</v>
      </c>
    </row>
    <row r="247" spans="2:24">
      <c r="B247" s="240" t="s">
        <v>40</v>
      </c>
      <c r="D247" s="531">
        <v>0</v>
      </c>
      <c r="E247" s="532">
        <v>0</v>
      </c>
      <c r="F247" s="328">
        <v>30</v>
      </c>
      <c r="G247" s="329">
        <f>'Fianl All'!$D247*'Fianl All'!$E247</f>
        <v>0</v>
      </c>
      <c r="I247" s="531">
        <v>24000</v>
      </c>
      <c r="J247" s="532">
        <v>1</v>
      </c>
      <c r="K247" s="328">
        <v>30</v>
      </c>
      <c r="L247" s="329">
        <f>'Fianl All'!$I247*'Fianl All'!$J247</f>
        <v>24000</v>
      </c>
      <c r="N247" s="531">
        <v>24000</v>
      </c>
      <c r="O247" s="532">
        <f>O231</f>
        <v>1</v>
      </c>
      <c r="P247" s="328">
        <v>30</v>
      </c>
      <c r="Q247" s="403">
        <f>'Fianl All'!$N247*'Fianl All'!$O247</f>
        <v>24000</v>
      </c>
      <c r="S247" s="211">
        <f>(D247/30)*(16/365)</f>
        <v>0</v>
      </c>
      <c r="T247" s="376">
        <f>S247*E247</f>
        <v>0</v>
      </c>
      <c r="U247" s="211">
        <f>(I247/30)*(16/12)</f>
        <v>1066.6666666666665</v>
      </c>
      <c r="V247" s="539">
        <f>U247*J247</f>
        <v>1066.6666666666665</v>
      </c>
      <c r="W247" s="211">
        <f>(N247/30)*(16/12)</f>
        <v>1066.6666666666665</v>
      </c>
      <c r="X247" s="539">
        <f>W247*O247</f>
        <v>1066.6666666666665</v>
      </c>
    </row>
    <row r="248" spans="2:24">
      <c r="B248" s="241" t="s">
        <v>23</v>
      </c>
      <c r="D248" s="352">
        <v>0</v>
      </c>
      <c r="E248" s="533">
        <v>0</v>
      </c>
      <c r="F248" s="263">
        <v>30</v>
      </c>
      <c r="G248" s="331">
        <f>'Fianl All'!$D248*'Fianl All'!$E248</f>
        <v>0</v>
      </c>
      <c r="I248" s="352">
        <v>12000</v>
      </c>
      <c r="J248" s="533">
        <v>2</v>
      </c>
      <c r="K248" s="263">
        <v>30</v>
      </c>
      <c r="L248" s="331">
        <f>'Fianl All'!$I248*'Fianl All'!$J248</f>
        <v>24000</v>
      </c>
      <c r="N248" s="352">
        <v>12000</v>
      </c>
      <c r="O248" s="360">
        <f>O232</f>
        <v>4</v>
      </c>
      <c r="P248" s="263">
        <v>30</v>
      </c>
      <c r="Q248" s="401">
        <f>'Fianl All'!$N248*'Fianl All'!$O248</f>
        <v>48000</v>
      </c>
    </row>
    <row r="249" spans="2:24">
      <c r="B249" s="241" t="s">
        <v>19</v>
      </c>
      <c r="D249" s="352">
        <v>0</v>
      </c>
      <c r="E249" s="353">
        <v>0</v>
      </c>
      <c r="F249" s="263">
        <v>30</v>
      </c>
      <c r="G249" s="332">
        <f>'Fianl All'!$D249*'Fianl All'!$E249</f>
        <v>0</v>
      </c>
      <c r="I249" s="352">
        <v>9000</v>
      </c>
      <c r="J249" s="353">
        <v>20</v>
      </c>
      <c r="K249" s="263">
        <v>30</v>
      </c>
      <c r="L249" s="332">
        <f>'Fianl All'!$I249*'Fianl All'!$J249</f>
        <v>180000</v>
      </c>
      <c r="N249" s="352">
        <v>9000</v>
      </c>
      <c r="O249" s="353">
        <f>O233</f>
        <v>60</v>
      </c>
      <c r="P249" s="263">
        <v>30</v>
      </c>
      <c r="Q249" s="401">
        <f>'Fianl All'!$N249*'Fianl All'!$O249</f>
        <v>540000</v>
      </c>
    </row>
    <row r="250" spans="2:24">
      <c r="B250" s="322" t="s">
        <v>432</v>
      </c>
      <c r="D250" s="352"/>
      <c r="E250" s="353"/>
      <c r="F250" s="263"/>
      <c r="G250" s="332"/>
      <c r="I250" s="352">
        <f>V247</f>
        <v>1066.6666666666665</v>
      </c>
      <c r="J250" s="353">
        <v>1</v>
      </c>
      <c r="K250" s="263"/>
      <c r="L250" s="332">
        <f>'Fianl All'!$I250*'Fianl All'!$J250</f>
        <v>1066.6666666666665</v>
      </c>
      <c r="N250" s="352">
        <f>X247</f>
        <v>1066.6666666666665</v>
      </c>
      <c r="O250" s="353">
        <v>1</v>
      </c>
      <c r="P250" s="263">
        <v>30</v>
      </c>
      <c r="Q250" s="401">
        <f>'Fianl All'!$N250*'Fianl All'!$O250</f>
        <v>1066.6666666666665</v>
      </c>
    </row>
    <row r="251" spans="2:24">
      <c r="B251" s="241"/>
      <c r="D251" s="352"/>
      <c r="E251" s="534"/>
      <c r="F251" s="222"/>
      <c r="G251" s="332"/>
      <c r="I251" s="352"/>
      <c r="J251" s="534"/>
      <c r="K251" s="222"/>
      <c r="L251" s="332"/>
      <c r="N251" s="352"/>
      <c r="O251" s="534">
        <f>O235</f>
        <v>0</v>
      </c>
      <c r="P251" s="222"/>
      <c r="Q251" s="401"/>
    </row>
    <row r="252" spans="2:24">
      <c r="B252" s="538"/>
      <c r="D252" s="352"/>
      <c r="E252" s="534"/>
      <c r="F252" s="222"/>
      <c r="G252" s="332"/>
      <c r="I252" s="352"/>
      <c r="J252" s="534"/>
      <c r="K252" s="222"/>
      <c r="L252" s="332"/>
      <c r="N252" s="352"/>
      <c r="O252" s="534"/>
      <c r="P252" s="222"/>
      <c r="Q252" s="401"/>
    </row>
    <row r="253" spans="2:24">
      <c r="B253" s="269" t="s">
        <v>263</v>
      </c>
      <c r="D253" s="354" t="e">
        <f>'Fianl All'!$G$253/'Fianl All'!$E$253</f>
        <v>#DIV/0!</v>
      </c>
      <c r="E253" s="355">
        <f>SUBTOTAL(109,'Fianl All'!$E$247:$E$251)</f>
        <v>0</v>
      </c>
      <c r="F253" s="356" t="e">
        <f>'Fianl All'!$G$253/G244</f>
        <v>#DIV/0!</v>
      </c>
      <c r="G253" s="357">
        <f>SUBTOTAL(109,'Fianl All'!$G$247:$G$251)</f>
        <v>0</v>
      </c>
      <c r="I253" s="354">
        <f>'Fianl All'!$L$253/'Fianl All'!$J$253</f>
        <v>9544.4444444444434</v>
      </c>
      <c r="J253" s="358">
        <f>SUBTOTAL(109,'Fianl All'!$J$247:$J$251)</f>
        <v>24</v>
      </c>
      <c r="K253" s="356">
        <f>'Fianl All'!$L$253/L244</f>
        <v>0.42702061157404819</v>
      </c>
      <c r="L253" s="357">
        <f>SUBTOTAL(109,'Fianl All'!$L$247:$L$251)</f>
        <v>229066.66666666666</v>
      </c>
      <c r="N253" s="354">
        <f>'Fianl All'!$Q$253/'Fianl All'!$O$253</f>
        <v>9288.8888888888887</v>
      </c>
      <c r="O253" s="355">
        <f>SUBTOTAL(109,'Fianl All'!$O$247:$O$251)</f>
        <v>66</v>
      </c>
      <c r="P253" s="356">
        <f>'Fianl All'!$Q$253/Q244</f>
        <v>0.44402919313290212</v>
      </c>
      <c r="Q253" s="407">
        <f>SUBTOTAL(109,'Fianl All'!$Q$247:$Q$251)</f>
        <v>613066.66666666663</v>
      </c>
    </row>
    <row r="255" spans="2:24">
      <c r="B255" s="271" t="s">
        <v>419</v>
      </c>
      <c r="D255" s="273" t="s">
        <v>142</v>
      </c>
      <c r="E255" s="270" t="s">
        <v>366</v>
      </c>
      <c r="F255" s="284" t="s">
        <v>382</v>
      </c>
      <c r="G255" s="270" t="s">
        <v>275</v>
      </c>
      <c r="I255" s="273" t="s">
        <v>142</v>
      </c>
      <c r="J255" s="273" t="s">
        <v>366</v>
      </c>
      <c r="K255" s="273" t="s">
        <v>382</v>
      </c>
      <c r="L255" s="273" t="s">
        <v>275</v>
      </c>
      <c r="N255" s="270" t="s">
        <v>142</v>
      </c>
      <c r="O255" s="270" t="s">
        <v>366</v>
      </c>
      <c r="P255" s="270" t="s">
        <v>382</v>
      </c>
      <c r="Q255" s="389" t="s">
        <v>275</v>
      </c>
    </row>
    <row r="256" spans="2:24">
      <c r="B256" s="241" t="s">
        <v>372</v>
      </c>
      <c r="D256" s="291">
        <v>0</v>
      </c>
      <c r="E256" s="293">
        <v>0</v>
      </c>
      <c r="F256" s="214"/>
      <c r="G256" s="228">
        <f>D256*E256</f>
        <v>0</v>
      </c>
      <c r="I256" s="398">
        <v>20000</v>
      </c>
      <c r="J256" s="297">
        <v>1</v>
      </c>
      <c r="K256" s="214">
        <v>0</v>
      </c>
      <c r="L256" s="228">
        <f>I256*J256</f>
        <v>20000</v>
      </c>
      <c r="N256" s="398">
        <v>60000</v>
      </c>
      <c r="O256" s="293">
        <v>1</v>
      </c>
      <c r="P256" s="214">
        <v>0</v>
      </c>
      <c r="Q256" s="380">
        <f>N256*O256</f>
        <v>60000</v>
      </c>
    </row>
    <row r="257" spans="2:17">
      <c r="B257" s="241" t="s">
        <v>420</v>
      </c>
      <c r="D257" s="291">
        <v>0</v>
      </c>
      <c r="E257" s="293">
        <v>0</v>
      </c>
      <c r="F257" s="214"/>
      <c r="G257" s="228">
        <f>D257*E257</f>
        <v>0</v>
      </c>
      <c r="I257" s="398">
        <v>112000</v>
      </c>
      <c r="J257" s="297">
        <v>1</v>
      </c>
      <c r="K257" s="214">
        <v>0</v>
      </c>
      <c r="L257" s="228">
        <f>I257*J257</f>
        <v>112000</v>
      </c>
      <c r="N257" s="398">
        <v>504745</v>
      </c>
      <c r="O257" s="293">
        <v>1</v>
      </c>
      <c r="P257" s="214">
        <v>0</v>
      </c>
      <c r="Q257" s="380">
        <f>N257*O257</f>
        <v>504745</v>
      </c>
    </row>
    <row r="258" spans="2:17">
      <c r="B258" s="241" t="s">
        <v>375</v>
      </c>
      <c r="D258" s="291">
        <v>0</v>
      </c>
      <c r="E258" s="293">
        <v>0</v>
      </c>
      <c r="F258" s="214"/>
      <c r="G258" s="228">
        <f>D258*E258</f>
        <v>0</v>
      </c>
      <c r="I258" s="398">
        <v>400</v>
      </c>
      <c r="J258" s="297">
        <v>23</v>
      </c>
      <c r="K258" s="214">
        <v>0</v>
      </c>
      <c r="L258" s="228">
        <f>I258*J258</f>
        <v>9200</v>
      </c>
      <c r="N258" s="398">
        <v>400</v>
      </c>
      <c r="O258" s="293">
        <v>65</v>
      </c>
      <c r="P258" s="214">
        <v>0</v>
      </c>
      <c r="Q258" s="380">
        <f>N258*O258</f>
        <v>26000</v>
      </c>
    </row>
    <row r="259" spans="2:17">
      <c r="B259" s="271" t="s">
        <v>376</v>
      </c>
      <c r="D259" s="271"/>
      <c r="E259" s="271"/>
      <c r="F259" s="310" t="e">
        <f>Table2393[[#Totals],[Monthly]]/G244</f>
        <v>#DIV/0!</v>
      </c>
      <c r="G259" s="311">
        <f>SUBTOTAL(109,Table2393[Monthly])</f>
        <v>0</v>
      </c>
      <c r="I259" s="272"/>
      <c r="J259" s="275"/>
      <c r="K259" s="307">
        <f>Table2494[[#Totals],[Monthly]]/L244</f>
        <v>0.26322166918330442</v>
      </c>
      <c r="L259" s="308">
        <f>SUBTOTAL(109,Table2494[Monthly])</f>
        <v>141200</v>
      </c>
      <c r="N259" s="271"/>
      <c r="O259" s="271"/>
      <c r="P259" s="310">
        <f>Table2595[[#Totals],[Monthly]]/Q244</f>
        <v>0.42786215587858245</v>
      </c>
      <c r="Q259" s="390">
        <f>SUBTOTAL(109,Table2595[Monthly])</f>
        <v>590745</v>
      </c>
    </row>
    <row r="261" spans="2:17">
      <c r="B261" s="271" t="s">
        <v>377</v>
      </c>
      <c r="D261" s="288" t="s">
        <v>142</v>
      </c>
      <c r="E261" s="285" t="s">
        <v>366</v>
      </c>
      <c r="F261" s="286" t="s">
        <v>382</v>
      </c>
      <c r="G261" s="278" t="s">
        <v>275</v>
      </c>
      <c r="I261" s="288" t="s">
        <v>142</v>
      </c>
      <c r="J261" s="279" t="s">
        <v>366</v>
      </c>
      <c r="K261" s="286" t="s">
        <v>382</v>
      </c>
      <c r="L261" s="278" t="s">
        <v>275</v>
      </c>
      <c r="N261" s="288" t="s">
        <v>142</v>
      </c>
      <c r="O261" s="279" t="s">
        <v>366</v>
      </c>
      <c r="P261" s="286" t="s">
        <v>382</v>
      </c>
      <c r="Q261" s="391" t="s">
        <v>275</v>
      </c>
    </row>
    <row r="262" spans="2:17">
      <c r="B262" s="252" t="s">
        <v>429</v>
      </c>
      <c r="D262" s="294">
        <v>0</v>
      </c>
      <c r="E262" s="409">
        <v>0</v>
      </c>
      <c r="F262" s="252">
        <v>0</v>
      </c>
      <c r="G262" s="250">
        <f>D262*E262</f>
        <v>0</v>
      </c>
      <c r="I262" s="294">
        <v>25750</v>
      </c>
      <c r="J262" s="295">
        <v>1</v>
      </c>
      <c r="K262" s="252"/>
      <c r="L262" s="250">
        <f>I262*J262</f>
        <v>25750</v>
      </c>
      <c r="N262" s="294">
        <v>82000</v>
      </c>
      <c r="O262" s="295">
        <v>1</v>
      </c>
      <c r="P262" s="252"/>
      <c r="Q262" s="392">
        <f>N262*O262</f>
        <v>82000</v>
      </c>
    </row>
    <row r="263" spans="2:17">
      <c r="B263" s="252" t="s">
        <v>379</v>
      </c>
      <c r="D263" s="294">
        <v>0</v>
      </c>
      <c r="E263" s="409">
        <v>0</v>
      </c>
      <c r="F263" s="252">
        <v>0</v>
      </c>
      <c r="G263" s="250">
        <f>D263*E263</f>
        <v>0</v>
      </c>
      <c r="I263" s="294">
        <v>0</v>
      </c>
      <c r="J263" s="295">
        <v>0</v>
      </c>
      <c r="K263" s="252"/>
      <c r="L263" s="250">
        <f>I263*J263</f>
        <v>0</v>
      </c>
      <c r="N263" s="294">
        <v>0</v>
      </c>
      <c r="O263" s="295">
        <v>0</v>
      </c>
      <c r="P263" s="252"/>
      <c r="Q263" s="392">
        <f>N263*O263</f>
        <v>0</v>
      </c>
    </row>
    <row r="264" spans="2:17">
      <c r="B264" s="252" t="s">
        <v>313</v>
      </c>
      <c r="D264" s="294">
        <v>0</v>
      </c>
      <c r="E264" s="409">
        <v>0</v>
      </c>
      <c r="F264" s="252">
        <v>0</v>
      </c>
      <c r="G264" s="250">
        <f>D264*E264</f>
        <v>0</v>
      </c>
      <c r="I264" s="294">
        <v>5000</v>
      </c>
      <c r="J264" s="295">
        <v>1</v>
      </c>
      <c r="K264" s="252"/>
      <c r="L264" s="250">
        <f>I264*J264</f>
        <v>5000</v>
      </c>
      <c r="N264" s="294">
        <v>5000</v>
      </c>
      <c r="O264" s="295">
        <v>1</v>
      </c>
      <c r="P264" s="252"/>
      <c r="Q264" s="392">
        <f>N264*O264</f>
        <v>5000</v>
      </c>
    </row>
    <row r="265" spans="2:17">
      <c r="B265" s="252" t="s">
        <v>380</v>
      </c>
      <c r="D265" s="294">
        <v>0</v>
      </c>
      <c r="E265" s="409">
        <v>0</v>
      </c>
      <c r="F265" s="252">
        <v>0</v>
      </c>
      <c r="G265" s="250">
        <f>D265*E265</f>
        <v>0</v>
      </c>
      <c r="I265" s="294">
        <f>D265</f>
        <v>0</v>
      </c>
      <c r="J265" s="295">
        <v>0</v>
      </c>
      <c r="K265" s="252"/>
      <c r="L265" s="250">
        <f>I265*J265</f>
        <v>0</v>
      </c>
      <c r="N265" s="294">
        <f>D265</f>
        <v>0</v>
      </c>
      <c r="O265" s="295">
        <v>1</v>
      </c>
      <c r="P265" s="252"/>
      <c r="Q265" s="392">
        <f>N265*O265</f>
        <v>0</v>
      </c>
    </row>
    <row r="266" spans="2:17">
      <c r="B266" s="252" t="s">
        <v>381</v>
      </c>
      <c r="D266" s="294">
        <v>0</v>
      </c>
      <c r="E266" s="409">
        <v>0</v>
      </c>
      <c r="F266" s="252">
        <v>0</v>
      </c>
      <c r="G266" s="250">
        <f>D266*E266</f>
        <v>0</v>
      </c>
      <c r="I266" s="294">
        <f>D266</f>
        <v>0</v>
      </c>
      <c r="J266" s="295">
        <v>0</v>
      </c>
      <c r="K266" s="252"/>
      <c r="L266" s="250">
        <f>I266*J266</f>
        <v>0</v>
      </c>
      <c r="N266" s="294">
        <f>D266</f>
        <v>0</v>
      </c>
      <c r="O266" s="295">
        <f>Table371382[[#Totals],[Qty]]</f>
        <v>65</v>
      </c>
      <c r="P266" s="252"/>
      <c r="Q266" s="392">
        <f>N266*O266</f>
        <v>0</v>
      </c>
    </row>
    <row r="267" spans="2:17">
      <c r="B267" s="281" t="s">
        <v>376</v>
      </c>
      <c r="D267" s="289"/>
      <c r="E267" s="287"/>
      <c r="F267" s="305" t="e">
        <f>G267/G244</f>
        <v>#DIV/0!</v>
      </c>
      <c r="G267" s="282">
        <f>SUM(G262:G266)</f>
        <v>0</v>
      </c>
      <c r="I267" s="289"/>
      <c r="J267" s="280"/>
      <c r="K267" s="305">
        <f>L267/L244</f>
        <v>5.7323415916335774E-2</v>
      </c>
      <c r="L267" s="283">
        <f>SUM(L262:L266)</f>
        <v>30750</v>
      </c>
      <c r="N267" s="289"/>
      <c r="O267" s="280"/>
      <c r="P267" s="305">
        <f>Q267/Q244</f>
        <v>6.3011972274732195E-2</v>
      </c>
      <c r="Q267" s="393">
        <f>SUM(Q262:Q266)</f>
        <v>87000</v>
      </c>
    </row>
    <row r="269" spans="2:17">
      <c r="B269" s="271" t="s">
        <v>386</v>
      </c>
      <c r="D269" s="298" t="s">
        <v>142</v>
      </c>
      <c r="E269" s="298" t="s">
        <v>366</v>
      </c>
      <c r="F269" s="298" t="s">
        <v>382</v>
      </c>
      <c r="G269" s="298" t="s">
        <v>275</v>
      </c>
      <c r="I269" s="298" t="s">
        <v>142</v>
      </c>
      <c r="J269" s="298" t="s">
        <v>366</v>
      </c>
      <c r="K269" s="298" t="s">
        <v>382</v>
      </c>
      <c r="L269" s="298" t="s">
        <v>275</v>
      </c>
      <c r="N269" s="298" t="s">
        <v>142</v>
      </c>
      <c r="O269" s="298" t="s">
        <v>366</v>
      </c>
      <c r="P269" s="298" t="s">
        <v>382</v>
      </c>
      <c r="Q269" s="394" t="s">
        <v>275</v>
      </c>
    </row>
    <row r="270" spans="2:17">
      <c r="B270" s="252" t="s">
        <v>383</v>
      </c>
      <c r="D270" s="291">
        <v>0</v>
      </c>
      <c r="E270" s="293">
        <v>0</v>
      </c>
      <c r="F270" s="252">
        <v>0</v>
      </c>
      <c r="G270" s="241">
        <f>Table2998[[#This Row],[Rate]]*Table2998[[#This Row],[Qty]]</f>
        <v>0</v>
      </c>
      <c r="I270" s="300">
        <f>Table2998[[#This Row],[Rate]]</f>
        <v>0</v>
      </c>
      <c r="J270" s="295">
        <v>0</v>
      </c>
      <c r="K270" s="252">
        <v>0</v>
      </c>
      <c r="L270" s="241">
        <f>Table293199[[#This Row],[Rate]]*Table293199[[#This Row],[Qty]]</f>
        <v>0</v>
      </c>
      <c r="N270" s="300">
        <v>0</v>
      </c>
      <c r="O270" s="295">
        <v>0</v>
      </c>
      <c r="P270" s="252">
        <v>0</v>
      </c>
      <c r="Q270" s="395">
        <f>Table2932100[[#This Row],[Rate]]*Table2932100[[#This Row],[Qty]]</f>
        <v>0</v>
      </c>
    </row>
    <row r="271" spans="2:17">
      <c r="B271" s="252" t="s">
        <v>384</v>
      </c>
      <c r="D271" s="291">
        <v>0</v>
      </c>
      <c r="E271" s="293">
        <v>0</v>
      </c>
      <c r="F271" s="252">
        <v>0</v>
      </c>
      <c r="G271" s="241">
        <f>Table2998[[#This Row],[Rate]]*Table2998[[#This Row],[Qty]]</f>
        <v>0</v>
      </c>
      <c r="I271" s="300">
        <f>Table2998[[#This Row],[Rate]]</f>
        <v>0</v>
      </c>
      <c r="J271" s="295">
        <v>0</v>
      </c>
      <c r="K271" s="252">
        <v>0</v>
      </c>
      <c r="L271" s="241">
        <f>Table293199[[#This Row],[Rate]]*Table293199[[#This Row],[Qty]]</f>
        <v>0</v>
      </c>
      <c r="N271" s="300">
        <f>Table2998[[#This Row],[Rate]]</f>
        <v>0</v>
      </c>
      <c r="O271" s="295">
        <v>0</v>
      </c>
      <c r="P271" s="252">
        <v>0</v>
      </c>
      <c r="Q271" s="395">
        <f>Table2932100[[#This Row],[Rate]]*Table2932100[[#This Row],[Qty]]</f>
        <v>0</v>
      </c>
    </row>
    <row r="272" spans="2:17">
      <c r="B272" s="252" t="s">
        <v>385</v>
      </c>
      <c r="D272" s="291">
        <v>0</v>
      </c>
      <c r="E272" s="293">
        <v>0</v>
      </c>
      <c r="F272" s="252">
        <v>0</v>
      </c>
      <c r="G272" s="241">
        <f>Table2998[[#This Row],[Rate]]*Table2998[[#This Row],[Qty]]</f>
        <v>0</v>
      </c>
      <c r="I272" s="300">
        <f>Table2998[[#This Row],[Rate]]</f>
        <v>0</v>
      </c>
      <c r="J272" s="295">
        <v>0</v>
      </c>
      <c r="K272" s="252">
        <v>0</v>
      </c>
      <c r="L272" s="241">
        <f>Table293199[[#This Row],[Rate]]*Table293199[[#This Row],[Qty]]</f>
        <v>0</v>
      </c>
      <c r="N272" s="300">
        <f>Table2998[[#This Row],[Rate]]</f>
        <v>0</v>
      </c>
      <c r="O272" s="295">
        <v>0</v>
      </c>
      <c r="P272" s="252">
        <v>0</v>
      </c>
      <c r="Q272" s="395">
        <f>Table2932100[[#This Row],[Rate]]*Table2932100[[#This Row],[Qty]]</f>
        <v>0</v>
      </c>
    </row>
    <row r="273" spans="2:24">
      <c r="B273" s="281" t="s">
        <v>376</v>
      </c>
      <c r="D273" s="281"/>
      <c r="E273" s="281"/>
      <c r="F273" s="309" t="e">
        <f>Table2998[[#Totals],[Monthly]]/G244</f>
        <v>#DIV/0!</v>
      </c>
      <c r="G273" s="302">
        <f>SUBTOTAL(109,Table2998[Monthly])</f>
        <v>0</v>
      </c>
      <c r="I273" s="281"/>
      <c r="J273" s="281"/>
      <c r="K273" s="309">
        <f>Table293199[[#Totals],[Monthly]]/L244</f>
        <v>0</v>
      </c>
      <c r="L273" s="302">
        <f>SUBTOTAL(109,Table293199[Monthly])</f>
        <v>0</v>
      </c>
      <c r="N273" s="281"/>
      <c r="O273" s="281"/>
      <c r="P273" s="309">
        <f>Table2932100[[#Totals],[Monthly]]/Q244</f>
        <v>0</v>
      </c>
      <c r="Q273" s="396">
        <f>SUBTOTAL(109,Table2932100[Monthly])</f>
        <v>0</v>
      </c>
    </row>
    <row r="275" spans="2:24">
      <c r="B275" s="271" t="s">
        <v>37</v>
      </c>
      <c r="D275" s="298" t="s">
        <v>142</v>
      </c>
      <c r="E275" s="298" t="s">
        <v>366</v>
      </c>
      <c r="F275" s="298" t="s">
        <v>382</v>
      </c>
      <c r="G275" s="298" t="s">
        <v>275</v>
      </c>
      <c r="I275" s="298" t="s">
        <v>142</v>
      </c>
      <c r="J275" s="298" t="s">
        <v>366</v>
      </c>
      <c r="K275" s="298" t="s">
        <v>382</v>
      </c>
      <c r="L275" s="298" t="s">
        <v>275</v>
      </c>
      <c r="N275" s="298" t="s">
        <v>142</v>
      </c>
      <c r="O275" s="298" t="s">
        <v>366</v>
      </c>
      <c r="P275" s="298" t="s">
        <v>382</v>
      </c>
      <c r="Q275" s="394" t="s">
        <v>275</v>
      </c>
    </row>
    <row r="276" spans="2:24">
      <c r="B276" s="252" t="s">
        <v>423</v>
      </c>
      <c r="D276" s="291">
        <v>0</v>
      </c>
      <c r="E276" s="293">
        <v>0</v>
      </c>
      <c r="F276" s="252">
        <v>0</v>
      </c>
      <c r="G276" s="241">
        <f>Table2934102[[#This Row],[Rate]]*Table2934102[[#This Row],[Qty]]</f>
        <v>0</v>
      </c>
      <c r="I276" s="300">
        <v>0</v>
      </c>
      <c r="J276" s="295">
        <v>0</v>
      </c>
      <c r="K276" s="252">
        <v>0</v>
      </c>
      <c r="L276" s="241">
        <f>Table293435103[[#This Row],[Rate]]*Table293435103[[#This Row],[Qty]]</f>
        <v>0</v>
      </c>
      <c r="N276" s="300">
        <v>0</v>
      </c>
      <c r="O276" s="295">
        <v>0</v>
      </c>
      <c r="P276" s="252">
        <v>0</v>
      </c>
      <c r="Q276" s="395">
        <f>Table293436104[[#This Row],[Rate]]*Table293436104[[#This Row],[Qty]]</f>
        <v>0</v>
      </c>
    </row>
    <row r="277" spans="2:24">
      <c r="B277" s="252"/>
      <c r="D277" s="291">
        <v>0</v>
      </c>
      <c r="E277" s="293">
        <v>0</v>
      </c>
      <c r="F277" s="252">
        <v>0</v>
      </c>
      <c r="G277" s="241">
        <f>Table2934102[[#This Row],[Rate]]*Table2934102[[#This Row],[Qty]]</f>
        <v>0</v>
      </c>
      <c r="I277" s="300">
        <f>Table2934102[[#This Row],[Rate]]</f>
        <v>0</v>
      </c>
      <c r="J277" s="295">
        <v>0</v>
      </c>
      <c r="K277" s="252">
        <v>0</v>
      </c>
      <c r="L277" s="241">
        <f>Table293435103[[#This Row],[Rate]]*Table293435103[[#This Row],[Qty]]</f>
        <v>0</v>
      </c>
      <c r="N277" s="300">
        <f>Table2934102[[#This Row],[Rate]]</f>
        <v>0</v>
      </c>
      <c r="O277" s="295">
        <v>0</v>
      </c>
      <c r="P277" s="252">
        <v>0</v>
      </c>
      <c r="Q277" s="395">
        <f>Table293436104[[#This Row],[Rate]]*Table293436104[[#This Row],[Qty]]</f>
        <v>0</v>
      </c>
    </row>
    <row r="278" spans="2:24">
      <c r="B278" s="252"/>
      <c r="D278" s="291">
        <v>0</v>
      </c>
      <c r="E278" s="293">
        <v>0</v>
      </c>
      <c r="F278" s="252">
        <v>0</v>
      </c>
      <c r="G278" s="241">
        <f>Table2934102[[#This Row],[Rate]]*Table2934102[[#This Row],[Qty]]</f>
        <v>0</v>
      </c>
      <c r="I278" s="300">
        <f>Table2934102[[#This Row],[Rate]]</f>
        <v>0</v>
      </c>
      <c r="J278" s="295">
        <v>0</v>
      </c>
      <c r="K278" s="252">
        <v>0</v>
      </c>
      <c r="L278" s="241">
        <f>Table293435103[[#This Row],[Rate]]*Table293435103[[#This Row],[Qty]]</f>
        <v>0</v>
      </c>
      <c r="N278" s="300">
        <f>Table2934102[[#This Row],[Rate]]</f>
        <v>0</v>
      </c>
      <c r="O278" s="295">
        <v>0</v>
      </c>
      <c r="P278" s="252">
        <v>0</v>
      </c>
      <c r="Q278" s="395">
        <f>Table293436104[[#This Row],[Rate]]*Table293436104[[#This Row],[Qty]]</f>
        <v>0</v>
      </c>
    </row>
    <row r="279" spans="2:24">
      <c r="B279" s="252"/>
      <c r="D279" s="291">
        <v>0</v>
      </c>
      <c r="E279" s="293">
        <v>0</v>
      </c>
      <c r="F279" s="252">
        <v>0</v>
      </c>
      <c r="G279" s="252">
        <f>Table2934102[[#This Row],[Rate]]*Table2934102[[#This Row],[Qty]]</f>
        <v>0</v>
      </c>
      <c r="I279" s="300">
        <f>Table2934102[[#This Row],[Rate]]</f>
        <v>0</v>
      </c>
      <c r="J279" s="295">
        <v>0</v>
      </c>
      <c r="K279" s="252">
        <v>0</v>
      </c>
      <c r="L279" s="252">
        <f>Table293435103[[#This Row],[Rate]]*Table293435103[[#This Row],[Qty]]</f>
        <v>0</v>
      </c>
      <c r="N279" s="300">
        <f>Table2934102[[#This Row],[Rate]]</f>
        <v>0</v>
      </c>
      <c r="O279" s="295">
        <v>0</v>
      </c>
      <c r="P279" s="252">
        <v>0</v>
      </c>
      <c r="Q279" s="395">
        <f>Table293436104[[#This Row],[Rate]]*Table293436104[[#This Row],[Qty]]</f>
        <v>0</v>
      </c>
    </row>
    <row r="280" spans="2:24">
      <c r="B280" s="252"/>
      <c r="D280" s="291">
        <v>0</v>
      </c>
      <c r="E280" s="293">
        <v>0</v>
      </c>
      <c r="F280" s="301">
        <v>0</v>
      </c>
      <c r="G280" s="301">
        <f>Table2934102[[#This Row],[Rate]]*Table2934102[[#This Row],[Qty]]</f>
        <v>0</v>
      </c>
      <c r="I280" s="300">
        <f>Table2934102[[#This Row],[Rate]]</f>
        <v>0</v>
      </c>
      <c r="J280" s="304">
        <v>0</v>
      </c>
      <c r="K280" s="301">
        <v>0</v>
      </c>
      <c r="L280" s="301">
        <f>Table293435103[[#This Row],[Rate]]*Table293435103[[#This Row],[Qty]]</f>
        <v>0</v>
      </c>
      <c r="N280" s="300">
        <f>Table2934102[[#This Row],[Rate]]</f>
        <v>0</v>
      </c>
      <c r="O280" s="304">
        <v>0</v>
      </c>
      <c r="P280" s="301">
        <v>0</v>
      </c>
      <c r="Q280" s="397">
        <f>Table293436104[[#This Row],[Rate]]*Table293436104[[#This Row],[Qty]]</f>
        <v>0</v>
      </c>
    </row>
    <row r="281" spans="2:24">
      <c r="B281" s="281" t="s">
        <v>376</v>
      </c>
      <c r="D281" s="281"/>
      <c r="E281" s="281"/>
      <c r="F281" s="309" t="e">
        <f>Table2934102[[#Totals],[Monthly]]/G244</f>
        <v>#DIV/0!</v>
      </c>
      <c r="G281" s="302">
        <f>SUBTOTAL(109,Table2934102[Monthly])</f>
        <v>0</v>
      </c>
      <c r="I281" s="281"/>
      <c r="J281" s="281"/>
      <c r="K281" s="309">
        <f>Table293435103[[#Totals],[Monthly]]/L244</f>
        <v>0</v>
      </c>
      <c r="L281" s="302">
        <f>SUBTOTAL(109,Table293435103[Monthly])</f>
        <v>0</v>
      </c>
      <c r="N281" s="281"/>
      <c r="O281" s="281"/>
      <c r="P281" s="309">
        <f>Table293436104[[#Totals],[Monthly]]/Q244</f>
        <v>0</v>
      </c>
      <c r="Q281" s="396">
        <f>SUBTOTAL(109,Table293436104[Monthly])</f>
        <v>0</v>
      </c>
    </row>
    <row r="283" spans="2:24">
      <c r="B283" s="281" t="s">
        <v>392</v>
      </c>
      <c r="D283" s="281"/>
      <c r="E283" s="281"/>
      <c r="F283" s="281"/>
      <c r="G283" s="302">
        <f>Table2934102[[#Totals],[Monthly]]+Table2998[[#Totals],[Monthly]]+G267+Table2393[[#Totals],[Monthly]]+'Fianl All'!$G$253</f>
        <v>0</v>
      </c>
      <c r="I283" s="281"/>
      <c r="J283" s="281"/>
      <c r="K283" s="281"/>
      <c r="L283" s="302">
        <f>Table293435103[[#Totals],[Monthly]]+Table293199[[#Totals],[Monthly]]+L267+Table2494[[#Totals],[Monthly]]+'Fianl All'!$L$253</f>
        <v>401016.66666666663</v>
      </c>
      <c r="N283" s="281"/>
      <c r="O283" s="281"/>
      <c r="P283" s="281"/>
      <c r="Q283" s="396">
        <f>Table293436104[[#Totals],[Monthly]]+Table2932100[[#Totals],[Monthly]]+Q267+Table2595[[#Totals],[Monthly]]+'Fianl All'!$Q$253</f>
        <v>1290811.6666666665</v>
      </c>
    </row>
    <row r="285" spans="2:24">
      <c r="B285" s="260" t="s">
        <v>371</v>
      </c>
      <c r="D285" s="261"/>
      <c r="E285" s="262"/>
      <c r="F285" s="262"/>
      <c r="G285" s="261">
        <f>Table1585[[#Totals],[Monthly]]+Table151180[[#Totals],[Monthly]]</f>
        <v>0</v>
      </c>
      <c r="I285" s="261"/>
      <c r="J285" s="262"/>
      <c r="K285" s="262"/>
      <c r="L285" s="261">
        <f>Table1686[[#Totals],[Monthly]]+Table261281[[#Totals],[Monthly]]</f>
        <v>536430</v>
      </c>
      <c r="N285" s="261"/>
      <c r="O285" s="262"/>
      <c r="P285" s="262"/>
      <c r="Q285" s="387">
        <f>Table1787[[#Totals],[Monthly]]+Table371382[[#Totals],[Monthly]]</f>
        <v>1380690</v>
      </c>
    </row>
    <row r="287" spans="2:24">
      <c r="B287" s="415" t="s">
        <v>427</v>
      </c>
      <c r="D287" s="431">
        <v>0.08</v>
      </c>
      <c r="E287" s="417">
        <v>-1</v>
      </c>
      <c r="F287" s="418"/>
      <c r="G287" s="419">
        <f>E287*D287*G285</f>
        <v>0</v>
      </c>
      <c r="I287" s="431">
        <v>0.08</v>
      </c>
      <c r="J287" s="420">
        <v>-1</v>
      </c>
      <c r="K287" s="421"/>
      <c r="L287" s="419">
        <f>J287*I287*L285</f>
        <v>-42914.400000000001</v>
      </c>
      <c r="N287" s="438">
        <v>0.08</v>
      </c>
      <c r="O287" s="417">
        <v>-1</v>
      </c>
      <c r="P287" s="418"/>
      <c r="Q287" s="419">
        <f>O287*N287*Q285</f>
        <v>-110455.2</v>
      </c>
    </row>
    <row r="288" spans="2:24" s="319" customFormat="1">
      <c r="B288"/>
      <c r="C288" s="238"/>
      <c r="D288" s="217"/>
      <c r="E288" s="212"/>
      <c r="F288" s="212"/>
      <c r="G288" s="212"/>
      <c r="H288" s="236"/>
      <c r="I288" s="217"/>
      <c r="J288" s="217"/>
      <c r="K288" s="217"/>
      <c r="L288" s="212"/>
      <c r="M288" s="236"/>
      <c r="N288" s="212"/>
      <c r="O288" s="212"/>
      <c r="P288" s="212"/>
      <c r="Q288" s="212"/>
      <c r="S288"/>
      <c r="T288"/>
      <c r="U288"/>
      <c r="V288"/>
      <c r="W288"/>
      <c r="X288"/>
    </row>
    <row r="289" spans="2:24" s="319" customFormat="1">
      <c r="B289" s="423" t="s">
        <v>393</v>
      </c>
      <c r="C289" s="424"/>
      <c r="D289" s="425"/>
      <c r="E289" s="426"/>
      <c r="F289" s="426"/>
      <c r="G289" s="425">
        <f>G285-G283+G287</f>
        <v>0</v>
      </c>
      <c r="H289" s="427"/>
      <c r="I289" s="425"/>
      <c r="J289" s="425"/>
      <c r="K289" s="425"/>
      <c r="L289" s="425">
        <f>L285-L283+L287</f>
        <v>92498.933333333378</v>
      </c>
      <c r="M289" s="427"/>
      <c r="N289" s="426"/>
      <c r="O289" s="426"/>
      <c r="P289" s="426"/>
      <c r="Q289" s="425">
        <f>Q285-Q283+Q287</f>
        <v>-20576.866666666509</v>
      </c>
    </row>
    <row r="290" spans="2:24" s="319" customFormat="1">
      <c r="C290" s="424"/>
      <c r="D290" s="428"/>
      <c r="E290" s="429"/>
      <c r="F290" s="429"/>
      <c r="G290" s="429"/>
      <c r="H290" s="427"/>
      <c r="I290" s="428"/>
      <c r="J290" s="428"/>
      <c r="K290" s="428"/>
      <c r="L290" s="429"/>
      <c r="M290" s="427"/>
      <c r="N290" s="429"/>
      <c r="O290" s="429"/>
      <c r="P290" s="429"/>
      <c r="Q290" s="429"/>
    </row>
    <row r="291" spans="2:24" s="445" customFormat="1">
      <c r="B291" s="423" t="s">
        <v>394</v>
      </c>
      <c r="C291" s="424"/>
      <c r="D291" s="425"/>
      <c r="E291" s="426"/>
      <c r="F291" s="426"/>
      <c r="G291" s="430" t="e">
        <f>G289/G285</f>
        <v>#DIV/0!</v>
      </c>
      <c r="H291" s="427"/>
      <c r="I291" s="425"/>
      <c r="J291" s="425"/>
      <c r="K291" s="425"/>
      <c r="L291" s="430">
        <f>L289/L285</f>
        <v>0.17243430332631168</v>
      </c>
      <c r="M291" s="427"/>
      <c r="N291" s="426"/>
      <c r="O291" s="426"/>
      <c r="P291" s="426"/>
      <c r="Q291" s="430">
        <f>Q289/Q285</f>
        <v>-1.4903321286216681E-2</v>
      </c>
      <c r="S291" s="319"/>
      <c r="T291" s="319"/>
      <c r="U291" s="319"/>
      <c r="V291" s="319"/>
      <c r="W291" s="319"/>
      <c r="X291" s="319"/>
    </row>
    <row r="292" spans="2:24" s="433" customFormat="1" ht="6.75" customHeight="1">
      <c r="B292" s="445"/>
      <c r="C292" s="445"/>
      <c r="D292" s="446"/>
      <c r="E292" s="447"/>
      <c r="F292" s="447"/>
      <c r="G292" s="447"/>
      <c r="H292" s="447"/>
      <c r="I292" s="446"/>
      <c r="J292" s="446"/>
      <c r="K292" s="446"/>
      <c r="L292" s="446"/>
      <c r="M292" s="447"/>
      <c r="N292" s="447"/>
      <c r="O292" s="447"/>
      <c r="P292" s="447"/>
      <c r="Q292" s="448"/>
      <c r="S292" s="445"/>
      <c r="T292" s="445"/>
      <c r="U292" s="445"/>
      <c r="V292" s="445"/>
      <c r="W292" s="445"/>
      <c r="X292" s="445"/>
    </row>
    <row r="293" spans="2:24" s="445" customFormat="1">
      <c r="B293" s="432"/>
      <c r="C293" s="433"/>
      <c r="D293" s="434"/>
      <c r="E293" s="435"/>
      <c r="F293" s="435"/>
      <c r="G293" s="436"/>
      <c r="H293" s="437"/>
      <c r="I293" s="434"/>
      <c r="J293" s="434"/>
      <c r="K293" s="434"/>
      <c r="L293" s="436"/>
      <c r="M293" s="437"/>
      <c r="N293" s="435"/>
      <c r="O293" s="435"/>
      <c r="P293" s="435"/>
      <c r="Q293" s="436"/>
      <c r="S293" s="433"/>
      <c r="T293" s="433"/>
      <c r="U293" s="433"/>
      <c r="V293" s="433"/>
      <c r="W293" s="433"/>
      <c r="X293" s="433"/>
    </row>
    <row r="294" spans="2:24">
      <c r="B294" s="445"/>
      <c r="C294" s="445"/>
      <c r="D294" s="446"/>
      <c r="E294" s="447"/>
      <c r="F294" s="447"/>
      <c r="G294" s="447"/>
      <c r="H294" s="447"/>
      <c r="I294" s="446"/>
      <c r="J294" s="446"/>
      <c r="K294" s="446"/>
      <c r="L294" s="446"/>
      <c r="M294" s="447"/>
      <c r="N294" s="447"/>
      <c r="O294" s="447"/>
      <c r="P294" s="447"/>
      <c r="Q294" s="448"/>
      <c r="S294" s="445"/>
      <c r="T294" s="445"/>
      <c r="U294" s="445"/>
      <c r="V294" s="445"/>
      <c r="W294" s="445"/>
      <c r="X294" s="445"/>
    </row>
    <row r="295" spans="2:24">
      <c r="B295" s="319" t="s">
        <v>422</v>
      </c>
    </row>
    <row r="296" spans="2:24">
      <c r="B296" s="225" t="s">
        <v>421</v>
      </c>
      <c r="D296" s="224" t="s">
        <v>142</v>
      </c>
      <c r="E296" s="224" t="s">
        <v>366</v>
      </c>
      <c r="F296" s="224" t="s">
        <v>367</v>
      </c>
      <c r="G296" s="224" t="s">
        <v>275</v>
      </c>
      <c r="I296" s="224" t="s">
        <v>142</v>
      </c>
      <c r="J296" s="224" t="s">
        <v>366</v>
      </c>
      <c r="K296" s="224" t="s">
        <v>367</v>
      </c>
      <c r="L296" s="224" t="s">
        <v>275</v>
      </c>
      <c r="N296" s="224" t="s">
        <v>142</v>
      </c>
      <c r="O296" s="224" t="s">
        <v>366</v>
      </c>
      <c r="P296" s="224" t="s">
        <v>367</v>
      </c>
      <c r="Q296" s="378" t="s">
        <v>275</v>
      </c>
    </row>
    <row r="297" spans="2:24">
      <c r="B297" s="240" t="s">
        <v>41</v>
      </c>
      <c r="D297" s="218">
        <v>850</v>
      </c>
      <c r="E297" s="213">
        <v>1</v>
      </c>
      <c r="F297" s="213">
        <v>30</v>
      </c>
      <c r="G297" s="232">
        <f>F297*E297*D297</f>
        <v>25500</v>
      </c>
      <c r="I297" s="221">
        <v>844</v>
      </c>
      <c r="J297" s="216">
        <v>1</v>
      </c>
      <c r="K297" s="216">
        <v>30</v>
      </c>
      <c r="L297" s="227">
        <f>Table261281106[[#This Row],[Shift/Month]]*Table261281106[[#This Row],[Qty]]*Table261281106[[#This Row],[Rate]]</f>
        <v>25320</v>
      </c>
      <c r="N297" s="221">
        <v>844</v>
      </c>
      <c r="O297" s="216">
        <v>1</v>
      </c>
      <c r="P297" s="216">
        <v>30</v>
      </c>
      <c r="Q297" s="379">
        <f>P297*O297*N297</f>
        <v>25320</v>
      </c>
    </row>
    <row r="298" spans="2:24">
      <c r="B298" s="241" t="s">
        <v>158</v>
      </c>
      <c r="D298" s="219">
        <v>1950</v>
      </c>
      <c r="E298" s="239">
        <v>1</v>
      </c>
      <c r="F298" s="214">
        <v>30</v>
      </c>
      <c r="G298" s="245">
        <f>F298*E298*D298</f>
        <v>58500</v>
      </c>
      <c r="I298" s="219">
        <v>5073</v>
      </c>
      <c r="J298" s="247">
        <v>1</v>
      </c>
      <c r="K298" s="214">
        <v>30</v>
      </c>
      <c r="L298" s="245">
        <f>Table261281106[[#This Row],[Shift/Month]]*Table261281106[[#This Row],[Qty]]*Table261281106[[#This Row],[Rate]]</f>
        <v>152190</v>
      </c>
      <c r="N298" s="219">
        <v>5073</v>
      </c>
      <c r="O298" s="247">
        <v>1</v>
      </c>
      <c r="P298" s="214">
        <v>30</v>
      </c>
      <c r="Q298" s="380">
        <f>P298*O298*N298</f>
        <v>152190</v>
      </c>
    </row>
    <row r="299" spans="2:24">
      <c r="B299" s="241"/>
      <c r="D299" s="219"/>
      <c r="E299" s="214"/>
      <c r="F299" s="214"/>
      <c r="G299" s="228"/>
      <c r="I299" s="221">
        <v>0</v>
      </c>
      <c r="J299" s="216">
        <v>0</v>
      </c>
      <c r="K299" s="214"/>
      <c r="L299" s="228"/>
      <c r="N299" s="219"/>
      <c r="O299" s="214"/>
      <c r="P299" s="214"/>
      <c r="Q299" s="380"/>
    </row>
    <row r="300" spans="2:24">
      <c r="B300" s="241"/>
      <c r="D300" s="219"/>
      <c r="E300" s="214"/>
      <c r="F300" s="214"/>
      <c r="G300" s="228"/>
      <c r="I300" s="221">
        <v>0</v>
      </c>
      <c r="J300" s="216">
        <v>0</v>
      </c>
      <c r="K300" s="214"/>
      <c r="L300" s="228">
        <f>Table261281106[[#This Row],[Shift/Month]]*Table261281106[[#This Row],[Qty]]*Table261281106[[#This Row],[Rate]]</f>
        <v>0</v>
      </c>
      <c r="N300" s="219"/>
      <c r="O300" s="214"/>
      <c r="P300" s="214"/>
      <c r="Q300" s="380"/>
    </row>
    <row r="301" spans="2:24">
      <c r="B301" s="241"/>
      <c r="D301" s="219"/>
      <c r="E301" s="219"/>
      <c r="F301" s="219"/>
      <c r="G301" s="228"/>
      <c r="I301" s="221">
        <v>0</v>
      </c>
      <c r="J301" s="216">
        <v>0</v>
      </c>
      <c r="K301" s="219"/>
      <c r="L301" s="228">
        <f>Table261281106[[#This Row],[Shift/Month]]*Table261281106[[#This Row],[Qty]]*Table261281106[[#This Row],[Rate]]</f>
        <v>0</v>
      </c>
      <c r="N301" s="219"/>
      <c r="O301" s="214"/>
      <c r="P301" s="214"/>
      <c r="Q301" s="380"/>
    </row>
    <row r="302" spans="2:24">
      <c r="B302" s="242" t="s">
        <v>263</v>
      </c>
      <c r="D302" s="226">
        <f>Table151180105[[#Totals],[Monthly]]/Table151180105[[#Totals],[Qty]]</f>
        <v>42000</v>
      </c>
      <c r="E302" s="223">
        <f>SUBTOTAL(109,Table151180105[Qty])</f>
        <v>2</v>
      </c>
      <c r="F302" s="223"/>
      <c r="G302" s="230">
        <f>SUBTOTAL(109,Table151180105[Monthly])</f>
        <v>84000</v>
      </c>
      <c r="I302" s="226">
        <f>Table261281106[[#Totals],[Monthly]]/Table261281106[[#Totals],[Qty]]</f>
        <v>88755</v>
      </c>
      <c r="J302" s="226">
        <f>SUBTOTAL(109,Table261281106[Qty])</f>
        <v>2</v>
      </c>
      <c r="K302" s="226"/>
      <c r="L302" s="226">
        <f>SUBTOTAL(109,Table261281106[Monthly])</f>
        <v>177510</v>
      </c>
      <c r="N302" s="226">
        <f>Table371382107[[#Totals],[Monthly]]/Table371382107[[#Totals],[Qty]]</f>
        <v>88755</v>
      </c>
      <c r="O302" s="223">
        <f>SUBTOTAL(109,Table371382107[Qty])</f>
        <v>2</v>
      </c>
      <c r="P302" s="223"/>
      <c r="Q302" s="410">
        <f>SUBTOTAL(109,Table371382107[Monthly])</f>
        <v>177510</v>
      </c>
    </row>
    <row r="304" spans="2:24">
      <c r="B304" s="253" t="s">
        <v>37</v>
      </c>
      <c r="D304" s="258" t="s">
        <v>142</v>
      </c>
      <c r="E304" s="258" t="s">
        <v>366</v>
      </c>
      <c r="F304" s="258" t="s">
        <v>367</v>
      </c>
      <c r="G304" s="258" t="s">
        <v>275</v>
      </c>
      <c r="I304" s="258" t="s">
        <v>142</v>
      </c>
      <c r="J304" s="258" t="s">
        <v>366</v>
      </c>
      <c r="K304" s="258" t="s">
        <v>367</v>
      </c>
      <c r="L304" s="258" t="s">
        <v>275</v>
      </c>
      <c r="N304" s="258" t="s">
        <v>142</v>
      </c>
      <c r="O304" s="258" t="s">
        <v>366</v>
      </c>
      <c r="P304" s="258" t="s">
        <v>367</v>
      </c>
      <c r="Q304" s="382" t="s">
        <v>275</v>
      </c>
    </row>
    <row r="305" spans="2:24">
      <c r="B305" s="251" t="s">
        <v>370</v>
      </c>
      <c r="D305" s="255">
        <v>2002</v>
      </c>
      <c r="E305" s="248">
        <v>0</v>
      </c>
      <c r="F305" s="248">
        <v>30</v>
      </c>
      <c r="G305" s="256">
        <f>D305*E305*F305</f>
        <v>0</v>
      </c>
      <c r="I305" s="255">
        <v>2249</v>
      </c>
      <c r="J305" s="248">
        <v>0</v>
      </c>
      <c r="K305" s="248">
        <v>30</v>
      </c>
      <c r="L305" s="256">
        <f>I305*J305*K305</f>
        <v>0</v>
      </c>
      <c r="N305" s="255">
        <v>2249</v>
      </c>
      <c r="O305" s="248">
        <v>0</v>
      </c>
      <c r="P305" s="248">
        <v>30</v>
      </c>
      <c r="Q305" s="383">
        <f>N305*O305*P305</f>
        <v>0</v>
      </c>
    </row>
    <row r="306" spans="2:24">
      <c r="B306" s="252" t="s">
        <v>49</v>
      </c>
      <c r="D306" s="237">
        <v>2310</v>
      </c>
      <c r="E306" s="247">
        <v>0</v>
      </c>
      <c r="F306" s="249">
        <v>30</v>
      </c>
      <c r="G306" s="246">
        <f>D306*E306*F306</f>
        <v>0</v>
      </c>
      <c r="I306" s="237">
        <v>2595</v>
      </c>
      <c r="J306" s="247">
        <v>0</v>
      </c>
      <c r="K306" s="249">
        <v>30</v>
      </c>
      <c r="L306" s="257">
        <f>I306*J306*K306</f>
        <v>0</v>
      </c>
      <c r="N306" s="237">
        <v>2595</v>
      </c>
      <c r="O306" s="247">
        <v>0</v>
      </c>
      <c r="P306" s="249">
        <v>30</v>
      </c>
      <c r="Q306" s="384">
        <f>N306*O306*P306</f>
        <v>0</v>
      </c>
    </row>
    <row r="307" spans="2:24">
      <c r="B307" s="252" t="s">
        <v>50</v>
      </c>
      <c r="D307" s="237">
        <v>507</v>
      </c>
      <c r="E307" s="249">
        <v>0</v>
      </c>
      <c r="F307" s="249">
        <v>30</v>
      </c>
      <c r="G307" s="257">
        <f>D307*E307*F307</f>
        <v>0</v>
      </c>
      <c r="I307" s="237">
        <v>570</v>
      </c>
      <c r="J307" s="249">
        <v>0</v>
      </c>
      <c r="K307" s="249">
        <v>30</v>
      </c>
      <c r="L307" s="257">
        <f>I307*J307*K307</f>
        <v>0</v>
      </c>
      <c r="N307" s="222">
        <v>570</v>
      </c>
      <c r="O307" s="263">
        <v>0</v>
      </c>
      <c r="P307" s="263">
        <v>30</v>
      </c>
      <c r="Q307" s="385">
        <f>N307*O307*P307</f>
        <v>0</v>
      </c>
    </row>
    <row r="308" spans="2:24">
      <c r="B308" s="254" t="s">
        <v>263</v>
      </c>
      <c r="D308" s="264"/>
      <c r="E308" s="223"/>
      <c r="F308" s="265"/>
      <c r="G308" s="230">
        <f>SUBTOTAL(109,Table1585110[Monthly])</f>
        <v>0</v>
      </c>
      <c r="I308" s="264"/>
      <c r="J308" s="259"/>
      <c r="K308" s="265"/>
      <c r="L308" s="226">
        <f>SUBTOTAL(109,Table1686111[Monthly])</f>
        <v>0</v>
      </c>
      <c r="N308" s="264"/>
      <c r="O308" s="259"/>
      <c r="P308" s="265"/>
      <c r="Q308" s="386">
        <f>SUBTOTAL(109,Table1787112[Monthly])</f>
        <v>0</v>
      </c>
    </row>
    <row r="309" spans="2:24">
      <c r="T309" s="376"/>
    </row>
    <row r="310" spans="2:24">
      <c r="B310" s="260" t="s">
        <v>371</v>
      </c>
      <c r="D310" s="261">
        <f>G310/Table151180105[[#Totals],[Qty]]</f>
        <v>42000</v>
      </c>
      <c r="E310" s="262"/>
      <c r="F310" s="262"/>
      <c r="G310" s="261">
        <f>Table1585110[[#Totals],[Monthly]]+Table151180105[[#Totals],[Monthly]]</f>
        <v>84000</v>
      </c>
      <c r="I310" s="261">
        <f>L310/Table261281106[[#Totals],[Qty]]</f>
        <v>88755</v>
      </c>
      <c r="J310" s="262"/>
      <c r="K310" s="262"/>
      <c r="L310" s="261">
        <f>Table1686111[[#Totals],[Monthly]]+Table261281106[[#Totals],[Monthly]]</f>
        <v>177510</v>
      </c>
      <c r="N310" s="261">
        <f>Q310/Table371382107[[#Totals],[Qty]]</f>
        <v>88755</v>
      </c>
      <c r="O310" s="262"/>
      <c r="P310" s="262"/>
      <c r="Q310" s="387">
        <f>Table1787112[[#Totals],[Monthly]]+Table371382107[[#Totals],[Monthly]]</f>
        <v>177510</v>
      </c>
    </row>
    <row r="312" spans="2:24">
      <c r="B312" s="277" t="s">
        <v>421</v>
      </c>
      <c r="D312" s="268" t="s">
        <v>142</v>
      </c>
      <c r="E312" s="268" t="s">
        <v>366</v>
      </c>
      <c r="F312" s="268" t="s">
        <v>367</v>
      </c>
      <c r="G312" s="268" t="s">
        <v>275</v>
      </c>
      <c r="I312" s="268" t="s">
        <v>142</v>
      </c>
      <c r="J312" s="268" t="s">
        <v>366</v>
      </c>
      <c r="K312" s="268" t="s">
        <v>367</v>
      </c>
      <c r="L312" s="268" t="s">
        <v>275</v>
      </c>
      <c r="N312" s="268" t="s">
        <v>142</v>
      </c>
      <c r="O312" s="268" t="s">
        <v>366</v>
      </c>
      <c r="P312" s="268" t="s">
        <v>367</v>
      </c>
      <c r="Q312" s="388" t="s">
        <v>275</v>
      </c>
    </row>
    <row r="313" spans="2:24">
      <c r="B313" s="240" t="str">
        <f t="shared" ref="B313:B318" si="18">B297</f>
        <v>Pest Control Supervisor</v>
      </c>
      <c r="D313" s="290">
        <v>12000</v>
      </c>
      <c r="E313" s="290">
        <v>1</v>
      </c>
      <c r="F313" s="213">
        <v>30</v>
      </c>
      <c r="G313" s="232">
        <f>Table15111988113[[#This Row],[Rate]]*Table15111988113[[#This Row],[Qty]]</f>
        <v>12000</v>
      </c>
      <c r="I313" s="312">
        <v>12000</v>
      </c>
      <c r="J313" s="296">
        <v>1</v>
      </c>
      <c r="K313" s="216">
        <v>30</v>
      </c>
      <c r="L313" s="450">
        <f>Table26122089114[[#This Row],[Rate]]*Table26122089114[[#This Row],[Qty]]</f>
        <v>12000</v>
      </c>
      <c r="M313" s="451"/>
      <c r="N313" s="312">
        <v>12000</v>
      </c>
      <c r="O313" s="296">
        <v>1</v>
      </c>
      <c r="P313" s="216">
        <v>30</v>
      </c>
      <c r="Q313" s="379">
        <f>Table37132190115[[#This Row],[Rate]]*Table37132190115[[#This Row],[Qty]]</f>
        <v>12000</v>
      </c>
      <c r="S313" s="211">
        <f>(D313/30)*(16/12)</f>
        <v>533.33333333333326</v>
      </c>
      <c r="T313" s="539">
        <f>S313*E313</f>
        <v>533.33333333333326</v>
      </c>
      <c r="U313" s="211">
        <f>(I313/30)*(16/12)</f>
        <v>533.33333333333326</v>
      </c>
      <c r="V313" s="539">
        <f>U313*J313</f>
        <v>533.33333333333326</v>
      </c>
      <c r="W313" s="211">
        <f>(N313/30)*(16/12)</f>
        <v>533.33333333333326</v>
      </c>
      <c r="X313" s="539">
        <f>W313*O313</f>
        <v>533.33333333333326</v>
      </c>
    </row>
    <row r="314" spans="2:24">
      <c r="B314" s="241" t="str">
        <f t="shared" si="18"/>
        <v>Pest Control Service  (Lumpsum item per month)</v>
      </c>
      <c r="D314" s="292">
        <v>30000</v>
      </c>
      <c r="E314" s="292">
        <v>1</v>
      </c>
      <c r="F314" s="214">
        <v>30</v>
      </c>
      <c r="G314" s="245">
        <f>Table15111988113[[#This Row],[Rate]]*Table15111988113[[#This Row],[Qty]]</f>
        <v>30000</v>
      </c>
      <c r="I314" s="398">
        <v>60000</v>
      </c>
      <c r="J314" s="292">
        <v>1</v>
      </c>
      <c r="K314" s="214">
        <v>30</v>
      </c>
      <c r="L314" s="452">
        <f>Table26122089114[[#This Row],[Rate]]*Table26122089114[[#This Row],[Qty]]</f>
        <v>60000</v>
      </c>
      <c r="M314" s="451"/>
      <c r="N314" s="398">
        <v>60000</v>
      </c>
      <c r="O314" s="292">
        <v>1</v>
      </c>
      <c r="P314" s="214">
        <v>30</v>
      </c>
      <c r="Q314" s="379">
        <f>Table37132190115[[#This Row],[Rate]]*Table37132190115[[#This Row],[Qty]]</f>
        <v>60000</v>
      </c>
    </row>
    <row r="315" spans="2:24">
      <c r="B315" s="322" t="s">
        <v>432</v>
      </c>
      <c r="D315" s="541">
        <f>T313</f>
        <v>533.33333333333326</v>
      </c>
      <c r="E315" s="293">
        <v>1</v>
      </c>
      <c r="F315" s="214"/>
      <c r="G315" s="228">
        <f>Table15111988113[[#This Row],[Rate]]*Table15111988113[[#This Row],[Qty]]</f>
        <v>533.33333333333326</v>
      </c>
      <c r="I315" s="291">
        <f>V313</f>
        <v>533.33333333333326</v>
      </c>
      <c r="J315" s="293">
        <v>1</v>
      </c>
      <c r="K315" s="214"/>
      <c r="L315" s="453">
        <f>Table26122089114[[#This Row],[Rate]]*Table26122089114[[#This Row],[Qty]]</f>
        <v>533.33333333333326</v>
      </c>
      <c r="M315" s="451"/>
      <c r="N315" s="398">
        <f>X313</f>
        <v>533.33333333333326</v>
      </c>
      <c r="O315" s="293">
        <v>1</v>
      </c>
      <c r="P315" s="214"/>
      <c r="Q315" s="379">
        <f>Table37132190115[[#This Row],[Rate]]*Table37132190115[[#This Row],[Qty]]</f>
        <v>533.33333333333326</v>
      </c>
    </row>
    <row r="316" spans="2:24">
      <c r="B316" s="241"/>
      <c r="D316" s="291"/>
      <c r="E316" s="293"/>
      <c r="F316" s="214"/>
      <c r="G316" s="228"/>
      <c r="I316" s="291"/>
      <c r="J316" s="293"/>
      <c r="K316" s="214"/>
      <c r="L316" s="228"/>
      <c r="N316" s="291"/>
      <c r="O316" s="293"/>
      <c r="P316" s="214"/>
      <c r="Q316" s="379"/>
    </row>
    <row r="317" spans="2:24">
      <c r="B317" s="241"/>
      <c r="D317" s="291"/>
      <c r="E317" s="291"/>
      <c r="F317" s="219"/>
      <c r="G317" s="228"/>
      <c r="I317" s="291"/>
      <c r="J317" s="291"/>
      <c r="K317" s="219"/>
      <c r="L317" s="228"/>
      <c r="N317" s="291"/>
      <c r="O317" s="291"/>
      <c r="P317" s="219"/>
      <c r="Q317" s="379"/>
    </row>
    <row r="318" spans="2:24">
      <c r="B318" s="269" t="str">
        <f t="shared" si="18"/>
        <v>Total</v>
      </c>
      <c r="D318" s="266">
        <f>Table15111988113[[#Totals],[Monthly]]/Table15111988113[[#Totals],[Qty]]</f>
        <v>14177.777777777779</v>
      </c>
      <c r="E318" s="267">
        <f>SUBTOTAL(109,Table15111988113[Qty])</f>
        <v>3</v>
      </c>
      <c r="F318" s="411">
        <f>Table15111988113[[#Totals],[Monthly]]/G310</f>
        <v>0.50634920634920633</v>
      </c>
      <c r="G318" s="266">
        <f>SUBTOTAL(109,Table15111988113[Monthly])</f>
        <v>42533.333333333336</v>
      </c>
      <c r="I318" s="266">
        <f>Table26122089114[[#Totals],[Monthly]]/Table26122089114[[#Totals],[Qty]]</f>
        <v>24177.777777777777</v>
      </c>
      <c r="J318" s="267">
        <f>SUBTOTAL(109,Table26122089114[Qty])</f>
        <v>3</v>
      </c>
      <c r="K318" s="411">
        <f>Table26122089114[[#Totals],[Monthly]]/L310</f>
        <v>0.40861547706232509</v>
      </c>
      <c r="L318" s="266">
        <f>SUBTOTAL(109,Table26122089114[Monthly])</f>
        <v>72533.333333333328</v>
      </c>
      <c r="N318" s="266">
        <f>Table37132190115[[#Totals],[Monthly]]/Table37132190115[[#Totals],[Qty]]</f>
        <v>24177.777777777777</v>
      </c>
      <c r="O318" s="267">
        <f>SUBTOTAL(109,Table37132190115[Qty])</f>
        <v>3</v>
      </c>
      <c r="P318" s="411">
        <f>Table37132190115[[#Totals],[Monthly]]/Q310</f>
        <v>0.40861547706232509</v>
      </c>
      <c r="Q318" s="412">
        <f>SUBTOTAL(109,Table37132190115[Monthly])</f>
        <v>72533.333333333328</v>
      </c>
    </row>
    <row r="320" spans="2:24">
      <c r="B320" s="271" t="s">
        <v>428</v>
      </c>
      <c r="D320" s="273" t="s">
        <v>142</v>
      </c>
      <c r="E320" s="270" t="s">
        <v>366</v>
      </c>
      <c r="F320" s="284" t="s">
        <v>382</v>
      </c>
      <c r="G320" s="270" t="s">
        <v>275</v>
      </c>
      <c r="I320" s="273" t="s">
        <v>142</v>
      </c>
      <c r="J320" s="273" t="s">
        <v>366</v>
      </c>
      <c r="K320" s="273" t="s">
        <v>382</v>
      </c>
      <c r="L320" s="273" t="s">
        <v>275</v>
      </c>
      <c r="N320" s="270" t="s">
        <v>142</v>
      </c>
      <c r="O320" s="270" t="s">
        <v>366</v>
      </c>
      <c r="P320" s="270" t="s">
        <v>382</v>
      </c>
      <c r="Q320" s="389" t="s">
        <v>275</v>
      </c>
    </row>
    <row r="321" spans="2:17">
      <c r="B321" s="241" t="s">
        <v>372</v>
      </c>
      <c r="D321" s="291">
        <v>0</v>
      </c>
      <c r="E321" s="293">
        <v>0</v>
      </c>
      <c r="F321" s="214"/>
      <c r="G321" s="228">
        <f>D321*E321</f>
        <v>0</v>
      </c>
      <c r="I321" s="291">
        <v>0</v>
      </c>
      <c r="J321" s="297">
        <v>1</v>
      </c>
      <c r="K321" s="214">
        <v>0</v>
      </c>
      <c r="L321" s="228">
        <f>I321*J321</f>
        <v>0</v>
      </c>
      <c r="N321" s="291">
        <v>0</v>
      </c>
      <c r="O321" s="297">
        <v>1</v>
      </c>
      <c r="P321" s="214">
        <v>0</v>
      </c>
      <c r="Q321" s="380">
        <f>N321*O321</f>
        <v>0</v>
      </c>
    </row>
    <row r="322" spans="2:17">
      <c r="B322" s="241" t="s">
        <v>424</v>
      </c>
      <c r="D322" s="291">
        <v>0</v>
      </c>
      <c r="E322" s="293">
        <v>0</v>
      </c>
      <c r="F322" s="214"/>
      <c r="G322" s="228">
        <f>D322*E322</f>
        <v>0</v>
      </c>
      <c r="I322" s="291">
        <v>0</v>
      </c>
      <c r="J322" s="297">
        <v>1</v>
      </c>
      <c r="K322" s="214">
        <v>0</v>
      </c>
      <c r="L322" s="228">
        <f>I322*J322</f>
        <v>0</v>
      </c>
      <c r="N322" s="291">
        <v>0</v>
      </c>
      <c r="O322" s="297">
        <v>1</v>
      </c>
      <c r="P322" s="214">
        <v>0</v>
      </c>
      <c r="Q322" s="380">
        <f>N322*O322</f>
        <v>0</v>
      </c>
    </row>
    <row r="323" spans="2:17">
      <c r="B323" s="241" t="s">
        <v>375</v>
      </c>
      <c r="D323" s="291">
        <v>400</v>
      </c>
      <c r="E323" s="293">
        <v>5</v>
      </c>
      <c r="F323" s="214"/>
      <c r="G323" s="453">
        <f>D323*E323</f>
        <v>2000</v>
      </c>
      <c r="I323" s="291">
        <v>400</v>
      </c>
      <c r="J323" s="297">
        <v>10</v>
      </c>
      <c r="K323" s="214">
        <v>0</v>
      </c>
      <c r="L323" s="453">
        <f>I323*J323</f>
        <v>4000</v>
      </c>
      <c r="M323" s="451"/>
      <c r="N323" s="398">
        <v>400</v>
      </c>
      <c r="O323" s="297">
        <v>10</v>
      </c>
      <c r="P323" s="214">
        <v>0</v>
      </c>
      <c r="Q323" s="380">
        <f>N323*O323</f>
        <v>4000</v>
      </c>
    </row>
    <row r="324" spans="2:17">
      <c r="B324" s="271" t="s">
        <v>376</v>
      </c>
      <c r="D324" s="271"/>
      <c r="E324" s="271"/>
      <c r="F324" s="310">
        <f>Table2393118[[#Totals],[Monthly]]/G310</f>
        <v>2.3809523809523808E-2</v>
      </c>
      <c r="G324" s="413">
        <f>SUBTOTAL(109,Table2393118[Monthly])</f>
        <v>2000</v>
      </c>
      <c r="I324" s="439"/>
      <c r="J324" s="275"/>
      <c r="K324" s="307">
        <f>Table2494119[[#Totals],[Monthly]]/L310</f>
        <v>2.2533941749760578E-2</v>
      </c>
      <c r="L324" s="454">
        <f>SUBTOTAL(109,Table2494119[Monthly])</f>
        <v>4000</v>
      </c>
      <c r="M324" s="451"/>
      <c r="N324" s="413"/>
      <c r="O324" s="271"/>
      <c r="P324" s="310">
        <f>Table2595120[[#Totals],[Monthly]]/Q310</f>
        <v>2.2533941749760578E-2</v>
      </c>
      <c r="Q324" s="413">
        <f>SUBTOTAL(109,Table2595120[Monthly])</f>
        <v>4000</v>
      </c>
    </row>
    <row r="326" spans="2:17">
      <c r="B326" s="271" t="s">
        <v>377</v>
      </c>
      <c r="D326" s="288" t="s">
        <v>142</v>
      </c>
      <c r="E326" s="285" t="s">
        <v>366</v>
      </c>
      <c r="F326" s="286" t="s">
        <v>382</v>
      </c>
      <c r="G326" s="278" t="s">
        <v>275</v>
      </c>
      <c r="I326" s="288" t="s">
        <v>142</v>
      </c>
      <c r="J326" s="279" t="s">
        <v>366</v>
      </c>
      <c r="K326" s="286" t="s">
        <v>382</v>
      </c>
      <c r="L326" s="278" t="s">
        <v>275</v>
      </c>
      <c r="N326" s="288" t="s">
        <v>142</v>
      </c>
      <c r="O326" s="279" t="s">
        <v>366</v>
      </c>
      <c r="P326" s="286" t="s">
        <v>382</v>
      </c>
      <c r="Q326" s="391" t="s">
        <v>275</v>
      </c>
    </row>
    <row r="327" spans="2:17">
      <c r="B327" s="252" t="s">
        <v>425</v>
      </c>
      <c r="D327" s="294">
        <v>0</v>
      </c>
      <c r="E327" s="409">
        <v>0</v>
      </c>
      <c r="F327" s="252"/>
      <c r="G327" s="250">
        <f>D327*E327</f>
        <v>0</v>
      </c>
      <c r="I327" s="294">
        <v>0</v>
      </c>
      <c r="J327" s="295">
        <v>0</v>
      </c>
      <c r="K327" s="252"/>
      <c r="L327" s="250">
        <f>I327*J327</f>
        <v>0</v>
      </c>
      <c r="N327" s="294">
        <v>0</v>
      </c>
      <c r="O327" s="295">
        <v>0</v>
      </c>
      <c r="P327" s="252"/>
      <c r="Q327" s="392">
        <f>N327*O327</f>
        <v>0</v>
      </c>
    </row>
    <row r="328" spans="2:17">
      <c r="B328" s="252" t="s">
        <v>313</v>
      </c>
      <c r="D328" s="294">
        <v>0</v>
      </c>
      <c r="E328" s="409">
        <v>0</v>
      </c>
      <c r="F328" s="252">
        <v>0</v>
      </c>
      <c r="G328" s="250">
        <f>D328*E328</f>
        <v>0</v>
      </c>
      <c r="I328" s="294">
        <v>0</v>
      </c>
      <c r="J328" s="295">
        <v>0</v>
      </c>
      <c r="K328" s="252"/>
      <c r="L328" s="250">
        <f>I328*J328</f>
        <v>0</v>
      </c>
      <c r="N328" s="294">
        <v>0</v>
      </c>
      <c r="O328" s="295">
        <v>0</v>
      </c>
      <c r="P328" s="252"/>
      <c r="Q328" s="392">
        <f>N328*O328</f>
        <v>0</v>
      </c>
    </row>
    <row r="329" spans="2:17">
      <c r="B329" s="252" t="s">
        <v>380</v>
      </c>
      <c r="D329" s="294">
        <v>0</v>
      </c>
      <c r="E329" s="409">
        <v>0</v>
      </c>
      <c r="F329" s="252">
        <v>0</v>
      </c>
      <c r="G329" s="250">
        <f>D329*E329</f>
        <v>0</v>
      </c>
      <c r="I329" s="294">
        <v>0</v>
      </c>
      <c r="J329" s="295">
        <v>0</v>
      </c>
      <c r="K329" s="252"/>
      <c r="L329" s="250">
        <f>I329*J329</f>
        <v>0</v>
      </c>
      <c r="N329" s="294">
        <v>0</v>
      </c>
      <c r="O329" s="295">
        <v>0</v>
      </c>
      <c r="P329" s="252"/>
      <c r="Q329" s="392">
        <f>N329*O329</f>
        <v>0</v>
      </c>
    </row>
    <row r="330" spans="2:17">
      <c r="B330" s="252" t="s">
        <v>381</v>
      </c>
      <c r="D330" s="294">
        <v>0</v>
      </c>
      <c r="E330" s="409">
        <v>0</v>
      </c>
      <c r="F330" s="252">
        <v>0</v>
      </c>
      <c r="G330" s="250">
        <f>D330*E330</f>
        <v>0</v>
      </c>
      <c r="I330" s="294">
        <f>D330</f>
        <v>0</v>
      </c>
      <c r="J330" s="295">
        <v>0</v>
      </c>
      <c r="K330" s="252"/>
      <c r="L330" s="250">
        <f>I330*J330</f>
        <v>0</v>
      </c>
      <c r="N330" s="294">
        <f>I330</f>
        <v>0</v>
      </c>
      <c r="O330" s="295">
        <v>0</v>
      </c>
      <c r="P330" s="252"/>
      <c r="Q330" s="392">
        <f>N330*O330</f>
        <v>0</v>
      </c>
    </row>
    <row r="331" spans="2:17">
      <c r="B331" s="252"/>
      <c r="D331" s="294">
        <v>0</v>
      </c>
      <c r="E331" s="409">
        <v>0</v>
      </c>
      <c r="F331" s="252">
        <v>0</v>
      </c>
      <c r="G331" s="250">
        <f>D331*E331</f>
        <v>0</v>
      </c>
      <c r="I331" s="294">
        <f>D331</f>
        <v>0</v>
      </c>
      <c r="J331" s="295">
        <v>0</v>
      </c>
      <c r="K331" s="252"/>
      <c r="L331" s="250">
        <f>I331*J331</f>
        <v>0</v>
      </c>
      <c r="N331" s="294">
        <f>I331</f>
        <v>0</v>
      </c>
      <c r="O331" s="295">
        <v>0</v>
      </c>
      <c r="P331" s="252"/>
      <c r="Q331" s="392">
        <f>N331*O331</f>
        <v>0</v>
      </c>
    </row>
    <row r="332" spans="2:17">
      <c r="B332" s="281" t="s">
        <v>376</v>
      </c>
      <c r="D332" s="289"/>
      <c r="E332" s="287"/>
      <c r="F332" s="305">
        <f>G332/G310</f>
        <v>0</v>
      </c>
      <c r="G332" s="282">
        <f>SUM(G327:G331)</f>
        <v>0</v>
      </c>
      <c r="I332" s="289"/>
      <c r="J332" s="280"/>
      <c r="K332" s="305">
        <f>L332/L310</f>
        <v>0</v>
      </c>
      <c r="L332" s="283">
        <f>SUM(L327:L331)</f>
        <v>0</v>
      </c>
      <c r="N332" s="289"/>
      <c r="O332" s="280"/>
      <c r="P332" s="305">
        <f>Q332/Q310</f>
        <v>0</v>
      </c>
      <c r="Q332" s="393">
        <f>SUM(Q327:Q331)</f>
        <v>0</v>
      </c>
    </row>
    <row r="334" spans="2:17">
      <c r="B334" s="271" t="s">
        <v>386</v>
      </c>
      <c r="D334" s="298" t="s">
        <v>142</v>
      </c>
      <c r="E334" s="298" t="s">
        <v>366</v>
      </c>
      <c r="F334" s="298" t="s">
        <v>382</v>
      </c>
      <c r="G334" s="298" t="s">
        <v>275</v>
      </c>
      <c r="I334" s="298" t="s">
        <v>142</v>
      </c>
      <c r="J334" s="298" t="s">
        <v>366</v>
      </c>
      <c r="K334" s="298" t="s">
        <v>382</v>
      </c>
      <c r="L334" s="298" t="s">
        <v>275</v>
      </c>
      <c r="N334" s="298" t="s">
        <v>142</v>
      </c>
      <c r="O334" s="298" t="s">
        <v>366</v>
      </c>
      <c r="P334" s="298" t="s">
        <v>382</v>
      </c>
      <c r="Q334" s="394" t="s">
        <v>275</v>
      </c>
    </row>
    <row r="335" spans="2:17">
      <c r="B335" s="252" t="s">
        <v>383</v>
      </c>
      <c r="D335" s="291">
        <v>0</v>
      </c>
      <c r="E335" s="293">
        <v>0</v>
      </c>
      <c r="F335" s="252">
        <v>0</v>
      </c>
      <c r="G335" s="241">
        <f>Table2998123[[#This Row],[Rate]]*Table2998123[[#This Row],[Qty]]</f>
        <v>0</v>
      </c>
      <c r="I335" s="300">
        <f>Table2998123[[#This Row],[Rate]]</f>
        <v>0</v>
      </c>
      <c r="J335" s="295">
        <v>0</v>
      </c>
      <c r="K335" s="252">
        <v>0</v>
      </c>
      <c r="L335" s="241">
        <f>Table293199124[[#This Row],[Rate]]*Table293199124[[#This Row],[Qty]]</f>
        <v>0</v>
      </c>
      <c r="N335" s="300">
        <v>0</v>
      </c>
      <c r="O335" s="295">
        <v>0</v>
      </c>
      <c r="P335" s="252">
        <v>0</v>
      </c>
      <c r="Q335" s="395">
        <f>Table2932100125[[#This Row],[Rate]]*Table2932100125[[#This Row],[Qty]]</f>
        <v>0</v>
      </c>
    </row>
    <row r="336" spans="2:17">
      <c r="B336" s="252" t="s">
        <v>384</v>
      </c>
      <c r="D336" s="291">
        <v>0</v>
      </c>
      <c r="E336" s="293">
        <v>0</v>
      </c>
      <c r="F336" s="252">
        <v>0</v>
      </c>
      <c r="G336" s="241">
        <f>Table2998123[[#This Row],[Rate]]*Table2998123[[#This Row],[Qty]]</f>
        <v>0</v>
      </c>
      <c r="I336" s="300">
        <f>Table2998123[[#This Row],[Rate]]</f>
        <v>0</v>
      </c>
      <c r="J336" s="295">
        <v>0</v>
      </c>
      <c r="K336" s="252">
        <v>0</v>
      </c>
      <c r="L336" s="241">
        <f>Table293199124[[#This Row],[Rate]]*Table293199124[[#This Row],[Qty]]</f>
        <v>0</v>
      </c>
      <c r="N336" s="300">
        <f>Table2998123[[#This Row],[Rate]]</f>
        <v>0</v>
      </c>
      <c r="O336" s="295">
        <v>0</v>
      </c>
      <c r="P336" s="252">
        <v>0</v>
      </c>
      <c r="Q336" s="395">
        <f>Table2932100125[[#This Row],[Rate]]*Table2932100125[[#This Row],[Qty]]</f>
        <v>0</v>
      </c>
    </row>
    <row r="337" spans="2:19">
      <c r="B337" s="252" t="s">
        <v>385</v>
      </c>
      <c r="D337" s="291">
        <v>0</v>
      </c>
      <c r="E337" s="293">
        <v>0</v>
      </c>
      <c r="F337" s="252">
        <v>0</v>
      </c>
      <c r="G337" s="241">
        <f>Table2998123[[#This Row],[Rate]]*Table2998123[[#This Row],[Qty]]</f>
        <v>0</v>
      </c>
      <c r="I337" s="300">
        <f>Table2998123[[#This Row],[Rate]]</f>
        <v>0</v>
      </c>
      <c r="J337" s="295">
        <v>0</v>
      </c>
      <c r="K337" s="252">
        <v>0</v>
      </c>
      <c r="L337" s="241">
        <f>Table293199124[[#This Row],[Rate]]*Table293199124[[#This Row],[Qty]]</f>
        <v>0</v>
      </c>
      <c r="N337" s="300">
        <f>Table2998123[[#This Row],[Rate]]</f>
        <v>0</v>
      </c>
      <c r="O337" s="295">
        <v>0</v>
      </c>
      <c r="P337" s="252">
        <v>0</v>
      </c>
      <c r="Q337" s="395">
        <f>Table2932100125[[#This Row],[Rate]]*Table2932100125[[#This Row],[Qty]]</f>
        <v>0</v>
      </c>
    </row>
    <row r="338" spans="2:19">
      <c r="B338" s="281" t="s">
        <v>376</v>
      </c>
      <c r="D338" s="281"/>
      <c r="E338" s="281"/>
      <c r="F338" s="309">
        <f>Table2998123[[#Totals],[Monthly]]/G310</f>
        <v>0</v>
      </c>
      <c r="G338" s="302">
        <f>SUBTOTAL(109,Table2998123[Monthly])</f>
        <v>0</v>
      </c>
      <c r="I338" s="281"/>
      <c r="J338" s="281"/>
      <c r="K338" s="309">
        <f>Table293199124[[#Totals],[Monthly]]/L310</f>
        <v>0</v>
      </c>
      <c r="L338" s="302">
        <f>SUBTOTAL(109,Table293199124[Monthly])</f>
        <v>0</v>
      </c>
      <c r="N338" s="281"/>
      <c r="O338" s="281"/>
      <c r="P338" s="309">
        <f>Table2932100125[[#Totals],[Monthly]]/Q310</f>
        <v>0</v>
      </c>
      <c r="Q338" s="396">
        <f>SUBTOTAL(109,Table2932100125[Monthly])</f>
        <v>0</v>
      </c>
    </row>
    <row r="340" spans="2:19">
      <c r="B340" s="271" t="s">
        <v>37</v>
      </c>
      <c r="D340" s="298" t="s">
        <v>142</v>
      </c>
      <c r="E340" s="298" t="s">
        <v>366</v>
      </c>
      <c r="F340" s="298" t="s">
        <v>382</v>
      </c>
      <c r="G340" s="298" t="s">
        <v>275</v>
      </c>
      <c r="I340" s="298" t="s">
        <v>142</v>
      </c>
      <c r="J340" s="298" t="s">
        <v>366</v>
      </c>
      <c r="K340" s="298" t="s">
        <v>382</v>
      </c>
      <c r="L340" s="298" t="s">
        <v>275</v>
      </c>
      <c r="N340" s="298" t="s">
        <v>142</v>
      </c>
      <c r="O340" s="298" t="s">
        <v>366</v>
      </c>
      <c r="P340" s="298" t="s">
        <v>382</v>
      </c>
      <c r="Q340" s="394" t="s">
        <v>275</v>
      </c>
    </row>
    <row r="341" spans="2:19">
      <c r="B341" s="252" t="s">
        <v>423</v>
      </c>
      <c r="D341" s="291">
        <v>0</v>
      </c>
      <c r="E341" s="293">
        <v>0</v>
      </c>
      <c r="F341" s="252">
        <v>0</v>
      </c>
      <c r="G341" s="241">
        <f>Table2934102127[[#This Row],[Rate]]*Table2934102127[[#This Row],[Qty]]</f>
        <v>0</v>
      </c>
      <c r="I341" s="300">
        <v>0</v>
      </c>
      <c r="J341" s="295">
        <v>0</v>
      </c>
      <c r="K341" s="252">
        <v>0</v>
      </c>
      <c r="L341" s="241">
        <f>Table293435103128[[#This Row],[Rate]]*Table293435103128[[#This Row],[Qty]]</f>
        <v>0</v>
      </c>
      <c r="N341" s="300">
        <v>0</v>
      </c>
      <c r="O341" s="295">
        <v>0</v>
      </c>
      <c r="P341" s="252">
        <v>0</v>
      </c>
      <c r="Q341" s="395">
        <f>Table293436104129[[#This Row],[Rate]]*Table293436104129[[#This Row],[Qty]]</f>
        <v>0</v>
      </c>
    </row>
    <row r="342" spans="2:19">
      <c r="B342" s="252"/>
      <c r="D342" s="291">
        <v>0</v>
      </c>
      <c r="E342" s="293">
        <v>0</v>
      </c>
      <c r="F342" s="252">
        <v>0</v>
      </c>
      <c r="G342" s="241">
        <f>Table2934102127[[#This Row],[Rate]]*Table2934102127[[#This Row],[Qty]]</f>
        <v>0</v>
      </c>
      <c r="I342" s="300"/>
      <c r="J342" s="295"/>
      <c r="K342" s="252">
        <v>0</v>
      </c>
      <c r="L342" s="241">
        <f>Table293435103128[[#This Row],[Rate]]*Table293435103128[[#This Row],[Qty]]</f>
        <v>0</v>
      </c>
      <c r="N342" s="300">
        <f>Table2934102127[[#This Row],[Rate]]</f>
        <v>0</v>
      </c>
      <c r="O342" s="295">
        <v>0</v>
      </c>
      <c r="P342" s="252">
        <v>0</v>
      </c>
      <c r="Q342" s="395">
        <f>Table293436104129[[#This Row],[Rate]]*Table293436104129[[#This Row],[Qty]]</f>
        <v>0</v>
      </c>
    </row>
    <row r="343" spans="2:19">
      <c r="B343" s="252"/>
      <c r="D343" s="291">
        <v>0</v>
      </c>
      <c r="E343" s="293">
        <v>0</v>
      </c>
      <c r="F343" s="252">
        <v>0</v>
      </c>
      <c r="G343" s="241">
        <f>Table2934102127[[#This Row],[Rate]]*Table2934102127[[#This Row],[Qty]]</f>
        <v>0</v>
      </c>
      <c r="I343" s="300"/>
      <c r="J343" s="295"/>
      <c r="K343" s="252">
        <v>0</v>
      </c>
      <c r="L343" s="241">
        <f>Table293435103128[[#This Row],[Rate]]*Table293435103128[[#This Row],[Qty]]</f>
        <v>0</v>
      </c>
      <c r="N343" s="300">
        <f>Table2934102127[[#This Row],[Rate]]</f>
        <v>0</v>
      </c>
      <c r="O343" s="295">
        <v>0</v>
      </c>
      <c r="P343" s="252">
        <v>0</v>
      </c>
      <c r="Q343" s="395">
        <f>Table293436104129[[#This Row],[Rate]]*Table293436104129[[#This Row],[Qty]]</f>
        <v>0</v>
      </c>
    </row>
    <row r="344" spans="2:19">
      <c r="B344" s="252"/>
      <c r="D344" s="291">
        <v>0</v>
      </c>
      <c r="E344" s="293">
        <v>0</v>
      </c>
      <c r="F344" s="252">
        <v>0</v>
      </c>
      <c r="G344" s="252">
        <f>Table2934102127[[#This Row],[Rate]]*Table2934102127[[#This Row],[Qty]]</f>
        <v>0</v>
      </c>
      <c r="I344" s="300"/>
      <c r="J344" s="295"/>
      <c r="K344" s="252">
        <v>0</v>
      </c>
      <c r="L344" s="252">
        <f>Table293435103128[[#This Row],[Rate]]*Table293435103128[[#This Row],[Qty]]</f>
        <v>0</v>
      </c>
      <c r="N344" s="300">
        <f>Table2934102127[[#This Row],[Rate]]</f>
        <v>0</v>
      </c>
      <c r="O344" s="295">
        <v>0</v>
      </c>
      <c r="P344" s="252">
        <v>0</v>
      </c>
      <c r="Q344" s="395">
        <f>Table293436104129[[#This Row],[Rate]]*Table293436104129[[#This Row],[Qty]]</f>
        <v>0</v>
      </c>
    </row>
    <row r="345" spans="2:19">
      <c r="B345" s="252"/>
      <c r="D345" s="291">
        <v>0</v>
      </c>
      <c r="E345" s="293">
        <v>0</v>
      </c>
      <c r="F345" s="301">
        <v>0</v>
      </c>
      <c r="G345" s="301">
        <f>Table2934102127[[#This Row],[Rate]]*Table2934102127[[#This Row],[Qty]]</f>
        <v>0</v>
      </c>
      <c r="I345" s="300"/>
      <c r="J345" s="304"/>
      <c r="K345" s="301">
        <v>0</v>
      </c>
      <c r="L345" s="301">
        <f>Table293435103128[[#This Row],[Rate]]*Table293435103128[[#This Row],[Qty]]</f>
        <v>0</v>
      </c>
      <c r="N345" s="300">
        <f>Table2934102127[[#This Row],[Rate]]</f>
        <v>0</v>
      </c>
      <c r="O345" s="304">
        <v>0</v>
      </c>
      <c r="P345" s="301">
        <v>0</v>
      </c>
      <c r="Q345" s="397">
        <f>Table293436104129[[#This Row],[Rate]]*Table293436104129[[#This Row],[Qty]]</f>
        <v>0</v>
      </c>
    </row>
    <row r="346" spans="2:19">
      <c r="B346" s="281" t="s">
        <v>376</v>
      </c>
      <c r="D346" s="281"/>
      <c r="E346" s="281"/>
      <c r="F346" s="309">
        <f>Table2934102127[[#Totals],[Monthly]]/G310</f>
        <v>0</v>
      </c>
      <c r="G346" s="302">
        <f>SUBTOTAL(109,Table2934102127[Monthly])</f>
        <v>0</v>
      </c>
      <c r="I346" s="281"/>
      <c r="J346" s="281"/>
      <c r="K346" s="309">
        <f>Table293435103128[[#Totals],[Monthly]]/L310</f>
        <v>0</v>
      </c>
      <c r="L346" s="302">
        <f>SUBTOTAL(109,Table293435103128[Monthly])</f>
        <v>0</v>
      </c>
      <c r="N346" s="281"/>
      <c r="O346" s="281"/>
      <c r="P346" s="309">
        <f>Table293436104129[[#Totals],[Monthly]]/Q310</f>
        <v>0</v>
      </c>
      <c r="Q346" s="414">
        <f>SUBTOTAL(109,Table293436104129[Monthly])</f>
        <v>0</v>
      </c>
    </row>
    <row r="348" spans="2:19">
      <c r="B348" s="281" t="s">
        <v>392</v>
      </c>
      <c r="D348" s="281"/>
      <c r="E348" s="281"/>
      <c r="F348" s="281"/>
      <c r="G348" s="302">
        <f>Table2934102127[[#Totals],[Monthly]]+Table2998123[[#Totals],[Monthly]]+G332+Table2393118[[#Totals],[Monthly]]+Table15111988113[[#Totals],[Monthly]]</f>
        <v>44533.333333333336</v>
      </c>
      <c r="I348" s="281"/>
      <c r="J348" s="281"/>
      <c r="K348" s="281"/>
      <c r="L348" s="302">
        <f>Table293435103128[[#Totals],[Monthly]]+Table293199124[[#Totals],[Monthly]]+L332+Table2494119[[#Totals],[Monthly]]+Table26122089114[[#Totals],[Monthly]]</f>
        <v>76533.333333333328</v>
      </c>
      <c r="N348" s="281"/>
      <c r="O348" s="281"/>
      <c r="P348" s="281"/>
      <c r="Q348" s="396">
        <f>Table293436104129[[#Totals],[Monthly]]+Table2932100125[[#Totals],[Monthly]]+Q332+Table2595120[[#Totals],[Monthly]]+Table37132190115[[#Totals],[Monthly]]</f>
        <v>76533.333333333328</v>
      </c>
      <c r="S348" s="376"/>
    </row>
    <row r="349" spans="2:19">
      <c r="R349" s="449"/>
    </row>
    <row r="350" spans="2:19">
      <c r="B350" s="260" t="s">
        <v>371</v>
      </c>
      <c r="D350" s="261"/>
      <c r="E350" s="262"/>
      <c r="F350" s="262"/>
      <c r="G350" s="261">
        <f>Table1585110[[#Totals],[Monthly]]+Table151180105[[#Totals],[Monthly]]</f>
        <v>84000</v>
      </c>
      <c r="I350" s="261"/>
      <c r="J350" s="262"/>
      <c r="K350" s="262"/>
      <c r="L350" s="261">
        <f>Table1686111[[#Totals],[Monthly]]+Table261281106[[#Totals],[Monthly]]</f>
        <v>177510</v>
      </c>
      <c r="N350" s="261"/>
      <c r="O350" s="262"/>
      <c r="P350" s="262"/>
      <c r="Q350" s="387">
        <f>Table1787112[[#Totals],[Monthly]]+Table371382107[[#Totals],[Monthly]]</f>
        <v>177510</v>
      </c>
    </row>
    <row r="352" spans="2:19">
      <c r="B352" s="415" t="s">
        <v>427</v>
      </c>
      <c r="D352" s="431">
        <v>0.05</v>
      </c>
      <c r="E352" s="417">
        <v>-1</v>
      </c>
      <c r="F352" s="418"/>
      <c r="G352" s="419">
        <f>E352*D352*G350</f>
        <v>-4200</v>
      </c>
      <c r="I352" s="431">
        <v>0.05</v>
      </c>
      <c r="J352" s="420">
        <v>-1</v>
      </c>
      <c r="K352" s="421"/>
      <c r="L352" s="419">
        <f>J352*I352*L350</f>
        <v>-8875.5</v>
      </c>
      <c r="N352" s="438">
        <v>0.05</v>
      </c>
      <c r="O352" s="417">
        <v>-1</v>
      </c>
      <c r="P352" s="418"/>
      <c r="Q352" s="419">
        <f>O352*N352*Q350</f>
        <v>-8875.5</v>
      </c>
    </row>
    <row r="353" spans="2:24" s="319" customFormat="1">
      <c r="B353"/>
      <c r="C353" s="238"/>
      <c r="D353" s="217"/>
      <c r="E353" s="212"/>
      <c r="F353" s="212"/>
      <c r="G353" s="212"/>
      <c r="H353" s="236"/>
      <c r="I353" s="217"/>
      <c r="J353" s="217"/>
      <c r="K353" s="217"/>
      <c r="L353" s="212"/>
      <c r="M353" s="236"/>
      <c r="N353" s="212"/>
      <c r="O353" s="212"/>
      <c r="P353" s="212"/>
      <c r="Q353" s="212"/>
      <c r="S353"/>
      <c r="T353"/>
      <c r="U353"/>
      <c r="V353"/>
      <c r="W353"/>
      <c r="X353"/>
    </row>
    <row r="354" spans="2:24" s="319" customFormat="1">
      <c r="B354" s="423" t="s">
        <v>393</v>
      </c>
      <c r="C354" s="424"/>
      <c r="D354" s="425"/>
      <c r="E354" s="426"/>
      <c r="F354" s="426"/>
      <c r="G354" s="425">
        <f>G350-G348+G352</f>
        <v>35266.666666666664</v>
      </c>
      <c r="H354" s="427"/>
      <c r="I354" s="425"/>
      <c r="J354" s="425"/>
      <c r="K354" s="425"/>
      <c r="L354" s="425">
        <f>L350-L348+L352</f>
        <v>92101.166666666672</v>
      </c>
      <c r="M354" s="427"/>
      <c r="N354" s="426"/>
      <c r="O354" s="426"/>
      <c r="P354" s="426"/>
      <c r="Q354" s="425">
        <f>Q350-Q348+Q352</f>
        <v>92101.166666666672</v>
      </c>
    </row>
    <row r="355" spans="2:24" s="319" customFormat="1">
      <c r="C355" s="424"/>
      <c r="D355" s="428"/>
      <c r="E355" s="429"/>
      <c r="F355" s="429"/>
      <c r="G355" s="429"/>
      <c r="H355" s="427"/>
      <c r="I355" s="428"/>
      <c r="J355" s="428"/>
      <c r="K355" s="428"/>
      <c r="L355" s="429"/>
      <c r="M355" s="427"/>
      <c r="N355" s="429"/>
      <c r="O355" s="429"/>
      <c r="P355" s="429"/>
      <c r="Q355" s="429"/>
    </row>
    <row r="356" spans="2:24">
      <c r="B356" s="423" t="s">
        <v>394</v>
      </c>
      <c r="C356" s="424"/>
      <c r="D356" s="425"/>
      <c r="E356" s="426"/>
      <c r="F356" s="426"/>
      <c r="G356" s="430">
        <f>G354/G350</f>
        <v>0.41984126984126979</v>
      </c>
      <c r="H356" s="427"/>
      <c r="I356" s="425"/>
      <c r="J356" s="425"/>
      <c r="K356" s="425"/>
      <c r="L356" s="430">
        <f>L354/L350</f>
        <v>0.51885058118791427</v>
      </c>
      <c r="M356" s="427"/>
      <c r="N356" s="426"/>
      <c r="O356" s="426"/>
      <c r="P356" s="426"/>
      <c r="Q356" s="430">
        <f>Q354/Q350</f>
        <v>0.51885058118791427</v>
      </c>
      <c r="S356" s="319"/>
      <c r="T356" s="319"/>
      <c r="U356" s="319"/>
      <c r="V356" s="319"/>
      <c r="W356" s="319"/>
      <c r="X356" s="319"/>
    </row>
    <row r="357" spans="2:24" s="433" customFormat="1" ht="6.75" customHeight="1">
      <c r="B357"/>
      <c r="C357" s="238"/>
      <c r="D357" s="217"/>
      <c r="E357" s="212"/>
      <c r="F357" s="212"/>
      <c r="G357" s="212"/>
      <c r="H357" s="236"/>
      <c r="I357" s="217"/>
      <c r="J357" s="217"/>
      <c r="K357" s="217"/>
      <c r="L357" s="217"/>
      <c r="M357" s="236"/>
      <c r="N357" s="212"/>
      <c r="O357" s="212"/>
      <c r="P357" s="212"/>
      <c r="Q357" s="377"/>
      <c r="S357"/>
      <c r="T357"/>
      <c r="U357"/>
      <c r="V357"/>
      <c r="W357"/>
      <c r="X357"/>
    </row>
    <row r="358" spans="2:24">
      <c r="B358" s="432"/>
      <c r="C358" s="433"/>
      <c r="D358" s="434"/>
      <c r="E358" s="435"/>
      <c r="F358" s="435"/>
      <c r="G358" s="436"/>
      <c r="H358" s="437"/>
      <c r="I358" s="434"/>
      <c r="J358" s="434"/>
      <c r="K358" s="434"/>
      <c r="L358" s="436"/>
      <c r="M358" s="437"/>
      <c r="N358" s="435"/>
      <c r="O358" s="435"/>
      <c r="P358" s="435"/>
      <c r="Q358" s="436"/>
      <c r="S358" s="433"/>
      <c r="T358" s="433"/>
      <c r="U358" s="433"/>
      <c r="V358" s="433"/>
      <c r="W358" s="433"/>
      <c r="X358" s="433"/>
    </row>
    <row r="360" spans="2:24">
      <c r="B360" s="281" t="s">
        <v>392</v>
      </c>
      <c r="D360" s="281"/>
      <c r="E360" s="281"/>
      <c r="F360" s="281"/>
      <c r="G360" s="302">
        <f>G348+G283+G217+G120+G56</f>
        <v>2239110</v>
      </c>
      <c r="I360" s="281"/>
      <c r="J360" s="281"/>
      <c r="K360" s="281"/>
      <c r="L360" s="302">
        <f>L348+L283+L217+L120+L56</f>
        <v>2688751.666666667</v>
      </c>
      <c r="N360" s="281"/>
      <c r="O360" s="281"/>
      <c r="P360" s="281"/>
      <c r="Q360" s="302">
        <f>Q348+Q283+Q217+Q120+Q56</f>
        <v>6361085</v>
      </c>
      <c r="S360" s="376"/>
    </row>
    <row r="362" spans="2:24">
      <c r="B362" s="260" t="s">
        <v>371</v>
      </c>
      <c r="D362" s="261"/>
      <c r="E362" s="262"/>
      <c r="F362" s="262"/>
      <c r="G362" s="261">
        <f>G350+G285+G219+G122+G58</f>
        <v>2124630</v>
      </c>
      <c r="I362" s="261"/>
      <c r="J362" s="262"/>
      <c r="K362" s="262"/>
      <c r="L362" s="261">
        <f>L350+L285+L219+L122+L58</f>
        <v>2996130</v>
      </c>
      <c r="N362" s="261"/>
      <c r="O362" s="262"/>
      <c r="P362" s="262"/>
      <c r="Q362" s="261">
        <f>Q350+Q285+Q219+Q122+Q58</f>
        <v>6704250</v>
      </c>
    </row>
    <row r="364" spans="2:24">
      <c r="B364" s="415" t="s">
        <v>427</v>
      </c>
      <c r="D364" s="431">
        <v>0.09</v>
      </c>
      <c r="E364" s="417">
        <v>-1</v>
      </c>
      <c r="F364" s="418"/>
      <c r="G364" s="419">
        <f>G352+G287+G221+G124+G60</f>
        <v>-152163.07799999998</v>
      </c>
      <c r="I364" s="431">
        <f>D364</f>
        <v>0.09</v>
      </c>
      <c r="J364" s="420">
        <v>-1</v>
      </c>
      <c r="K364" s="421"/>
      <c r="L364" s="419">
        <f>L352+L287+L221+L124+L60</f>
        <v>-216129.06299999999</v>
      </c>
      <c r="N364" s="438">
        <v>0.09</v>
      </c>
      <c r="O364" s="417">
        <v>-1</v>
      </c>
      <c r="P364" s="418"/>
      <c r="Q364" s="419">
        <f>Q352+Q287+Q221+Q124+Q60</f>
        <v>-515391.01799999998</v>
      </c>
    </row>
    <row r="365" spans="2:24" s="319" customFormat="1">
      <c r="B365"/>
      <c r="C365" s="238"/>
      <c r="D365" s="217"/>
      <c r="E365" s="212"/>
      <c r="F365" s="212"/>
      <c r="G365" s="212"/>
      <c r="H365" s="236"/>
      <c r="I365" s="217"/>
      <c r="J365" s="217"/>
      <c r="K365" s="217"/>
      <c r="L365" s="212"/>
      <c r="M365" s="236"/>
      <c r="N365" s="212"/>
      <c r="O365" s="212"/>
      <c r="P365" s="212"/>
      <c r="Q365" s="212"/>
      <c r="S365"/>
      <c r="T365"/>
      <c r="U365"/>
      <c r="V365"/>
      <c r="W365"/>
      <c r="X365"/>
    </row>
    <row r="366" spans="2:24" s="319" customFormat="1">
      <c r="B366" s="423" t="s">
        <v>393</v>
      </c>
      <c r="C366" s="424"/>
      <c r="D366" s="425"/>
      <c r="E366" s="426"/>
      <c r="F366" s="426"/>
      <c r="G366" s="425">
        <f>G362-G360+G364</f>
        <v>-266643.07799999998</v>
      </c>
      <c r="H366" s="427"/>
      <c r="I366" s="425"/>
      <c r="J366" s="425"/>
      <c r="K366" s="425"/>
      <c r="L366" s="425">
        <f>L362-L360+L364</f>
        <v>91249.270333333028</v>
      </c>
      <c r="M366" s="427"/>
      <c r="N366" s="426"/>
      <c r="O366" s="426"/>
      <c r="P366" s="426"/>
      <c r="Q366" s="425">
        <f>Q362-Q360+Q364</f>
        <v>-172226.01799999998</v>
      </c>
    </row>
    <row r="367" spans="2:24" s="319" customFormat="1">
      <c r="C367" s="424"/>
      <c r="D367" s="428"/>
      <c r="E367" s="429"/>
      <c r="F367" s="429"/>
      <c r="G367" s="429"/>
      <c r="H367" s="427"/>
      <c r="I367" s="428"/>
      <c r="J367" s="428"/>
      <c r="K367" s="428"/>
      <c r="L367" s="429"/>
      <c r="M367" s="427"/>
      <c r="N367" s="429"/>
      <c r="O367" s="429"/>
      <c r="P367" s="429"/>
      <c r="Q367" s="429"/>
    </row>
    <row r="368" spans="2:24">
      <c r="B368" s="423" t="s">
        <v>394</v>
      </c>
      <c r="C368" s="424"/>
      <c r="D368" s="425"/>
      <c r="E368" s="426"/>
      <c r="F368" s="426"/>
      <c r="G368" s="430">
        <f>G366/G362</f>
        <v>-0.12550094745908699</v>
      </c>
      <c r="H368" s="427"/>
      <c r="I368" s="425"/>
      <c r="J368" s="425"/>
      <c r="K368" s="425"/>
      <c r="L368" s="430">
        <f>L366/L362</f>
        <v>3.0455711312036872E-2</v>
      </c>
      <c r="M368" s="427"/>
      <c r="N368" s="426"/>
      <c r="O368" s="426"/>
      <c r="P368" s="426"/>
      <c r="Q368" s="430">
        <f>Q366/Q362</f>
        <v>-2.568908050863258E-2</v>
      </c>
      <c r="S368" s="319"/>
      <c r="T368" s="319"/>
      <c r="U368" s="319"/>
      <c r="V368" s="319"/>
      <c r="W368" s="319"/>
      <c r="X368" s="319"/>
    </row>
  </sheetData>
  <pageMargins left="0.7" right="0.7" top="0.75" bottom="0.75" header="0.3" footer="0.3"/>
  <pageSetup paperSize="9" scale="54" orientation="landscape" r:id="rId1"/>
  <rowBreaks count="2" manualBreakCount="2">
    <brk id="190" max="16383" man="1"/>
    <brk id="227" max="16383" man="1"/>
  </rowBreaks>
  <tableParts count="10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s>
  <extLst>
    <ext xmlns:x14="http://schemas.microsoft.com/office/spreadsheetml/2009/9/main" uri="{78C0D931-6437-407d-A8EE-F0AAD7539E65}">
      <x14:conditionalFormattings>
        <x14:conditionalFormatting xmlns:xm="http://schemas.microsoft.com/office/excel/2006/main">
          <x14:cfRule type="iconSet" priority="58" id="{07AC06E5-62E6-4DE1-9DD8-14CF013CFF26}">
            <x14:iconSet custom="1">
              <x14:cfvo type="percent">
                <xm:f>0</xm:f>
              </x14:cfvo>
              <x14:cfvo type="num">
                <xm:f>0</xm:f>
              </x14:cfvo>
              <x14:cfvo type="num">
                <xm:f>0</xm:f>
              </x14:cfvo>
              <x14:cfIcon iconSet="3TrafficLights1" iconId="0"/>
              <x14:cfIcon iconSet="3TrafficLights1" iconId="0"/>
              <x14:cfIcon iconSet="3Symbols" iconId="2"/>
            </x14:iconSet>
          </x14:cfRule>
          <xm:sqref>G366:G368</xm:sqref>
        </x14:conditionalFormatting>
        <x14:conditionalFormatting xmlns:xm="http://schemas.microsoft.com/office/excel/2006/main">
          <x14:cfRule type="iconSet" priority="57" id="{7B13C449-68D9-4304-A70C-9FCEC43F7B4C}">
            <x14:iconSet custom="1">
              <x14:cfvo type="percent">
                <xm:f>0</xm:f>
              </x14:cfvo>
              <x14:cfvo type="num">
                <xm:f>0</xm:f>
              </x14:cfvo>
              <x14:cfvo type="num">
                <xm:f>0</xm:f>
              </x14:cfvo>
              <x14:cfIcon iconSet="3TrafficLights1" iconId="0"/>
              <x14:cfIcon iconSet="3TrafficLights1" iconId="0"/>
              <x14:cfIcon iconSet="3Symbols" iconId="2"/>
            </x14:iconSet>
          </x14:cfRule>
          <xm:sqref>L367</xm:sqref>
        </x14:conditionalFormatting>
        <x14:conditionalFormatting xmlns:xm="http://schemas.microsoft.com/office/excel/2006/main">
          <x14:cfRule type="iconSet" priority="56" id="{0B8A0FA9-931B-475B-903E-556254E614ED}">
            <x14:iconSet custom="1">
              <x14:cfvo type="percent">
                <xm:f>0</xm:f>
              </x14:cfvo>
              <x14:cfvo type="num">
                <xm:f>0</xm:f>
              </x14:cfvo>
              <x14:cfvo type="num">
                <xm:f>0</xm:f>
              </x14:cfvo>
              <x14:cfIcon iconSet="3TrafficLights1" iconId="0"/>
              <x14:cfIcon iconSet="3TrafficLights1" iconId="0"/>
              <x14:cfIcon iconSet="3Symbols" iconId="2"/>
            </x14:iconSet>
          </x14:cfRule>
          <xm:sqref>Q367</xm:sqref>
        </x14:conditionalFormatting>
        <x14:conditionalFormatting xmlns:xm="http://schemas.microsoft.com/office/excel/2006/main">
          <x14:cfRule type="iconSet" priority="55" id="{0E3B1D49-C994-4AAF-8921-90303EB95F61}">
            <x14:iconSet custom="1">
              <x14:cfvo type="percent">
                <xm:f>0</xm:f>
              </x14:cfvo>
              <x14:cfvo type="num">
                <xm:f>0</xm:f>
              </x14:cfvo>
              <x14:cfvo type="num">
                <xm:f>0</xm:f>
              </x14:cfvo>
              <x14:cfIcon iconSet="3TrafficLights1" iconId="0"/>
              <x14:cfIcon iconSet="3TrafficLights1" iconId="0"/>
              <x14:cfIcon iconSet="3Symbols" iconId="2"/>
            </x14:iconSet>
          </x14:cfRule>
          <xm:sqref>L366</xm:sqref>
        </x14:conditionalFormatting>
        <x14:conditionalFormatting xmlns:xm="http://schemas.microsoft.com/office/excel/2006/main">
          <x14:cfRule type="iconSet" priority="54" id="{0C98ED71-B1A9-450A-AA5A-A35555414FBB}">
            <x14:iconSet custom="1">
              <x14:cfvo type="percent">
                <xm:f>0</xm:f>
              </x14:cfvo>
              <x14:cfvo type="num">
                <xm:f>0</xm:f>
              </x14:cfvo>
              <x14:cfvo type="num">
                <xm:f>0</xm:f>
              </x14:cfvo>
              <x14:cfIcon iconSet="3TrafficLights1" iconId="0"/>
              <x14:cfIcon iconSet="3TrafficLights1" iconId="0"/>
              <x14:cfIcon iconSet="3Symbols" iconId="2"/>
            </x14:iconSet>
          </x14:cfRule>
          <xm:sqref>Q366</xm:sqref>
        </x14:conditionalFormatting>
        <x14:conditionalFormatting xmlns:xm="http://schemas.microsoft.com/office/excel/2006/main">
          <x14:cfRule type="iconSet" priority="53" id="{01EB0C61-F552-4B50-A436-BB08AA2A0700}">
            <x14:iconSet custom="1">
              <x14:cfvo type="percent">
                <xm:f>0</xm:f>
              </x14:cfvo>
              <x14:cfvo type="num">
                <xm:f>0</xm:f>
              </x14:cfvo>
              <x14:cfvo type="num">
                <xm:f>0</xm:f>
              </x14:cfvo>
              <x14:cfIcon iconSet="3TrafficLights1" iconId="0"/>
              <x14:cfIcon iconSet="3TrafficLights1" iconId="0"/>
              <x14:cfIcon iconSet="3Symbols" iconId="2"/>
            </x14:iconSet>
          </x14:cfRule>
          <xm:sqref>L368</xm:sqref>
        </x14:conditionalFormatting>
        <x14:conditionalFormatting xmlns:xm="http://schemas.microsoft.com/office/excel/2006/main">
          <x14:cfRule type="iconSet" priority="52" id="{F1993C51-C124-4D6D-9035-25A92D25ED8B}">
            <x14:iconSet custom="1">
              <x14:cfvo type="percent">
                <xm:f>0</xm:f>
              </x14:cfvo>
              <x14:cfvo type="num">
                <xm:f>0</xm:f>
              </x14:cfvo>
              <x14:cfvo type="num">
                <xm:f>0</xm:f>
              </x14:cfvo>
              <x14:cfIcon iconSet="3TrafficLights1" iconId="0"/>
              <x14:cfIcon iconSet="3TrafficLights1" iconId="0"/>
              <x14:cfIcon iconSet="3Symbols" iconId="2"/>
            </x14:iconSet>
          </x14:cfRule>
          <xm:sqref>Q368</xm:sqref>
        </x14:conditionalFormatting>
        <x14:conditionalFormatting xmlns:xm="http://schemas.microsoft.com/office/excel/2006/main">
          <x14:cfRule type="iconSet" priority="51" id="{7247105D-30D2-4C1F-A013-D56EBA598482}">
            <x14:iconSet custom="1">
              <x14:cfvo type="percent">
                <xm:f>0</xm:f>
              </x14:cfvo>
              <x14:cfvo type="num">
                <xm:f>0</xm:f>
              </x14:cfvo>
              <x14:cfvo type="num">
                <xm:f>0</xm:f>
              </x14:cfvo>
              <x14:cfIcon iconSet="3TrafficLights1" iconId="0"/>
              <x14:cfIcon iconSet="3TrafficLights1" iconId="0"/>
              <x14:cfIcon iconSet="3Symbols" iconId="2"/>
            </x14:iconSet>
          </x14:cfRule>
          <xm:sqref>G62:G66</xm:sqref>
        </x14:conditionalFormatting>
        <x14:conditionalFormatting xmlns:xm="http://schemas.microsoft.com/office/excel/2006/main">
          <x14:cfRule type="iconSet" priority="50" id="{92F0222F-6789-438C-A390-ACE67FA10652}">
            <x14:iconSet custom="1">
              <x14:cfvo type="percent">
                <xm:f>0</xm:f>
              </x14:cfvo>
              <x14:cfvo type="num">
                <xm:f>0</xm:f>
              </x14:cfvo>
              <x14:cfvo type="num">
                <xm:f>0</xm:f>
              </x14:cfvo>
              <x14:cfIcon iconSet="3TrafficLights1" iconId="0"/>
              <x14:cfIcon iconSet="3TrafficLights1" iconId="0"/>
              <x14:cfIcon iconSet="3Symbols" iconId="2"/>
            </x14:iconSet>
          </x14:cfRule>
          <xm:sqref>L63</xm:sqref>
        </x14:conditionalFormatting>
        <x14:conditionalFormatting xmlns:xm="http://schemas.microsoft.com/office/excel/2006/main">
          <x14:cfRule type="iconSet" priority="49" id="{1F26DBAE-79E7-429F-826B-EA1ADE8037FE}">
            <x14:iconSet custom="1">
              <x14:cfvo type="percent">
                <xm:f>0</xm:f>
              </x14:cfvo>
              <x14:cfvo type="num">
                <xm:f>0</xm:f>
              </x14:cfvo>
              <x14:cfvo type="num">
                <xm:f>0</xm:f>
              </x14:cfvo>
              <x14:cfIcon iconSet="3TrafficLights1" iconId="0"/>
              <x14:cfIcon iconSet="3TrafficLights1" iconId="0"/>
              <x14:cfIcon iconSet="3Symbols" iconId="2"/>
            </x14:iconSet>
          </x14:cfRule>
          <xm:sqref>Q63</xm:sqref>
        </x14:conditionalFormatting>
        <x14:conditionalFormatting xmlns:xm="http://schemas.microsoft.com/office/excel/2006/main">
          <x14:cfRule type="iconSet" priority="44" id="{CD8D859D-C555-42A9-A0CA-FC04ED17DFE3}">
            <x14:iconSet custom="1">
              <x14:cfvo type="percent">
                <xm:f>0</xm:f>
              </x14:cfvo>
              <x14:cfvo type="num">
                <xm:f>0</xm:f>
              </x14:cfvo>
              <x14:cfvo type="num">
                <xm:f>0</xm:f>
              </x14:cfvo>
              <x14:cfIcon iconSet="3TrafficLights1" iconId="0"/>
              <x14:cfIcon iconSet="3TrafficLights1" iconId="0"/>
              <x14:cfIcon iconSet="3Symbols" iconId="2"/>
            </x14:iconSet>
          </x14:cfRule>
          <xm:sqref>L62</xm:sqref>
        </x14:conditionalFormatting>
        <x14:conditionalFormatting xmlns:xm="http://schemas.microsoft.com/office/excel/2006/main">
          <x14:cfRule type="iconSet" priority="43" id="{2B36B318-9FAE-4064-95E4-7426514F387E}">
            <x14:iconSet custom="1">
              <x14:cfvo type="percent">
                <xm:f>0</xm:f>
              </x14:cfvo>
              <x14:cfvo type="num">
                <xm:f>0</xm:f>
              </x14:cfvo>
              <x14:cfvo type="num">
                <xm:f>0</xm:f>
              </x14:cfvo>
              <x14:cfIcon iconSet="3TrafficLights1" iconId="0"/>
              <x14:cfIcon iconSet="3TrafficLights1" iconId="0"/>
              <x14:cfIcon iconSet="3Symbols" iconId="2"/>
            </x14:iconSet>
          </x14:cfRule>
          <xm:sqref>Q62</xm:sqref>
        </x14:conditionalFormatting>
        <x14:conditionalFormatting xmlns:xm="http://schemas.microsoft.com/office/excel/2006/main">
          <x14:cfRule type="iconSet" priority="42" id="{7FEED386-6EB2-4773-9D68-9207B7A39412}">
            <x14:iconSet custom="1">
              <x14:cfvo type="percent">
                <xm:f>0</xm:f>
              </x14:cfvo>
              <x14:cfvo type="num">
                <xm:f>0</xm:f>
              </x14:cfvo>
              <x14:cfvo type="num">
                <xm:f>0</xm:f>
              </x14:cfvo>
              <x14:cfIcon iconSet="3TrafficLights1" iconId="0"/>
              <x14:cfIcon iconSet="3TrafficLights1" iconId="0"/>
              <x14:cfIcon iconSet="3Symbols" iconId="2"/>
            </x14:iconSet>
          </x14:cfRule>
          <xm:sqref>L64:L66</xm:sqref>
        </x14:conditionalFormatting>
        <x14:conditionalFormatting xmlns:xm="http://schemas.microsoft.com/office/excel/2006/main">
          <x14:cfRule type="iconSet" priority="41" id="{76C51DEC-2E51-4D36-9D17-6AD15AFC3640}">
            <x14:iconSet custom="1">
              <x14:cfvo type="percent">
                <xm:f>0</xm:f>
              </x14:cfvo>
              <x14:cfvo type="num">
                <xm:f>0</xm:f>
              </x14:cfvo>
              <x14:cfvo type="num">
                <xm:f>0</xm:f>
              </x14:cfvo>
              <x14:cfIcon iconSet="3TrafficLights1" iconId="0"/>
              <x14:cfIcon iconSet="3TrafficLights1" iconId="0"/>
              <x14:cfIcon iconSet="3Symbols" iconId="2"/>
            </x14:iconSet>
          </x14:cfRule>
          <xm:sqref>Q64:Q66</xm:sqref>
        </x14:conditionalFormatting>
        <x14:conditionalFormatting xmlns:xm="http://schemas.microsoft.com/office/excel/2006/main">
          <x14:cfRule type="iconSet" priority="40" id="{9B49F21E-B932-4C67-B692-968D288CF1D3}">
            <x14:iconSet custom="1">
              <x14:cfvo type="percent">
                <xm:f>0</xm:f>
              </x14:cfvo>
              <x14:cfvo type="num">
                <xm:f>0</xm:f>
              </x14:cfvo>
              <x14:cfvo type="num">
                <xm:f>0</xm:f>
              </x14:cfvo>
              <x14:cfIcon iconSet="3TrafficLights1" iconId="0"/>
              <x14:cfIcon iconSet="3TrafficLights1" iconId="0"/>
              <x14:cfIcon iconSet="3Symbols" iconId="2"/>
            </x14:iconSet>
          </x14:cfRule>
          <xm:sqref>G126:G127 G129</xm:sqref>
        </x14:conditionalFormatting>
        <x14:conditionalFormatting xmlns:xm="http://schemas.microsoft.com/office/excel/2006/main">
          <x14:cfRule type="iconSet" priority="39" id="{74201FEA-E14C-459B-A1E7-D1F70A4955C2}">
            <x14:iconSet custom="1">
              <x14:cfvo type="percent">
                <xm:f>0</xm:f>
              </x14:cfvo>
              <x14:cfvo type="num">
                <xm:f>0</xm:f>
              </x14:cfvo>
              <x14:cfvo type="num">
                <xm:f>0</xm:f>
              </x14:cfvo>
              <x14:cfIcon iconSet="3TrafficLights1" iconId="0"/>
              <x14:cfIcon iconSet="3TrafficLights1" iconId="0"/>
              <x14:cfIcon iconSet="3Symbols" iconId="2"/>
            </x14:iconSet>
          </x14:cfRule>
          <xm:sqref>L127</xm:sqref>
        </x14:conditionalFormatting>
        <x14:conditionalFormatting xmlns:xm="http://schemas.microsoft.com/office/excel/2006/main">
          <x14:cfRule type="iconSet" priority="38" id="{1A6FB7E0-8923-4E1B-9394-98A7903AC329}">
            <x14:iconSet custom="1">
              <x14:cfvo type="percent">
                <xm:f>0</xm:f>
              </x14:cfvo>
              <x14:cfvo type="num">
                <xm:f>0</xm:f>
              </x14:cfvo>
              <x14:cfvo type="num">
                <xm:f>0</xm:f>
              </x14:cfvo>
              <x14:cfIcon iconSet="3TrafficLights1" iconId="0"/>
              <x14:cfIcon iconSet="3TrafficLights1" iconId="0"/>
              <x14:cfIcon iconSet="3Symbols" iconId="2"/>
            </x14:iconSet>
          </x14:cfRule>
          <xm:sqref>Q127</xm:sqref>
        </x14:conditionalFormatting>
        <x14:conditionalFormatting xmlns:xm="http://schemas.microsoft.com/office/excel/2006/main">
          <x14:cfRule type="iconSet" priority="37" id="{6F4B99CF-C111-4815-A349-47E8D8AEB490}">
            <x14:iconSet custom="1">
              <x14:cfvo type="percent">
                <xm:f>0</xm:f>
              </x14:cfvo>
              <x14:cfvo type="num">
                <xm:f>0</xm:f>
              </x14:cfvo>
              <x14:cfvo type="num">
                <xm:f>0</xm:f>
              </x14:cfvo>
              <x14:cfIcon iconSet="3TrafficLights1" iconId="0"/>
              <x14:cfIcon iconSet="3TrafficLights1" iconId="0"/>
              <x14:cfIcon iconSet="3Symbols" iconId="2"/>
            </x14:iconSet>
          </x14:cfRule>
          <xm:sqref>L126</xm:sqref>
        </x14:conditionalFormatting>
        <x14:conditionalFormatting xmlns:xm="http://schemas.microsoft.com/office/excel/2006/main">
          <x14:cfRule type="iconSet" priority="36" id="{8800F550-6F33-4184-BC10-1EB88A4B7A9C}">
            <x14:iconSet custom="1">
              <x14:cfvo type="percent">
                <xm:f>0</xm:f>
              </x14:cfvo>
              <x14:cfvo type="num">
                <xm:f>0</xm:f>
              </x14:cfvo>
              <x14:cfvo type="num">
                <xm:f>0</xm:f>
              </x14:cfvo>
              <x14:cfIcon iconSet="3TrafficLights1" iconId="0"/>
              <x14:cfIcon iconSet="3TrafficLights1" iconId="0"/>
              <x14:cfIcon iconSet="3Symbols" iconId="2"/>
            </x14:iconSet>
          </x14:cfRule>
          <xm:sqref>Q126</xm:sqref>
        </x14:conditionalFormatting>
        <x14:conditionalFormatting xmlns:xm="http://schemas.microsoft.com/office/excel/2006/main">
          <x14:cfRule type="iconSet" priority="35" id="{0DA1DBD1-5303-4FF8-8E7F-791997123D1C}">
            <x14:iconSet custom="1">
              <x14:cfvo type="percent">
                <xm:f>0</xm:f>
              </x14:cfvo>
              <x14:cfvo type="num">
                <xm:f>0</xm:f>
              </x14:cfvo>
              <x14:cfvo type="num">
                <xm:f>0</xm:f>
              </x14:cfvo>
              <x14:cfIcon iconSet="3TrafficLights1" iconId="0"/>
              <x14:cfIcon iconSet="3TrafficLights1" iconId="0"/>
              <x14:cfIcon iconSet="3Symbols" iconId="2"/>
            </x14:iconSet>
          </x14:cfRule>
          <xm:sqref>L129</xm:sqref>
        </x14:conditionalFormatting>
        <x14:conditionalFormatting xmlns:xm="http://schemas.microsoft.com/office/excel/2006/main">
          <x14:cfRule type="iconSet" priority="34" id="{B9B214EA-ECA2-45F4-BD76-C3B2DD10AB31}">
            <x14:iconSet custom="1">
              <x14:cfvo type="percent">
                <xm:f>0</xm:f>
              </x14:cfvo>
              <x14:cfvo type="num">
                <xm:f>0</xm:f>
              </x14:cfvo>
              <x14:cfvo type="num">
                <xm:f>0</xm:f>
              </x14:cfvo>
              <x14:cfIcon iconSet="3TrafficLights1" iconId="0"/>
              <x14:cfIcon iconSet="3TrafficLights1" iconId="0"/>
              <x14:cfIcon iconSet="3Symbols" iconId="2"/>
            </x14:iconSet>
          </x14:cfRule>
          <xm:sqref>Q129</xm:sqref>
        </x14:conditionalFormatting>
        <x14:conditionalFormatting xmlns:xm="http://schemas.microsoft.com/office/excel/2006/main">
          <x14:cfRule type="iconSet" priority="33" id="{E334B603-8388-4B1E-95CF-FD38EC48A353}">
            <x14:iconSet custom="1">
              <x14:cfvo type="percent">
                <xm:f>0</xm:f>
              </x14:cfvo>
              <x14:cfvo type="num">
                <xm:f>0</xm:f>
              </x14:cfvo>
              <x14:cfvo type="num">
                <xm:f>0</xm:f>
              </x14:cfvo>
              <x14:cfIcon iconSet="3TrafficLights1" iconId="0"/>
              <x14:cfIcon iconSet="3TrafficLights1" iconId="0"/>
              <x14:cfIcon iconSet="3Symbols" iconId="2"/>
            </x14:iconSet>
          </x14:cfRule>
          <xm:sqref>G223:G226</xm:sqref>
        </x14:conditionalFormatting>
        <x14:conditionalFormatting xmlns:xm="http://schemas.microsoft.com/office/excel/2006/main">
          <x14:cfRule type="iconSet" priority="32" id="{519FFB42-520D-460D-837D-EDA8190342A2}">
            <x14:iconSet custom="1">
              <x14:cfvo type="percent">
                <xm:f>0</xm:f>
              </x14:cfvo>
              <x14:cfvo type="num">
                <xm:f>0</xm:f>
              </x14:cfvo>
              <x14:cfvo type="num">
                <xm:f>0</xm:f>
              </x14:cfvo>
              <x14:cfIcon iconSet="3TrafficLights1" iconId="0"/>
              <x14:cfIcon iconSet="3TrafficLights1" iconId="0"/>
              <x14:cfIcon iconSet="3Symbols" iconId="2"/>
            </x14:iconSet>
          </x14:cfRule>
          <xm:sqref>L224</xm:sqref>
        </x14:conditionalFormatting>
        <x14:conditionalFormatting xmlns:xm="http://schemas.microsoft.com/office/excel/2006/main">
          <x14:cfRule type="iconSet" priority="31" id="{19D8A68E-325D-4FBB-A078-D286407536AD}">
            <x14:iconSet custom="1">
              <x14:cfvo type="percent">
                <xm:f>0</xm:f>
              </x14:cfvo>
              <x14:cfvo type="num">
                <xm:f>0</xm:f>
              </x14:cfvo>
              <x14:cfvo type="num">
                <xm:f>0</xm:f>
              </x14:cfvo>
              <x14:cfIcon iconSet="3TrafficLights1" iconId="0"/>
              <x14:cfIcon iconSet="3TrafficLights1" iconId="0"/>
              <x14:cfIcon iconSet="3Symbols" iconId="2"/>
            </x14:iconSet>
          </x14:cfRule>
          <xm:sqref>Q224</xm:sqref>
        </x14:conditionalFormatting>
        <x14:conditionalFormatting xmlns:xm="http://schemas.microsoft.com/office/excel/2006/main">
          <x14:cfRule type="iconSet" priority="30" id="{D3F51898-D3B3-4917-99E6-2FEC4946D32F}">
            <x14:iconSet custom="1">
              <x14:cfvo type="percent">
                <xm:f>0</xm:f>
              </x14:cfvo>
              <x14:cfvo type="num">
                <xm:f>0</xm:f>
              </x14:cfvo>
              <x14:cfvo type="num">
                <xm:f>0</xm:f>
              </x14:cfvo>
              <x14:cfIcon iconSet="3TrafficLights1" iconId="0"/>
              <x14:cfIcon iconSet="3TrafficLights1" iconId="0"/>
              <x14:cfIcon iconSet="3Symbols" iconId="2"/>
            </x14:iconSet>
          </x14:cfRule>
          <xm:sqref>L223</xm:sqref>
        </x14:conditionalFormatting>
        <x14:conditionalFormatting xmlns:xm="http://schemas.microsoft.com/office/excel/2006/main">
          <x14:cfRule type="iconSet" priority="29" id="{5D9C0196-B887-4988-9837-5E77DF96795E}">
            <x14:iconSet custom="1">
              <x14:cfvo type="percent">
                <xm:f>0</xm:f>
              </x14:cfvo>
              <x14:cfvo type="num">
                <xm:f>0</xm:f>
              </x14:cfvo>
              <x14:cfvo type="num">
                <xm:f>0</xm:f>
              </x14:cfvo>
              <x14:cfIcon iconSet="3TrafficLights1" iconId="0"/>
              <x14:cfIcon iconSet="3TrafficLights1" iconId="0"/>
              <x14:cfIcon iconSet="3Symbols" iconId="2"/>
            </x14:iconSet>
          </x14:cfRule>
          <xm:sqref>Q223</xm:sqref>
        </x14:conditionalFormatting>
        <x14:conditionalFormatting xmlns:xm="http://schemas.microsoft.com/office/excel/2006/main">
          <x14:cfRule type="iconSet" priority="28" id="{3D5CDA59-5AD2-4F8B-9964-36AC67DAD2B6}">
            <x14:iconSet custom="1">
              <x14:cfvo type="percent">
                <xm:f>0</xm:f>
              </x14:cfvo>
              <x14:cfvo type="num">
                <xm:f>0</xm:f>
              </x14:cfvo>
              <x14:cfvo type="num">
                <xm:f>0</xm:f>
              </x14:cfvo>
              <x14:cfIcon iconSet="3TrafficLights1" iconId="0"/>
              <x14:cfIcon iconSet="3TrafficLights1" iconId="0"/>
              <x14:cfIcon iconSet="3Symbols" iconId="2"/>
            </x14:iconSet>
          </x14:cfRule>
          <xm:sqref>L225:L226</xm:sqref>
        </x14:conditionalFormatting>
        <x14:conditionalFormatting xmlns:xm="http://schemas.microsoft.com/office/excel/2006/main">
          <x14:cfRule type="iconSet" priority="27" id="{26CBD01B-5F15-43CA-8C74-5CAAF5EFC979}">
            <x14:iconSet custom="1">
              <x14:cfvo type="percent">
                <xm:f>0</xm:f>
              </x14:cfvo>
              <x14:cfvo type="num">
                <xm:f>0</xm:f>
              </x14:cfvo>
              <x14:cfvo type="num">
                <xm:f>0</xm:f>
              </x14:cfvo>
              <x14:cfIcon iconSet="3TrafficLights1" iconId="0"/>
              <x14:cfIcon iconSet="3TrafficLights1" iconId="0"/>
              <x14:cfIcon iconSet="3Symbols" iconId="2"/>
            </x14:iconSet>
          </x14:cfRule>
          <xm:sqref>Q225:Q226</xm:sqref>
        </x14:conditionalFormatting>
        <x14:conditionalFormatting xmlns:xm="http://schemas.microsoft.com/office/excel/2006/main">
          <x14:cfRule type="iconSet" priority="26" id="{74D65250-AF01-4AC5-B431-AA3D80817B85}">
            <x14:iconSet custom="1">
              <x14:cfvo type="percent">
                <xm:f>0</xm:f>
              </x14:cfvo>
              <x14:cfvo type="num">
                <xm:f>0</xm:f>
              </x14:cfvo>
              <x14:cfvo type="num">
                <xm:f>0</xm:f>
              </x14:cfvo>
              <x14:cfIcon iconSet="3TrafficLights1" iconId="0"/>
              <x14:cfIcon iconSet="3TrafficLights1" iconId="0"/>
              <x14:cfIcon iconSet="3Symbols" iconId="2"/>
            </x14:iconSet>
          </x14:cfRule>
          <xm:sqref>G289:G291</xm:sqref>
        </x14:conditionalFormatting>
        <x14:conditionalFormatting xmlns:xm="http://schemas.microsoft.com/office/excel/2006/main">
          <x14:cfRule type="iconSet" priority="25" id="{2BA0C180-BDCF-4F62-B76C-67776F06708C}">
            <x14:iconSet custom="1">
              <x14:cfvo type="percent">
                <xm:f>0</xm:f>
              </x14:cfvo>
              <x14:cfvo type="num">
                <xm:f>0</xm:f>
              </x14:cfvo>
              <x14:cfvo type="num">
                <xm:f>0</xm:f>
              </x14:cfvo>
              <x14:cfIcon iconSet="3TrafficLights1" iconId="0"/>
              <x14:cfIcon iconSet="3TrafficLights1" iconId="0"/>
              <x14:cfIcon iconSet="3Symbols" iconId="2"/>
            </x14:iconSet>
          </x14:cfRule>
          <xm:sqref>L290</xm:sqref>
        </x14:conditionalFormatting>
        <x14:conditionalFormatting xmlns:xm="http://schemas.microsoft.com/office/excel/2006/main">
          <x14:cfRule type="iconSet" priority="24" id="{40FDEFC6-EC82-4508-8BD5-6A59DE1F3AE5}">
            <x14:iconSet custom="1">
              <x14:cfvo type="percent">
                <xm:f>0</xm:f>
              </x14:cfvo>
              <x14:cfvo type="num">
                <xm:f>0</xm:f>
              </x14:cfvo>
              <x14:cfvo type="num">
                <xm:f>0</xm:f>
              </x14:cfvo>
              <x14:cfIcon iconSet="3TrafficLights1" iconId="0"/>
              <x14:cfIcon iconSet="3TrafficLights1" iconId="0"/>
              <x14:cfIcon iconSet="3Symbols" iconId="2"/>
            </x14:iconSet>
          </x14:cfRule>
          <xm:sqref>Q290</xm:sqref>
        </x14:conditionalFormatting>
        <x14:conditionalFormatting xmlns:xm="http://schemas.microsoft.com/office/excel/2006/main">
          <x14:cfRule type="iconSet" priority="23" id="{8A44D893-AD02-4618-BFDE-A786A0661953}">
            <x14:iconSet custom="1">
              <x14:cfvo type="percent">
                <xm:f>0</xm:f>
              </x14:cfvo>
              <x14:cfvo type="num">
                <xm:f>0</xm:f>
              </x14:cfvo>
              <x14:cfvo type="num">
                <xm:f>0</xm:f>
              </x14:cfvo>
              <x14:cfIcon iconSet="3TrafficLights1" iconId="0"/>
              <x14:cfIcon iconSet="3TrafficLights1" iconId="0"/>
              <x14:cfIcon iconSet="3Symbols" iconId="2"/>
            </x14:iconSet>
          </x14:cfRule>
          <xm:sqref>L289</xm:sqref>
        </x14:conditionalFormatting>
        <x14:conditionalFormatting xmlns:xm="http://schemas.microsoft.com/office/excel/2006/main">
          <x14:cfRule type="iconSet" priority="22" id="{C721D255-7AAD-4B72-ADE8-683F6423E157}">
            <x14:iconSet custom="1">
              <x14:cfvo type="percent">
                <xm:f>0</xm:f>
              </x14:cfvo>
              <x14:cfvo type="num">
                <xm:f>0</xm:f>
              </x14:cfvo>
              <x14:cfvo type="num">
                <xm:f>0</xm:f>
              </x14:cfvo>
              <x14:cfIcon iconSet="3TrafficLights1" iconId="0"/>
              <x14:cfIcon iconSet="3TrafficLights1" iconId="0"/>
              <x14:cfIcon iconSet="3Symbols" iconId="2"/>
            </x14:iconSet>
          </x14:cfRule>
          <xm:sqref>Q289</xm:sqref>
        </x14:conditionalFormatting>
        <x14:conditionalFormatting xmlns:xm="http://schemas.microsoft.com/office/excel/2006/main">
          <x14:cfRule type="iconSet" priority="21" id="{192D7954-576C-4D7F-942C-D2A5C3D61B82}">
            <x14:iconSet custom="1">
              <x14:cfvo type="percent">
                <xm:f>0</xm:f>
              </x14:cfvo>
              <x14:cfvo type="num">
                <xm:f>0</xm:f>
              </x14:cfvo>
              <x14:cfvo type="num">
                <xm:f>0</xm:f>
              </x14:cfvo>
              <x14:cfIcon iconSet="3TrafficLights1" iconId="0"/>
              <x14:cfIcon iconSet="3TrafficLights1" iconId="0"/>
              <x14:cfIcon iconSet="3Symbols" iconId="2"/>
            </x14:iconSet>
          </x14:cfRule>
          <xm:sqref>L291</xm:sqref>
        </x14:conditionalFormatting>
        <x14:conditionalFormatting xmlns:xm="http://schemas.microsoft.com/office/excel/2006/main">
          <x14:cfRule type="iconSet" priority="20" id="{488A5783-2C19-446C-A313-8B20BB969852}">
            <x14:iconSet custom="1">
              <x14:cfvo type="percent">
                <xm:f>0</xm:f>
              </x14:cfvo>
              <x14:cfvo type="num">
                <xm:f>0</xm:f>
              </x14:cfvo>
              <x14:cfvo type="num">
                <xm:f>0</xm:f>
              </x14:cfvo>
              <x14:cfIcon iconSet="3TrafficLights1" iconId="0"/>
              <x14:cfIcon iconSet="3TrafficLights1" iconId="0"/>
              <x14:cfIcon iconSet="3Symbols" iconId="2"/>
            </x14:iconSet>
          </x14:cfRule>
          <xm:sqref>Q291</xm:sqref>
        </x14:conditionalFormatting>
        <x14:conditionalFormatting xmlns:xm="http://schemas.microsoft.com/office/excel/2006/main">
          <x14:cfRule type="iconSet" priority="19" id="{AA290451-1D20-462B-A46D-4B6493912A29}">
            <x14:iconSet custom="1">
              <x14:cfvo type="percent">
                <xm:f>0</xm:f>
              </x14:cfvo>
              <x14:cfvo type="num">
                <xm:f>0</xm:f>
              </x14:cfvo>
              <x14:cfvo type="num">
                <xm:f>0</xm:f>
              </x14:cfvo>
              <x14:cfIcon iconSet="3TrafficLights1" iconId="0"/>
              <x14:cfIcon iconSet="3TrafficLights1" iconId="0"/>
              <x14:cfIcon iconSet="3Symbols" iconId="2"/>
            </x14:iconSet>
          </x14:cfRule>
          <xm:sqref>G354:G356</xm:sqref>
        </x14:conditionalFormatting>
        <x14:conditionalFormatting xmlns:xm="http://schemas.microsoft.com/office/excel/2006/main">
          <x14:cfRule type="iconSet" priority="18" id="{8DDCAA2A-9926-4388-BD7A-9B64886C09D2}">
            <x14:iconSet custom="1">
              <x14:cfvo type="percent">
                <xm:f>0</xm:f>
              </x14:cfvo>
              <x14:cfvo type="num">
                <xm:f>0</xm:f>
              </x14:cfvo>
              <x14:cfvo type="num">
                <xm:f>0</xm:f>
              </x14:cfvo>
              <x14:cfIcon iconSet="3TrafficLights1" iconId="0"/>
              <x14:cfIcon iconSet="3TrafficLights1" iconId="0"/>
              <x14:cfIcon iconSet="3Symbols" iconId="2"/>
            </x14:iconSet>
          </x14:cfRule>
          <xm:sqref>L355</xm:sqref>
        </x14:conditionalFormatting>
        <x14:conditionalFormatting xmlns:xm="http://schemas.microsoft.com/office/excel/2006/main">
          <x14:cfRule type="iconSet" priority="17" id="{06598045-6D8E-40DE-B585-5AE9DE795FBC}">
            <x14:iconSet custom="1">
              <x14:cfvo type="percent">
                <xm:f>0</xm:f>
              </x14:cfvo>
              <x14:cfvo type="num">
                <xm:f>0</xm:f>
              </x14:cfvo>
              <x14:cfvo type="num">
                <xm:f>0</xm:f>
              </x14:cfvo>
              <x14:cfIcon iconSet="3TrafficLights1" iconId="0"/>
              <x14:cfIcon iconSet="3TrafficLights1" iconId="0"/>
              <x14:cfIcon iconSet="3Symbols" iconId="2"/>
            </x14:iconSet>
          </x14:cfRule>
          <xm:sqref>Q355</xm:sqref>
        </x14:conditionalFormatting>
        <x14:conditionalFormatting xmlns:xm="http://schemas.microsoft.com/office/excel/2006/main">
          <x14:cfRule type="iconSet" priority="16" id="{2E1E5C42-0FDF-4C11-A441-BF32A2100FA9}">
            <x14:iconSet custom="1">
              <x14:cfvo type="percent">
                <xm:f>0</xm:f>
              </x14:cfvo>
              <x14:cfvo type="num">
                <xm:f>0</xm:f>
              </x14:cfvo>
              <x14:cfvo type="num">
                <xm:f>0</xm:f>
              </x14:cfvo>
              <x14:cfIcon iconSet="3TrafficLights1" iconId="0"/>
              <x14:cfIcon iconSet="3TrafficLights1" iconId="0"/>
              <x14:cfIcon iconSet="3Symbols" iconId="2"/>
            </x14:iconSet>
          </x14:cfRule>
          <xm:sqref>L354</xm:sqref>
        </x14:conditionalFormatting>
        <x14:conditionalFormatting xmlns:xm="http://schemas.microsoft.com/office/excel/2006/main">
          <x14:cfRule type="iconSet" priority="15" id="{4416BFB7-F2D8-48CD-B314-708751D0F852}">
            <x14:iconSet custom="1">
              <x14:cfvo type="percent">
                <xm:f>0</xm:f>
              </x14:cfvo>
              <x14:cfvo type="num">
                <xm:f>0</xm:f>
              </x14:cfvo>
              <x14:cfvo type="num">
                <xm:f>0</xm:f>
              </x14:cfvo>
              <x14:cfIcon iconSet="3TrafficLights1" iconId="0"/>
              <x14:cfIcon iconSet="3TrafficLights1" iconId="0"/>
              <x14:cfIcon iconSet="3Symbols" iconId="2"/>
            </x14:iconSet>
          </x14:cfRule>
          <xm:sqref>Q354</xm:sqref>
        </x14:conditionalFormatting>
        <x14:conditionalFormatting xmlns:xm="http://schemas.microsoft.com/office/excel/2006/main">
          <x14:cfRule type="iconSet" priority="14" id="{7FA3674A-0588-4653-94B8-A638D43946D6}">
            <x14:iconSet custom="1">
              <x14:cfvo type="percent">
                <xm:f>0</xm:f>
              </x14:cfvo>
              <x14:cfvo type="num">
                <xm:f>0</xm:f>
              </x14:cfvo>
              <x14:cfvo type="num">
                <xm:f>0</xm:f>
              </x14:cfvo>
              <x14:cfIcon iconSet="3TrafficLights1" iconId="0"/>
              <x14:cfIcon iconSet="3TrafficLights1" iconId="0"/>
              <x14:cfIcon iconSet="3Symbols" iconId="2"/>
            </x14:iconSet>
          </x14:cfRule>
          <xm:sqref>L356</xm:sqref>
        </x14:conditionalFormatting>
        <x14:conditionalFormatting xmlns:xm="http://schemas.microsoft.com/office/excel/2006/main">
          <x14:cfRule type="iconSet" priority="13" id="{E5376400-D7A9-47B9-B312-CE395716C8D0}">
            <x14:iconSet custom="1">
              <x14:cfvo type="percent">
                <xm:f>0</xm:f>
              </x14:cfvo>
              <x14:cfvo type="num">
                <xm:f>0</xm:f>
              </x14:cfvo>
              <x14:cfvo type="num">
                <xm:f>0</xm:f>
              </x14:cfvo>
              <x14:cfIcon iconSet="3TrafficLights1" iconId="0"/>
              <x14:cfIcon iconSet="3TrafficLights1" iconId="0"/>
              <x14:cfIcon iconSet="3Symbols" iconId="2"/>
            </x14:iconSet>
          </x14:cfRule>
          <xm:sqref>Q356</xm:sqref>
        </x14:conditionalFormatting>
        <x14:conditionalFormatting xmlns:xm="http://schemas.microsoft.com/office/excel/2006/main">
          <x14:cfRule type="iconSet" priority="12" id="{EF64F775-27CA-456C-ABC9-1BAB850010C7}">
            <x14:iconSet custom="1">
              <x14:cfvo type="percent">
                <xm:f>0</xm:f>
              </x14:cfvo>
              <x14:cfvo type="num">
                <xm:f>0</xm:f>
              </x14:cfvo>
              <x14:cfvo type="num">
                <xm:f>0</xm:f>
              </x14:cfvo>
              <x14:cfIcon iconSet="3TrafficLights1" iconId="0"/>
              <x14:cfIcon iconSet="3TrafficLights1" iconId="0"/>
              <x14:cfIcon iconSet="3Symbols" iconId="2"/>
            </x14:iconSet>
          </x14:cfRule>
          <xm:sqref>G130</xm:sqref>
        </x14:conditionalFormatting>
        <x14:conditionalFormatting xmlns:xm="http://schemas.microsoft.com/office/excel/2006/main">
          <x14:cfRule type="iconSet" priority="11" id="{6FC5AE76-44B9-442C-9288-0BA6FEB22E68}">
            <x14:iconSet custom="1">
              <x14:cfvo type="percent">
                <xm:f>0</xm:f>
              </x14:cfvo>
              <x14:cfvo type="num">
                <xm:f>0</xm:f>
              </x14:cfvo>
              <x14:cfvo type="num">
                <xm:f>0</xm:f>
              </x14:cfvo>
              <x14:cfIcon iconSet="3TrafficLights1" iconId="0"/>
              <x14:cfIcon iconSet="3TrafficLights1" iconId="0"/>
              <x14:cfIcon iconSet="3Symbols" iconId="2"/>
            </x14:iconSet>
          </x14:cfRule>
          <xm:sqref>L130</xm:sqref>
        </x14:conditionalFormatting>
        <x14:conditionalFormatting xmlns:xm="http://schemas.microsoft.com/office/excel/2006/main">
          <x14:cfRule type="iconSet" priority="10" id="{F8AB0E69-66BE-434D-AEDE-20B08B96CC12}">
            <x14:iconSet custom="1">
              <x14:cfvo type="percent">
                <xm:f>0</xm:f>
              </x14:cfvo>
              <x14:cfvo type="num">
                <xm:f>0</xm:f>
              </x14:cfvo>
              <x14:cfvo type="num">
                <xm:f>0</xm:f>
              </x14:cfvo>
              <x14:cfIcon iconSet="3TrafficLights1" iconId="0"/>
              <x14:cfIcon iconSet="3TrafficLights1" iconId="0"/>
              <x14:cfIcon iconSet="3Symbols" iconId="2"/>
            </x14:iconSet>
          </x14:cfRule>
          <xm:sqref>Q130</xm:sqref>
        </x14:conditionalFormatting>
        <x14:conditionalFormatting xmlns:xm="http://schemas.microsoft.com/office/excel/2006/main">
          <x14:cfRule type="iconSet" priority="9" id="{308BA659-2EAD-45F2-A626-59D5B7C62FFC}">
            <x14:iconSet custom="1">
              <x14:cfvo type="percent">
                <xm:f>0</xm:f>
              </x14:cfvo>
              <x14:cfvo type="num">
                <xm:f>0</xm:f>
              </x14:cfvo>
              <x14:cfvo type="num">
                <xm:f>0</xm:f>
              </x14:cfvo>
              <x14:cfIcon iconSet="3TrafficLights1" iconId="0"/>
              <x14:cfIcon iconSet="3TrafficLights1" iconId="0"/>
              <x14:cfIcon iconSet="3Symbols" iconId="2"/>
            </x14:iconSet>
          </x14:cfRule>
          <xm:sqref>G228 G293</xm:sqref>
        </x14:conditionalFormatting>
        <x14:conditionalFormatting xmlns:xm="http://schemas.microsoft.com/office/excel/2006/main">
          <x14:cfRule type="iconSet" priority="8" id="{1E5B7782-F637-4186-A2CA-56AC5FF2FFAC}">
            <x14:iconSet custom="1">
              <x14:cfvo type="percent">
                <xm:f>0</xm:f>
              </x14:cfvo>
              <x14:cfvo type="num">
                <xm:f>0</xm:f>
              </x14:cfvo>
              <x14:cfvo type="num">
                <xm:f>0</xm:f>
              </x14:cfvo>
              <x14:cfIcon iconSet="3TrafficLights1" iconId="0"/>
              <x14:cfIcon iconSet="3TrafficLights1" iconId="0"/>
              <x14:cfIcon iconSet="3Symbols" iconId="2"/>
            </x14:iconSet>
          </x14:cfRule>
          <xm:sqref>L228 L293</xm:sqref>
        </x14:conditionalFormatting>
        <x14:conditionalFormatting xmlns:xm="http://schemas.microsoft.com/office/excel/2006/main">
          <x14:cfRule type="iconSet" priority="7" id="{71E5DCFF-87DA-4B4D-97EE-0FC769EEE463}">
            <x14:iconSet custom="1">
              <x14:cfvo type="percent">
                <xm:f>0</xm:f>
              </x14:cfvo>
              <x14:cfvo type="num">
                <xm:f>0</xm:f>
              </x14:cfvo>
              <x14:cfvo type="num">
                <xm:f>0</xm:f>
              </x14:cfvo>
              <x14:cfIcon iconSet="3TrafficLights1" iconId="0"/>
              <x14:cfIcon iconSet="3TrafficLights1" iconId="0"/>
              <x14:cfIcon iconSet="3Symbols" iconId="2"/>
            </x14:iconSet>
          </x14:cfRule>
          <xm:sqref>Q228 Q293</xm:sqref>
        </x14:conditionalFormatting>
        <x14:conditionalFormatting xmlns:xm="http://schemas.microsoft.com/office/excel/2006/main">
          <x14:cfRule type="iconSet" priority="6" id="{D62616F6-2B5C-4108-8148-F08D626ACB36}">
            <x14:iconSet custom="1">
              <x14:cfvo type="percent">
                <xm:f>0</xm:f>
              </x14:cfvo>
              <x14:cfvo type="num">
                <xm:f>0</xm:f>
              </x14:cfvo>
              <x14:cfvo type="num">
                <xm:f>0</xm:f>
              </x14:cfvo>
              <x14:cfIcon iconSet="3TrafficLights1" iconId="0"/>
              <x14:cfIcon iconSet="3TrafficLights1" iconId="0"/>
              <x14:cfIcon iconSet="3Symbols" iconId="2"/>
            </x14:iconSet>
          </x14:cfRule>
          <xm:sqref>G358</xm:sqref>
        </x14:conditionalFormatting>
        <x14:conditionalFormatting xmlns:xm="http://schemas.microsoft.com/office/excel/2006/main">
          <x14:cfRule type="iconSet" priority="5" id="{B88E0CE1-1119-4A22-B981-712A39ED9F65}">
            <x14:iconSet custom="1">
              <x14:cfvo type="percent">
                <xm:f>0</xm:f>
              </x14:cfvo>
              <x14:cfvo type="num">
                <xm:f>0</xm:f>
              </x14:cfvo>
              <x14:cfvo type="num">
                <xm:f>0</xm:f>
              </x14:cfvo>
              <x14:cfIcon iconSet="3TrafficLights1" iconId="0"/>
              <x14:cfIcon iconSet="3TrafficLights1" iconId="0"/>
              <x14:cfIcon iconSet="3Symbols" iconId="2"/>
            </x14:iconSet>
          </x14:cfRule>
          <xm:sqref>L358</xm:sqref>
        </x14:conditionalFormatting>
        <x14:conditionalFormatting xmlns:xm="http://schemas.microsoft.com/office/excel/2006/main">
          <x14:cfRule type="iconSet" priority="4" id="{2E864C5E-7493-487B-BDE4-1259BEDBB8DB}">
            <x14:iconSet custom="1">
              <x14:cfvo type="percent">
                <xm:f>0</xm:f>
              </x14:cfvo>
              <x14:cfvo type="num">
                <xm:f>0</xm:f>
              </x14:cfvo>
              <x14:cfvo type="num">
                <xm:f>0</xm:f>
              </x14:cfvo>
              <x14:cfIcon iconSet="3TrafficLights1" iconId="0"/>
              <x14:cfIcon iconSet="3TrafficLights1" iconId="0"/>
              <x14:cfIcon iconSet="3Symbols" iconId="2"/>
            </x14:iconSet>
          </x14:cfRule>
          <xm:sqref>Q358</xm:sqref>
        </x14:conditionalFormatting>
        <x14:conditionalFormatting xmlns:xm="http://schemas.microsoft.com/office/excel/2006/main">
          <x14:cfRule type="iconSet" priority="3" id="{E78BE1D6-E305-4CE0-AE5B-8D578110EABD}">
            <x14:iconSet custom="1">
              <x14:cfvo type="percent">
                <xm:f>0</xm:f>
              </x14:cfvo>
              <x14:cfvo type="num">
                <xm:f>0</xm:f>
              </x14:cfvo>
              <x14:cfvo type="num">
                <xm:f>0</xm:f>
              </x14:cfvo>
              <x14:cfIcon iconSet="3TrafficLights1" iconId="0"/>
              <x14:cfIcon iconSet="3TrafficLights1" iconId="0"/>
              <x14:cfIcon iconSet="3Symbols" iconId="2"/>
            </x14:iconSet>
          </x14:cfRule>
          <xm:sqref>G128</xm:sqref>
        </x14:conditionalFormatting>
        <x14:conditionalFormatting xmlns:xm="http://schemas.microsoft.com/office/excel/2006/main">
          <x14:cfRule type="iconSet" priority="2" id="{4535963D-8475-482E-A393-101280898ED0}">
            <x14:iconSet custom="1">
              <x14:cfvo type="percent">
                <xm:f>0</xm:f>
              </x14:cfvo>
              <x14:cfvo type="num">
                <xm:f>0</xm:f>
              </x14:cfvo>
              <x14:cfvo type="num">
                <xm:f>0</xm:f>
              </x14:cfvo>
              <x14:cfIcon iconSet="3TrafficLights1" iconId="0"/>
              <x14:cfIcon iconSet="3TrafficLights1" iconId="0"/>
              <x14:cfIcon iconSet="3Symbols" iconId="2"/>
            </x14:iconSet>
          </x14:cfRule>
          <xm:sqref>L128</xm:sqref>
        </x14:conditionalFormatting>
        <x14:conditionalFormatting xmlns:xm="http://schemas.microsoft.com/office/excel/2006/main">
          <x14:cfRule type="iconSet" priority="1" id="{9AF284EE-797E-4910-8F50-6C4B2297FAD3}">
            <x14:iconSet custom="1">
              <x14:cfvo type="percent">
                <xm:f>0</xm:f>
              </x14:cfvo>
              <x14:cfvo type="num">
                <xm:f>0</xm:f>
              </x14:cfvo>
              <x14:cfvo type="num">
                <xm:f>0</xm:f>
              </x14:cfvo>
              <x14:cfIcon iconSet="3TrafficLights1" iconId="0"/>
              <x14:cfIcon iconSet="3TrafficLights1" iconId="0"/>
              <x14:cfIcon iconSet="3Symbols" iconId="2"/>
            </x14:iconSet>
          </x14:cfRule>
          <xm:sqref>Q128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8AB8-699F-4774-9567-B7AA1A1F3CBE}">
  <dimension ref="B2:Q20"/>
  <sheetViews>
    <sheetView workbookViewId="0">
      <selection activeCell="N3" sqref="N3:O19"/>
    </sheetView>
  </sheetViews>
  <sheetFormatPr defaultRowHeight="15"/>
  <cols>
    <col min="2" max="2" width="25.140625" customWidth="1"/>
    <col min="3" max="3" width="1.140625" customWidth="1"/>
    <col min="4" max="4" width="9.42578125" style="217" bestFit="1" customWidth="1"/>
    <col min="5" max="5" width="8.42578125" style="212" bestFit="1" customWidth="1"/>
    <col min="6" max="6" width="16.140625" style="212" bestFit="1" customWidth="1"/>
    <col min="7" max="7" width="12.85546875" style="212" bestFit="1" customWidth="1"/>
    <col min="8" max="8" width="1.140625" style="212" customWidth="1"/>
    <col min="9" max="9" width="9.42578125" style="217" bestFit="1" customWidth="1"/>
    <col min="10" max="10" width="8.42578125" style="217" bestFit="1" customWidth="1"/>
    <col min="11" max="11" width="16.140625" style="217" bestFit="1" customWidth="1"/>
    <col min="12" max="12" width="12.85546875" style="217" bestFit="1" customWidth="1"/>
    <col min="13" max="13" width="1.140625" style="212" customWidth="1"/>
    <col min="14" max="14" width="9.42578125" style="212" bestFit="1" customWidth="1"/>
    <col min="15" max="15" width="8.42578125" style="212" bestFit="1" customWidth="1"/>
    <col min="16" max="16" width="16.140625" style="212" bestFit="1" customWidth="1"/>
    <col min="17" max="17" width="12.85546875" style="212" bestFit="1" customWidth="1"/>
  </cols>
  <sheetData>
    <row r="2" spans="2:17">
      <c r="B2" s="243" t="s">
        <v>369</v>
      </c>
      <c r="D2" s="224" t="s">
        <v>142</v>
      </c>
      <c r="E2" s="224" t="s">
        <v>366</v>
      </c>
      <c r="F2" s="224" t="s">
        <v>367</v>
      </c>
      <c r="G2" s="224" t="s">
        <v>275</v>
      </c>
      <c r="H2" s="231"/>
      <c r="I2" s="224" t="s">
        <v>142</v>
      </c>
      <c r="J2" s="224" t="s">
        <v>366</v>
      </c>
      <c r="K2" s="224" t="s">
        <v>367</v>
      </c>
      <c r="L2" s="224" t="s">
        <v>275</v>
      </c>
      <c r="N2" s="224" t="s">
        <v>142</v>
      </c>
      <c r="O2" s="224" t="s">
        <v>366</v>
      </c>
      <c r="P2" s="224" t="s">
        <v>367</v>
      </c>
      <c r="Q2" s="224" t="s">
        <v>275</v>
      </c>
    </row>
    <row r="3" spans="2:17">
      <c r="B3" s="233" t="s">
        <v>43</v>
      </c>
      <c r="D3" s="218">
        <v>2419</v>
      </c>
      <c r="E3" s="213">
        <v>1</v>
      </c>
      <c r="F3" s="213">
        <v>30</v>
      </c>
      <c r="G3" s="232">
        <f t="shared" ref="G3:G19" si="0">F3*E3*D3</f>
        <v>72570</v>
      </c>
      <c r="I3" s="221">
        <v>2760</v>
      </c>
      <c r="J3" s="216">
        <v>1</v>
      </c>
      <c r="K3" s="216">
        <v>30</v>
      </c>
      <c r="L3" s="227">
        <f>I3*F3*E3</f>
        <v>82800</v>
      </c>
      <c r="N3" s="221">
        <v>2760</v>
      </c>
      <c r="O3" s="216">
        <v>1</v>
      </c>
      <c r="P3" s="216">
        <v>30</v>
      </c>
      <c r="Q3" s="227">
        <f>P3*O3*N3</f>
        <v>82800</v>
      </c>
    </row>
    <row r="4" spans="2:17">
      <c r="B4" s="234" t="s">
        <v>0</v>
      </c>
      <c r="D4" s="219">
        <v>1573</v>
      </c>
      <c r="E4" s="239">
        <v>1</v>
      </c>
      <c r="F4" s="214">
        <v>30</v>
      </c>
      <c r="G4" s="245">
        <f t="shared" si="0"/>
        <v>47190</v>
      </c>
      <c r="I4" s="219">
        <v>1794</v>
      </c>
      <c r="J4" s="239">
        <v>1</v>
      </c>
      <c r="K4" s="214">
        <v>30</v>
      </c>
      <c r="L4" s="245">
        <f t="shared" ref="L4:L19" si="1">I4*F4*E4</f>
        <v>53820</v>
      </c>
      <c r="N4" s="219">
        <v>1794</v>
      </c>
      <c r="O4" s="239">
        <v>2</v>
      </c>
      <c r="P4" s="214">
        <v>30</v>
      </c>
      <c r="Q4" s="246">
        <f t="shared" ref="Q4:Q19" si="2">P4*O4*N4</f>
        <v>107640</v>
      </c>
    </row>
    <row r="5" spans="2:17">
      <c r="B5" s="234" t="s">
        <v>1</v>
      </c>
      <c r="D5" s="219">
        <v>883</v>
      </c>
      <c r="E5" s="214">
        <v>1</v>
      </c>
      <c r="F5" s="214">
        <v>30</v>
      </c>
      <c r="G5" s="228">
        <f t="shared" si="0"/>
        <v>26490</v>
      </c>
      <c r="I5" s="219">
        <v>1008</v>
      </c>
      <c r="J5" s="214">
        <v>1</v>
      </c>
      <c r="K5" s="214">
        <v>30</v>
      </c>
      <c r="L5" s="228">
        <f t="shared" si="1"/>
        <v>30240</v>
      </c>
      <c r="N5" s="219">
        <v>1008</v>
      </c>
      <c r="O5" s="214">
        <v>2</v>
      </c>
      <c r="P5" s="214">
        <v>30</v>
      </c>
      <c r="Q5" s="228">
        <f t="shared" si="2"/>
        <v>60480</v>
      </c>
    </row>
    <row r="6" spans="2:17">
      <c r="B6" s="234" t="s">
        <v>2</v>
      </c>
      <c r="D6" s="219">
        <v>883</v>
      </c>
      <c r="E6" s="214">
        <v>1</v>
      </c>
      <c r="F6" s="214">
        <v>30</v>
      </c>
      <c r="G6" s="228">
        <f t="shared" si="0"/>
        <v>26490</v>
      </c>
      <c r="I6" s="219">
        <v>1008</v>
      </c>
      <c r="J6" s="214">
        <v>1</v>
      </c>
      <c r="K6" s="214">
        <v>30</v>
      </c>
      <c r="L6" s="228">
        <f t="shared" si="1"/>
        <v>30240</v>
      </c>
      <c r="N6" s="219">
        <v>1008</v>
      </c>
      <c r="O6" s="214">
        <v>2</v>
      </c>
      <c r="P6" s="214">
        <v>30</v>
      </c>
      <c r="Q6" s="228">
        <f t="shared" si="2"/>
        <v>60480</v>
      </c>
    </row>
    <row r="7" spans="2:17">
      <c r="B7" s="234" t="s">
        <v>3</v>
      </c>
      <c r="D7" s="219">
        <v>883</v>
      </c>
      <c r="E7" s="214">
        <v>1</v>
      </c>
      <c r="F7" s="214">
        <v>30</v>
      </c>
      <c r="G7" s="228">
        <f t="shared" si="0"/>
        <v>26490</v>
      </c>
      <c r="I7" s="219">
        <v>1008</v>
      </c>
      <c r="J7" s="214">
        <v>1</v>
      </c>
      <c r="K7" s="214">
        <v>30</v>
      </c>
      <c r="L7" s="228">
        <f t="shared" si="1"/>
        <v>30240</v>
      </c>
      <c r="N7" s="219">
        <v>1008</v>
      </c>
      <c r="O7" s="214">
        <v>1</v>
      </c>
      <c r="P7" s="214">
        <v>30</v>
      </c>
      <c r="Q7" s="228">
        <f t="shared" si="2"/>
        <v>30240</v>
      </c>
    </row>
    <row r="8" spans="2:17">
      <c r="B8" s="234" t="s">
        <v>4</v>
      </c>
      <c r="D8" s="219">
        <v>500</v>
      </c>
      <c r="E8" s="214">
        <v>3</v>
      </c>
      <c r="F8" s="214">
        <v>30</v>
      </c>
      <c r="G8" s="228">
        <f t="shared" si="0"/>
        <v>45000</v>
      </c>
      <c r="I8" s="219">
        <v>577</v>
      </c>
      <c r="J8" s="214">
        <v>3</v>
      </c>
      <c r="K8" s="214">
        <v>30</v>
      </c>
      <c r="L8" s="228">
        <f t="shared" si="1"/>
        <v>51930</v>
      </c>
      <c r="N8" s="219">
        <v>577</v>
      </c>
      <c r="O8" s="214">
        <v>5</v>
      </c>
      <c r="P8" s="214">
        <v>30</v>
      </c>
      <c r="Q8" s="228">
        <f t="shared" si="2"/>
        <v>86550</v>
      </c>
    </row>
    <row r="9" spans="2:17">
      <c r="B9" s="234" t="s">
        <v>5</v>
      </c>
      <c r="D9" s="219">
        <v>530</v>
      </c>
      <c r="E9" s="214">
        <v>1</v>
      </c>
      <c r="F9" s="214">
        <v>30</v>
      </c>
      <c r="G9" s="228">
        <f t="shared" si="0"/>
        <v>15900</v>
      </c>
      <c r="I9" s="219">
        <v>604</v>
      </c>
      <c r="J9" s="214">
        <v>1</v>
      </c>
      <c r="K9" s="214">
        <v>30</v>
      </c>
      <c r="L9" s="228">
        <f t="shared" si="1"/>
        <v>18120</v>
      </c>
      <c r="N9" s="219">
        <v>604</v>
      </c>
      <c r="O9" s="214">
        <v>2</v>
      </c>
      <c r="P9" s="214">
        <v>30</v>
      </c>
      <c r="Q9" s="228">
        <f t="shared" si="2"/>
        <v>36240</v>
      </c>
    </row>
    <row r="10" spans="2:17">
      <c r="B10" s="234" t="s">
        <v>6</v>
      </c>
      <c r="D10" s="219">
        <v>491</v>
      </c>
      <c r="E10" s="214">
        <v>3</v>
      </c>
      <c r="F10" s="214">
        <v>30</v>
      </c>
      <c r="G10" s="228">
        <f t="shared" si="0"/>
        <v>44190</v>
      </c>
      <c r="I10" s="219">
        <v>567</v>
      </c>
      <c r="J10" s="214">
        <v>3</v>
      </c>
      <c r="K10" s="214">
        <v>30</v>
      </c>
      <c r="L10" s="228">
        <f t="shared" si="1"/>
        <v>51030</v>
      </c>
      <c r="N10" s="219">
        <v>567</v>
      </c>
      <c r="O10" s="214">
        <v>5</v>
      </c>
      <c r="P10" s="214">
        <v>30</v>
      </c>
      <c r="Q10" s="228">
        <f t="shared" si="2"/>
        <v>85050</v>
      </c>
    </row>
    <row r="11" spans="2:17">
      <c r="B11" s="234" t="s">
        <v>7</v>
      </c>
      <c r="D11" s="219">
        <v>545</v>
      </c>
      <c r="E11" s="214">
        <v>1</v>
      </c>
      <c r="F11" s="214">
        <v>30</v>
      </c>
      <c r="G11" s="228">
        <f t="shared" si="0"/>
        <v>16350</v>
      </c>
      <c r="I11" s="219">
        <v>621</v>
      </c>
      <c r="J11" s="214">
        <v>1</v>
      </c>
      <c r="K11" s="214">
        <v>30</v>
      </c>
      <c r="L11" s="228">
        <f t="shared" si="1"/>
        <v>18630</v>
      </c>
      <c r="N11" s="219">
        <v>621</v>
      </c>
      <c r="O11" s="214">
        <v>1</v>
      </c>
      <c r="P11" s="214">
        <v>30</v>
      </c>
      <c r="Q11" s="228">
        <f t="shared" si="2"/>
        <v>18630</v>
      </c>
    </row>
    <row r="12" spans="2:17">
      <c r="B12" s="234" t="s">
        <v>8</v>
      </c>
      <c r="D12" s="219">
        <v>744</v>
      </c>
      <c r="E12" s="239">
        <v>1</v>
      </c>
      <c r="F12" s="214">
        <v>30</v>
      </c>
      <c r="G12" s="245">
        <f t="shared" si="0"/>
        <v>22320</v>
      </c>
      <c r="I12" s="219">
        <v>849</v>
      </c>
      <c r="J12" s="239">
        <v>1</v>
      </c>
      <c r="K12" s="214">
        <v>30</v>
      </c>
      <c r="L12" s="245">
        <f t="shared" si="1"/>
        <v>25470</v>
      </c>
      <c r="N12" s="219">
        <v>849</v>
      </c>
      <c r="O12" s="239">
        <v>1</v>
      </c>
      <c r="P12" s="214">
        <v>30</v>
      </c>
      <c r="Q12" s="228">
        <f t="shared" si="2"/>
        <v>25470</v>
      </c>
    </row>
    <row r="13" spans="2:17">
      <c r="B13" s="234" t="s">
        <v>9</v>
      </c>
      <c r="D13" s="219">
        <v>514</v>
      </c>
      <c r="E13" s="214">
        <v>1</v>
      </c>
      <c r="F13" s="214">
        <v>30</v>
      </c>
      <c r="G13" s="228">
        <f t="shared" si="0"/>
        <v>15420</v>
      </c>
      <c r="I13" s="219">
        <v>587</v>
      </c>
      <c r="J13" s="214">
        <v>1</v>
      </c>
      <c r="K13" s="214">
        <v>30</v>
      </c>
      <c r="L13" s="228">
        <f t="shared" si="1"/>
        <v>17610</v>
      </c>
      <c r="N13" s="219">
        <v>587</v>
      </c>
      <c r="O13" s="214">
        <v>2</v>
      </c>
      <c r="P13" s="214">
        <v>30</v>
      </c>
      <c r="Q13" s="228">
        <f t="shared" si="2"/>
        <v>35220</v>
      </c>
    </row>
    <row r="14" spans="2:17">
      <c r="B14" s="234" t="s">
        <v>10</v>
      </c>
      <c r="D14" s="219">
        <v>514</v>
      </c>
      <c r="E14" s="214">
        <v>1</v>
      </c>
      <c r="F14" s="214">
        <v>30</v>
      </c>
      <c r="G14" s="228">
        <f t="shared" si="0"/>
        <v>15420</v>
      </c>
      <c r="I14" s="219">
        <v>587</v>
      </c>
      <c r="J14" s="214">
        <v>1</v>
      </c>
      <c r="K14" s="214">
        <v>30</v>
      </c>
      <c r="L14" s="228">
        <f t="shared" si="1"/>
        <v>17610</v>
      </c>
      <c r="N14" s="219">
        <v>587</v>
      </c>
      <c r="O14" s="214">
        <v>2</v>
      </c>
      <c r="P14" s="214">
        <v>30</v>
      </c>
      <c r="Q14" s="228">
        <f t="shared" si="2"/>
        <v>35220</v>
      </c>
    </row>
    <row r="15" spans="2:17">
      <c r="B15" s="234" t="s">
        <v>11</v>
      </c>
      <c r="D15" s="219">
        <v>450</v>
      </c>
      <c r="E15" s="214">
        <v>4</v>
      </c>
      <c r="F15" s="214">
        <v>30</v>
      </c>
      <c r="G15" s="228">
        <f t="shared" si="0"/>
        <v>54000</v>
      </c>
      <c r="I15" s="219">
        <v>510</v>
      </c>
      <c r="J15" s="214">
        <v>4</v>
      </c>
      <c r="K15" s="214">
        <v>30</v>
      </c>
      <c r="L15" s="228">
        <f t="shared" si="1"/>
        <v>61200</v>
      </c>
      <c r="N15" s="219">
        <v>510</v>
      </c>
      <c r="O15" s="214">
        <v>6</v>
      </c>
      <c r="P15" s="214">
        <v>30</v>
      </c>
      <c r="Q15" s="228">
        <f t="shared" si="2"/>
        <v>91800</v>
      </c>
    </row>
    <row r="16" spans="2:17">
      <c r="B16" s="234" t="s">
        <v>45</v>
      </c>
      <c r="D16" s="219">
        <v>998</v>
      </c>
      <c r="E16" s="214">
        <v>1</v>
      </c>
      <c r="F16" s="214">
        <v>30</v>
      </c>
      <c r="G16" s="228">
        <f t="shared" si="0"/>
        <v>29940</v>
      </c>
      <c r="I16" s="219">
        <v>1139</v>
      </c>
      <c r="J16" s="214">
        <v>1</v>
      </c>
      <c r="K16" s="214">
        <v>30</v>
      </c>
      <c r="L16" s="228">
        <f t="shared" si="1"/>
        <v>34170</v>
      </c>
      <c r="N16" s="219">
        <v>1139</v>
      </c>
      <c r="O16" s="214">
        <v>1</v>
      </c>
      <c r="P16" s="214">
        <v>30</v>
      </c>
      <c r="Q16" s="228">
        <f t="shared" si="2"/>
        <v>34170</v>
      </c>
    </row>
    <row r="17" spans="2:17">
      <c r="B17" s="234" t="s">
        <v>42</v>
      </c>
      <c r="D17" s="219">
        <v>726</v>
      </c>
      <c r="E17" s="214">
        <v>1</v>
      </c>
      <c r="F17" s="214">
        <v>30</v>
      </c>
      <c r="G17" s="228">
        <f t="shared" si="0"/>
        <v>21780</v>
      </c>
      <c r="I17" s="219">
        <v>828</v>
      </c>
      <c r="J17" s="214">
        <v>1</v>
      </c>
      <c r="K17" s="214">
        <v>30</v>
      </c>
      <c r="L17" s="228">
        <f t="shared" si="1"/>
        <v>24840</v>
      </c>
      <c r="N17" s="219">
        <v>828</v>
      </c>
      <c r="O17" s="214">
        <v>1</v>
      </c>
      <c r="P17" s="214">
        <v>30</v>
      </c>
      <c r="Q17" s="228">
        <f t="shared" si="2"/>
        <v>24840</v>
      </c>
    </row>
    <row r="18" spans="2:17">
      <c r="B18" s="234" t="s">
        <v>46</v>
      </c>
      <c r="D18" s="219">
        <v>726</v>
      </c>
      <c r="E18" s="214">
        <v>1</v>
      </c>
      <c r="F18" s="214">
        <v>30</v>
      </c>
      <c r="G18" s="228">
        <f t="shared" si="0"/>
        <v>21780</v>
      </c>
      <c r="I18" s="219">
        <v>828</v>
      </c>
      <c r="J18" s="214">
        <v>1</v>
      </c>
      <c r="K18" s="214">
        <v>30</v>
      </c>
      <c r="L18" s="228">
        <f t="shared" si="1"/>
        <v>24840</v>
      </c>
      <c r="N18" s="219">
        <v>828</v>
      </c>
      <c r="O18" s="214">
        <v>1</v>
      </c>
      <c r="P18" s="214">
        <v>30</v>
      </c>
      <c r="Q18" s="228">
        <f t="shared" si="2"/>
        <v>24840</v>
      </c>
    </row>
    <row r="19" spans="2:17">
      <c r="B19" s="235" t="s">
        <v>154</v>
      </c>
      <c r="D19" s="220">
        <v>3628</v>
      </c>
      <c r="E19" s="215">
        <v>0</v>
      </c>
      <c r="F19" s="215">
        <v>30</v>
      </c>
      <c r="G19" s="229">
        <f t="shared" si="0"/>
        <v>0</v>
      </c>
      <c r="I19" s="220">
        <v>4140</v>
      </c>
      <c r="J19" s="215">
        <v>0</v>
      </c>
      <c r="K19" s="215">
        <v>30</v>
      </c>
      <c r="L19" s="229">
        <f t="shared" si="1"/>
        <v>0</v>
      </c>
      <c r="N19" s="220">
        <v>4140</v>
      </c>
      <c r="O19" s="215">
        <v>0</v>
      </c>
      <c r="P19" s="215">
        <v>30</v>
      </c>
      <c r="Q19" s="229">
        <f t="shared" si="2"/>
        <v>0</v>
      </c>
    </row>
    <row r="20" spans="2:17">
      <c r="B20" s="244" t="s">
        <v>263</v>
      </c>
      <c r="D20" s="226"/>
      <c r="E20" s="223">
        <f>SUBTOTAL(109,Table1[Qty])</f>
        <v>23</v>
      </c>
      <c r="F20" s="223"/>
      <c r="G20" s="230">
        <f>SUBTOTAL(109,Table1[Monthly])</f>
        <v>501330</v>
      </c>
      <c r="I20" s="226"/>
      <c r="J20" s="226">
        <f>SUBTOTAL(109,Table2[Qty])</f>
        <v>23</v>
      </c>
      <c r="K20" s="226"/>
      <c r="L20" s="226">
        <f>SUBTOTAL(109,Table2[Monthly])</f>
        <v>572790</v>
      </c>
      <c r="N20" s="226"/>
      <c r="O20" s="223">
        <f>SUBTOTAL(109,Table3[Qty])</f>
        <v>35</v>
      </c>
      <c r="P20" s="223"/>
      <c r="Q20" s="230">
        <f>SUBTOTAL(109,Table3[Monthly])</f>
        <v>839670</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180D-4061-4A44-9C6A-87C607437516}">
  <dimension ref="A2:H114"/>
  <sheetViews>
    <sheetView zoomScaleNormal="100" workbookViewId="0">
      <selection activeCell="E105" sqref="E105"/>
    </sheetView>
  </sheetViews>
  <sheetFormatPr defaultColWidth="8.85546875" defaultRowHeight="15"/>
  <cols>
    <col min="1" max="1" width="6" style="91" customWidth="1"/>
    <col min="2" max="2" width="4.42578125" style="91" customWidth="1"/>
    <col min="3" max="3" width="47.140625" style="91" customWidth="1"/>
    <col min="4" max="4" width="17.42578125" style="91" customWidth="1"/>
    <col min="5" max="5" width="20.85546875" style="91" bestFit="1" customWidth="1"/>
    <col min="6" max="6" width="15.5703125" style="91" customWidth="1"/>
    <col min="7" max="7" width="16.140625" style="91" customWidth="1"/>
    <col min="8" max="8" width="16.42578125" style="91" bestFit="1" customWidth="1"/>
    <col min="9" max="16384" width="8.85546875" style="91"/>
  </cols>
  <sheetData>
    <row r="2" spans="1:7" ht="21">
      <c r="A2" s="519" t="s">
        <v>177</v>
      </c>
      <c r="B2" s="519"/>
      <c r="C2" s="519"/>
      <c r="D2" s="519"/>
      <c r="E2" s="519"/>
      <c r="F2" s="519"/>
      <c r="G2" s="519"/>
    </row>
    <row r="3" spans="1:7" ht="10.35" customHeight="1"/>
    <row r="4" spans="1:7" ht="15.75">
      <c r="A4" s="92">
        <v>1</v>
      </c>
      <c r="B4" s="520" t="s">
        <v>178</v>
      </c>
      <c r="C4" s="520"/>
      <c r="D4" s="520"/>
    </row>
    <row r="5" spans="1:7" ht="4.3499999999999996" customHeight="1"/>
    <row r="6" spans="1:7">
      <c r="B6" s="93" t="s">
        <v>179</v>
      </c>
      <c r="C6" s="94" t="s">
        <v>180</v>
      </c>
    </row>
    <row r="7" spans="1:7" ht="3.6" customHeight="1"/>
    <row r="8" spans="1:7">
      <c r="B8" s="95" t="s">
        <v>181</v>
      </c>
      <c r="C8" s="95" t="s">
        <v>182</v>
      </c>
      <c r="D8" s="95" t="s">
        <v>183</v>
      </c>
      <c r="E8" s="95" t="s">
        <v>184</v>
      </c>
      <c r="F8" s="95" t="s">
        <v>185</v>
      </c>
      <c r="G8" s="95" t="s">
        <v>186</v>
      </c>
    </row>
    <row r="9" spans="1:7">
      <c r="B9" s="96">
        <v>1</v>
      </c>
      <c r="C9" s="97" t="s">
        <v>187</v>
      </c>
      <c r="D9" s="98" t="s">
        <v>188</v>
      </c>
      <c r="E9" s="99">
        <v>50000</v>
      </c>
      <c r="F9" s="98">
        <v>24</v>
      </c>
      <c r="G9" s="100">
        <f>E9/F9</f>
        <v>2083.3333333333335</v>
      </c>
    </row>
    <row r="10" spans="1:7">
      <c r="B10" s="101">
        <v>2</v>
      </c>
      <c r="C10" s="102" t="s">
        <v>189</v>
      </c>
      <c r="D10" s="103" t="s">
        <v>190</v>
      </c>
      <c r="E10" s="104">
        <v>65000</v>
      </c>
      <c r="F10" s="98">
        <v>24</v>
      </c>
      <c r="G10" s="100">
        <f t="shared" ref="G10:G21" si="0">E10/F10</f>
        <v>2708.3333333333335</v>
      </c>
    </row>
    <row r="11" spans="1:7">
      <c r="B11" s="96">
        <v>3</v>
      </c>
      <c r="C11" s="102" t="s">
        <v>191</v>
      </c>
      <c r="D11" s="103" t="s">
        <v>190</v>
      </c>
      <c r="E11" s="104">
        <v>65000</v>
      </c>
      <c r="F11" s="98">
        <v>24</v>
      </c>
      <c r="G11" s="100">
        <f t="shared" si="0"/>
        <v>2708.3333333333335</v>
      </c>
    </row>
    <row r="12" spans="1:7">
      <c r="B12" s="101">
        <v>4</v>
      </c>
      <c r="C12" s="102" t="s">
        <v>192</v>
      </c>
      <c r="D12" s="103" t="s">
        <v>188</v>
      </c>
      <c r="E12" s="99">
        <v>40000</v>
      </c>
      <c r="F12" s="98">
        <v>24</v>
      </c>
      <c r="G12" s="100">
        <f t="shared" si="0"/>
        <v>1666.6666666666667</v>
      </c>
    </row>
    <row r="13" spans="1:7">
      <c r="B13" s="96">
        <v>5</v>
      </c>
      <c r="C13" s="102" t="s">
        <v>193</v>
      </c>
      <c r="D13" s="103" t="s">
        <v>188</v>
      </c>
      <c r="E13" s="99">
        <v>40000</v>
      </c>
      <c r="F13" s="98">
        <v>24</v>
      </c>
      <c r="G13" s="100">
        <f t="shared" si="0"/>
        <v>1666.6666666666667</v>
      </c>
    </row>
    <row r="14" spans="1:7">
      <c r="B14" s="101">
        <v>6</v>
      </c>
      <c r="C14" s="102" t="s">
        <v>194</v>
      </c>
      <c r="D14" s="103" t="s">
        <v>188</v>
      </c>
      <c r="E14" s="99">
        <v>40000</v>
      </c>
      <c r="F14" s="98">
        <v>24</v>
      </c>
      <c r="G14" s="100">
        <f t="shared" si="0"/>
        <v>1666.6666666666667</v>
      </c>
    </row>
    <row r="15" spans="1:7">
      <c r="B15" s="96">
        <v>7</v>
      </c>
      <c r="C15" s="102" t="s">
        <v>195</v>
      </c>
      <c r="D15" s="103" t="s">
        <v>188</v>
      </c>
      <c r="E15" s="99">
        <v>40000</v>
      </c>
      <c r="F15" s="98">
        <v>24</v>
      </c>
      <c r="G15" s="100">
        <f t="shared" si="0"/>
        <v>1666.6666666666667</v>
      </c>
    </row>
    <row r="16" spans="1:7">
      <c r="B16" s="101">
        <v>8</v>
      </c>
      <c r="C16" s="102" t="s">
        <v>196</v>
      </c>
      <c r="D16" s="103" t="s">
        <v>188</v>
      </c>
      <c r="E16" s="99">
        <v>40000</v>
      </c>
      <c r="F16" s="98">
        <v>24</v>
      </c>
      <c r="G16" s="100">
        <f t="shared" si="0"/>
        <v>1666.6666666666667</v>
      </c>
    </row>
    <row r="17" spans="2:7">
      <c r="B17" s="96">
        <v>9</v>
      </c>
      <c r="C17" s="102" t="s">
        <v>197</v>
      </c>
      <c r="D17" s="103" t="s">
        <v>198</v>
      </c>
      <c r="E17" s="104">
        <v>105000</v>
      </c>
      <c r="F17" s="98">
        <v>24</v>
      </c>
      <c r="G17" s="100">
        <f t="shared" si="0"/>
        <v>4375</v>
      </c>
    </row>
    <row r="18" spans="2:7">
      <c r="B18" s="101">
        <v>10</v>
      </c>
      <c r="C18" s="102" t="s">
        <v>199</v>
      </c>
      <c r="D18" s="103" t="s">
        <v>198</v>
      </c>
      <c r="E18" s="104">
        <v>105000</v>
      </c>
      <c r="F18" s="98">
        <v>24</v>
      </c>
      <c r="G18" s="100">
        <f t="shared" si="0"/>
        <v>4375</v>
      </c>
    </row>
    <row r="19" spans="2:7">
      <c r="B19" s="96">
        <v>11</v>
      </c>
      <c r="C19" s="102" t="s">
        <v>200</v>
      </c>
      <c r="D19" s="103" t="s">
        <v>201</v>
      </c>
      <c r="E19" s="104">
        <v>50000</v>
      </c>
      <c r="F19" s="98">
        <v>24</v>
      </c>
      <c r="G19" s="100">
        <f t="shared" si="0"/>
        <v>2083.3333333333335</v>
      </c>
    </row>
    <row r="20" spans="2:7">
      <c r="B20" s="101">
        <v>12</v>
      </c>
      <c r="C20" s="102" t="s">
        <v>202</v>
      </c>
      <c r="D20" s="103" t="s">
        <v>198</v>
      </c>
      <c r="E20" s="104">
        <v>85000</v>
      </c>
      <c r="F20" s="98">
        <v>24</v>
      </c>
      <c r="G20" s="100">
        <f t="shared" si="0"/>
        <v>3541.6666666666665</v>
      </c>
    </row>
    <row r="21" spans="2:7">
      <c r="B21" s="96">
        <v>13</v>
      </c>
      <c r="C21" s="102" t="s">
        <v>203</v>
      </c>
      <c r="D21" s="103" t="s">
        <v>190</v>
      </c>
      <c r="E21" s="104">
        <v>85000</v>
      </c>
      <c r="F21" s="98">
        <v>24</v>
      </c>
      <c r="G21" s="100">
        <f t="shared" si="0"/>
        <v>3541.6666666666665</v>
      </c>
    </row>
    <row r="22" spans="2:7">
      <c r="B22" s="101">
        <v>14</v>
      </c>
      <c r="C22" s="102" t="s">
        <v>204</v>
      </c>
      <c r="D22" s="103">
        <v>12</v>
      </c>
      <c r="E22" s="104">
        <v>12000</v>
      </c>
      <c r="F22" s="98">
        <v>24</v>
      </c>
      <c r="G22" s="100">
        <f>D22*E22/F22</f>
        <v>6000</v>
      </c>
    </row>
    <row r="23" spans="2:7">
      <c r="B23" s="96">
        <v>15</v>
      </c>
      <c r="C23" s="105" t="s">
        <v>205</v>
      </c>
      <c r="D23" s="106">
        <v>2</v>
      </c>
      <c r="E23" s="104">
        <v>15000</v>
      </c>
      <c r="F23" s="98">
        <v>24</v>
      </c>
      <c r="G23" s="100">
        <f>D23*E23/F23</f>
        <v>1250</v>
      </c>
    </row>
    <row r="24" spans="2:7">
      <c r="B24" s="518" t="s">
        <v>206</v>
      </c>
      <c r="C24" s="518"/>
      <c r="D24" s="518"/>
      <c r="E24" s="518"/>
      <c r="F24" s="518"/>
      <c r="G24" s="107">
        <f>SUM(G9:G23)</f>
        <v>40999.999999999993</v>
      </c>
    </row>
    <row r="25" spans="2:7" ht="9.6" customHeight="1"/>
    <row r="26" spans="2:7">
      <c r="B26" s="93" t="s">
        <v>207</v>
      </c>
      <c r="C26" s="94" t="s">
        <v>208</v>
      </c>
    </row>
    <row r="27" spans="2:7" ht="5.45" customHeight="1"/>
    <row r="28" spans="2:7">
      <c r="B28" s="95" t="s">
        <v>181</v>
      </c>
      <c r="C28" s="95" t="s">
        <v>209</v>
      </c>
      <c r="D28" s="95" t="s">
        <v>183</v>
      </c>
      <c r="E28" s="95" t="s">
        <v>184</v>
      </c>
      <c r="F28" s="95" t="s">
        <v>185</v>
      </c>
      <c r="G28" s="95" t="s">
        <v>186</v>
      </c>
    </row>
    <row r="29" spans="2:7">
      <c r="B29" s="108">
        <v>1</v>
      </c>
      <c r="C29" s="109" t="s">
        <v>210</v>
      </c>
      <c r="D29" s="110" t="s">
        <v>198</v>
      </c>
      <c r="E29" s="111">
        <v>60000</v>
      </c>
      <c r="F29" s="110">
        <v>24</v>
      </c>
      <c r="G29" s="112">
        <f>E29/F29</f>
        <v>2500</v>
      </c>
    </row>
    <row r="30" spans="2:7">
      <c r="B30" s="113">
        <v>2</v>
      </c>
      <c r="C30" s="114" t="s">
        <v>211</v>
      </c>
      <c r="D30" s="115" t="s">
        <v>198</v>
      </c>
      <c r="E30" s="111">
        <v>60000</v>
      </c>
      <c r="F30" s="110">
        <v>24</v>
      </c>
      <c r="G30" s="116">
        <f>E30/F30</f>
        <v>2500</v>
      </c>
    </row>
    <row r="31" spans="2:7">
      <c r="B31" s="113">
        <v>3</v>
      </c>
      <c r="C31" s="114" t="s">
        <v>212</v>
      </c>
      <c r="D31" s="115" t="s">
        <v>198</v>
      </c>
      <c r="E31" s="111">
        <v>60000</v>
      </c>
      <c r="F31" s="110">
        <v>24</v>
      </c>
      <c r="G31" s="116">
        <f>E31/F31</f>
        <v>2500</v>
      </c>
    </row>
    <row r="32" spans="2:7">
      <c r="B32" s="113">
        <v>4</v>
      </c>
      <c r="C32" s="114" t="s">
        <v>18</v>
      </c>
      <c r="D32" s="115" t="s">
        <v>188</v>
      </c>
      <c r="E32" s="111">
        <v>60000</v>
      </c>
      <c r="F32" s="110">
        <v>24</v>
      </c>
      <c r="G32" s="116">
        <f>E32/F32</f>
        <v>2500</v>
      </c>
    </row>
    <row r="33" spans="2:7">
      <c r="B33" s="117">
        <v>5</v>
      </c>
      <c r="C33" s="118" t="s">
        <v>213</v>
      </c>
      <c r="D33" s="119" t="s">
        <v>198</v>
      </c>
      <c r="E33" s="111">
        <v>60000</v>
      </c>
      <c r="F33" s="110">
        <v>24</v>
      </c>
      <c r="G33" s="120">
        <f>E33/F33</f>
        <v>2500</v>
      </c>
    </row>
    <row r="34" spans="2:7">
      <c r="B34" s="518" t="s">
        <v>206</v>
      </c>
      <c r="C34" s="518"/>
      <c r="D34" s="518"/>
      <c r="E34" s="518"/>
      <c r="F34" s="518"/>
      <c r="G34" s="107">
        <f>SUM(G29:G33)</f>
        <v>12500</v>
      </c>
    </row>
    <row r="35" spans="2:7" ht="11.45" customHeight="1"/>
    <row r="36" spans="2:7">
      <c r="B36" s="93" t="s">
        <v>214</v>
      </c>
      <c r="C36" s="94" t="s">
        <v>215</v>
      </c>
    </row>
    <row r="37" spans="2:7" ht="7.7" customHeight="1"/>
    <row r="38" spans="2:7">
      <c r="B38" s="95" t="s">
        <v>181</v>
      </c>
      <c r="C38" s="95" t="s">
        <v>209</v>
      </c>
      <c r="D38" s="95" t="s">
        <v>183</v>
      </c>
      <c r="E38" s="95" t="s">
        <v>184</v>
      </c>
      <c r="F38" s="95" t="s">
        <v>185</v>
      </c>
      <c r="G38" s="95" t="s">
        <v>186</v>
      </c>
    </row>
    <row r="39" spans="2:7">
      <c r="B39" s="108">
        <v>1</v>
      </c>
      <c r="C39" s="109" t="s">
        <v>216</v>
      </c>
      <c r="D39" s="110" t="s">
        <v>217</v>
      </c>
      <c r="E39" s="111">
        <v>123000</v>
      </c>
      <c r="F39" s="110">
        <v>24</v>
      </c>
      <c r="G39" s="112">
        <f>E39/F39</f>
        <v>5125</v>
      </c>
    </row>
    <row r="40" spans="2:7">
      <c r="B40" s="113">
        <v>2</v>
      </c>
      <c r="C40" s="114" t="s">
        <v>218</v>
      </c>
      <c r="D40" s="115" t="s">
        <v>219</v>
      </c>
      <c r="E40" s="121">
        <v>20000</v>
      </c>
      <c r="F40" s="110">
        <v>24</v>
      </c>
      <c r="G40" s="116">
        <f>E40/F40</f>
        <v>833.33333333333337</v>
      </c>
    </row>
    <row r="41" spans="2:7">
      <c r="B41" s="113">
        <v>3</v>
      </c>
      <c r="C41" s="114" t="s">
        <v>220</v>
      </c>
      <c r="D41" s="115" t="s">
        <v>219</v>
      </c>
      <c r="E41" s="121">
        <v>20000</v>
      </c>
      <c r="F41" s="110">
        <v>24</v>
      </c>
      <c r="G41" s="116">
        <f>E41/F41</f>
        <v>833.33333333333337</v>
      </c>
    </row>
    <row r="42" spans="2:7">
      <c r="B42" s="113">
        <v>4</v>
      </c>
      <c r="C42" s="114" t="s">
        <v>221</v>
      </c>
      <c r="D42" s="115" t="s">
        <v>219</v>
      </c>
      <c r="E42" s="121">
        <v>50000</v>
      </c>
      <c r="F42" s="110">
        <v>24</v>
      </c>
      <c r="G42" s="116">
        <f>E42/F42</f>
        <v>2083.3333333333335</v>
      </c>
    </row>
    <row r="43" spans="2:7">
      <c r="B43" s="117">
        <v>5</v>
      </c>
      <c r="C43" s="118" t="s">
        <v>222</v>
      </c>
      <c r="D43" s="119" t="s">
        <v>219</v>
      </c>
      <c r="E43" s="122">
        <v>120000</v>
      </c>
      <c r="F43" s="110">
        <v>24</v>
      </c>
      <c r="G43" s="120">
        <f>E43/F43</f>
        <v>5000</v>
      </c>
    </row>
    <row r="44" spans="2:7">
      <c r="B44" s="518" t="s">
        <v>206</v>
      </c>
      <c r="C44" s="518"/>
      <c r="D44" s="518"/>
      <c r="E44" s="518"/>
      <c r="F44" s="518"/>
      <c r="G44" s="107">
        <f>SUM(G39:G43)</f>
        <v>13875</v>
      </c>
    </row>
    <row r="46" spans="2:7">
      <c r="B46" s="93" t="s">
        <v>223</v>
      </c>
      <c r="C46" s="94" t="s">
        <v>224</v>
      </c>
    </row>
    <row r="47" spans="2:7" ht="7.7" customHeight="1"/>
    <row r="48" spans="2:7">
      <c r="B48" s="95" t="s">
        <v>181</v>
      </c>
      <c r="C48" s="95" t="s">
        <v>209</v>
      </c>
      <c r="D48" s="95" t="s">
        <v>225</v>
      </c>
      <c r="E48" s="95" t="s">
        <v>184</v>
      </c>
      <c r="F48" s="95" t="s">
        <v>185</v>
      </c>
      <c r="G48" s="95" t="s">
        <v>186</v>
      </c>
    </row>
    <row r="49" spans="2:7">
      <c r="B49" s="108">
        <v>1</v>
      </c>
      <c r="C49" s="109" t="s">
        <v>226</v>
      </c>
      <c r="D49" s="110">
        <v>6</v>
      </c>
      <c r="E49" s="111">
        <v>5000</v>
      </c>
      <c r="F49" s="110">
        <v>12</v>
      </c>
      <c r="G49" s="112">
        <f>(D49*E49)/F49</f>
        <v>2500</v>
      </c>
    </row>
    <row r="50" spans="2:7">
      <c r="B50" s="113">
        <v>2</v>
      </c>
      <c r="C50" s="114" t="s">
        <v>227</v>
      </c>
      <c r="D50" s="115">
        <v>10</v>
      </c>
      <c r="E50" s="121">
        <v>14000</v>
      </c>
      <c r="F50" s="110">
        <v>12</v>
      </c>
      <c r="G50" s="116">
        <f t="shared" ref="G50:G55" si="1">(D50*E50)/F50</f>
        <v>11666.666666666666</v>
      </c>
    </row>
    <row r="51" spans="2:7">
      <c r="B51" s="113">
        <v>3</v>
      </c>
      <c r="C51" s="114" t="s">
        <v>228</v>
      </c>
      <c r="D51" s="115">
        <v>65</v>
      </c>
      <c r="E51" s="121">
        <v>2800</v>
      </c>
      <c r="F51" s="110">
        <v>12</v>
      </c>
      <c r="G51" s="116">
        <f t="shared" si="1"/>
        <v>15166.666666666666</v>
      </c>
    </row>
    <row r="52" spans="2:7">
      <c r="B52" s="113">
        <v>4</v>
      </c>
      <c r="C52" s="114" t="s">
        <v>229</v>
      </c>
      <c r="D52" s="115">
        <v>15</v>
      </c>
      <c r="E52" s="121">
        <v>30000</v>
      </c>
      <c r="F52" s="110">
        <v>12</v>
      </c>
      <c r="G52" s="116">
        <f t="shared" si="1"/>
        <v>37500</v>
      </c>
    </row>
    <row r="53" spans="2:7">
      <c r="B53" s="113">
        <v>5</v>
      </c>
      <c r="C53" s="114" t="s">
        <v>230</v>
      </c>
      <c r="D53" s="115" t="s">
        <v>219</v>
      </c>
      <c r="E53" s="121">
        <v>23000</v>
      </c>
      <c r="F53" s="110">
        <v>12</v>
      </c>
      <c r="G53" s="116">
        <f>E53/24</f>
        <v>958.33333333333337</v>
      </c>
    </row>
    <row r="54" spans="2:7">
      <c r="B54" s="113">
        <v>6</v>
      </c>
      <c r="C54" s="114" t="s">
        <v>231</v>
      </c>
      <c r="D54" s="115" t="s">
        <v>232</v>
      </c>
      <c r="E54" s="121">
        <v>24500</v>
      </c>
      <c r="F54" s="110">
        <v>12</v>
      </c>
      <c r="G54" s="116">
        <f>E54/24</f>
        <v>1020.8333333333334</v>
      </c>
    </row>
    <row r="55" spans="2:7">
      <c r="B55" s="117">
        <v>7</v>
      </c>
      <c r="C55" s="118" t="s">
        <v>233</v>
      </c>
      <c r="D55" s="119">
        <v>8</v>
      </c>
      <c r="E55" s="122">
        <v>2000</v>
      </c>
      <c r="F55" s="110">
        <v>12</v>
      </c>
      <c r="G55" s="120">
        <f t="shared" si="1"/>
        <v>1333.3333333333333</v>
      </c>
    </row>
    <row r="56" spans="2:7">
      <c r="B56" s="518" t="s">
        <v>206</v>
      </c>
      <c r="C56" s="518"/>
      <c r="D56" s="518"/>
      <c r="E56" s="518"/>
      <c r="F56" s="518"/>
      <c r="G56" s="107">
        <f>SUM(G49:G55)</f>
        <v>70145.833333333314</v>
      </c>
    </row>
    <row r="58" spans="2:7">
      <c r="B58" s="93" t="s">
        <v>234</v>
      </c>
      <c r="C58" s="94" t="s">
        <v>235</v>
      </c>
    </row>
    <row r="59" spans="2:7" ht="6.6" customHeight="1"/>
    <row r="60" spans="2:7">
      <c r="B60" s="95" t="s">
        <v>181</v>
      </c>
      <c r="C60" s="95" t="s">
        <v>209</v>
      </c>
      <c r="D60" s="95" t="s">
        <v>225</v>
      </c>
      <c r="E60" s="95" t="s">
        <v>184</v>
      </c>
      <c r="F60" s="95" t="s">
        <v>185</v>
      </c>
      <c r="G60" s="95" t="s">
        <v>186</v>
      </c>
    </row>
    <row r="61" spans="2:7">
      <c r="B61" s="108">
        <v>1</v>
      </c>
      <c r="C61" s="109" t="s">
        <v>236</v>
      </c>
      <c r="D61" s="110">
        <v>2</v>
      </c>
      <c r="E61" s="111">
        <v>3000</v>
      </c>
      <c r="F61" s="110">
        <v>24</v>
      </c>
      <c r="G61" s="112">
        <f>(D61*E61)/F61</f>
        <v>250</v>
      </c>
    </row>
    <row r="62" spans="2:7">
      <c r="B62" s="113">
        <v>2</v>
      </c>
      <c r="C62" s="114" t="s">
        <v>237</v>
      </c>
      <c r="D62" s="115">
        <v>22</v>
      </c>
      <c r="E62" s="121">
        <v>8000</v>
      </c>
      <c r="F62" s="115">
        <v>24</v>
      </c>
      <c r="G62" s="116">
        <f>(D62*E62)/F62</f>
        <v>7333.333333333333</v>
      </c>
    </row>
    <row r="63" spans="2:7">
      <c r="B63" s="113">
        <v>3</v>
      </c>
      <c r="C63" s="114" t="s">
        <v>238</v>
      </c>
      <c r="D63" s="115">
        <v>10</v>
      </c>
      <c r="E63" s="121">
        <v>2500</v>
      </c>
      <c r="F63" s="115">
        <v>24</v>
      </c>
      <c r="G63" s="116">
        <f>(D63*E63)/F63</f>
        <v>1041.6666666666667</v>
      </c>
    </row>
    <row r="64" spans="2:7">
      <c r="B64" s="113">
        <v>4</v>
      </c>
      <c r="C64" s="114" t="s">
        <v>239</v>
      </c>
      <c r="D64" s="115">
        <v>6</v>
      </c>
      <c r="E64" s="121">
        <v>8000</v>
      </c>
      <c r="F64" s="115">
        <v>24</v>
      </c>
      <c r="G64" s="116">
        <f>(D64*E64)/F64</f>
        <v>2000</v>
      </c>
    </row>
    <row r="65" spans="2:7">
      <c r="B65" s="113">
        <v>5</v>
      </c>
      <c r="C65" s="114" t="s">
        <v>240</v>
      </c>
      <c r="D65" s="115" t="s">
        <v>219</v>
      </c>
      <c r="E65" s="121">
        <v>20000</v>
      </c>
      <c r="F65" s="115">
        <v>24</v>
      </c>
      <c r="G65" s="116">
        <f>E65/24</f>
        <v>833.33333333333337</v>
      </c>
    </row>
    <row r="66" spans="2:7">
      <c r="B66" s="113">
        <v>6</v>
      </c>
      <c r="C66" s="114" t="s">
        <v>241</v>
      </c>
      <c r="D66" s="115">
        <v>2</v>
      </c>
      <c r="E66" s="121">
        <v>16000</v>
      </c>
      <c r="F66" s="115">
        <v>24</v>
      </c>
      <c r="G66" s="116">
        <f>E66/24</f>
        <v>666.66666666666663</v>
      </c>
    </row>
    <row r="67" spans="2:7">
      <c r="B67" s="117">
        <v>7</v>
      </c>
      <c r="C67" s="118" t="s">
        <v>242</v>
      </c>
      <c r="D67" s="119">
        <v>15</v>
      </c>
      <c r="E67" s="122">
        <v>3400</v>
      </c>
      <c r="F67" s="115">
        <v>24</v>
      </c>
      <c r="G67" s="120">
        <f>(D67*E67)/F67</f>
        <v>2125</v>
      </c>
    </row>
    <row r="68" spans="2:7">
      <c r="B68" s="518" t="s">
        <v>206</v>
      </c>
      <c r="C68" s="518"/>
      <c r="D68" s="518"/>
      <c r="E68" s="518"/>
      <c r="F68" s="518"/>
      <c r="G68" s="107">
        <f>SUM(G61:G67)</f>
        <v>14250</v>
      </c>
    </row>
    <row r="70" spans="2:7">
      <c r="B70" s="93" t="s">
        <v>243</v>
      </c>
      <c r="C70" s="94" t="s">
        <v>244</v>
      </c>
    </row>
    <row r="71" spans="2:7" ht="7.7" customHeight="1"/>
    <row r="72" spans="2:7">
      <c r="B72" s="95" t="s">
        <v>181</v>
      </c>
      <c r="C72" s="95" t="s">
        <v>209</v>
      </c>
      <c r="D72" s="95" t="s">
        <v>225</v>
      </c>
      <c r="E72" s="95" t="s">
        <v>184</v>
      </c>
      <c r="F72" s="95" t="s">
        <v>185</v>
      </c>
      <c r="G72" s="95" t="s">
        <v>186</v>
      </c>
    </row>
    <row r="73" spans="2:7">
      <c r="B73" s="108">
        <v>1</v>
      </c>
      <c r="C73" s="109" t="s">
        <v>245</v>
      </c>
      <c r="D73" s="110">
        <v>1</v>
      </c>
      <c r="E73" s="111">
        <v>110000</v>
      </c>
      <c r="F73" s="110">
        <v>24</v>
      </c>
      <c r="G73" s="112">
        <f>(D73*E73)/F73</f>
        <v>4583.333333333333</v>
      </c>
    </row>
    <row r="74" spans="2:7">
      <c r="B74" s="113">
        <v>2</v>
      </c>
      <c r="C74" s="114" t="s">
        <v>246</v>
      </c>
      <c r="D74" s="115">
        <v>30</v>
      </c>
      <c r="E74" s="121">
        <v>1500</v>
      </c>
      <c r="F74" s="110">
        <v>24</v>
      </c>
      <c r="G74" s="116">
        <f>(D74*E74)/F74</f>
        <v>1875</v>
      </c>
    </row>
    <row r="75" spans="2:7">
      <c r="B75" s="113">
        <v>3</v>
      </c>
      <c r="C75" s="114" t="s">
        <v>247</v>
      </c>
      <c r="D75" s="115">
        <v>12</v>
      </c>
      <c r="E75" s="121">
        <v>5600</v>
      </c>
      <c r="F75" s="110">
        <v>24</v>
      </c>
      <c r="G75" s="116">
        <f>(D75*E75)/F75</f>
        <v>2800</v>
      </c>
    </row>
    <row r="76" spans="2:7">
      <c r="B76" s="113">
        <v>4</v>
      </c>
      <c r="C76" s="114" t="s">
        <v>248</v>
      </c>
      <c r="D76" s="115">
        <v>3</v>
      </c>
      <c r="E76" s="121">
        <v>8000</v>
      </c>
      <c r="F76" s="110">
        <v>24</v>
      </c>
      <c r="G76" s="116">
        <f>(D76*E76)/F76</f>
        <v>1000</v>
      </c>
    </row>
    <row r="77" spans="2:7">
      <c r="B77" s="113">
        <v>5</v>
      </c>
      <c r="C77" s="114" t="s">
        <v>249</v>
      </c>
      <c r="D77" s="115">
        <v>0</v>
      </c>
      <c r="E77" s="121">
        <v>430000</v>
      </c>
      <c r="F77" s="110">
        <v>24</v>
      </c>
      <c r="G77" s="120">
        <f>(D77*E77)/F77</f>
        <v>0</v>
      </c>
    </row>
    <row r="78" spans="2:7">
      <c r="B78" s="518" t="s">
        <v>206</v>
      </c>
      <c r="C78" s="518"/>
      <c r="D78" s="518"/>
      <c r="E78" s="518"/>
      <c r="F78" s="518"/>
      <c r="G78" s="107">
        <f>SUM(G73:G77)</f>
        <v>10258.333333333332</v>
      </c>
    </row>
    <row r="80" spans="2:7">
      <c r="B80" s="93" t="s">
        <v>250</v>
      </c>
      <c r="C80" s="94" t="s">
        <v>251</v>
      </c>
    </row>
    <row r="81" spans="2:7" ht="7.7" customHeight="1"/>
    <row r="82" spans="2:7">
      <c r="B82" s="95" t="s">
        <v>181</v>
      </c>
      <c r="C82" s="95" t="s">
        <v>209</v>
      </c>
      <c r="D82" s="95" t="s">
        <v>225</v>
      </c>
      <c r="E82" s="95" t="s">
        <v>184</v>
      </c>
      <c r="F82" s="95" t="s">
        <v>185</v>
      </c>
      <c r="G82" s="95" t="s">
        <v>186</v>
      </c>
    </row>
    <row r="83" spans="2:7">
      <c r="B83" s="108">
        <v>1</v>
      </c>
      <c r="C83" s="109" t="s">
        <v>252</v>
      </c>
      <c r="D83" s="110">
        <v>1</v>
      </c>
      <c r="E83" s="111">
        <v>2000</v>
      </c>
      <c r="F83" s="110">
        <v>1</v>
      </c>
      <c r="G83" s="112">
        <f>(D83*E83)/F83</f>
        <v>2000</v>
      </c>
    </row>
    <row r="84" spans="2:7">
      <c r="B84" s="113">
        <v>2</v>
      </c>
      <c r="C84" s="114" t="s">
        <v>253</v>
      </c>
      <c r="D84" s="115">
        <v>1</v>
      </c>
      <c r="E84" s="121">
        <v>2500</v>
      </c>
      <c r="F84" s="115">
        <v>1</v>
      </c>
      <c r="G84" s="116">
        <f t="shared" ref="G84:G90" si="2">(D84*E84)/F84</f>
        <v>2500</v>
      </c>
    </row>
    <row r="85" spans="2:7">
      <c r="B85" s="108">
        <v>3</v>
      </c>
      <c r="C85" s="114" t="s">
        <v>254</v>
      </c>
      <c r="D85" s="115">
        <v>1</v>
      </c>
      <c r="E85" s="121">
        <v>1900</v>
      </c>
      <c r="F85" s="115">
        <v>1</v>
      </c>
      <c r="G85" s="116">
        <f t="shared" si="2"/>
        <v>1900</v>
      </c>
    </row>
    <row r="86" spans="2:7">
      <c r="B86" s="113">
        <v>4</v>
      </c>
      <c r="C86" s="114" t="s">
        <v>255</v>
      </c>
      <c r="D86" s="115">
        <v>1</v>
      </c>
      <c r="E86" s="121">
        <f>(E83+E84+E85+E90)*0.05</f>
        <v>370</v>
      </c>
      <c r="F86" s="115">
        <v>1</v>
      </c>
      <c r="G86" s="116">
        <f t="shared" si="2"/>
        <v>370</v>
      </c>
    </row>
    <row r="87" spans="2:7">
      <c r="B87" s="108">
        <v>5</v>
      </c>
      <c r="C87" s="114" t="s">
        <v>256</v>
      </c>
      <c r="D87" s="115">
        <v>1</v>
      </c>
      <c r="E87" s="121">
        <v>5000</v>
      </c>
      <c r="F87" s="115">
        <v>1</v>
      </c>
      <c r="G87" s="116">
        <f t="shared" si="2"/>
        <v>5000</v>
      </c>
    </row>
    <row r="88" spans="2:7">
      <c r="B88" s="113">
        <v>6</v>
      </c>
      <c r="C88" s="114" t="s">
        <v>257</v>
      </c>
      <c r="D88" s="115">
        <v>1</v>
      </c>
      <c r="E88" s="121">
        <v>2000</v>
      </c>
      <c r="F88" s="115">
        <v>1</v>
      </c>
      <c r="G88" s="116">
        <f t="shared" si="2"/>
        <v>2000</v>
      </c>
    </row>
    <row r="89" spans="2:7">
      <c r="B89" s="108">
        <v>7</v>
      </c>
      <c r="C89" s="114" t="s">
        <v>258</v>
      </c>
      <c r="D89" s="115">
        <v>1</v>
      </c>
      <c r="E89" s="121">
        <v>2000</v>
      </c>
      <c r="F89" s="115">
        <v>1</v>
      </c>
      <c r="G89" s="116">
        <f t="shared" si="2"/>
        <v>2000</v>
      </c>
    </row>
    <row r="90" spans="2:7">
      <c r="B90" s="113">
        <v>8</v>
      </c>
      <c r="C90" s="114" t="s">
        <v>259</v>
      </c>
      <c r="D90" s="115">
        <v>0</v>
      </c>
      <c r="E90" s="121">
        <v>1000</v>
      </c>
      <c r="F90" s="115">
        <v>1</v>
      </c>
      <c r="G90" s="116">
        <f t="shared" si="2"/>
        <v>0</v>
      </c>
    </row>
    <row r="91" spans="2:7">
      <c r="B91" s="518" t="s">
        <v>206</v>
      </c>
      <c r="C91" s="518"/>
      <c r="D91" s="518"/>
      <c r="E91" s="518"/>
      <c r="F91" s="518"/>
      <c r="G91" s="107">
        <f>SUM(G83:G90)</f>
        <v>15770</v>
      </c>
    </row>
    <row r="93" spans="2:7" ht="15" customHeight="1">
      <c r="B93" s="521" t="s">
        <v>260</v>
      </c>
      <c r="C93" s="522"/>
      <c r="D93" s="522"/>
      <c r="E93" s="523"/>
    </row>
    <row r="94" spans="2:7" ht="6.6" customHeight="1"/>
    <row r="95" spans="2:7">
      <c r="B95" s="95" t="s">
        <v>181</v>
      </c>
      <c r="C95" s="95" t="s">
        <v>261</v>
      </c>
      <c r="D95" s="95" t="s">
        <v>186</v>
      </c>
      <c r="E95" s="95" t="s">
        <v>262</v>
      </c>
    </row>
    <row r="96" spans="2:7">
      <c r="B96" s="123" t="s">
        <v>179</v>
      </c>
      <c r="C96" s="109" t="str">
        <f>C6</f>
        <v>Caravans</v>
      </c>
      <c r="D96" s="124">
        <f>G24</f>
        <v>40999.999999999993</v>
      </c>
      <c r="E96" s="125">
        <f>D96*12</f>
        <v>491999.99999999988</v>
      </c>
    </row>
    <row r="97" spans="2:8">
      <c r="B97" s="126" t="s">
        <v>207</v>
      </c>
      <c r="C97" s="114" t="str">
        <f>C26</f>
        <v>Containers / Stores</v>
      </c>
      <c r="D97" s="127">
        <f>G34</f>
        <v>12500</v>
      </c>
      <c r="E97" s="128">
        <f t="shared" ref="E97:E102" si="3">D97*12</f>
        <v>150000</v>
      </c>
    </row>
    <row r="98" spans="2:8">
      <c r="B98" s="126" t="s">
        <v>214</v>
      </c>
      <c r="C98" s="114" t="str">
        <f>C36</f>
        <v>Outdoor Area</v>
      </c>
      <c r="D98" s="127">
        <f>G44</f>
        <v>13875</v>
      </c>
      <c r="E98" s="128">
        <f t="shared" si="3"/>
        <v>166500</v>
      </c>
    </row>
    <row r="99" spans="2:8">
      <c r="B99" s="126" t="s">
        <v>223</v>
      </c>
      <c r="C99" s="114" t="str">
        <f>C46</f>
        <v>Furniture</v>
      </c>
      <c r="D99" s="127">
        <f>G68</f>
        <v>14250</v>
      </c>
      <c r="E99" s="128">
        <f t="shared" si="3"/>
        <v>171000</v>
      </c>
    </row>
    <row r="100" spans="2:8">
      <c r="B100" s="126" t="s">
        <v>234</v>
      </c>
      <c r="C100" s="114" t="str">
        <f>C58</f>
        <v>IT Equipment  &amp; Data Center</v>
      </c>
      <c r="D100" s="127">
        <f>G68</f>
        <v>14250</v>
      </c>
      <c r="E100" s="128">
        <f t="shared" si="3"/>
        <v>171000</v>
      </c>
    </row>
    <row r="101" spans="2:8">
      <c r="B101" s="126" t="s">
        <v>243</v>
      </c>
      <c r="C101" s="114" t="str">
        <f>C70</f>
        <v>Fire Alarm &amp; Fire Fighting - Emergency Power</v>
      </c>
      <c r="D101" s="127">
        <f>G78</f>
        <v>10258.333333333332</v>
      </c>
      <c r="E101" s="128">
        <f t="shared" si="3"/>
        <v>123099.99999999999</v>
      </c>
    </row>
    <row r="102" spans="2:8">
      <c r="B102" s="129" t="s">
        <v>250</v>
      </c>
      <c r="C102" s="118" t="str">
        <f>C80</f>
        <v>Monthly Consumption &amp; Office Supplies</v>
      </c>
      <c r="D102" s="130">
        <f>G91</f>
        <v>15770</v>
      </c>
      <c r="E102" s="131">
        <f t="shared" si="3"/>
        <v>189240</v>
      </c>
    </row>
    <row r="103" spans="2:8">
      <c r="B103" s="518" t="s">
        <v>263</v>
      </c>
      <c r="C103" s="518"/>
      <c r="D103" s="107">
        <f>ROUNDUP(SUM(D96:D102),0)</f>
        <v>121904</v>
      </c>
      <c r="E103" s="107">
        <f>D103*12</f>
        <v>1462848</v>
      </c>
    </row>
    <row r="104" spans="2:8">
      <c r="E104" s="132">
        <v>0.08</v>
      </c>
    </row>
    <row r="105" spans="2:8">
      <c r="E105" s="133">
        <f>E103+(E103*E104)</f>
        <v>1579875.84</v>
      </c>
    </row>
    <row r="107" spans="2:8">
      <c r="E107" s="91" t="s">
        <v>264</v>
      </c>
      <c r="F107" s="133">
        <f>(G24*24)+(G34*24)+(G44*24)+(G56*12)+(G68*24)+(G78*24)+(G91*12)</f>
        <v>3236189.9999999995</v>
      </c>
    </row>
    <row r="108" spans="2:8">
      <c r="E108" s="91" t="s">
        <v>265</v>
      </c>
      <c r="F108" s="133">
        <f>F107-E105</f>
        <v>1656314.1599999995</v>
      </c>
      <c r="H108" s="134" t="s">
        <v>266</v>
      </c>
    </row>
    <row r="109" spans="2:8">
      <c r="D109" s="91" t="s">
        <v>210</v>
      </c>
      <c r="E109" s="132">
        <v>0.22</v>
      </c>
      <c r="F109" s="133">
        <f t="shared" ref="F109:F114" si="4">F$108*E109</f>
        <v>364389.11519999988</v>
      </c>
      <c r="G109" s="133">
        <f t="shared" ref="G109:G114" si="5">F109/12</f>
        <v>30365.75959999999</v>
      </c>
      <c r="H109" s="133">
        <f t="shared" ref="H109:H114" si="6">ROUNDUP(G109,0)</f>
        <v>30366</v>
      </c>
    </row>
    <row r="110" spans="2:8">
      <c r="D110" s="91" t="s">
        <v>267</v>
      </c>
      <c r="E110" s="132">
        <v>0.18</v>
      </c>
      <c r="F110" s="133">
        <f t="shared" si="4"/>
        <v>298136.54879999987</v>
      </c>
      <c r="G110" s="133">
        <f t="shared" si="5"/>
        <v>24844.712399999989</v>
      </c>
      <c r="H110" s="133">
        <f t="shared" si="6"/>
        <v>24845</v>
      </c>
    </row>
    <row r="111" spans="2:8">
      <c r="D111" s="91" t="s">
        <v>268</v>
      </c>
      <c r="E111" s="132">
        <v>0.05</v>
      </c>
      <c r="F111" s="133">
        <f t="shared" si="4"/>
        <v>82815.707999999984</v>
      </c>
      <c r="G111" s="133">
        <f t="shared" si="5"/>
        <v>6901.3089999999984</v>
      </c>
      <c r="H111" s="133">
        <f t="shared" si="6"/>
        <v>6902</v>
      </c>
    </row>
    <row r="112" spans="2:8">
      <c r="D112" s="91" t="s">
        <v>269</v>
      </c>
      <c r="E112" s="132">
        <v>0.33</v>
      </c>
      <c r="F112" s="133">
        <f t="shared" si="4"/>
        <v>546583.67279999983</v>
      </c>
      <c r="G112" s="133">
        <f t="shared" si="5"/>
        <v>45548.639399999985</v>
      </c>
      <c r="H112" s="133">
        <f t="shared" si="6"/>
        <v>45549</v>
      </c>
    </row>
    <row r="113" spans="4:8">
      <c r="D113" s="91" t="s">
        <v>270</v>
      </c>
      <c r="E113" s="132">
        <v>0.2</v>
      </c>
      <c r="F113" s="133">
        <f t="shared" si="4"/>
        <v>331262.83199999994</v>
      </c>
      <c r="G113" s="133">
        <f t="shared" si="5"/>
        <v>27605.235999999994</v>
      </c>
      <c r="H113" s="133">
        <f t="shared" si="6"/>
        <v>27606</v>
      </c>
    </row>
    <row r="114" spans="4:8">
      <c r="D114" s="91" t="s">
        <v>271</v>
      </c>
      <c r="E114" s="132">
        <v>0.02</v>
      </c>
      <c r="F114" s="133">
        <f t="shared" si="4"/>
        <v>33126.283199999991</v>
      </c>
      <c r="G114" s="133">
        <f t="shared" si="5"/>
        <v>2760.5235999999991</v>
      </c>
      <c r="H114" s="133">
        <f t="shared" si="6"/>
        <v>2761</v>
      </c>
    </row>
  </sheetData>
  <mergeCells count="11">
    <mergeCell ref="B68:F68"/>
    <mergeCell ref="B78:F78"/>
    <mergeCell ref="B91:F91"/>
    <mergeCell ref="B93:E93"/>
    <mergeCell ref="B103:C103"/>
    <mergeCell ref="B56:F56"/>
    <mergeCell ref="A2:G2"/>
    <mergeCell ref="B4:D4"/>
    <mergeCell ref="B24:F24"/>
    <mergeCell ref="B34:F34"/>
    <mergeCell ref="B44:F4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376A-7BC9-452E-8294-C3E6BCD2F140}">
  <dimension ref="A1:U90"/>
  <sheetViews>
    <sheetView topLeftCell="A50" zoomScaleNormal="100" workbookViewId="0">
      <selection activeCell="N31" sqref="N31"/>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3.425781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272</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
        <v>43</v>
      </c>
      <c r="C7" s="143"/>
      <c r="D7" s="151">
        <v>1</v>
      </c>
      <c r="E7" s="152">
        <f>ROUNDUP(D7+(D7/6),1)</f>
        <v>1.2000000000000002</v>
      </c>
      <c r="F7" s="153">
        <v>40000</v>
      </c>
      <c r="G7" s="143"/>
      <c r="H7" s="153">
        <f>F7*E7</f>
        <v>48000.000000000007</v>
      </c>
      <c r="I7" s="143"/>
      <c r="J7" s="154">
        <f t="shared" ref="J7:J23" si="0">H7*12</f>
        <v>576000.00000000012</v>
      </c>
      <c r="K7" s="135"/>
      <c r="L7" s="155">
        <f>H7/(1-D$68)</f>
        <v>72558.646890450167</v>
      </c>
      <c r="N7" s="156">
        <f>ROUNDUP(L7/D7/30,0)</f>
        <v>2419</v>
      </c>
    </row>
    <row r="8" spans="1:15" ht="15">
      <c r="A8" s="149">
        <v>2</v>
      </c>
      <c r="B8" s="150" t="s">
        <v>0</v>
      </c>
      <c r="C8" s="143"/>
      <c r="D8" s="151">
        <v>1</v>
      </c>
      <c r="E8" s="152">
        <f t="shared" ref="E8:E23" si="1">ROUNDUP(D8+(D8/6),1)</f>
        <v>1.2000000000000002</v>
      </c>
      <c r="F8" s="157">
        <v>26000</v>
      </c>
      <c r="G8" s="143"/>
      <c r="H8" s="153">
        <f t="shared" ref="H8:H23" si="2">F8*E8</f>
        <v>31200.000000000004</v>
      </c>
      <c r="I8" s="143"/>
      <c r="J8" s="154">
        <f t="shared" si="0"/>
        <v>374400.00000000006</v>
      </c>
      <c r="K8" s="135"/>
      <c r="L8" s="155">
        <f t="shared" ref="L8:L23" si="3">H8/(1-D$68)</f>
        <v>47163.120478792611</v>
      </c>
      <c r="N8" s="156">
        <f t="shared" ref="N8:N23" si="4">ROUNDUP(L8/D8/30,0)</f>
        <v>1573</v>
      </c>
    </row>
    <row r="9" spans="1:15" ht="15">
      <c r="A9" s="149">
        <v>3</v>
      </c>
      <c r="B9" s="150" t="s">
        <v>1</v>
      </c>
      <c r="C9" s="143"/>
      <c r="D9" s="151">
        <v>1</v>
      </c>
      <c r="E9" s="152">
        <f t="shared" si="1"/>
        <v>1.2000000000000002</v>
      </c>
      <c r="F9" s="157">
        <v>14600</v>
      </c>
      <c r="G9" s="143"/>
      <c r="H9" s="153">
        <f t="shared" si="2"/>
        <v>17520.000000000004</v>
      </c>
      <c r="I9" s="143"/>
      <c r="J9" s="154">
        <f t="shared" si="0"/>
        <v>210240.00000000006</v>
      </c>
      <c r="K9" s="135"/>
      <c r="L9" s="155">
        <f t="shared" si="3"/>
        <v>26483.906115014313</v>
      </c>
      <c r="N9" s="156">
        <f t="shared" si="4"/>
        <v>883</v>
      </c>
    </row>
    <row r="10" spans="1:15" ht="15">
      <c r="A10" s="149">
        <v>4</v>
      </c>
      <c r="B10" s="150" t="s">
        <v>2</v>
      </c>
      <c r="C10" s="143"/>
      <c r="D10" s="151">
        <v>1</v>
      </c>
      <c r="E10" s="152">
        <f t="shared" si="1"/>
        <v>1.2000000000000002</v>
      </c>
      <c r="F10" s="157">
        <v>14600</v>
      </c>
      <c r="G10" s="143"/>
      <c r="H10" s="153">
        <f t="shared" si="2"/>
        <v>17520.000000000004</v>
      </c>
      <c r="I10" s="143"/>
      <c r="J10" s="154">
        <f t="shared" si="0"/>
        <v>210240.00000000006</v>
      </c>
      <c r="K10" s="135"/>
      <c r="L10" s="155">
        <f t="shared" si="3"/>
        <v>26483.906115014313</v>
      </c>
      <c r="N10" s="156">
        <f t="shared" si="4"/>
        <v>883</v>
      </c>
    </row>
    <row r="11" spans="1:15" ht="15">
      <c r="A11" s="149">
        <v>5</v>
      </c>
      <c r="B11" s="150" t="s">
        <v>3</v>
      </c>
      <c r="C11" s="143"/>
      <c r="D11" s="151">
        <v>1</v>
      </c>
      <c r="E11" s="152">
        <f t="shared" si="1"/>
        <v>1.2000000000000002</v>
      </c>
      <c r="F11" s="157">
        <v>14600</v>
      </c>
      <c r="G11" s="143"/>
      <c r="H11" s="153">
        <f t="shared" si="2"/>
        <v>17520.000000000004</v>
      </c>
      <c r="I11" s="143"/>
      <c r="J11" s="154">
        <f t="shared" si="0"/>
        <v>210240.00000000006</v>
      </c>
      <c r="K11" s="135"/>
      <c r="L11" s="155">
        <f t="shared" si="3"/>
        <v>26483.906115014313</v>
      </c>
      <c r="N11" s="156">
        <f t="shared" si="4"/>
        <v>883</v>
      </c>
    </row>
    <row r="12" spans="1:15" ht="15">
      <c r="A12" s="149">
        <v>6</v>
      </c>
      <c r="B12" s="150" t="s">
        <v>4</v>
      </c>
      <c r="C12" s="143"/>
      <c r="D12" s="158">
        <v>3</v>
      </c>
      <c r="E12" s="152">
        <f t="shared" si="1"/>
        <v>3.5</v>
      </c>
      <c r="F12" s="157">
        <v>8500</v>
      </c>
      <c r="G12" s="143"/>
      <c r="H12" s="153">
        <f t="shared" si="2"/>
        <v>29750</v>
      </c>
      <c r="I12" s="143"/>
      <c r="J12" s="154">
        <f t="shared" si="0"/>
        <v>357000</v>
      </c>
      <c r="K12" s="135"/>
      <c r="L12" s="155">
        <f t="shared" si="3"/>
        <v>44971.244687310253</v>
      </c>
      <c r="N12" s="156">
        <f t="shared" si="4"/>
        <v>500</v>
      </c>
    </row>
    <row r="13" spans="1:15" ht="15">
      <c r="A13" s="149">
        <v>7</v>
      </c>
      <c r="B13" s="150" t="s">
        <v>5</v>
      </c>
      <c r="C13" s="143"/>
      <c r="D13" s="158">
        <v>1</v>
      </c>
      <c r="E13" s="152">
        <f t="shared" si="1"/>
        <v>1.2000000000000002</v>
      </c>
      <c r="F13" s="157">
        <v>8750</v>
      </c>
      <c r="G13" s="143"/>
      <c r="H13" s="153">
        <f t="shared" si="2"/>
        <v>10500.000000000002</v>
      </c>
      <c r="I13" s="143"/>
      <c r="J13" s="154">
        <f t="shared" si="0"/>
        <v>126000.00000000003</v>
      </c>
      <c r="K13" s="135"/>
      <c r="L13" s="155">
        <f t="shared" si="3"/>
        <v>15872.204007285976</v>
      </c>
      <c r="N13" s="156">
        <f t="shared" si="4"/>
        <v>530</v>
      </c>
    </row>
    <row r="14" spans="1:15" ht="15">
      <c r="A14" s="149">
        <v>8</v>
      </c>
      <c r="B14" s="150" t="s">
        <v>6</v>
      </c>
      <c r="C14" s="143"/>
      <c r="D14" s="158">
        <v>3</v>
      </c>
      <c r="E14" s="152">
        <f t="shared" si="1"/>
        <v>3.5</v>
      </c>
      <c r="F14" s="157">
        <v>8350</v>
      </c>
      <c r="G14" s="143"/>
      <c r="H14" s="153">
        <f t="shared" si="2"/>
        <v>29225</v>
      </c>
      <c r="I14" s="143"/>
      <c r="J14" s="154">
        <f t="shared" si="0"/>
        <v>350700</v>
      </c>
      <c r="K14" s="135"/>
      <c r="L14" s="155">
        <f t="shared" si="3"/>
        <v>44177.634486945957</v>
      </c>
      <c r="N14" s="156">
        <f t="shared" si="4"/>
        <v>491</v>
      </c>
    </row>
    <row r="15" spans="1:15" ht="15">
      <c r="A15" s="149">
        <v>9</v>
      </c>
      <c r="B15" s="150" t="s">
        <v>7</v>
      </c>
      <c r="C15" s="143"/>
      <c r="D15" s="158">
        <v>1</v>
      </c>
      <c r="E15" s="152">
        <f t="shared" si="1"/>
        <v>1.2000000000000002</v>
      </c>
      <c r="F15" s="157">
        <v>9000</v>
      </c>
      <c r="G15" s="143"/>
      <c r="H15" s="153">
        <f t="shared" si="2"/>
        <v>10800.000000000002</v>
      </c>
      <c r="I15" s="143"/>
      <c r="J15" s="154">
        <f t="shared" si="0"/>
        <v>129600.00000000003</v>
      </c>
      <c r="K15" s="135"/>
      <c r="L15" s="155">
        <f t="shared" si="3"/>
        <v>16325.695550351289</v>
      </c>
      <c r="N15" s="156">
        <f t="shared" si="4"/>
        <v>545</v>
      </c>
    </row>
    <row r="16" spans="1:15" ht="15">
      <c r="A16" s="149">
        <v>10</v>
      </c>
      <c r="B16" s="150" t="s">
        <v>8</v>
      </c>
      <c r="C16" s="143"/>
      <c r="D16" s="158">
        <v>1</v>
      </c>
      <c r="E16" s="152">
        <f t="shared" si="1"/>
        <v>1.2000000000000002</v>
      </c>
      <c r="F16" s="157">
        <v>12300</v>
      </c>
      <c r="G16" s="143"/>
      <c r="H16" s="153">
        <f t="shared" si="2"/>
        <v>14760.000000000002</v>
      </c>
      <c r="I16" s="143"/>
      <c r="J16" s="154">
        <f t="shared" si="0"/>
        <v>177120.00000000003</v>
      </c>
      <c r="K16" s="135"/>
      <c r="L16" s="155">
        <f t="shared" si="3"/>
        <v>22311.783918813428</v>
      </c>
      <c r="N16" s="156">
        <f t="shared" si="4"/>
        <v>744</v>
      </c>
    </row>
    <row r="17" spans="1:14" ht="15">
      <c r="A17" s="149">
        <v>11</v>
      </c>
      <c r="B17" s="150" t="s">
        <v>9</v>
      </c>
      <c r="C17" s="143"/>
      <c r="D17" s="158">
        <v>1</v>
      </c>
      <c r="E17" s="152">
        <f t="shared" si="1"/>
        <v>1.2000000000000002</v>
      </c>
      <c r="F17" s="157">
        <v>8500</v>
      </c>
      <c r="G17" s="143"/>
      <c r="H17" s="153">
        <f t="shared" si="2"/>
        <v>10200.000000000002</v>
      </c>
      <c r="I17" s="143"/>
      <c r="J17" s="154">
        <f t="shared" si="0"/>
        <v>122400.00000000003</v>
      </c>
      <c r="K17" s="135"/>
      <c r="L17" s="155">
        <f t="shared" si="3"/>
        <v>15418.712464220662</v>
      </c>
      <c r="N17" s="156">
        <f t="shared" si="4"/>
        <v>514</v>
      </c>
    </row>
    <row r="18" spans="1:14" ht="15">
      <c r="A18" s="149">
        <v>12</v>
      </c>
      <c r="B18" s="150" t="s">
        <v>10</v>
      </c>
      <c r="C18" s="143"/>
      <c r="D18" s="158">
        <v>1</v>
      </c>
      <c r="E18" s="152">
        <f t="shared" si="1"/>
        <v>1.2000000000000002</v>
      </c>
      <c r="F18" s="157">
        <v>8500</v>
      </c>
      <c r="G18" s="143"/>
      <c r="H18" s="153">
        <f t="shared" si="2"/>
        <v>10200.000000000002</v>
      </c>
      <c r="I18" s="143"/>
      <c r="J18" s="154">
        <f t="shared" si="0"/>
        <v>122400.00000000003</v>
      </c>
      <c r="K18" s="135"/>
      <c r="L18" s="155">
        <f t="shared" si="3"/>
        <v>15418.712464220662</v>
      </c>
      <c r="N18" s="156">
        <f t="shared" si="4"/>
        <v>514</v>
      </c>
    </row>
    <row r="19" spans="1:14" ht="15">
      <c r="A19" s="149">
        <v>13</v>
      </c>
      <c r="B19" s="150" t="s">
        <v>11</v>
      </c>
      <c r="C19" s="143"/>
      <c r="D19" s="158">
        <v>4</v>
      </c>
      <c r="E19" s="152">
        <f t="shared" si="1"/>
        <v>4.6999999999999993</v>
      </c>
      <c r="F19" s="157">
        <v>7600</v>
      </c>
      <c r="G19" s="143"/>
      <c r="H19" s="153">
        <f t="shared" si="2"/>
        <v>35719.999999999993</v>
      </c>
      <c r="I19" s="143"/>
      <c r="J19" s="154">
        <f t="shared" si="0"/>
        <v>428639.99999999988</v>
      </c>
      <c r="K19" s="135"/>
      <c r="L19" s="155">
        <f t="shared" si="3"/>
        <v>53995.726394309982</v>
      </c>
      <c r="N19" s="156">
        <f t="shared" si="4"/>
        <v>450</v>
      </c>
    </row>
    <row r="20" spans="1:14" ht="15">
      <c r="A20" s="149">
        <v>14</v>
      </c>
      <c r="B20" s="150" t="s">
        <v>45</v>
      </c>
      <c r="C20" s="143"/>
      <c r="D20" s="158">
        <v>1</v>
      </c>
      <c r="E20" s="152">
        <f t="shared" si="1"/>
        <v>1.2000000000000002</v>
      </c>
      <c r="F20" s="157">
        <v>16500</v>
      </c>
      <c r="G20" s="143"/>
      <c r="H20" s="153">
        <f t="shared" si="2"/>
        <v>19800.000000000004</v>
      </c>
      <c r="I20" s="143"/>
      <c r="J20" s="154">
        <f t="shared" si="0"/>
        <v>237600.00000000006</v>
      </c>
      <c r="K20" s="135"/>
      <c r="L20" s="155">
        <f t="shared" si="3"/>
        <v>29930.441842310698</v>
      </c>
      <c r="N20" s="156">
        <f t="shared" si="4"/>
        <v>998</v>
      </c>
    </row>
    <row r="21" spans="1:14" ht="15">
      <c r="A21" s="149">
        <v>15</v>
      </c>
      <c r="B21" s="150" t="s">
        <v>42</v>
      </c>
      <c r="C21" s="143"/>
      <c r="D21" s="158">
        <v>1</v>
      </c>
      <c r="E21" s="152">
        <f t="shared" si="1"/>
        <v>1.2000000000000002</v>
      </c>
      <c r="F21" s="157">
        <v>12000</v>
      </c>
      <c r="G21" s="143"/>
      <c r="H21" s="153">
        <f t="shared" si="2"/>
        <v>14400.000000000002</v>
      </c>
      <c r="I21" s="143"/>
      <c r="J21" s="154">
        <f t="shared" si="0"/>
        <v>172800.00000000003</v>
      </c>
      <c r="K21" s="135"/>
      <c r="L21" s="155">
        <f t="shared" si="3"/>
        <v>21767.594067135051</v>
      </c>
      <c r="N21" s="156">
        <f t="shared" si="4"/>
        <v>726</v>
      </c>
    </row>
    <row r="22" spans="1:14" ht="15">
      <c r="A22" s="149">
        <v>16</v>
      </c>
      <c r="B22" s="150" t="s">
        <v>46</v>
      </c>
      <c r="C22" s="143"/>
      <c r="D22" s="158">
        <v>1</v>
      </c>
      <c r="E22" s="152">
        <f t="shared" si="1"/>
        <v>1.2000000000000002</v>
      </c>
      <c r="F22" s="157">
        <v>12000</v>
      </c>
      <c r="G22" s="143"/>
      <c r="H22" s="153">
        <f t="shared" si="2"/>
        <v>14400.000000000002</v>
      </c>
      <c r="I22" s="143"/>
      <c r="J22" s="154">
        <f t="shared" si="0"/>
        <v>172800.00000000003</v>
      </c>
      <c r="K22" s="135"/>
      <c r="L22" s="155">
        <f t="shared" si="3"/>
        <v>21767.594067135051</v>
      </c>
      <c r="N22" s="156">
        <f t="shared" si="4"/>
        <v>726</v>
      </c>
    </row>
    <row r="23" spans="1:14" ht="15">
      <c r="A23" s="149">
        <v>17</v>
      </c>
      <c r="B23" s="150" t="s">
        <v>154</v>
      </c>
      <c r="C23" s="143"/>
      <c r="D23" s="158">
        <v>1</v>
      </c>
      <c r="E23" s="152">
        <f t="shared" si="1"/>
        <v>1.2000000000000002</v>
      </c>
      <c r="F23" s="157">
        <v>60000</v>
      </c>
      <c r="G23" s="143"/>
      <c r="H23" s="153">
        <f t="shared" si="2"/>
        <v>72000.000000000015</v>
      </c>
      <c r="I23" s="143"/>
      <c r="J23" s="154">
        <f t="shared" si="0"/>
        <v>864000.00000000023</v>
      </c>
      <c r="K23" s="135"/>
      <c r="L23" s="155">
        <f t="shared" si="3"/>
        <v>108837.97033567526</v>
      </c>
      <c r="N23" s="156">
        <f t="shared" si="4"/>
        <v>3628</v>
      </c>
    </row>
    <row r="24" spans="1:14" ht="15">
      <c r="A24" s="135"/>
      <c r="B24" s="159" t="s">
        <v>282</v>
      </c>
      <c r="C24" s="160"/>
      <c r="D24" s="161">
        <f>SUM(D7:D23)</f>
        <v>24</v>
      </c>
      <c r="E24" s="161">
        <f>SUM(E7:E23)</f>
        <v>28.499999999999993</v>
      </c>
      <c r="F24" s="160"/>
      <c r="G24" s="160"/>
      <c r="H24" s="162">
        <f>SUM(H7:H23)</f>
        <v>403515</v>
      </c>
      <c r="I24" s="160"/>
      <c r="J24" s="162">
        <f>SUM(J7:J23)</f>
        <v>4842180</v>
      </c>
      <c r="K24" s="135"/>
      <c r="L24" s="163">
        <f>SUM(L7:L23)</f>
        <v>609968.80000000005</v>
      </c>
      <c r="N24" s="164" t="s">
        <v>283</v>
      </c>
    </row>
    <row r="25" spans="1:14" ht="15">
      <c r="A25" s="135"/>
      <c r="B25" s="135"/>
      <c r="C25" s="165"/>
      <c r="D25" s="135"/>
      <c r="E25" s="135"/>
      <c r="F25" s="165"/>
      <c r="G25" s="165"/>
      <c r="H25" s="165"/>
      <c r="I25" s="165"/>
      <c r="J25" s="166"/>
      <c r="K25" s="135"/>
    </row>
    <row r="26" spans="1:14" ht="15.75">
      <c r="A26" s="135"/>
      <c r="B26" s="167" t="s">
        <v>284</v>
      </c>
      <c r="C26" s="160"/>
      <c r="D26" s="168"/>
      <c r="E26" s="168"/>
      <c r="F26" s="169"/>
      <c r="G26" s="160"/>
      <c r="H26" s="169"/>
      <c r="I26" s="160"/>
      <c r="J26" s="169"/>
      <c r="K26" s="135"/>
    </row>
    <row r="27" spans="1:14" ht="18">
      <c r="A27" s="170" t="s">
        <v>179</v>
      </c>
      <c r="B27" s="171" t="s">
        <v>285</v>
      </c>
      <c r="C27" s="172"/>
      <c r="D27" s="173"/>
      <c r="E27" s="173"/>
      <c r="F27" s="173"/>
      <c r="G27" s="173"/>
      <c r="H27" s="173"/>
      <c r="I27" s="173"/>
      <c r="J27" s="173"/>
      <c r="K27" s="135"/>
    </row>
    <row r="28" spans="1:14" ht="15">
      <c r="A28" s="149">
        <v>1</v>
      </c>
      <c r="B28" s="174" t="s">
        <v>286</v>
      </c>
      <c r="C28" s="175"/>
      <c r="D28" s="176"/>
      <c r="E28" s="176">
        <v>1</v>
      </c>
      <c r="F28" s="177">
        <v>2000</v>
      </c>
      <c r="G28" s="143"/>
      <c r="H28" s="178">
        <f>E28*F28</f>
        <v>2000</v>
      </c>
      <c r="I28" s="143"/>
      <c r="J28" s="179">
        <f>H28*12</f>
        <v>24000</v>
      </c>
      <c r="K28" s="135"/>
    </row>
    <row r="29" spans="1:14" ht="15">
      <c r="A29" s="149">
        <v>2</v>
      </c>
      <c r="B29" s="174" t="s">
        <v>287</v>
      </c>
      <c r="C29" s="175"/>
      <c r="D29" s="176"/>
      <c r="E29" s="176">
        <v>1</v>
      </c>
      <c r="F29" s="177">
        <v>1500</v>
      </c>
      <c r="G29" s="143"/>
      <c r="H29" s="178">
        <f t="shared" ref="H29:H34" si="5">E29*F29</f>
        <v>1500</v>
      </c>
      <c r="I29" s="143"/>
      <c r="J29" s="179">
        <f t="shared" ref="J29:J34" si="6">H29*12</f>
        <v>18000</v>
      </c>
      <c r="K29" s="135"/>
    </row>
    <row r="30" spans="1:14" ht="15">
      <c r="A30" s="149">
        <v>3</v>
      </c>
      <c r="B30" s="174" t="s">
        <v>288</v>
      </c>
      <c r="C30" s="175"/>
      <c r="D30" s="176"/>
      <c r="E30" s="176">
        <v>1</v>
      </c>
      <c r="F30" s="180">
        <v>1500</v>
      </c>
      <c r="G30" s="143"/>
      <c r="H30" s="178">
        <f t="shared" si="5"/>
        <v>1500</v>
      </c>
      <c r="I30" s="143"/>
      <c r="J30" s="179">
        <f t="shared" si="6"/>
        <v>18000</v>
      </c>
      <c r="K30" s="135"/>
    </row>
    <row r="31" spans="1:14" ht="15">
      <c r="A31" s="149">
        <v>4</v>
      </c>
      <c r="B31" s="174" t="s">
        <v>289</v>
      </c>
      <c r="C31" s="175"/>
      <c r="D31" s="176"/>
      <c r="E31" s="176">
        <v>1</v>
      </c>
      <c r="F31" s="180">
        <v>1500</v>
      </c>
      <c r="G31" s="143"/>
      <c r="H31" s="178">
        <f t="shared" si="5"/>
        <v>1500</v>
      </c>
      <c r="I31" s="143"/>
      <c r="J31" s="179">
        <f t="shared" si="6"/>
        <v>18000</v>
      </c>
      <c r="K31" s="135"/>
    </row>
    <row r="32" spans="1:14" ht="15">
      <c r="A32" s="149">
        <v>5</v>
      </c>
      <c r="B32" s="174" t="s">
        <v>290</v>
      </c>
      <c r="C32" s="175"/>
      <c r="D32" s="176"/>
      <c r="E32" s="176">
        <v>1</v>
      </c>
      <c r="F32" s="180">
        <v>3300</v>
      </c>
      <c r="G32" s="143"/>
      <c r="H32" s="178">
        <f t="shared" si="5"/>
        <v>3300</v>
      </c>
      <c r="I32" s="143"/>
      <c r="J32" s="179">
        <f t="shared" si="6"/>
        <v>39600</v>
      </c>
      <c r="K32" s="135"/>
    </row>
    <row r="33" spans="1:13" ht="15">
      <c r="A33" s="149">
        <v>6</v>
      </c>
      <c r="B33" s="174" t="s">
        <v>291</v>
      </c>
      <c r="C33" s="175"/>
      <c r="D33" s="176"/>
      <c r="E33" s="176">
        <v>1</v>
      </c>
      <c r="F33" s="177">
        <v>3300</v>
      </c>
      <c r="G33" s="143"/>
      <c r="H33" s="181">
        <f t="shared" si="5"/>
        <v>3300</v>
      </c>
      <c r="I33" s="143"/>
      <c r="J33" s="182">
        <f t="shared" si="6"/>
        <v>39600</v>
      </c>
      <c r="K33" s="135"/>
    </row>
    <row r="34" spans="1:13" ht="15">
      <c r="A34" s="149">
        <v>7</v>
      </c>
      <c r="B34" s="174" t="s">
        <v>292</v>
      </c>
      <c r="C34" s="175"/>
      <c r="D34" s="176"/>
      <c r="E34" s="176">
        <v>1</v>
      </c>
      <c r="F34" s="177">
        <v>9000</v>
      </c>
      <c r="G34" s="143"/>
      <c r="H34" s="181">
        <f t="shared" si="5"/>
        <v>9000</v>
      </c>
      <c r="I34" s="143"/>
      <c r="J34" s="182">
        <f t="shared" si="6"/>
        <v>108000</v>
      </c>
      <c r="K34" s="135"/>
    </row>
    <row r="35" spans="1:13" ht="18">
      <c r="A35" s="170" t="s">
        <v>207</v>
      </c>
      <c r="B35" s="171" t="s">
        <v>293</v>
      </c>
      <c r="C35" s="172"/>
      <c r="D35" s="173"/>
      <c r="E35" s="173"/>
      <c r="F35" s="173"/>
      <c r="G35" s="173"/>
      <c r="H35" s="173"/>
      <c r="I35" s="173"/>
      <c r="J35" s="173"/>
      <c r="K35" s="135"/>
    </row>
    <row r="36" spans="1:13" ht="15">
      <c r="A36" s="149">
        <v>1</v>
      </c>
      <c r="B36" s="174" t="s">
        <v>294</v>
      </c>
      <c r="C36" s="175"/>
      <c r="D36" s="176"/>
      <c r="E36" s="176">
        <v>1</v>
      </c>
      <c r="F36" s="180">
        <v>2000</v>
      </c>
      <c r="G36" s="143"/>
      <c r="H36" s="153">
        <f>F36*E36</f>
        <v>2000</v>
      </c>
      <c r="I36" s="143"/>
      <c r="J36" s="154">
        <f>H36*12</f>
        <v>24000</v>
      </c>
      <c r="K36" s="135"/>
      <c r="L36" s="183"/>
      <c r="M36" s="183"/>
    </row>
    <row r="37" spans="1:13" ht="15">
      <c r="A37" s="149">
        <v>2</v>
      </c>
      <c r="B37" s="174" t="s">
        <v>295</v>
      </c>
      <c r="C37" s="175"/>
      <c r="D37" s="176"/>
      <c r="E37" s="176">
        <v>1</v>
      </c>
      <c r="F37" s="180">
        <v>2000</v>
      </c>
      <c r="G37" s="143"/>
      <c r="H37" s="153">
        <f>F37*E37</f>
        <v>2000</v>
      </c>
      <c r="I37" s="143"/>
      <c r="J37" s="154">
        <f>H37*12</f>
        <v>24000</v>
      </c>
      <c r="K37" s="135"/>
      <c r="L37" s="183"/>
      <c r="M37" s="183"/>
    </row>
    <row r="38" spans="1:13" ht="15">
      <c r="A38" s="149">
        <v>3</v>
      </c>
      <c r="B38" s="174" t="s">
        <v>296</v>
      </c>
      <c r="C38" s="175"/>
      <c r="D38" s="176"/>
      <c r="E38" s="176">
        <v>1</v>
      </c>
      <c r="F38" s="180">
        <v>1000</v>
      </c>
      <c r="G38" s="143"/>
      <c r="H38" s="153">
        <f>F38*E38</f>
        <v>1000</v>
      </c>
      <c r="I38" s="143"/>
      <c r="J38" s="154">
        <f>H38*12</f>
        <v>12000</v>
      </c>
      <c r="K38" s="135"/>
      <c r="L38" s="183"/>
      <c r="M38" s="183"/>
    </row>
    <row r="39" spans="1:13" ht="15">
      <c r="A39" s="149">
        <v>4</v>
      </c>
      <c r="B39" s="174" t="s">
        <v>297</v>
      </c>
      <c r="C39" s="175"/>
      <c r="D39" s="176"/>
      <c r="E39" s="176">
        <v>1</v>
      </c>
      <c r="F39" s="180">
        <v>1500</v>
      </c>
      <c r="G39" s="143"/>
      <c r="H39" s="153">
        <f>F39*E39</f>
        <v>1500</v>
      </c>
      <c r="I39" s="143"/>
      <c r="J39" s="154">
        <f>H39*12</f>
        <v>18000</v>
      </c>
      <c r="K39" s="135"/>
      <c r="L39" s="183"/>
      <c r="M39" s="183"/>
    </row>
    <row r="40" spans="1:13" ht="15">
      <c r="A40" s="149">
        <v>5</v>
      </c>
      <c r="B40" s="174" t="s">
        <v>298</v>
      </c>
      <c r="C40" s="175"/>
      <c r="D40" s="176"/>
      <c r="E40" s="176">
        <v>1</v>
      </c>
      <c r="F40" s="180">
        <v>7500</v>
      </c>
      <c r="G40" s="143"/>
      <c r="H40" s="153">
        <f>F40*E40</f>
        <v>7500</v>
      </c>
      <c r="I40" s="143"/>
      <c r="J40" s="154">
        <f>H40*12</f>
        <v>90000</v>
      </c>
      <c r="K40" s="135"/>
      <c r="L40" s="183"/>
      <c r="M40" s="183"/>
    </row>
    <row r="41" spans="1:13" ht="18">
      <c r="A41" s="170" t="s">
        <v>214</v>
      </c>
      <c r="B41" s="171" t="s">
        <v>299</v>
      </c>
      <c r="C41" s="172"/>
      <c r="D41" s="173"/>
      <c r="E41" s="173"/>
      <c r="F41" s="173"/>
      <c r="G41" s="173"/>
      <c r="H41" s="173"/>
      <c r="I41" s="173"/>
      <c r="J41" s="173"/>
      <c r="K41" s="135"/>
    </row>
    <row r="42" spans="1:13" ht="15">
      <c r="A42" s="149">
        <v>1</v>
      </c>
      <c r="B42" s="174" t="s">
        <v>300</v>
      </c>
      <c r="C42" s="175"/>
      <c r="D42" s="176"/>
      <c r="E42" s="176">
        <v>1</v>
      </c>
      <c r="F42" s="180">
        <v>5600</v>
      </c>
      <c r="G42" s="143"/>
      <c r="H42" s="153">
        <f>F42*E42</f>
        <v>5600</v>
      </c>
      <c r="I42" s="143"/>
      <c r="J42" s="154">
        <f>H42*12</f>
        <v>67200</v>
      </c>
      <c r="K42" s="135"/>
      <c r="L42" s="183"/>
      <c r="M42" s="183"/>
    </row>
    <row r="43" spans="1:13" ht="15">
      <c r="A43" s="149">
        <v>2</v>
      </c>
      <c r="B43" s="174" t="s">
        <v>301</v>
      </c>
      <c r="C43" s="175"/>
      <c r="D43" s="176"/>
      <c r="E43" s="176">
        <v>1</v>
      </c>
      <c r="F43" s="180">
        <v>2300</v>
      </c>
      <c r="G43" s="143"/>
      <c r="H43" s="153">
        <f>F43*E43</f>
        <v>2300</v>
      </c>
      <c r="I43" s="143"/>
      <c r="J43" s="154">
        <f>H43*12</f>
        <v>27600</v>
      </c>
      <c r="K43" s="135"/>
      <c r="L43" s="183"/>
      <c r="M43" s="183"/>
    </row>
    <row r="44" spans="1:13" ht="15">
      <c r="A44" s="149">
        <v>3</v>
      </c>
      <c r="B44" s="174" t="s">
        <v>302</v>
      </c>
      <c r="C44" s="175"/>
      <c r="D44" s="176"/>
      <c r="E44" s="176">
        <v>1</v>
      </c>
      <c r="F44" s="180">
        <v>3000</v>
      </c>
      <c r="G44" s="143"/>
      <c r="H44" s="153">
        <f>F44*E44</f>
        <v>3000</v>
      </c>
      <c r="I44" s="143"/>
      <c r="J44" s="154">
        <f>H44*12</f>
        <v>36000</v>
      </c>
      <c r="K44" s="135"/>
      <c r="L44" s="183"/>
      <c r="M44" s="183"/>
    </row>
    <row r="45" spans="1:13" ht="15">
      <c r="A45" s="149">
        <v>4</v>
      </c>
      <c r="B45" s="174" t="s">
        <v>303</v>
      </c>
      <c r="C45" s="175"/>
      <c r="D45" s="176"/>
      <c r="E45" s="176">
        <v>1</v>
      </c>
      <c r="F45" s="180">
        <v>1000</v>
      </c>
      <c r="G45" s="143"/>
      <c r="H45" s="153">
        <f>F45*E45</f>
        <v>1000</v>
      </c>
      <c r="I45" s="143"/>
      <c r="J45" s="154">
        <f>H45*12</f>
        <v>12000</v>
      </c>
      <c r="K45" s="135"/>
      <c r="L45" s="183"/>
      <c r="M45" s="183"/>
    </row>
    <row r="46" spans="1:13" ht="15">
      <c r="A46" s="149">
        <v>5</v>
      </c>
      <c r="B46" s="174" t="s">
        <v>304</v>
      </c>
      <c r="C46" s="175"/>
      <c r="D46" s="176"/>
      <c r="E46" s="176">
        <v>1</v>
      </c>
      <c r="F46" s="180">
        <v>2000</v>
      </c>
      <c r="G46" s="143"/>
      <c r="H46" s="153">
        <f>F46*E46</f>
        <v>2000</v>
      </c>
      <c r="I46" s="143"/>
      <c r="J46" s="154">
        <f>H46*12</f>
        <v>24000</v>
      </c>
      <c r="K46" s="135"/>
      <c r="L46" s="183"/>
      <c r="M46" s="183"/>
    </row>
    <row r="47" spans="1:13" ht="18">
      <c r="A47" s="170" t="s">
        <v>223</v>
      </c>
      <c r="B47" s="171" t="s">
        <v>305</v>
      </c>
      <c r="C47" s="172"/>
      <c r="D47" s="173"/>
      <c r="E47" s="173"/>
      <c r="F47" s="173"/>
      <c r="G47" s="173"/>
      <c r="H47" s="173"/>
      <c r="I47" s="173"/>
      <c r="J47" s="173"/>
      <c r="K47" s="135"/>
    </row>
    <row r="48" spans="1:13" ht="15">
      <c r="A48" s="149">
        <v>1</v>
      </c>
      <c r="B48" s="174" t="s">
        <v>38</v>
      </c>
      <c r="C48" s="175"/>
      <c r="D48" s="176"/>
      <c r="E48" s="176">
        <v>1</v>
      </c>
      <c r="F48" s="180">
        <v>13000</v>
      </c>
      <c r="G48" s="143"/>
      <c r="H48" s="153">
        <f>F48*E48</f>
        <v>13000</v>
      </c>
      <c r="I48" s="143"/>
      <c r="J48" s="154">
        <f>H48*12</f>
        <v>156000</v>
      </c>
      <c r="K48" s="135"/>
      <c r="L48" s="183"/>
      <c r="M48" s="183"/>
    </row>
    <row r="49" spans="1:21" ht="15">
      <c r="A49" s="149">
        <v>2</v>
      </c>
      <c r="B49" s="174" t="s">
        <v>306</v>
      </c>
      <c r="C49" s="175"/>
      <c r="D49" s="176"/>
      <c r="E49" s="176">
        <v>0</v>
      </c>
      <c r="F49" s="180">
        <v>28000</v>
      </c>
      <c r="G49" s="143"/>
      <c r="H49" s="153">
        <f>F49*E49</f>
        <v>0</v>
      </c>
      <c r="I49" s="143"/>
      <c r="J49" s="154">
        <f>H49*12</f>
        <v>0</v>
      </c>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1</v>
      </c>
      <c r="F51" s="180">
        <v>8000</v>
      </c>
      <c r="G51" s="143"/>
      <c r="H51" s="153">
        <f>F51*E51</f>
        <v>8000</v>
      </c>
      <c r="I51" s="143"/>
      <c r="J51" s="154">
        <f>H51*12</f>
        <v>96000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E7+E8</f>
        <v>2.4000000000000004</v>
      </c>
      <c r="F54" s="180">
        <v>1500</v>
      </c>
      <c r="G54" s="143"/>
      <c r="H54" s="153">
        <f>F54*E54</f>
        <v>3600.0000000000005</v>
      </c>
      <c r="I54" s="143"/>
      <c r="J54" s="154">
        <f>H54*12</f>
        <v>43200.000000000007</v>
      </c>
      <c r="K54" s="135"/>
      <c r="L54" s="183"/>
      <c r="M54" s="183"/>
    </row>
    <row r="55" spans="1:21" ht="15">
      <c r="A55" s="149">
        <v>2</v>
      </c>
      <c r="B55" s="174" t="s">
        <v>312</v>
      </c>
      <c r="C55" s="175"/>
      <c r="D55" s="176"/>
      <c r="E55" s="176">
        <f>SUM(E9:E23)</f>
        <v>26.099999999999994</v>
      </c>
      <c r="F55" s="180">
        <v>1000</v>
      </c>
      <c r="G55" s="143"/>
      <c r="H55" s="153">
        <f>F55*E55</f>
        <v>26099.999999999993</v>
      </c>
      <c r="I55" s="143"/>
      <c r="J55" s="154">
        <f>H55*12</f>
        <v>313199.99999999988</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8000</v>
      </c>
      <c r="G57" s="143"/>
      <c r="H57" s="153">
        <f>F57*E57</f>
        <v>8000</v>
      </c>
      <c r="I57" s="143"/>
      <c r="J57" s="154">
        <f>H57*12</f>
        <v>96000</v>
      </c>
      <c r="K57" s="135"/>
      <c r="L57" s="183"/>
      <c r="M57" s="183"/>
    </row>
    <row r="58" spans="1:21" ht="15">
      <c r="A58" s="149">
        <v>2</v>
      </c>
      <c r="B58" s="174" t="s">
        <v>314</v>
      </c>
      <c r="C58" s="175"/>
      <c r="D58" s="176"/>
      <c r="E58" s="176">
        <v>1</v>
      </c>
      <c r="F58" s="180">
        <v>9000</v>
      </c>
      <c r="G58" s="143"/>
      <c r="H58" s="153">
        <f>F58*E58</f>
        <v>9000</v>
      </c>
      <c r="I58" s="143"/>
      <c r="J58" s="154">
        <f>H58*12</f>
        <v>108000</v>
      </c>
      <c r="K58" s="135"/>
      <c r="L58" s="183"/>
      <c r="M58" s="183"/>
    </row>
    <row r="59" spans="1:21" ht="15">
      <c r="A59" s="149">
        <v>3</v>
      </c>
      <c r="B59" s="184" t="s">
        <v>213</v>
      </c>
      <c r="C59" s="175"/>
      <c r="D59" s="176"/>
      <c r="E59" s="176">
        <f>E24</f>
        <v>28.499999999999993</v>
      </c>
      <c r="F59" s="180">
        <v>400</v>
      </c>
      <c r="G59" s="143"/>
      <c r="H59" s="153">
        <f>F59*E59</f>
        <v>11399.999999999996</v>
      </c>
      <c r="I59" s="143"/>
      <c r="J59" s="154">
        <f>H59*12</f>
        <v>136799.99999999994</v>
      </c>
      <c r="K59" s="135"/>
      <c r="L59" s="183"/>
      <c r="M59" s="183"/>
    </row>
    <row r="60" spans="1:21" ht="15">
      <c r="A60" s="149">
        <v>4</v>
      </c>
      <c r="B60" s="184" t="s">
        <v>315</v>
      </c>
      <c r="C60" s="175"/>
      <c r="D60" s="176"/>
      <c r="E60" s="176">
        <v>0.5</v>
      </c>
      <c r="F60" s="180">
        <v>18000</v>
      </c>
      <c r="G60" s="143"/>
      <c r="H60" s="153">
        <f>F60*E60</f>
        <v>9000</v>
      </c>
      <c r="I60" s="143"/>
      <c r="J60" s="154">
        <f>H60*12</f>
        <v>108000</v>
      </c>
      <c r="K60" s="135"/>
      <c r="L60" s="183"/>
      <c r="M60" s="183"/>
    </row>
    <row r="61" spans="1:21" ht="15">
      <c r="B61" s="185" t="s">
        <v>316</v>
      </c>
      <c r="C61" s="162"/>
      <c r="D61" s="186"/>
      <c r="E61" s="186"/>
      <c r="F61" s="162"/>
      <c r="G61" s="162"/>
      <c r="H61" s="162">
        <f>SUM(H28:H34)+SUM(H36:H40)+SUM(H42:H46)+SUM(H48:H49)+SUM(H51:H52)+SUM(H54:H55)+SUM(H57:H60)</f>
        <v>141100</v>
      </c>
      <c r="I61" s="162"/>
      <c r="J61" s="162">
        <f>SUM(J28:J34)+SUM(J36:J40)+SUM(J42:J46)+SUM(J48:J49)+SUM(J51:J52)+SUM(J54:J55)+SUM(J57:J60)</f>
        <v>1693200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403515</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141100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0.12</v>
      </c>
      <c r="B66" s="194" t="s">
        <v>320</v>
      </c>
      <c r="C66" s="165"/>
      <c r="D66" s="199">
        <f>(D64+D65)*A66</f>
        <v>65353.799999999996</v>
      </c>
      <c r="E66" s="200">
        <f>SUM(D64+D65+D66)</f>
        <v>609968.80000000005</v>
      </c>
      <c r="F66" s="201">
        <f>E66*12</f>
        <v>7319625.6000000006</v>
      </c>
      <c r="G66" s="165"/>
      <c r="H66" s="165"/>
      <c r="I66" s="165"/>
      <c r="J66" s="192"/>
      <c r="K66" s="193"/>
      <c r="L66" s="193"/>
      <c r="M66" s="193"/>
      <c r="N66" s="193"/>
      <c r="O66" s="193"/>
      <c r="P66" s="135"/>
      <c r="Q66" s="135"/>
      <c r="R66" s="135"/>
      <c r="S66" s="135"/>
      <c r="T66" s="135"/>
      <c r="U66" s="135"/>
    </row>
    <row r="67" spans="1:21" ht="14.1" customHeight="1">
      <c r="A67" s="135"/>
      <c r="B67" s="202"/>
      <c r="C67" s="165"/>
      <c r="D67" s="135"/>
      <c r="E67" s="135"/>
      <c r="F67" s="165"/>
      <c r="G67" s="165"/>
      <c r="H67" s="165"/>
      <c r="I67" s="165"/>
      <c r="J67" s="192"/>
      <c r="K67" s="193"/>
      <c r="L67" s="193"/>
      <c r="M67" s="193"/>
      <c r="N67" s="193"/>
      <c r="O67" s="193"/>
      <c r="P67" s="135"/>
      <c r="Q67" s="135"/>
      <c r="R67" s="135"/>
      <c r="S67" s="135"/>
      <c r="T67" s="135"/>
      <c r="U67" s="135"/>
    </row>
    <row r="68" spans="1:21" ht="15">
      <c r="A68" s="203"/>
      <c r="B68" s="185" t="s">
        <v>321</v>
      </c>
      <c r="C68" s="135"/>
      <c r="D68" s="204">
        <f>(D66+D65)/(D64+D65+D66)</f>
        <v>0.33846616417101982</v>
      </c>
      <c r="E68" s="193"/>
      <c r="F68" s="172"/>
      <c r="G68" s="135"/>
      <c r="H68" s="172"/>
      <c r="I68" s="135"/>
      <c r="J68" s="205"/>
      <c r="K68" s="135"/>
      <c r="L68" s="135"/>
      <c r="M68" s="135"/>
      <c r="N68" s="135"/>
      <c r="O68" s="135"/>
    </row>
    <row r="69" spans="1:21" ht="15">
      <c r="A69" s="203"/>
      <c r="B69" s="135"/>
      <c r="C69" s="135"/>
      <c r="D69" s="135"/>
      <c r="E69" s="135"/>
      <c r="F69" s="172"/>
      <c r="G69" s="135"/>
      <c r="H69" s="172"/>
      <c r="I69" s="135"/>
      <c r="J69" s="193"/>
      <c r="K69" s="135"/>
      <c r="L69" s="135"/>
      <c r="M69" s="135"/>
      <c r="N69" s="135"/>
      <c r="O69" s="135"/>
    </row>
    <row r="70" spans="1:21" ht="15">
      <c r="A70" s="135"/>
      <c r="B70" s="135"/>
      <c r="C70" s="135"/>
      <c r="D70" s="205"/>
      <c r="E70" s="205"/>
      <c r="F70" s="135"/>
      <c r="G70" s="135"/>
      <c r="H70" s="135"/>
      <c r="I70" s="135"/>
      <c r="J70" s="135"/>
      <c r="K70" s="135"/>
      <c r="L70" s="135"/>
      <c r="M70" s="135"/>
      <c r="N70" s="135"/>
      <c r="O70" s="135"/>
    </row>
    <row r="71" spans="1:21" ht="15">
      <c r="A71" s="135"/>
      <c r="B71" s="135"/>
      <c r="C71" s="135"/>
      <c r="D71" s="135"/>
      <c r="E71" s="13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93">
        <v>0</v>
      </c>
      <c r="G74" s="135"/>
      <c r="H74" s="193">
        <v>0</v>
      </c>
      <c r="I74" s="135"/>
      <c r="J74" s="193">
        <v>0</v>
      </c>
      <c r="K74" s="135"/>
      <c r="L74" s="135"/>
      <c r="M74" s="135"/>
      <c r="N74" s="135"/>
      <c r="O74" s="135"/>
    </row>
    <row r="90" spans="6:6" ht="15">
      <c r="F90" s="135">
        <v>0</v>
      </c>
    </row>
  </sheetData>
  <mergeCells count="2">
    <mergeCell ref="B2:J2"/>
    <mergeCell ref="D4:E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E6ED-F8EA-4701-8CC1-3AE24E48ADA8}">
  <dimension ref="A1:U91"/>
  <sheetViews>
    <sheetView topLeftCell="A25" zoomScaleNormal="100" workbookViewId="0">
      <selection activeCell="F58" sqref="F58"/>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322</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
        <v>43</v>
      </c>
      <c r="C7" s="143"/>
      <c r="D7" s="151">
        <v>1</v>
      </c>
      <c r="E7" s="152">
        <f>ROUNDUP(D7+(D7/6),1)</f>
        <v>1.2000000000000002</v>
      </c>
      <c r="F7" s="153">
        <f>'MEP Budget-Y1'!F7*1.1</f>
        <v>44000</v>
      </c>
      <c r="G7" s="143"/>
      <c r="H7" s="153">
        <f>F7*E7</f>
        <v>52800.000000000007</v>
      </c>
      <c r="I7" s="143"/>
      <c r="J7" s="154">
        <f t="shared" ref="J7:J23" si="0">H7*12</f>
        <v>633600.00000000012</v>
      </c>
      <c r="K7" s="135"/>
      <c r="L7" s="155">
        <f>H7/(1-D$69)</f>
        <v>82788.457055901192</v>
      </c>
      <c r="N7" s="156">
        <f>ROUNDUP(L7/D7/30,0)</f>
        <v>2760</v>
      </c>
    </row>
    <row r="8" spans="1:15" ht="15">
      <c r="A8" s="149">
        <v>2</v>
      </c>
      <c r="B8" s="150" t="s">
        <v>0</v>
      </c>
      <c r="C8" s="143"/>
      <c r="D8" s="151">
        <v>2</v>
      </c>
      <c r="E8" s="152">
        <f t="shared" ref="E8:E23" si="1">ROUNDUP(D8+(D8/6),1)</f>
        <v>2.4</v>
      </c>
      <c r="F8" s="153">
        <f>'MEP Budget-Y1'!F8*1.1</f>
        <v>28600.000000000004</v>
      </c>
      <c r="G8" s="143"/>
      <c r="H8" s="153">
        <f t="shared" ref="H8:H23" si="2">F8*E8</f>
        <v>68640</v>
      </c>
      <c r="I8" s="143"/>
      <c r="J8" s="154">
        <f t="shared" si="0"/>
        <v>823680</v>
      </c>
      <c r="K8" s="135"/>
      <c r="L8" s="155">
        <f t="shared" ref="L8:L23" si="3">H8/(1-D$69)</f>
        <v>107624.99417267153</v>
      </c>
      <c r="N8" s="156">
        <f t="shared" ref="N8:N23" si="4">ROUNDUP(L8/D8/30,0)</f>
        <v>1794</v>
      </c>
    </row>
    <row r="9" spans="1:15" ht="15">
      <c r="A9" s="149">
        <v>3</v>
      </c>
      <c r="B9" s="150" t="s">
        <v>1</v>
      </c>
      <c r="C9" s="143"/>
      <c r="D9" s="151">
        <v>2</v>
      </c>
      <c r="E9" s="152">
        <f t="shared" si="1"/>
        <v>2.4</v>
      </c>
      <c r="F9" s="153">
        <f>'MEP Budget-Y1'!F9*1.1</f>
        <v>16060.000000000002</v>
      </c>
      <c r="G9" s="143"/>
      <c r="H9" s="153">
        <f t="shared" si="2"/>
        <v>38544</v>
      </c>
      <c r="I9" s="143"/>
      <c r="J9" s="154">
        <f t="shared" si="0"/>
        <v>462528</v>
      </c>
      <c r="K9" s="135"/>
      <c r="L9" s="155">
        <f t="shared" si="3"/>
        <v>60435.573650807863</v>
      </c>
      <c r="N9" s="156">
        <f t="shared" si="4"/>
        <v>1008</v>
      </c>
    </row>
    <row r="10" spans="1:15" ht="15">
      <c r="A10" s="149">
        <v>4</v>
      </c>
      <c r="B10" s="150" t="s">
        <v>2</v>
      </c>
      <c r="C10" s="143"/>
      <c r="D10" s="151">
        <v>2</v>
      </c>
      <c r="E10" s="152">
        <f t="shared" si="1"/>
        <v>2.4</v>
      </c>
      <c r="F10" s="153">
        <f>'MEP Budget-Y1'!F10*1.1</f>
        <v>16060.000000000002</v>
      </c>
      <c r="G10" s="143"/>
      <c r="H10" s="153">
        <f t="shared" si="2"/>
        <v>38544</v>
      </c>
      <c r="I10" s="143"/>
      <c r="J10" s="154">
        <f t="shared" si="0"/>
        <v>462528</v>
      </c>
      <c r="K10" s="135"/>
      <c r="L10" s="155">
        <f t="shared" si="3"/>
        <v>60435.573650807863</v>
      </c>
      <c r="N10" s="156">
        <f t="shared" si="4"/>
        <v>1008</v>
      </c>
    </row>
    <row r="11" spans="1:15" ht="15">
      <c r="A11" s="149">
        <v>5</v>
      </c>
      <c r="B11" s="150" t="s">
        <v>3</v>
      </c>
      <c r="C11" s="143"/>
      <c r="D11" s="151">
        <v>1</v>
      </c>
      <c r="E11" s="152">
        <f t="shared" si="1"/>
        <v>1.2000000000000002</v>
      </c>
      <c r="F11" s="153">
        <f>'MEP Budget-Y1'!F11*1.1</f>
        <v>16060.000000000002</v>
      </c>
      <c r="G11" s="143"/>
      <c r="H11" s="153">
        <f t="shared" si="2"/>
        <v>19272.000000000004</v>
      </c>
      <c r="I11" s="143"/>
      <c r="J11" s="154">
        <f t="shared" si="0"/>
        <v>231264.00000000006</v>
      </c>
      <c r="K11" s="135"/>
      <c r="L11" s="155">
        <f t="shared" si="3"/>
        <v>30217.786825403935</v>
      </c>
      <c r="N11" s="156">
        <f t="shared" si="4"/>
        <v>1008</v>
      </c>
    </row>
    <row r="12" spans="1:15" ht="15">
      <c r="A12" s="149">
        <v>6</v>
      </c>
      <c r="B12" s="150" t="s">
        <v>4</v>
      </c>
      <c r="C12" s="143"/>
      <c r="D12" s="158">
        <v>5</v>
      </c>
      <c r="E12" s="152">
        <f t="shared" si="1"/>
        <v>5.8999999999999995</v>
      </c>
      <c r="F12" s="153">
        <f>'MEP Budget-Y1'!F12*1.1</f>
        <v>9350</v>
      </c>
      <c r="G12" s="143"/>
      <c r="H12" s="153">
        <f t="shared" si="2"/>
        <v>55164.999999999993</v>
      </c>
      <c r="I12" s="143"/>
      <c r="J12" s="154">
        <f t="shared" si="0"/>
        <v>661979.99999999988</v>
      </c>
      <c r="K12" s="135"/>
      <c r="L12" s="155">
        <f t="shared" si="3"/>
        <v>86496.690028196739</v>
      </c>
      <c r="N12" s="156">
        <f t="shared" si="4"/>
        <v>577</v>
      </c>
    </row>
    <row r="13" spans="1:15" ht="15">
      <c r="A13" s="149">
        <v>7</v>
      </c>
      <c r="B13" s="150" t="s">
        <v>5</v>
      </c>
      <c r="C13" s="143"/>
      <c r="D13" s="158">
        <v>2</v>
      </c>
      <c r="E13" s="152">
        <f t="shared" si="1"/>
        <v>2.4</v>
      </c>
      <c r="F13" s="153">
        <f>'MEP Budget-Y1'!F13*1.1</f>
        <v>9625</v>
      </c>
      <c r="G13" s="143"/>
      <c r="H13" s="153">
        <f t="shared" si="2"/>
        <v>23100</v>
      </c>
      <c r="I13" s="143"/>
      <c r="J13" s="154">
        <f t="shared" si="0"/>
        <v>277200</v>
      </c>
      <c r="K13" s="135"/>
      <c r="L13" s="155">
        <f t="shared" si="3"/>
        <v>36219.949961956765</v>
      </c>
      <c r="N13" s="156">
        <f t="shared" si="4"/>
        <v>604</v>
      </c>
    </row>
    <row r="14" spans="1:15" ht="15">
      <c r="A14" s="149">
        <v>8</v>
      </c>
      <c r="B14" s="150" t="s">
        <v>6</v>
      </c>
      <c r="C14" s="143"/>
      <c r="D14" s="158">
        <v>5</v>
      </c>
      <c r="E14" s="152">
        <f t="shared" si="1"/>
        <v>5.8999999999999995</v>
      </c>
      <c r="F14" s="153">
        <f>'MEP Budget-Y1'!F14*1.1</f>
        <v>9185</v>
      </c>
      <c r="G14" s="143"/>
      <c r="H14" s="153">
        <f t="shared" si="2"/>
        <v>54191.499999999993</v>
      </c>
      <c r="I14" s="143"/>
      <c r="J14" s="154">
        <f t="shared" si="0"/>
        <v>650297.99999999988</v>
      </c>
      <c r="K14" s="135"/>
      <c r="L14" s="155">
        <f t="shared" si="3"/>
        <v>84970.277851228559</v>
      </c>
      <c r="N14" s="156">
        <f t="shared" si="4"/>
        <v>567</v>
      </c>
    </row>
    <row r="15" spans="1:15" ht="15">
      <c r="A15" s="149">
        <v>9</v>
      </c>
      <c r="B15" s="150" t="s">
        <v>7</v>
      </c>
      <c r="C15" s="143"/>
      <c r="D15" s="158">
        <v>1</v>
      </c>
      <c r="E15" s="152">
        <f t="shared" si="1"/>
        <v>1.2000000000000002</v>
      </c>
      <c r="F15" s="153">
        <f>'MEP Budget-Y1'!F15*1.1</f>
        <v>9900</v>
      </c>
      <c r="G15" s="143"/>
      <c r="H15" s="153">
        <f t="shared" si="2"/>
        <v>11880.000000000002</v>
      </c>
      <c r="I15" s="143"/>
      <c r="J15" s="154">
        <f t="shared" si="0"/>
        <v>142560.00000000003</v>
      </c>
      <c r="K15" s="135"/>
      <c r="L15" s="155">
        <f t="shared" si="3"/>
        <v>18627.402837577767</v>
      </c>
      <c r="N15" s="156">
        <f t="shared" si="4"/>
        <v>621</v>
      </c>
    </row>
    <row r="16" spans="1:15" ht="15">
      <c r="A16" s="149">
        <v>10</v>
      </c>
      <c r="B16" s="150" t="s">
        <v>8</v>
      </c>
      <c r="C16" s="143"/>
      <c r="D16" s="158">
        <v>1</v>
      </c>
      <c r="E16" s="152">
        <f t="shared" si="1"/>
        <v>1.2000000000000002</v>
      </c>
      <c r="F16" s="153">
        <f>'MEP Budget-Y1'!F16*1.1</f>
        <v>13530.000000000002</v>
      </c>
      <c r="G16" s="143"/>
      <c r="H16" s="153">
        <f t="shared" si="2"/>
        <v>16236.000000000005</v>
      </c>
      <c r="I16" s="143"/>
      <c r="J16" s="154">
        <f t="shared" si="0"/>
        <v>194832.00000000006</v>
      </c>
      <c r="K16" s="135"/>
      <c r="L16" s="155">
        <f t="shared" si="3"/>
        <v>25457.450544689622</v>
      </c>
      <c r="N16" s="156">
        <f t="shared" si="4"/>
        <v>849</v>
      </c>
    </row>
    <row r="17" spans="1:14" ht="15">
      <c r="A17" s="149">
        <v>11</v>
      </c>
      <c r="B17" s="150" t="s">
        <v>9</v>
      </c>
      <c r="C17" s="143"/>
      <c r="D17" s="158">
        <v>2</v>
      </c>
      <c r="E17" s="152">
        <f t="shared" si="1"/>
        <v>2.4</v>
      </c>
      <c r="F17" s="153">
        <f>'MEP Budget-Y1'!F17*1.1</f>
        <v>9350</v>
      </c>
      <c r="G17" s="143"/>
      <c r="H17" s="153">
        <f t="shared" si="2"/>
        <v>22440</v>
      </c>
      <c r="I17" s="143"/>
      <c r="J17" s="154">
        <f t="shared" si="0"/>
        <v>269280</v>
      </c>
      <c r="K17" s="135"/>
      <c r="L17" s="155">
        <f t="shared" si="3"/>
        <v>35185.094248758003</v>
      </c>
      <c r="N17" s="156">
        <f t="shared" si="4"/>
        <v>587</v>
      </c>
    </row>
    <row r="18" spans="1:14" ht="15">
      <c r="A18" s="149">
        <v>12</v>
      </c>
      <c r="B18" s="150" t="s">
        <v>10</v>
      </c>
      <c r="C18" s="143"/>
      <c r="D18" s="158">
        <v>2</v>
      </c>
      <c r="E18" s="152">
        <f t="shared" si="1"/>
        <v>2.4</v>
      </c>
      <c r="F18" s="153">
        <f>'MEP Budget-Y1'!F18*1.1</f>
        <v>9350</v>
      </c>
      <c r="G18" s="143"/>
      <c r="H18" s="153">
        <f t="shared" si="2"/>
        <v>22440</v>
      </c>
      <c r="I18" s="143"/>
      <c r="J18" s="154">
        <f t="shared" si="0"/>
        <v>269280</v>
      </c>
      <c r="K18" s="135"/>
      <c r="L18" s="155">
        <f t="shared" si="3"/>
        <v>35185.094248758003</v>
      </c>
      <c r="N18" s="156">
        <f t="shared" si="4"/>
        <v>587</v>
      </c>
    </row>
    <row r="19" spans="1:14" ht="15">
      <c r="A19" s="149">
        <v>13</v>
      </c>
      <c r="B19" s="150" t="s">
        <v>11</v>
      </c>
      <c r="C19" s="143"/>
      <c r="D19" s="158">
        <v>6</v>
      </c>
      <c r="E19" s="152">
        <f t="shared" si="1"/>
        <v>7</v>
      </c>
      <c r="F19" s="153">
        <f>'MEP Budget-Y1'!F19*1.1</f>
        <v>8360</v>
      </c>
      <c r="G19" s="143"/>
      <c r="H19" s="153">
        <f t="shared" si="2"/>
        <v>58520</v>
      </c>
      <c r="I19" s="143"/>
      <c r="J19" s="154">
        <f t="shared" si="0"/>
        <v>702240</v>
      </c>
      <c r="K19" s="135"/>
      <c r="L19" s="155">
        <f t="shared" si="3"/>
        <v>91757.206570290466</v>
      </c>
      <c r="N19" s="156">
        <f t="shared" si="4"/>
        <v>510</v>
      </c>
    </row>
    <row r="20" spans="1:14" ht="15">
      <c r="A20" s="149">
        <v>14</v>
      </c>
      <c r="B20" s="150" t="s">
        <v>45</v>
      </c>
      <c r="C20" s="143"/>
      <c r="D20" s="158">
        <v>1</v>
      </c>
      <c r="E20" s="152">
        <f t="shared" si="1"/>
        <v>1.2000000000000002</v>
      </c>
      <c r="F20" s="153">
        <f>'MEP Budget-Y1'!F20*1.1</f>
        <v>18150</v>
      </c>
      <c r="G20" s="143"/>
      <c r="H20" s="153">
        <f t="shared" si="2"/>
        <v>21780.000000000004</v>
      </c>
      <c r="I20" s="143"/>
      <c r="J20" s="154">
        <f t="shared" si="0"/>
        <v>261360.00000000006</v>
      </c>
      <c r="K20" s="135"/>
      <c r="L20" s="155">
        <f t="shared" si="3"/>
        <v>34150.238535559241</v>
      </c>
      <c r="N20" s="156">
        <f t="shared" si="4"/>
        <v>1139</v>
      </c>
    </row>
    <row r="21" spans="1:14" ht="15">
      <c r="A21" s="149">
        <v>15</v>
      </c>
      <c r="B21" s="150" t="s">
        <v>42</v>
      </c>
      <c r="C21" s="143"/>
      <c r="D21" s="158">
        <v>1</v>
      </c>
      <c r="E21" s="152">
        <f t="shared" si="1"/>
        <v>1.2000000000000002</v>
      </c>
      <c r="F21" s="153">
        <f>'MEP Budget-Y1'!F21*1.1</f>
        <v>13200.000000000002</v>
      </c>
      <c r="G21" s="143"/>
      <c r="H21" s="153">
        <f t="shared" si="2"/>
        <v>15840.000000000004</v>
      </c>
      <c r="I21" s="143"/>
      <c r="J21" s="154">
        <f t="shared" si="0"/>
        <v>190080.00000000006</v>
      </c>
      <c r="K21" s="135"/>
      <c r="L21" s="155">
        <f t="shared" si="3"/>
        <v>24836.53711677036</v>
      </c>
      <c r="N21" s="156">
        <f t="shared" si="4"/>
        <v>828</v>
      </c>
    </row>
    <row r="22" spans="1:14" ht="15">
      <c r="A22" s="149">
        <v>16</v>
      </c>
      <c r="B22" s="150" t="s">
        <v>46</v>
      </c>
      <c r="C22" s="143"/>
      <c r="D22" s="158">
        <v>1</v>
      </c>
      <c r="E22" s="152">
        <f t="shared" si="1"/>
        <v>1.2000000000000002</v>
      </c>
      <c r="F22" s="153">
        <f>'MEP Budget-Y1'!F22*1.1</f>
        <v>13200.000000000002</v>
      </c>
      <c r="G22" s="143"/>
      <c r="H22" s="153">
        <f t="shared" si="2"/>
        <v>15840.000000000004</v>
      </c>
      <c r="I22" s="143"/>
      <c r="J22" s="154">
        <f t="shared" si="0"/>
        <v>190080.00000000006</v>
      </c>
      <c r="K22" s="135"/>
      <c r="L22" s="155">
        <f t="shared" si="3"/>
        <v>24836.53711677036</v>
      </c>
      <c r="N22" s="156">
        <f t="shared" si="4"/>
        <v>828</v>
      </c>
    </row>
    <row r="23" spans="1:14" ht="15">
      <c r="A23" s="149">
        <v>17</v>
      </c>
      <c r="B23" s="150" t="s">
        <v>154</v>
      </c>
      <c r="C23" s="143"/>
      <c r="D23" s="158">
        <v>1</v>
      </c>
      <c r="E23" s="152">
        <f t="shared" si="1"/>
        <v>1.2000000000000002</v>
      </c>
      <c r="F23" s="153">
        <f>'MEP Budget-Y1'!F23*1.1</f>
        <v>66000</v>
      </c>
      <c r="G23" s="143"/>
      <c r="H23" s="153">
        <f t="shared" si="2"/>
        <v>79200.000000000015</v>
      </c>
      <c r="I23" s="143"/>
      <c r="J23" s="154">
        <f t="shared" si="0"/>
        <v>950400.00000000023</v>
      </c>
      <c r="K23" s="135"/>
      <c r="L23" s="155">
        <f t="shared" si="3"/>
        <v>124182.68558385179</v>
      </c>
      <c r="N23" s="156">
        <f t="shared" si="4"/>
        <v>4140</v>
      </c>
    </row>
    <row r="24" spans="1:14" ht="15">
      <c r="A24" s="135"/>
      <c r="B24" s="159" t="s">
        <v>282</v>
      </c>
      <c r="C24" s="160"/>
      <c r="D24" s="161">
        <f>SUM(D7:D23)</f>
        <v>36</v>
      </c>
      <c r="E24" s="161">
        <f>SUM(E7:E23)</f>
        <v>42.800000000000004</v>
      </c>
      <c r="F24" s="160"/>
      <c r="G24" s="160"/>
      <c r="H24" s="162">
        <f>SUM(H7:H23)</f>
        <v>614432.5</v>
      </c>
      <c r="I24" s="160"/>
      <c r="J24" s="162">
        <f>SUM(J7:J23)</f>
        <v>7373190</v>
      </c>
      <c r="K24" s="135"/>
      <c r="L24" s="163">
        <f>SUM(L7:L23)</f>
        <v>963407.55000000028</v>
      </c>
      <c r="N24" s="164" t="s">
        <v>283</v>
      </c>
    </row>
    <row r="25" spans="1:14" ht="15">
      <c r="A25" s="135"/>
      <c r="B25" s="135"/>
      <c r="C25" s="165"/>
      <c r="D25" s="135"/>
      <c r="E25" s="135"/>
      <c r="F25" s="165"/>
      <c r="G25" s="165"/>
      <c r="H25" s="165"/>
      <c r="I25" s="165"/>
      <c r="J25" s="166"/>
      <c r="K25" s="135"/>
    </row>
    <row r="26" spans="1:14" ht="15.75">
      <c r="A26" s="135"/>
      <c r="B26" s="167" t="s">
        <v>284</v>
      </c>
      <c r="C26" s="160"/>
      <c r="D26" s="168"/>
      <c r="E26" s="168"/>
      <c r="F26" s="169"/>
      <c r="G26" s="160"/>
      <c r="H26" s="169"/>
      <c r="I26" s="160"/>
      <c r="J26" s="169"/>
      <c r="K26" s="135"/>
    </row>
    <row r="27" spans="1:14" ht="18">
      <c r="A27" s="170" t="s">
        <v>179</v>
      </c>
      <c r="B27" s="171" t="s">
        <v>285</v>
      </c>
      <c r="C27" s="172"/>
      <c r="D27" s="173"/>
      <c r="E27" s="173"/>
      <c r="F27" s="173"/>
      <c r="G27" s="173"/>
      <c r="H27" s="173"/>
      <c r="I27" s="173"/>
      <c r="J27" s="173"/>
      <c r="K27" s="135"/>
    </row>
    <row r="28" spans="1:14" ht="15">
      <c r="A28" s="149">
        <v>1</v>
      </c>
      <c r="B28" s="174" t="s">
        <v>286</v>
      </c>
      <c r="C28" s="175"/>
      <c r="D28" s="176"/>
      <c r="E28" s="176">
        <v>1</v>
      </c>
      <c r="F28" s="177">
        <f>'MEP Budget-Y1'!F28*1.05</f>
        <v>2100</v>
      </c>
      <c r="G28" s="143"/>
      <c r="H28" s="178">
        <f>E28*F28</f>
        <v>2100</v>
      </c>
      <c r="I28" s="143"/>
      <c r="J28" s="179">
        <f>H28*12</f>
        <v>25200</v>
      </c>
      <c r="K28" s="135"/>
    </row>
    <row r="29" spans="1:14" ht="15">
      <c r="A29" s="149">
        <v>2</v>
      </c>
      <c r="B29" s="174" t="s">
        <v>287</v>
      </c>
      <c r="C29" s="175"/>
      <c r="D29" s="176"/>
      <c r="E29" s="176">
        <v>1</v>
      </c>
      <c r="F29" s="177">
        <f>'MEP Budget-Y1'!F29*1.05</f>
        <v>1575</v>
      </c>
      <c r="G29" s="143"/>
      <c r="H29" s="178">
        <f t="shared" ref="H29:H34" si="5">E29*F29</f>
        <v>1575</v>
      </c>
      <c r="I29" s="143"/>
      <c r="J29" s="179">
        <f t="shared" ref="J29:J34" si="6">H29*12</f>
        <v>18900</v>
      </c>
      <c r="K29" s="135"/>
    </row>
    <row r="30" spans="1:14" ht="15">
      <c r="A30" s="149">
        <v>3</v>
      </c>
      <c r="B30" s="174" t="s">
        <v>288</v>
      </c>
      <c r="C30" s="175"/>
      <c r="D30" s="176"/>
      <c r="E30" s="176">
        <v>1</v>
      </c>
      <c r="F30" s="177">
        <f>'MEP Budget-Y1'!F30*1.05</f>
        <v>1575</v>
      </c>
      <c r="G30" s="143"/>
      <c r="H30" s="178">
        <f t="shared" si="5"/>
        <v>1575</v>
      </c>
      <c r="I30" s="143"/>
      <c r="J30" s="179">
        <f t="shared" si="6"/>
        <v>18900</v>
      </c>
      <c r="K30" s="135"/>
    </row>
    <row r="31" spans="1:14" ht="15">
      <c r="A31" s="149">
        <v>4</v>
      </c>
      <c r="B31" s="174" t="s">
        <v>289</v>
      </c>
      <c r="C31" s="175"/>
      <c r="D31" s="176"/>
      <c r="E31" s="176">
        <v>1</v>
      </c>
      <c r="F31" s="177">
        <f>'MEP Budget-Y1'!F31*1.05</f>
        <v>1575</v>
      </c>
      <c r="G31" s="143"/>
      <c r="H31" s="178">
        <f t="shared" si="5"/>
        <v>1575</v>
      </c>
      <c r="I31" s="143"/>
      <c r="J31" s="179">
        <f t="shared" si="6"/>
        <v>18900</v>
      </c>
      <c r="K31" s="135"/>
    </row>
    <row r="32" spans="1:14" ht="15">
      <c r="A32" s="149">
        <v>5</v>
      </c>
      <c r="B32" s="174" t="s">
        <v>290</v>
      </c>
      <c r="C32" s="175"/>
      <c r="D32" s="176"/>
      <c r="E32" s="176">
        <v>1</v>
      </c>
      <c r="F32" s="177">
        <f>'MEP Budget-Y1'!F32*1.05</f>
        <v>3465</v>
      </c>
      <c r="G32" s="143"/>
      <c r="H32" s="178">
        <f t="shared" si="5"/>
        <v>3465</v>
      </c>
      <c r="I32" s="143"/>
      <c r="J32" s="179">
        <f t="shared" si="6"/>
        <v>41580</v>
      </c>
      <c r="K32" s="135"/>
    </row>
    <row r="33" spans="1:13" ht="15">
      <c r="A33" s="149">
        <v>6</v>
      </c>
      <c r="B33" s="174" t="s">
        <v>291</v>
      </c>
      <c r="C33" s="175"/>
      <c r="D33" s="176"/>
      <c r="E33" s="176">
        <v>1</v>
      </c>
      <c r="F33" s="177">
        <f>'MEP Budget-Y1'!F33*1.05</f>
        <v>3465</v>
      </c>
      <c r="G33" s="143"/>
      <c r="H33" s="181">
        <f t="shared" si="5"/>
        <v>3465</v>
      </c>
      <c r="I33" s="143"/>
      <c r="J33" s="182">
        <f t="shared" si="6"/>
        <v>41580</v>
      </c>
      <c r="K33" s="135"/>
    </row>
    <row r="34" spans="1:13" ht="15">
      <c r="A34" s="149">
        <v>7</v>
      </c>
      <c r="B34" s="174" t="s">
        <v>292</v>
      </c>
      <c r="C34" s="175"/>
      <c r="D34" s="176"/>
      <c r="E34" s="176">
        <v>1</v>
      </c>
      <c r="F34" s="177">
        <f>'MEP Budget-Y1'!F34*1.05</f>
        <v>9450</v>
      </c>
      <c r="G34" s="143"/>
      <c r="H34" s="181">
        <f t="shared" si="5"/>
        <v>9450</v>
      </c>
      <c r="I34" s="143"/>
      <c r="J34" s="182">
        <f t="shared" si="6"/>
        <v>113400</v>
      </c>
      <c r="K34" s="135"/>
    </row>
    <row r="35" spans="1:13" ht="18">
      <c r="A35" s="170" t="s">
        <v>207</v>
      </c>
      <c r="B35" s="171" t="s">
        <v>293</v>
      </c>
      <c r="C35" s="172"/>
      <c r="D35" s="173"/>
      <c r="E35" s="173"/>
      <c r="F35" s="173"/>
      <c r="G35" s="173"/>
      <c r="H35" s="173"/>
      <c r="I35" s="173"/>
      <c r="J35" s="173"/>
      <c r="K35" s="135"/>
    </row>
    <row r="36" spans="1:13" ht="15">
      <c r="A36" s="149">
        <v>1</v>
      </c>
      <c r="B36" s="174" t="s">
        <v>294</v>
      </c>
      <c r="C36" s="175"/>
      <c r="D36" s="176"/>
      <c r="E36" s="176">
        <v>1</v>
      </c>
      <c r="F36" s="180">
        <f>'MEP Budget-Y1'!F36*1.05</f>
        <v>2100</v>
      </c>
      <c r="G36" s="143"/>
      <c r="H36" s="153">
        <f>F36*E36</f>
        <v>2100</v>
      </c>
      <c r="I36" s="143"/>
      <c r="J36" s="154">
        <f>H36*12</f>
        <v>25200</v>
      </c>
      <c r="K36" s="135"/>
      <c r="L36" s="183"/>
      <c r="M36" s="183"/>
    </row>
    <row r="37" spans="1:13" ht="15">
      <c r="A37" s="149">
        <v>2</v>
      </c>
      <c r="B37" s="174" t="s">
        <v>295</v>
      </c>
      <c r="C37" s="175"/>
      <c r="D37" s="176"/>
      <c r="E37" s="176">
        <v>1</v>
      </c>
      <c r="F37" s="180">
        <f>'MEP Budget-Y1'!F37*1.05</f>
        <v>2100</v>
      </c>
      <c r="G37" s="143"/>
      <c r="H37" s="153">
        <f>F37*E37</f>
        <v>2100</v>
      </c>
      <c r="I37" s="143"/>
      <c r="J37" s="154">
        <f>H37*12</f>
        <v>25200</v>
      </c>
      <c r="K37" s="135"/>
      <c r="L37" s="183"/>
      <c r="M37" s="183"/>
    </row>
    <row r="38" spans="1:13" ht="15">
      <c r="A38" s="149">
        <v>3</v>
      </c>
      <c r="B38" s="174" t="s">
        <v>296</v>
      </c>
      <c r="C38" s="175"/>
      <c r="D38" s="176"/>
      <c r="E38" s="176">
        <v>1</v>
      </c>
      <c r="F38" s="180">
        <f>'MEP Budget-Y1'!F38*1.05</f>
        <v>1050</v>
      </c>
      <c r="G38" s="143"/>
      <c r="H38" s="153">
        <f>F38*E38</f>
        <v>1050</v>
      </c>
      <c r="I38" s="143"/>
      <c r="J38" s="154">
        <f>H38*12</f>
        <v>12600</v>
      </c>
      <c r="K38" s="135"/>
      <c r="L38" s="183"/>
      <c r="M38" s="183"/>
    </row>
    <row r="39" spans="1:13" ht="15">
      <c r="A39" s="149">
        <v>4</v>
      </c>
      <c r="B39" s="174" t="s">
        <v>297</v>
      </c>
      <c r="C39" s="175"/>
      <c r="D39" s="176"/>
      <c r="E39" s="176">
        <v>1</v>
      </c>
      <c r="F39" s="180">
        <f>'MEP Budget-Y1'!F39*1.05</f>
        <v>1575</v>
      </c>
      <c r="G39" s="143"/>
      <c r="H39" s="153">
        <f>F39*E39</f>
        <v>1575</v>
      </c>
      <c r="I39" s="143"/>
      <c r="J39" s="154">
        <f>H39*12</f>
        <v>18900</v>
      </c>
      <c r="K39" s="135"/>
      <c r="L39" s="183"/>
      <c r="M39" s="183"/>
    </row>
    <row r="40" spans="1:13" ht="15">
      <c r="A40" s="149">
        <v>5</v>
      </c>
      <c r="B40" s="174" t="s">
        <v>298</v>
      </c>
      <c r="C40" s="175"/>
      <c r="D40" s="176"/>
      <c r="E40" s="176">
        <v>1</v>
      </c>
      <c r="F40" s="180">
        <f>'MEP Budget-Y1'!F40*1.05</f>
        <v>7875</v>
      </c>
      <c r="G40" s="143"/>
      <c r="H40" s="153">
        <f>F40*E40</f>
        <v>7875</v>
      </c>
      <c r="I40" s="143"/>
      <c r="J40" s="154">
        <f>H40*12</f>
        <v>94500</v>
      </c>
      <c r="K40" s="135"/>
      <c r="L40" s="183"/>
      <c r="M40" s="183"/>
    </row>
    <row r="41" spans="1:13" ht="18">
      <c r="A41" s="170" t="s">
        <v>214</v>
      </c>
      <c r="B41" s="171" t="s">
        <v>299</v>
      </c>
      <c r="C41" s="172"/>
      <c r="D41" s="173"/>
      <c r="E41" s="173"/>
      <c r="F41" s="173"/>
      <c r="G41" s="173"/>
      <c r="H41" s="173"/>
      <c r="I41" s="173"/>
      <c r="J41" s="173"/>
      <c r="K41" s="135"/>
    </row>
    <row r="42" spans="1:13" ht="15">
      <c r="A42" s="149">
        <v>1</v>
      </c>
      <c r="B42" s="174" t="s">
        <v>300</v>
      </c>
      <c r="C42" s="175"/>
      <c r="D42" s="176"/>
      <c r="E42" s="176">
        <v>1</v>
      </c>
      <c r="F42" s="180">
        <f>'MEP Budget-Y1'!F42*1.1</f>
        <v>6160.0000000000009</v>
      </c>
      <c r="G42" s="143"/>
      <c r="H42" s="153">
        <f>F42*E42</f>
        <v>6160.0000000000009</v>
      </c>
      <c r="I42" s="143"/>
      <c r="J42" s="154">
        <f>H42*12</f>
        <v>73920.000000000015</v>
      </c>
      <c r="K42" s="135"/>
      <c r="L42" s="183"/>
      <c r="M42" s="183"/>
    </row>
    <row r="43" spans="1:13" ht="15">
      <c r="A43" s="149">
        <v>2</v>
      </c>
      <c r="B43" s="174" t="s">
        <v>301</v>
      </c>
      <c r="C43" s="175"/>
      <c r="D43" s="176"/>
      <c r="E43" s="176">
        <v>1</v>
      </c>
      <c r="F43" s="180">
        <f>'MEP Budget-Y1'!F43*1.1</f>
        <v>2530</v>
      </c>
      <c r="G43" s="143"/>
      <c r="H43" s="153">
        <f>F43*E43</f>
        <v>2530</v>
      </c>
      <c r="I43" s="143"/>
      <c r="J43" s="154">
        <f>H43*12</f>
        <v>30360</v>
      </c>
      <c r="K43" s="135"/>
      <c r="L43" s="183"/>
      <c r="M43" s="183"/>
    </row>
    <row r="44" spans="1:13" ht="15">
      <c r="A44" s="149">
        <v>3</v>
      </c>
      <c r="B44" s="174" t="s">
        <v>302</v>
      </c>
      <c r="C44" s="175"/>
      <c r="D44" s="176"/>
      <c r="E44" s="176">
        <v>1</v>
      </c>
      <c r="F44" s="180">
        <f>'MEP Budget-Y1'!F44*1.1</f>
        <v>3300.0000000000005</v>
      </c>
      <c r="G44" s="143"/>
      <c r="H44" s="153">
        <f>F44*E44</f>
        <v>3300.0000000000005</v>
      </c>
      <c r="I44" s="143"/>
      <c r="J44" s="154">
        <f>H44*12</f>
        <v>39600.000000000007</v>
      </c>
      <c r="K44" s="135"/>
      <c r="L44" s="183"/>
      <c r="M44" s="183"/>
    </row>
    <row r="45" spans="1:13" ht="15">
      <c r="A45" s="149">
        <v>4</v>
      </c>
      <c r="B45" s="174" t="s">
        <v>303</v>
      </c>
      <c r="C45" s="175"/>
      <c r="D45" s="176"/>
      <c r="E45" s="176">
        <v>1</v>
      </c>
      <c r="F45" s="180">
        <f>'MEP Budget-Y1'!F45*1.1</f>
        <v>1100</v>
      </c>
      <c r="G45" s="143"/>
      <c r="H45" s="153">
        <f>F45*E45</f>
        <v>1100</v>
      </c>
      <c r="I45" s="143"/>
      <c r="J45" s="154">
        <f>H45*12</f>
        <v>13200</v>
      </c>
      <c r="K45" s="135"/>
      <c r="L45" s="183"/>
      <c r="M45" s="183"/>
    </row>
    <row r="46" spans="1:13" ht="15">
      <c r="A46" s="149">
        <v>5</v>
      </c>
      <c r="B46" s="174" t="s">
        <v>304</v>
      </c>
      <c r="C46" s="175"/>
      <c r="D46" s="176"/>
      <c r="E46" s="176">
        <v>1</v>
      </c>
      <c r="F46" s="180">
        <f>'MEP Budget-Y1'!F46*1.1</f>
        <v>2200</v>
      </c>
      <c r="G46" s="143"/>
      <c r="H46" s="153">
        <f>F46*E46</f>
        <v>2200</v>
      </c>
      <c r="I46" s="143"/>
      <c r="J46" s="154">
        <f>H46*12</f>
        <v>26400</v>
      </c>
      <c r="K46" s="135"/>
      <c r="L46" s="183"/>
      <c r="M46" s="183"/>
    </row>
    <row r="47" spans="1:13" ht="18">
      <c r="A47" s="170" t="s">
        <v>223</v>
      </c>
      <c r="B47" s="171" t="s">
        <v>305</v>
      </c>
      <c r="C47" s="172"/>
      <c r="D47" s="173"/>
      <c r="E47" s="173"/>
      <c r="F47" s="173"/>
      <c r="G47" s="173"/>
      <c r="H47" s="173"/>
      <c r="I47" s="173"/>
      <c r="J47" s="173"/>
      <c r="K47" s="135"/>
    </row>
    <row r="48" spans="1:13" ht="15">
      <c r="A48" s="149">
        <v>1</v>
      </c>
      <c r="B48" s="174" t="s">
        <v>38</v>
      </c>
      <c r="C48" s="175"/>
      <c r="D48" s="176"/>
      <c r="E48" s="176">
        <v>1</v>
      </c>
      <c r="F48" s="180">
        <f>'MEP Budget-Y1'!F48*1.1</f>
        <v>14300.000000000002</v>
      </c>
      <c r="G48" s="143"/>
      <c r="H48" s="153">
        <f>F48*E48</f>
        <v>14300.000000000002</v>
      </c>
      <c r="I48" s="143"/>
      <c r="J48" s="154">
        <f>H48*12</f>
        <v>171600.00000000003</v>
      </c>
      <c r="K48" s="135"/>
      <c r="L48" s="183"/>
      <c r="M48" s="183"/>
    </row>
    <row r="49" spans="1:21" ht="15">
      <c r="A49" s="149">
        <v>2</v>
      </c>
      <c r="B49" s="174" t="s">
        <v>306</v>
      </c>
      <c r="C49" s="175"/>
      <c r="D49" s="176"/>
      <c r="E49" s="176">
        <v>1</v>
      </c>
      <c r="F49" s="180">
        <f>'MEP Budget-Y1'!F49*1.1</f>
        <v>30800.000000000004</v>
      </c>
      <c r="G49" s="143"/>
      <c r="H49" s="153">
        <f>F49*E49</f>
        <v>30800.000000000004</v>
      </c>
      <c r="I49" s="143"/>
      <c r="J49" s="154">
        <f>H49*12</f>
        <v>369600.00000000006</v>
      </c>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1</v>
      </c>
      <c r="F51" s="180">
        <v>8000</v>
      </c>
      <c r="G51" s="143"/>
      <c r="H51" s="153">
        <f>F51*E51</f>
        <v>8000</v>
      </c>
      <c r="I51" s="143"/>
      <c r="J51" s="154">
        <f>H51*12</f>
        <v>96000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E7+E8</f>
        <v>3.6</v>
      </c>
      <c r="F54" s="180">
        <f>'MEP Budget-Y1'!F54*1.1</f>
        <v>1650.0000000000002</v>
      </c>
      <c r="G54" s="143"/>
      <c r="H54" s="153">
        <f>F54*E54</f>
        <v>5940.0000000000009</v>
      </c>
      <c r="I54" s="143"/>
      <c r="J54" s="154">
        <f>H54*12</f>
        <v>71280.000000000015</v>
      </c>
      <c r="K54" s="135"/>
      <c r="L54" s="183"/>
      <c r="M54" s="183"/>
    </row>
    <row r="55" spans="1:21" ht="15">
      <c r="A55" s="149">
        <v>2</v>
      </c>
      <c r="B55" s="174" t="s">
        <v>312</v>
      </c>
      <c r="C55" s="175"/>
      <c r="D55" s="176"/>
      <c r="E55" s="176">
        <f>SUM(E9:E23)</f>
        <v>39.200000000000003</v>
      </c>
      <c r="F55" s="180">
        <f>'MEP Budget-Y1'!F55*1.1</f>
        <v>1100</v>
      </c>
      <c r="G55" s="143"/>
      <c r="H55" s="153">
        <f>F55*E55</f>
        <v>43120</v>
      </c>
      <c r="I55" s="143"/>
      <c r="J55" s="154">
        <f>H55*12</f>
        <v>517440</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f>'MEP Budget-Y1'!F57*1.15</f>
        <v>9200</v>
      </c>
      <c r="G57" s="143"/>
      <c r="H57" s="153">
        <f>F57*E57</f>
        <v>9200</v>
      </c>
      <c r="I57" s="143"/>
      <c r="J57" s="154">
        <f>H57*12</f>
        <v>110400</v>
      </c>
      <c r="K57" s="135"/>
      <c r="L57" s="183"/>
      <c r="M57" s="183"/>
    </row>
    <row r="58" spans="1:21" ht="15">
      <c r="A58" s="149">
        <v>2</v>
      </c>
      <c r="B58" s="174" t="s">
        <v>314</v>
      </c>
      <c r="C58" s="175"/>
      <c r="D58" s="176"/>
      <c r="E58" s="176">
        <v>1</v>
      </c>
      <c r="F58" s="180">
        <f>'MEP Budget-Y1'!F58*1.15</f>
        <v>10350</v>
      </c>
      <c r="G58" s="143"/>
      <c r="H58" s="153">
        <f>F58*E58</f>
        <v>10350</v>
      </c>
      <c r="I58" s="143"/>
      <c r="J58" s="154">
        <f>H58*12</f>
        <v>124200</v>
      </c>
      <c r="K58" s="135"/>
      <c r="L58" s="183"/>
      <c r="M58" s="183"/>
    </row>
    <row r="59" spans="1:21" ht="15">
      <c r="A59" s="149">
        <v>3</v>
      </c>
      <c r="B59" s="184" t="s">
        <v>213</v>
      </c>
      <c r="C59" s="175"/>
      <c r="D59" s="176"/>
      <c r="E59" s="176">
        <f>E24</f>
        <v>42.800000000000004</v>
      </c>
      <c r="F59" s="180">
        <v>400</v>
      </c>
      <c r="G59" s="143"/>
      <c r="H59" s="153">
        <f>F59*E59</f>
        <v>17120</v>
      </c>
      <c r="I59" s="143"/>
      <c r="J59" s="154">
        <f>H59*12</f>
        <v>205440</v>
      </c>
      <c r="K59" s="135"/>
      <c r="L59" s="183"/>
      <c r="M59" s="183"/>
    </row>
    <row r="60" spans="1:21" ht="15">
      <c r="A60" s="149">
        <v>4</v>
      </c>
      <c r="B60" s="184" t="s">
        <v>315</v>
      </c>
      <c r="C60" s="175"/>
      <c r="D60" s="176"/>
      <c r="E60" s="176">
        <v>0.5</v>
      </c>
      <c r="F60" s="180">
        <v>18000</v>
      </c>
      <c r="G60" s="143"/>
      <c r="H60" s="153">
        <f>F60*E60</f>
        <v>9000</v>
      </c>
      <c r="I60" s="143"/>
      <c r="J60" s="154">
        <f>H60*12</f>
        <v>108000</v>
      </c>
      <c r="K60" s="135"/>
      <c r="L60" s="183"/>
      <c r="M60" s="183"/>
    </row>
    <row r="61" spans="1:21" ht="15">
      <c r="B61" s="185" t="s">
        <v>316</v>
      </c>
      <c r="C61" s="162"/>
      <c r="D61" s="186"/>
      <c r="E61" s="186"/>
      <c r="F61" s="162"/>
      <c r="G61" s="162"/>
      <c r="H61" s="162">
        <f>SUM(H28:H34)+SUM(H36:H40)+SUM(H42:H46)+SUM(H48:H49)+SUM(H51:H52)+SUM(H54:H55)+SUM(H57:H60)</f>
        <v>204025</v>
      </c>
      <c r="I61" s="162"/>
      <c r="J61" s="162">
        <f>SUM(J28:J34)+SUM(J36:J40)+SUM(J42:J46)+SUM(J48:J49)+SUM(J51:J52)+SUM(J54:J55)+SUM(J57:J60)</f>
        <v>2448300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614432.5</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204025</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0.14000000000000001</v>
      </c>
      <c r="B66" s="206" t="s">
        <v>320</v>
      </c>
      <c r="C66" s="165"/>
      <c r="D66" s="207">
        <f>(D64+D65)*A66</f>
        <v>114584.05000000002</v>
      </c>
      <c r="E66" s="200">
        <f>SUM(D64+D65+D66+D67)</f>
        <v>963407.55</v>
      </c>
      <c r="F66" s="201">
        <f>E66*12</f>
        <v>11560890.600000001</v>
      </c>
      <c r="G66" s="165"/>
      <c r="H66" s="165"/>
      <c r="I66" s="165"/>
      <c r="J66" s="192"/>
      <c r="K66" s="193"/>
      <c r="L66" s="193"/>
      <c r="M66" s="193"/>
      <c r="N66" s="193"/>
      <c r="O66" s="193"/>
      <c r="P66" s="135"/>
      <c r="Q66" s="135"/>
      <c r="R66" s="135"/>
      <c r="S66" s="135"/>
      <c r="T66" s="135"/>
      <c r="U66" s="135"/>
    </row>
    <row r="67" spans="1:21" ht="14.1" customHeight="1">
      <c r="A67" s="198"/>
      <c r="B67" s="194" t="s">
        <v>323</v>
      </c>
      <c r="C67" s="180"/>
      <c r="D67" s="199">
        <f>'Mobilization Budget'!H109</f>
        <v>30366</v>
      </c>
      <c r="E67" s="200"/>
      <c r="F67" s="201"/>
      <c r="G67" s="165"/>
      <c r="H67" s="165"/>
      <c r="I67" s="165"/>
      <c r="J67" s="192"/>
      <c r="K67" s="193"/>
      <c r="L67" s="193"/>
      <c r="M67" s="193"/>
      <c r="N67" s="193"/>
      <c r="O67" s="193"/>
      <c r="P67" s="135"/>
      <c r="Q67" s="135"/>
      <c r="R67" s="135"/>
      <c r="S67" s="135"/>
      <c r="T67" s="135"/>
      <c r="U67" s="135"/>
    </row>
    <row r="68" spans="1:21" ht="14.1" customHeight="1">
      <c r="A68" s="135"/>
      <c r="B68" s="202"/>
      <c r="C68" s="165"/>
      <c r="D68" s="135"/>
      <c r="E68" s="135"/>
      <c r="F68" s="165"/>
      <c r="G68" s="165"/>
      <c r="H68" s="165"/>
      <c r="I68" s="165"/>
      <c r="J68" s="192"/>
      <c r="K68" s="193"/>
      <c r="L68" s="193"/>
      <c r="M68" s="193"/>
      <c r="N68" s="193"/>
      <c r="O68" s="193"/>
      <c r="P68" s="135"/>
      <c r="Q68" s="135"/>
      <c r="R68" s="135"/>
      <c r="S68" s="135"/>
      <c r="T68" s="135"/>
      <c r="U68" s="135"/>
    </row>
    <row r="69" spans="1:21" ht="15">
      <c r="A69" s="203"/>
      <c r="B69" s="185" t="s">
        <v>321</v>
      </c>
      <c r="C69" s="135"/>
      <c r="D69" s="204">
        <f>(D66+D67+D65)/(D64+D65+D66+D67)</f>
        <v>0.36222993062489495</v>
      </c>
      <c r="E69" s="193"/>
      <c r="F69" s="172"/>
      <c r="G69" s="135"/>
      <c r="H69" s="172"/>
      <c r="I69" s="135"/>
      <c r="J69" s="205"/>
      <c r="K69" s="135"/>
      <c r="L69" s="135"/>
      <c r="M69" s="135"/>
      <c r="N69" s="135"/>
      <c r="O69" s="135"/>
    </row>
    <row r="70" spans="1:21" ht="15">
      <c r="A70" s="203"/>
      <c r="B70" s="135"/>
      <c r="C70" s="135"/>
      <c r="D70" s="135"/>
      <c r="E70" s="135"/>
      <c r="F70" s="172"/>
      <c r="G70" s="135"/>
      <c r="H70" s="172"/>
      <c r="I70" s="135"/>
      <c r="J70" s="193"/>
      <c r="K70" s="135"/>
      <c r="L70" s="135"/>
      <c r="M70" s="135"/>
      <c r="N70" s="135"/>
      <c r="O70" s="135"/>
    </row>
    <row r="71" spans="1:21" ht="15">
      <c r="A71" s="135"/>
      <c r="B71" s="135"/>
      <c r="C71" s="135"/>
      <c r="D71" s="205"/>
      <c r="E71" s="20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35"/>
      <c r="G74" s="135"/>
      <c r="H74" s="135"/>
      <c r="I74" s="135"/>
      <c r="J74" s="135"/>
      <c r="K74" s="135"/>
      <c r="L74" s="135"/>
      <c r="M74" s="135"/>
      <c r="N74" s="135"/>
      <c r="O74" s="135"/>
    </row>
    <row r="75" spans="1:21" ht="15">
      <c r="A75" s="135"/>
      <c r="B75" s="135"/>
      <c r="C75" s="135"/>
      <c r="D75" s="135"/>
      <c r="E75" s="135"/>
      <c r="F75" s="193">
        <v>0</v>
      </c>
      <c r="G75" s="135"/>
      <c r="H75" s="193">
        <v>0</v>
      </c>
      <c r="I75" s="135"/>
      <c r="J75" s="193">
        <v>0</v>
      </c>
      <c r="K75" s="135"/>
      <c r="L75" s="135"/>
      <c r="M75" s="135"/>
      <c r="N75" s="135"/>
      <c r="O75" s="135"/>
    </row>
    <row r="91" spans="6:6" ht="15">
      <c r="F91" s="135">
        <v>0</v>
      </c>
    </row>
  </sheetData>
  <mergeCells count="2">
    <mergeCell ref="B2:J2"/>
    <mergeCell ref="D4:E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9403-AA2F-411A-B688-B4F373C890C8}">
  <dimension ref="A1:U90"/>
  <sheetViews>
    <sheetView topLeftCell="A45" zoomScaleNormal="100" workbookViewId="0">
      <selection activeCell="A67" sqref="A67"/>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324</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
        <v>16</v>
      </c>
      <c r="C7" s="143"/>
      <c r="D7" s="151">
        <v>2</v>
      </c>
      <c r="E7" s="152">
        <v>2.8</v>
      </c>
      <c r="F7" s="153">
        <v>10000</v>
      </c>
      <c r="G7" s="143"/>
      <c r="H7" s="153">
        <f>F7*E7</f>
        <v>28000</v>
      </c>
      <c r="I7" s="143"/>
      <c r="J7" s="154">
        <f>H7*12</f>
        <v>336000</v>
      </c>
      <c r="K7" s="135"/>
      <c r="L7" s="155">
        <f>H7/(1-D$68)</f>
        <v>53666.504347826092</v>
      </c>
      <c r="N7" s="156">
        <f>ROUNDUP(L7/D7/30,0)</f>
        <v>895</v>
      </c>
    </row>
    <row r="8" spans="1:15" ht="15">
      <c r="A8" s="149">
        <v>2</v>
      </c>
      <c r="B8" s="150" t="s">
        <v>17</v>
      </c>
      <c r="C8" s="143"/>
      <c r="D8" s="151">
        <v>20</v>
      </c>
      <c r="E8" s="152">
        <f>ROUNDUP(D8+(D8/6),0)+1</f>
        <v>25</v>
      </c>
      <c r="F8" s="157">
        <v>4900</v>
      </c>
      <c r="G8" s="143"/>
      <c r="H8" s="153">
        <f>F8*E8</f>
        <v>122500</v>
      </c>
      <c r="I8" s="143"/>
      <c r="J8" s="154">
        <f>H8*12</f>
        <v>1470000</v>
      </c>
      <c r="K8" s="135"/>
      <c r="L8" s="155">
        <f>H8/(1-D$68)</f>
        <v>234790.95652173916</v>
      </c>
      <c r="N8" s="156">
        <f>ROUNDUP(L8/D8/30,0)</f>
        <v>392</v>
      </c>
    </row>
    <row r="9" spans="1:15" ht="15">
      <c r="A9" s="149">
        <v>3</v>
      </c>
      <c r="B9" s="150" t="s">
        <v>137</v>
      </c>
      <c r="C9" s="143"/>
      <c r="D9" s="151">
        <v>1</v>
      </c>
      <c r="E9" s="152">
        <v>1</v>
      </c>
      <c r="F9" s="157">
        <v>120000</v>
      </c>
      <c r="G9" s="143"/>
      <c r="H9" s="153">
        <f>F9*E9</f>
        <v>120000</v>
      </c>
      <c r="I9" s="143"/>
      <c r="J9" s="154">
        <f>H9*12</f>
        <v>1440000</v>
      </c>
      <c r="K9" s="135"/>
      <c r="L9" s="155">
        <f>H9/(1-D$68)</f>
        <v>229999.30434782611</v>
      </c>
      <c r="N9" s="156">
        <f>ROUNDUP(L9/D9/30,0)</f>
        <v>7667</v>
      </c>
    </row>
    <row r="10" spans="1:15" ht="15">
      <c r="A10" s="149">
        <v>4</v>
      </c>
      <c r="B10" s="150" t="s">
        <v>157</v>
      </c>
      <c r="C10" s="143"/>
      <c r="D10" s="151">
        <v>1</v>
      </c>
      <c r="E10" s="152">
        <v>1</v>
      </c>
      <c r="F10" s="157">
        <v>40000</v>
      </c>
      <c r="G10" s="143"/>
      <c r="H10" s="153">
        <f>F10*E10</f>
        <v>40000</v>
      </c>
      <c r="I10" s="143"/>
      <c r="J10" s="154">
        <f>H10*12</f>
        <v>480000</v>
      </c>
      <c r="K10" s="135"/>
      <c r="L10" s="155">
        <f>H10/(1-D$68)</f>
        <v>76666.434782608703</v>
      </c>
      <c r="N10" s="156">
        <f>ROUNDUP(L10/D10/30,0)</f>
        <v>2556</v>
      </c>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24</v>
      </c>
      <c r="E24" s="161">
        <f>SUM(E7:E23)</f>
        <v>29.8</v>
      </c>
      <c r="F24" s="160"/>
      <c r="G24" s="160"/>
      <c r="H24" s="162">
        <f>SUM(H7:H23)</f>
        <v>310500</v>
      </c>
      <c r="I24" s="160"/>
      <c r="J24" s="162">
        <f>SUM(J7:J23)</f>
        <v>3726000</v>
      </c>
      <c r="K24" s="135"/>
      <c r="L24" s="163">
        <f>SUM(L7:L23)</f>
        <v>595123.20000000007</v>
      </c>
      <c r="N24" s="164" t="s">
        <v>283</v>
      </c>
    </row>
    <row r="25" spans="1:14" ht="15">
      <c r="A25" s="135"/>
      <c r="B25" s="135"/>
      <c r="C25" s="165"/>
      <c r="D25" s="135"/>
      <c r="E25" s="135"/>
      <c r="F25" s="165"/>
      <c r="G25" s="165"/>
      <c r="H25" s="165"/>
      <c r="I25" s="165"/>
      <c r="J25" s="166"/>
      <c r="K25" s="135"/>
    </row>
    <row r="26" spans="1:14" ht="15.75">
      <c r="A26" s="135"/>
      <c r="B26" s="167" t="s">
        <v>284</v>
      </c>
      <c r="C26" s="160"/>
      <c r="D26" s="168"/>
      <c r="E26" s="168"/>
      <c r="F26" s="169"/>
      <c r="G26" s="160"/>
      <c r="H26" s="169"/>
      <c r="I26" s="160"/>
      <c r="J26" s="169"/>
      <c r="K26" s="135"/>
    </row>
    <row r="27" spans="1:14" ht="18">
      <c r="A27" s="170" t="s">
        <v>179</v>
      </c>
      <c r="B27" s="171" t="s">
        <v>325</v>
      </c>
      <c r="C27" s="172"/>
      <c r="D27" s="173"/>
      <c r="E27" s="173"/>
      <c r="F27" s="173"/>
      <c r="G27" s="173"/>
      <c r="H27" s="173"/>
      <c r="I27" s="173"/>
      <c r="J27" s="173"/>
      <c r="K27" s="135"/>
    </row>
    <row r="28" spans="1:14" ht="15">
      <c r="A28" s="149">
        <v>1</v>
      </c>
      <c r="B28" s="184" t="s">
        <v>326</v>
      </c>
      <c r="C28" s="175"/>
      <c r="D28" s="176"/>
      <c r="E28" s="176">
        <f>E8</f>
        <v>25</v>
      </c>
      <c r="F28" s="177">
        <v>500</v>
      </c>
      <c r="G28" s="143"/>
      <c r="H28" s="178">
        <f>E28*F28</f>
        <v>12500</v>
      </c>
      <c r="I28" s="143"/>
      <c r="J28" s="179">
        <f>H28*12</f>
        <v>150000</v>
      </c>
      <c r="K28" s="135"/>
    </row>
    <row r="29" spans="1:14" ht="15">
      <c r="A29" s="149">
        <v>2</v>
      </c>
      <c r="B29" s="184" t="s">
        <v>327</v>
      </c>
      <c r="C29" s="175"/>
      <c r="D29" s="176"/>
      <c r="E29" s="176">
        <f>E28</f>
        <v>25</v>
      </c>
      <c r="F29" s="177">
        <v>800</v>
      </c>
      <c r="G29" s="143"/>
      <c r="H29" s="178">
        <f>E29*F29</f>
        <v>20000</v>
      </c>
      <c r="I29" s="143"/>
      <c r="J29" s="179">
        <f>H29*12</f>
        <v>240000</v>
      </c>
      <c r="K29" s="135"/>
    </row>
    <row r="30" spans="1:14" ht="15">
      <c r="A30" s="149">
        <v>3</v>
      </c>
      <c r="B30" s="17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328</v>
      </c>
      <c r="C35" s="172"/>
      <c r="D35" s="173"/>
      <c r="E35" s="173"/>
      <c r="F35" s="173"/>
      <c r="G35" s="173"/>
      <c r="H35" s="173"/>
      <c r="I35" s="173"/>
      <c r="J35" s="173"/>
      <c r="K35" s="135"/>
    </row>
    <row r="36" spans="1:13" ht="15">
      <c r="A36" s="149">
        <v>1</v>
      </c>
      <c r="B36" s="184" t="s">
        <v>329</v>
      </c>
      <c r="C36" s="175"/>
      <c r="D36" s="176"/>
      <c r="E36" s="176">
        <f>E29</f>
        <v>25</v>
      </c>
      <c r="F36" s="180">
        <v>300</v>
      </c>
      <c r="G36" s="143"/>
      <c r="H36" s="153">
        <f>F36*E36</f>
        <v>7500</v>
      </c>
      <c r="I36" s="143"/>
      <c r="J36" s="154">
        <f>H36*12</f>
        <v>90000</v>
      </c>
      <c r="K36" s="135"/>
      <c r="L36" s="183"/>
      <c r="M36" s="183"/>
    </row>
    <row r="37" spans="1:13" ht="15">
      <c r="A37" s="149">
        <v>2</v>
      </c>
      <c r="B37" s="184" t="s">
        <v>330</v>
      </c>
      <c r="C37" s="175"/>
      <c r="D37" s="176"/>
      <c r="E37" s="176">
        <v>2</v>
      </c>
      <c r="F37" s="180">
        <v>38000</v>
      </c>
      <c r="G37" s="143"/>
      <c r="H37" s="153">
        <f>F37*E37</f>
        <v>76000</v>
      </c>
      <c r="I37" s="143"/>
      <c r="J37" s="154">
        <f>H37*12</f>
        <v>912000</v>
      </c>
      <c r="K37" s="135"/>
      <c r="L37" s="183"/>
      <c r="M37" s="183"/>
    </row>
    <row r="38" spans="1:13" ht="15">
      <c r="A38" s="149">
        <v>3</v>
      </c>
      <c r="B38" s="174"/>
      <c r="C38" s="175"/>
      <c r="D38" s="176"/>
      <c r="E38" s="176"/>
      <c r="F38" s="180"/>
      <c r="G38" s="143"/>
      <c r="H38" s="153"/>
      <c r="I38" s="143"/>
      <c r="J38" s="154"/>
      <c r="K38" s="135"/>
      <c r="L38" s="183"/>
      <c r="M38" s="183"/>
    </row>
    <row r="39" spans="1:13" ht="15">
      <c r="A39" s="149">
        <v>4</v>
      </c>
      <c r="B39" s="17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331</v>
      </c>
      <c r="C47" s="172"/>
      <c r="D47" s="173"/>
      <c r="E47" s="173"/>
      <c r="F47" s="173"/>
      <c r="G47" s="173"/>
      <c r="H47" s="173"/>
      <c r="I47" s="173"/>
      <c r="J47" s="173"/>
      <c r="K47" s="135"/>
    </row>
    <row r="48" spans="1:13" ht="15">
      <c r="A48" s="149">
        <v>1</v>
      </c>
      <c r="B48" s="184" t="s">
        <v>332</v>
      </c>
      <c r="C48" s="175"/>
      <c r="D48" s="176"/>
      <c r="E48" s="176">
        <v>1</v>
      </c>
      <c r="F48" s="180">
        <v>20000</v>
      </c>
      <c r="G48" s="143"/>
      <c r="H48" s="153">
        <f>F48*E48</f>
        <v>20000</v>
      </c>
      <c r="I48" s="143"/>
      <c r="J48" s="154">
        <f>H48*12</f>
        <v>240000</v>
      </c>
      <c r="K48" s="135"/>
      <c r="L48" s="183"/>
      <c r="M48" s="183"/>
    </row>
    <row r="49" spans="1:21" ht="15">
      <c r="A49" s="149">
        <v>2</v>
      </c>
      <c r="B49" s="17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0.5</v>
      </c>
      <c r="F51" s="180">
        <v>8000</v>
      </c>
      <c r="G51" s="143"/>
      <c r="H51" s="153">
        <f>F51*E51</f>
        <v>4000</v>
      </c>
      <c r="I51" s="143"/>
      <c r="J51" s="154">
        <f>H51*12</f>
        <v>48000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f>
        <v>2.8</v>
      </c>
      <c r="F54" s="180">
        <v>2300</v>
      </c>
      <c r="G54" s="143"/>
      <c r="H54" s="153">
        <f>F54*E54</f>
        <v>6440</v>
      </c>
      <c r="I54" s="143"/>
      <c r="J54" s="154">
        <f>H54*12</f>
        <v>77280</v>
      </c>
      <c r="K54" s="135"/>
      <c r="L54" s="183"/>
      <c r="M54" s="183"/>
    </row>
    <row r="55" spans="1:21" ht="15">
      <c r="A55" s="149">
        <v>2</v>
      </c>
      <c r="B55" s="174" t="s">
        <v>312</v>
      </c>
      <c r="C55" s="175"/>
      <c r="D55" s="176"/>
      <c r="E55" s="176">
        <f>E8</f>
        <v>25</v>
      </c>
      <c r="F55" s="180">
        <v>1700</v>
      </c>
      <c r="G55" s="143"/>
      <c r="H55" s="153">
        <f>F55*E55</f>
        <v>42500</v>
      </c>
      <c r="I55" s="143"/>
      <c r="J55" s="154">
        <f>H55*12</f>
        <v>510000</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8000</v>
      </c>
      <c r="G57" s="143"/>
      <c r="H57" s="153">
        <f>F57*E57</f>
        <v>8000</v>
      </c>
      <c r="I57" s="143"/>
      <c r="J57" s="154">
        <f>H57*12</f>
        <v>96000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29.8</v>
      </c>
      <c r="F59" s="180">
        <v>400</v>
      </c>
      <c r="G59" s="143"/>
      <c r="H59" s="153">
        <f>F59*E59</f>
        <v>11920</v>
      </c>
      <c r="I59" s="143"/>
      <c r="J59" s="154">
        <f>H59*12</f>
        <v>143040</v>
      </c>
      <c r="K59" s="135"/>
      <c r="L59" s="183"/>
      <c r="M59" s="183"/>
    </row>
    <row r="60" spans="1:21" ht="15">
      <c r="A60" s="149">
        <v>4</v>
      </c>
      <c r="B60" s="184" t="s">
        <v>315</v>
      </c>
      <c r="C60" s="175"/>
      <c r="D60" s="176"/>
      <c r="E60" s="176">
        <v>0.5</v>
      </c>
      <c r="F60" s="180">
        <v>18000</v>
      </c>
      <c r="G60" s="143"/>
      <c r="H60" s="153">
        <f>F60*E60</f>
        <v>9000</v>
      </c>
      <c r="I60" s="143"/>
      <c r="J60" s="154">
        <f>H60*12</f>
        <v>108000</v>
      </c>
      <c r="K60" s="135"/>
      <c r="L60" s="183"/>
      <c r="M60" s="183"/>
    </row>
    <row r="61" spans="1:21" ht="15">
      <c r="B61" s="185" t="s">
        <v>316</v>
      </c>
      <c r="C61" s="162"/>
      <c r="D61" s="186"/>
      <c r="E61" s="186"/>
      <c r="F61" s="162"/>
      <c r="G61" s="162"/>
      <c r="H61" s="162">
        <f>SUM(H28:H34)+SUM(H36:H40)+SUM(H42:H46)+SUM(H48:H49)+SUM(H51:H52)+SUM(H54:H55)+SUM(H57:H60)</f>
        <v>220860</v>
      </c>
      <c r="I61" s="162"/>
      <c r="J61" s="162">
        <f>SUM(J28:J34)+SUM(J36:J40)+SUM(J42:J46)+SUM(J48:J49)+SUM(J51:J52)+SUM(J54:J55)+SUM(J57:J60)</f>
        <v>2650320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310500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220860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0.12</v>
      </c>
      <c r="B66" s="194" t="s">
        <v>320</v>
      </c>
      <c r="C66" s="165"/>
      <c r="D66" s="199">
        <f>(D64+D65)*A66</f>
        <v>63763.199999999997</v>
      </c>
      <c r="E66" s="200">
        <f>SUM(D64+D65+D66)</f>
        <v>595123.19999999995</v>
      </c>
      <c r="F66" s="201">
        <f>E66*12</f>
        <v>7141478.3999999994</v>
      </c>
      <c r="G66" s="165"/>
      <c r="H66" s="165"/>
      <c r="I66" s="165"/>
      <c r="J66" s="192"/>
      <c r="K66" s="193"/>
      <c r="L66" s="193"/>
      <c r="M66" s="193"/>
      <c r="N66" s="193"/>
      <c r="O66" s="193"/>
      <c r="P66" s="135"/>
      <c r="Q66" s="135"/>
      <c r="R66" s="135"/>
      <c r="S66" s="135"/>
      <c r="T66" s="135"/>
      <c r="U66" s="135"/>
    </row>
    <row r="67" spans="1:21" ht="14.1" customHeight="1">
      <c r="A67" s="135"/>
      <c r="B67" s="202"/>
      <c r="C67" s="165"/>
      <c r="D67" s="135"/>
      <c r="E67" s="135"/>
      <c r="F67" s="165"/>
      <c r="G67" s="165"/>
      <c r="H67" s="165"/>
      <c r="I67" s="165"/>
      <c r="J67" s="192"/>
      <c r="K67" s="193"/>
      <c r="L67" s="193"/>
      <c r="M67" s="193"/>
      <c r="N67" s="193"/>
      <c r="O67" s="193"/>
      <c r="P67" s="135"/>
      <c r="Q67" s="135"/>
      <c r="R67" s="135"/>
      <c r="S67" s="135"/>
      <c r="T67" s="135"/>
      <c r="U67" s="135"/>
    </row>
    <row r="68" spans="1:21" ht="15">
      <c r="A68" s="203"/>
      <c r="B68" s="185" t="s">
        <v>321</v>
      </c>
      <c r="C68" s="135"/>
      <c r="D68" s="204">
        <f>(D66+D65)/(D64+D65+D66)</f>
        <v>0.47825929152148672</v>
      </c>
      <c r="E68" s="193"/>
      <c r="F68" s="172"/>
      <c r="G68" s="135"/>
      <c r="H68" s="172"/>
      <c r="I68" s="135"/>
      <c r="J68" s="205"/>
      <c r="K68" s="135"/>
      <c r="L68" s="135"/>
      <c r="M68" s="135"/>
      <c r="N68" s="135"/>
      <c r="O68" s="135"/>
    </row>
    <row r="69" spans="1:21" ht="15">
      <c r="A69" s="203"/>
      <c r="B69" s="135"/>
      <c r="C69" s="135"/>
      <c r="D69" s="135"/>
      <c r="E69" s="135"/>
      <c r="F69" s="172"/>
      <c r="G69" s="135"/>
      <c r="H69" s="172"/>
      <c r="I69" s="135"/>
      <c r="J69" s="193"/>
      <c r="K69" s="135"/>
      <c r="L69" s="135"/>
      <c r="M69" s="135"/>
      <c r="N69" s="135"/>
      <c r="O69" s="135"/>
    </row>
    <row r="70" spans="1:21" ht="15">
      <c r="A70" s="135"/>
      <c r="B70" s="135"/>
      <c r="C70" s="135"/>
      <c r="D70" s="205"/>
      <c r="E70" s="205"/>
      <c r="F70" s="135"/>
      <c r="G70" s="135"/>
      <c r="H70" s="135"/>
      <c r="I70" s="135"/>
      <c r="J70" s="135"/>
      <c r="K70" s="135"/>
      <c r="L70" s="135"/>
      <c r="M70" s="135"/>
      <c r="N70" s="135"/>
      <c r="O70" s="135"/>
    </row>
    <row r="71" spans="1:21" ht="15">
      <c r="A71" s="135"/>
      <c r="B71" s="135"/>
      <c r="C71" s="135"/>
      <c r="D71" s="135"/>
      <c r="E71" s="13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93">
        <v>0</v>
      </c>
      <c r="G74" s="135"/>
      <c r="H74" s="193">
        <v>0</v>
      </c>
      <c r="I74" s="135"/>
      <c r="J74" s="193">
        <v>0</v>
      </c>
      <c r="K74" s="135"/>
      <c r="L74" s="135"/>
      <c r="M74" s="135"/>
      <c r="N74" s="135"/>
      <c r="O74" s="135"/>
    </row>
    <row r="90" spans="6:6" ht="15">
      <c r="F90" s="135">
        <v>0</v>
      </c>
    </row>
  </sheetData>
  <mergeCells count="2">
    <mergeCell ref="B2:J2"/>
    <mergeCell ref="D4:E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667EF-27EA-4BC3-8A6B-3E526361B0FD}">
  <dimension ref="A1:U91"/>
  <sheetViews>
    <sheetView topLeftCell="A49" zoomScaleNormal="100" workbookViewId="0">
      <selection activeCell="F19" sqref="F19"/>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333</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
        <v>16</v>
      </c>
      <c r="C7" s="143"/>
      <c r="D7" s="151">
        <v>4</v>
      </c>
      <c r="E7" s="152">
        <f>ROUNDUP(D7+(D7/6),0)</f>
        <v>5</v>
      </c>
      <c r="F7" s="153">
        <f>'HK &amp; Waste Management-Y1'!F7*1.15</f>
        <v>11500</v>
      </c>
      <c r="G7" s="143"/>
      <c r="H7" s="153">
        <f>F7*E7</f>
        <v>57500</v>
      </c>
      <c r="I7" s="143"/>
      <c r="J7" s="154">
        <f>H7*12</f>
        <v>690000</v>
      </c>
      <c r="K7" s="135"/>
      <c r="L7" s="155">
        <f>H7/(1-D$69)</f>
        <v>114514.78959215598</v>
      </c>
      <c r="N7" s="156">
        <f>ROUNDUP(L7/D7/30,0)</f>
        <v>955</v>
      </c>
    </row>
    <row r="8" spans="1:15" ht="15">
      <c r="A8" s="149">
        <v>2</v>
      </c>
      <c r="B8" s="150" t="s">
        <v>17</v>
      </c>
      <c r="C8" s="143"/>
      <c r="D8" s="151">
        <v>40</v>
      </c>
      <c r="E8" s="152">
        <f>ROUNDUP(D8+(D8/6),0)+1</f>
        <v>48</v>
      </c>
      <c r="F8" s="153">
        <f>'HK &amp; Waste Management-Y1'!F8*1.1</f>
        <v>5390</v>
      </c>
      <c r="G8" s="143"/>
      <c r="H8" s="153">
        <f>F8*E8</f>
        <v>258720</v>
      </c>
      <c r="I8" s="143"/>
      <c r="J8" s="154">
        <f>H8*12</f>
        <v>3104640</v>
      </c>
      <c r="K8" s="135"/>
      <c r="L8" s="155">
        <f>H8/(1-D$69)</f>
        <v>515256.80631795817</v>
      </c>
      <c r="N8" s="156">
        <f>ROUNDUP(L8/D8/30,0)</f>
        <v>430</v>
      </c>
    </row>
    <row r="9" spans="1:15" ht="15">
      <c r="A9" s="149">
        <v>3</v>
      </c>
      <c r="B9" s="150" t="s">
        <v>137</v>
      </c>
      <c r="C9" s="143"/>
      <c r="D9" s="151">
        <v>1</v>
      </c>
      <c r="E9" s="152">
        <v>1</v>
      </c>
      <c r="F9" s="153">
        <f>'HK &amp; Waste Management-Y1'!F9*1.1 + 5000</f>
        <v>137000</v>
      </c>
      <c r="G9" s="143"/>
      <c r="H9" s="153">
        <f>F9*E9</f>
        <v>137000</v>
      </c>
      <c r="I9" s="143"/>
      <c r="J9" s="154">
        <f>H9*12</f>
        <v>1644000</v>
      </c>
      <c r="K9" s="135"/>
      <c r="L9" s="155">
        <f>H9/(1-D$69)</f>
        <v>272843.93346304994</v>
      </c>
      <c r="N9" s="156">
        <f>ROUNDUP(L9/D9/30,0)</f>
        <v>9095</v>
      </c>
    </row>
    <row r="10" spans="1:15" ht="15">
      <c r="A10" s="149">
        <v>4</v>
      </c>
      <c r="B10" s="150" t="s">
        <v>157</v>
      </c>
      <c r="C10" s="143"/>
      <c r="D10" s="151">
        <v>1</v>
      </c>
      <c r="E10" s="152">
        <v>1</v>
      </c>
      <c r="F10" s="153">
        <f>'HK &amp; Waste Management-Y1'!F10*1.1 +27000</f>
        <v>71000</v>
      </c>
      <c r="G10" s="143"/>
      <c r="H10" s="153">
        <f>F10*E10</f>
        <v>71000</v>
      </c>
      <c r="I10" s="143"/>
      <c r="J10" s="154">
        <f>H10*12</f>
        <v>852000</v>
      </c>
      <c r="K10" s="135"/>
      <c r="L10" s="155">
        <f>H10/(1-D$69)</f>
        <v>141400.87062683608</v>
      </c>
      <c r="N10" s="156">
        <f>ROUNDUP(L10/D10/30,0)</f>
        <v>4714</v>
      </c>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46</v>
      </c>
      <c r="E24" s="161">
        <f>SUM(E7:E23)</f>
        <v>55</v>
      </c>
      <c r="F24" s="160"/>
      <c r="G24" s="160"/>
      <c r="H24" s="162">
        <f>SUM(H7:H23)</f>
        <v>524220</v>
      </c>
      <c r="I24" s="160"/>
      <c r="J24" s="162">
        <f>SUM(J7:J23)</f>
        <v>6290640</v>
      </c>
      <c r="K24" s="135"/>
      <c r="L24" s="163">
        <f>SUM(L7:L23)</f>
        <v>1044016.4000000001</v>
      </c>
      <c r="N24" s="164" t="s">
        <v>283</v>
      </c>
    </row>
    <row r="25" spans="1:14" ht="15">
      <c r="A25" s="135"/>
      <c r="B25" s="135"/>
      <c r="C25" s="165"/>
      <c r="D25" s="135"/>
      <c r="E25" s="135"/>
      <c r="F25" s="165"/>
      <c r="G25" s="165"/>
      <c r="H25" s="165"/>
      <c r="I25" s="165"/>
      <c r="J25" s="166"/>
      <c r="K25" s="135"/>
    </row>
    <row r="26" spans="1:14" ht="15.75">
      <c r="A26" s="135"/>
      <c r="B26" s="167" t="s">
        <v>284</v>
      </c>
      <c r="C26" s="160"/>
      <c r="D26" s="168"/>
      <c r="E26" s="168"/>
      <c r="F26" s="169"/>
      <c r="G26" s="160"/>
      <c r="H26" s="169"/>
      <c r="I26" s="160"/>
      <c r="J26" s="169"/>
      <c r="K26" s="135"/>
    </row>
    <row r="27" spans="1:14" ht="18">
      <c r="A27" s="170" t="s">
        <v>179</v>
      </c>
      <c r="B27" s="171" t="s">
        <v>325</v>
      </c>
      <c r="C27" s="172"/>
      <c r="D27" s="173"/>
      <c r="E27" s="173"/>
      <c r="F27" s="173"/>
      <c r="G27" s="173"/>
      <c r="H27" s="173"/>
      <c r="I27" s="173"/>
      <c r="J27" s="173"/>
      <c r="K27" s="135"/>
    </row>
    <row r="28" spans="1:14" ht="15">
      <c r="A28" s="149">
        <v>1</v>
      </c>
      <c r="B28" s="184" t="s">
        <v>326</v>
      </c>
      <c r="C28" s="175"/>
      <c r="D28" s="176"/>
      <c r="E28" s="176">
        <f>E8</f>
        <v>48</v>
      </c>
      <c r="F28" s="177">
        <v>500</v>
      </c>
      <c r="G28" s="143"/>
      <c r="H28" s="178">
        <f>E28*F28</f>
        <v>24000</v>
      </c>
      <c r="I28" s="143"/>
      <c r="J28" s="179">
        <f>H28*12</f>
        <v>288000</v>
      </c>
      <c r="K28" s="135"/>
    </row>
    <row r="29" spans="1:14" ht="15">
      <c r="A29" s="149">
        <v>2</v>
      </c>
      <c r="B29" s="184" t="s">
        <v>327</v>
      </c>
      <c r="C29" s="175"/>
      <c r="D29" s="176"/>
      <c r="E29" s="176">
        <f>E28</f>
        <v>48</v>
      </c>
      <c r="F29" s="177">
        <v>800</v>
      </c>
      <c r="G29" s="143"/>
      <c r="H29" s="178">
        <f>E29*F29</f>
        <v>38400</v>
      </c>
      <c r="I29" s="143"/>
      <c r="J29" s="179">
        <f>H29*12</f>
        <v>460800</v>
      </c>
      <c r="K29" s="135"/>
    </row>
    <row r="30" spans="1:14" ht="15">
      <c r="A30" s="149">
        <v>3</v>
      </c>
      <c r="B30" s="17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328</v>
      </c>
      <c r="C35" s="172"/>
      <c r="D35" s="173"/>
      <c r="E35" s="173"/>
      <c r="F35" s="173"/>
      <c r="G35" s="173"/>
      <c r="H35" s="173"/>
      <c r="I35" s="173"/>
      <c r="J35" s="173"/>
      <c r="K35" s="135"/>
    </row>
    <row r="36" spans="1:13" ht="15">
      <c r="A36" s="149">
        <v>1</v>
      </c>
      <c r="B36" s="184" t="s">
        <v>329</v>
      </c>
      <c r="C36" s="175"/>
      <c r="D36" s="176"/>
      <c r="E36" s="176">
        <f>E29</f>
        <v>48</v>
      </c>
      <c r="F36" s="180">
        <v>300</v>
      </c>
      <c r="G36" s="143"/>
      <c r="H36" s="153">
        <f>F36*E36</f>
        <v>14400</v>
      </c>
      <c r="I36" s="143"/>
      <c r="J36" s="154">
        <f>H36*12</f>
        <v>172800</v>
      </c>
      <c r="K36" s="135"/>
      <c r="L36" s="183"/>
      <c r="M36" s="183"/>
    </row>
    <row r="37" spans="1:13" ht="15">
      <c r="A37" s="149">
        <v>2</v>
      </c>
      <c r="B37" s="184" t="s">
        <v>330</v>
      </c>
      <c r="C37" s="175"/>
      <c r="D37" s="176"/>
      <c r="E37" s="176">
        <v>3</v>
      </c>
      <c r="F37" s="180">
        <f>38000</f>
        <v>38000</v>
      </c>
      <c r="G37" s="143"/>
      <c r="H37" s="153">
        <f>F37*E37</f>
        <v>114000</v>
      </c>
      <c r="I37" s="143"/>
      <c r="J37" s="154">
        <f>H37*12</f>
        <v>1368000</v>
      </c>
      <c r="K37" s="135"/>
      <c r="L37" s="183"/>
      <c r="M37" s="183"/>
    </row>
    <row r="38" spans="1:13" ht="15">
      <c r="A38" s="149">
        <v>3</v>
      </c>
      <c r="B38" s="174"/>
      <c r="C38" s="175"/>
      <c r="D38" s="176"/>
      <c r="E38" s="176"/>
      <c r="F38" s="180"/>
      <c r="G38" s="143"/>
      <c r="H38" s="153"/>
      <c r="I38" s="143"/>
      <c r="J38" s="154"/>
      <c r="K38" s="135"/>
      <c r="L38" s="183"/>
      <c r="M38" s="183"/>
    </row>
    <row r="39" spans="1:13" ht="15">
      <c r="A39" s="149">
        <v>4</v>
      </c>
      <c r="B39" s="17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331</v>
      </c>
      <c r="C47" s="172"/>
      <c r="D47" s="173"/>
      <c r="E47" s="173"/>
      <c r="F47" s="173"/>
      <c r="G47" s="173"/>
      <c r="H47" s="173"/>
      <c r="I47" s="173"/>
      <c r="J47" s="173"/>
      <c r="K47" s="135"/>
    </row>
    <row r="48" spans="1:13" ht="15">
      <c r="A48" s="149">
        <v>1</v>
      </c>
      <c r="B48" s="184" t="s">
        <v>332</v>
      </c>
      <c r="C48" s="175"/>
      <c r="D48" s="176"/>
      <c r="E48" s="176">
        <v>1</v>
      </c>
      <c r="F48" s="180">
        <f>23000*1.1</f>
        <v>25300.000000000004</v>
      </c>
      <c r="G48" s="143"/>
      <c r="H48" s="153">
        <f>F48*E48</f>
        <v>25300.000000000004</v>
      </c>
      <c r="I48" s="143"/>
      <c r="J48" s="154">
        <f>H48*12</f>
        <v>303600.00000000006</v>
      </c>
      <c r="K48" s="135"/>
      <c r="L48" s="183"/>
      <c r="M48" s="183"/>
    </row>
    <row r="49" spans="1:21" ht="15">
      <c r="A49" s="149">
        <v>2</v>
      </c>
      <c r="B49" s="17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0.5</v>
      </c>
      <c r="F51" s="180">
        <v>8000</v>
      </c>
      <c r="G51" s="143"/>
      <c r="H51" s="153">
        <f>F51*E51</f>
        <v>4000</v>
      </c>
      <c r="I51" s="143"/>
      <c r="J51" s="154">
        <f>H51*12</f>
        <v>48000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f>
        <v>5</v>
      </c>
      <c r="F54" s="180">
        <f>2300*1.1</f>
        <v>2530</v>
      </c>
      <c r="G54" s="143"/>
      <c r="H54" s="153">
        <f>F54*E54</f>
        <v>12650</v>
      </c>
      <c r="I54" s="143"/>
      <c r="J54" s="154">
        <f>H54*12</f>
        <v>151800</v>
      </c>
      <c r="K54" s="135"/>
      <c r="L54" s="183"/>
      <c r="M54" s="183"/>
    </row>
    <row r="55" spans="1:21" ht="15">
      <c r="A55" s="149">
        <v>2</v>
      </c>
      <c r="B55" s="174" t="s">
        <v>312</v>
      </c>
      <c r="C55" s="175"/>
      <c r="D55" s="176"/>
      <c r="E55" s="176">
        <f>E8</f>
        <v>48</v>
      </c>
      <c r="F55" s="180">
        <f>1800*1.1</f>
        <v>1980.0000000000002</v>
      </c>
      <c r="G55" s="143"/>
      <c r="H55" s="153">
        <f>F55*E55</f>
        <v>95040.000000000015</v>
      </c>
      <c r="I55" s="143"/>
      <c r="J55" s="154">
        <f>H55*12</f>
        <v>1140480.0000000002</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8000</v>
      </c>
      <c r="G57" s="143"/>
      <c r="H57" s="153">
        <f>F57*E57</f>
        <v>8000</v>
      </c>
      <c r="I57" s="143"/>
      <c r="J57" s="154">
        <f>H57*12</f>
        <v>96000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55</v>
      </c>
      <c r="F59" s="180">
        <v>400</v>
      </c>
      <c r="G59" s="143"/>
      <c r="H59" s="153">
        <f>F59*E59</f>
        <v>22000</v>
      </c>
      <c r="I59" s="143"/>
      <c r="J59" s="154">
        <f>H59*12</f>
        <v>264000</v>
      </c>
      <c r="K59" s="135"/>
      <c r="L59" s="183"/>
      <c r="M59" s="183"/>
    </row>
    <row r="60" spans="1:21" ht="15">
      <c r="A60" s="149">
        <v>4</v>
      </c>
      <c r="B60" s="184" t="s">
        <v>315</v>
      </c>
      <c r="C60" s="175"/>
      <c r="D60" s="176"/>
      <c r="E60" s="176">
        <v>0.5</v>
      </c>
      <c r="F60" s="180">
        <v>18000</v>
      </c>
      <c r="G60" s="143"/>
      <c r="H60" s="153">
        <f>F60*E60</f>
        <v>9000</v>
      </c>
      <c r="I60" s="143"/>
      <c r="J60" s="154">
        <f>H60*12</f>
        <v>108000</v>
      </c>
      <c r="K60" s="135"/>
      <c r="L60" s="183"/>
      <c r="M60" s="183"/>
    </row>
    <row r="61" spans="1:21" ht="15">
      <c r="B61" s="185" t="s">
        <v>316</v>
      </c>
      <c r="C61" s="162"/>
      <c r="D61" s="186"/>
      <c r="E61" s="186"/>
      <c r="F61" s="162"/>
      <c r="G61" s="162"/>
      <c r="H61" s="162">
        <f>SUM(H28:H34)+SUM(H36:H40)+SUM(H42:H46)+SUM(H48:H49)+SUM(H51:H52)+SUM(H54:H55)+SUM(H57:H60)</f>
        <v>369790</v>
      </c>
      <c r="I61" s="162"/>
      <c r="J61" s="162">
        <f>SUM(J28:J34)+SUM(J36:J40)+SUM(J42:J46)+SUM(J48:J49)+SUM(J51:J52)+SUM(J54:J55)+SUM(J57:J60)</f>
        <v>4437480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524220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369790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0.14000000000000001</v>
      </c>
      <c r="B66" s="194" t="s">
        <v>320</v>
      </c>
      <c r="C66" s="165"/>
      <c r="D66" s="199">
        <f>(D64+D65)*A66</f>
        <v>125161.40000000001</v>
      </c>
      <c r="E66" s="200">
        <f>SUM(D64+D65+D66+D67)</f>
        <v>1044016.4</v>
      </c>
      <c r="F66" s="201">
        <f>E66*12</f>
        <v>12528196.800000001</v>
      </c>
      <c r="G66" s="165"/>
      <c r="H66" s="165"/>
      <c r="I66" s="165"/>
      <c r="J66" s="192"/>
      <c r="K66" s="193"/>
      <c r="L66" s="193"/>
      <c r="M66" s="193"/>
      <c r="N66" s="193"/>
      <c r="O66" s="193"/>
      <c r="P66" s="135"/>
      <c r="Q66" s="135"/>
      <c r="R66" s="135"/>
      <c r="S66" s="135"/>
      <c r="T66" s="135"/>
      <c r="U66" s="135"/>
    </row>
    <row r="67" spans="1:21" ht="14.1" customHeight="1">
      <c r="A67" s="198"/>
      <c r="B67" s="194" t="s">
        <v>323</v>
      </c>
      <c r="C67" s="180"/>
      <c r="D67" s="199">
        <f>'Mobilization Budget'!H110</f>
        <v>24845</v>
      </c>
      <c r="E67" s="200"/>
      <c r="F67" s="201"/>
      <c r="G67" s="165"/>
      <c r="H67" s="165"/>
      <c r="I67" s="165"/>
      <c r="J67" s="192"/>
      <c r="K67" s="193"/>
      <c r="L67" s="193"/>
      <c r="M67" s="193"/>
      <c r="N67" s="193"/>
      <c r="O67" s="193"/>
      <c r="P67" s="135"/>
      <c r="Q67" s="135"/>
      <c r="R67" s="135"/>
      <c r="S67" s="135"/>
      <c r="T67" s="135"/>
      <c r="U67" s="135"/>
    </row>
    <row r="68" spans="1:21" ht="14.1" customHeight="1">
      <c r="A68" s="135"/>
      <c r="B68" s="202"/>
      <c r="C68" s="165"/>
      <c r="D68" s="135"/>
      <c r="E68" s="135"/>
      <c r="F68" s="165"/>
      <c r="G68" s="165"/>
      <c r="H68" s="165"/>
      <c r="I68" s="165"/>
      <c r="J68" s="192"/>
      <c r="K68" s="193"/>
      <c r="L68" s="193"/>
      <c r="M68" s="193"/>
      <c r="N68" s="193"/>
      <c r="O68" s="193"/>
      <c r="P68" s="135"/>
      <c r="Q68" s="135"/>
      <c r="R68" s="135"/>
      <c r="S68" s="135"/>
      <c r="T68" s="135"/>
      <c r="U68" s="135"/>
    </row>
    <row r="69" spans="1:21" ht="15">
      <c r="A69" s="203"/>
      <c r="B69" s="185" t="s">
        <v>321</v>
      </c>
      <c r="C69" s="135"/>
      <c r="D69" s="204">
        <f>(D66+D65+D67)/(D64+D65+D66+D67)</f>
        <v>0.4978814509044111</v>
      </c>
      <c r="E69" s="193"/>
      <c r="F69" s="172"/>
      <c r="G69" s="135"/>
      <c r="H69" s="172"/>
      <c r="I69" s="135"/>
      <c r="J69" s="205"/>
      <c r="K69" s="135"/>
      <c r="L69" s="135"/>
      <c r="M69" s="135"/>
      <c r="N69" s="135"/>
      <c r="O69" s="135"/>
    </row>
    <row r="70" spans="1:21" ht="15">
      <c r="A70" s="203"/>
      <c r="B70" s="135"/>
      <c r="C70" s="135"/>
      <c r="D70" s="135"/>
      <c r="E70" s="135"/>
      <c r="F70" s="172"/>
      <c r="G70" s="135"/>
      <c r="H70" s="172"/>
      <c r="I70" s="135"/>
      <c r="J70" s="193"/>
      <c r="K70" s="135"/>
      <c r="L70" s="135"/>
      <c r="M70" s="135"/>
      <c r="N70" s="135"/>
      <c r="O70" s="135"/>
    </row>
    <row r="71" spans="1:21" ht="15">
      <c r="A71" s="135"/>
      <c r="B71" s="135"/>
      <c r="C71" s="135"/>
      <c r="D71" s="205"/>
      <c r="E71" s="20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35"/>
      <c r="G74" s="135"/>
      <c r="H74" s="135"/>
      <c r="I74" s="135"/>
      <c r="J74" s="135"/>
      <c r="K74" s="135"/>
      <c r="L74" s="135"/>
      <c r="M74" s="135"/>
      <c r="N74" s="135"/>
      <c r="O74" s="135"/>
    </row>
    <row r="75" spans="1:21" ht="15">
      <c r="A75" s="135"/>
      <c r="B75" s="135"/>
      <c r="C75" s="135"/>
      <c r="D75" s="135"/>
      <c r="E75" s="135"/>
      <c r="F75" s="193">
        <v>0</v>
      </c>
      <c r="G75" s="135"/>
      <c r="H75" s="193">
        <v>0</v>
      </c>
      <c r="I75" s="135"/>
      <c r="J75" s="193">
        <v>0</v>
      </c>
      <c r="K75" s="135"/>
      <c r="L75" s="135"/>
      <c r="M75" s="135"/>
      <c r="N75" s="135"/>
      <c r="O75" s="135"/>
    </row>
    <row r="91" spans="6:6" ht="15">
      <c r="F91" s="135">
        <v>0</v>
      </c>
    </row>
  </sheetData>
  <mergeCells count="2">
    <mergeCell ref="B2:J2"/>
    <mergeCell ref="D4:E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BF1B-689E-4548-BAF4-6EF10B2FDCF3}">
  <dimension ref="A1:U90"/>
  <sheetViews>
    <sheetView topLeftCell="A49" zoomScaleNormal="100" workbookViewId="0">
      <selection activeCell="A66" sqref="A66"/>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334</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Schedule'!B39</f>
        <v>Pest Control Supervisor</v>
      </c>
      <c r="C7" s="143"/>
      <c r="D7" s="151">
        <f>'[46]Manning Schedule'!D39</f>
        <v>1</v>
      </c>
      <c r="E7" s="152">
        <f>2</f>
        <v>2</v>
      </c>
      <c r="F7" s="153">
        <v>9000</v>
      </c>
      <c r="G7" s="143"/>
      <c r="H7" s="153">
        <f>F7*E7</f>
        <v>18000</v>
      </c>
      <c r="I7" s="143"/>
      <c r="J7" s="154">
        <f>H7*12</f>
        <v>216000</v>
      </c>
      <c r="K7" s="135"/>
      <c r="L7" s="155">
        <f>H7/(1-D$68)</f>
        <v>25474.248145650708</v>
      </c>
      <c r="N7" s="156">
        <f>ROUNDUP(L7/D7/30,0)</f>
        <v>850</v>
      </c>
    </row>
    <row r="8" spans="1:15" ht="15">
      <c r="A8" s="149">
        <v>2</v>
      </c>
      <c r="B8" s="150" t="str">
        <f>'[46]Manning Schedule'!B40</f>
        <v>Pest Control Service  (Lumpsum item per month)</v>
      </c>
      <c r="C8" s="143"/>
      <c r="D8" s="151">
        <f>'[46]Manning Schedule'!D40</f>
        <v>1</v>
      </c>
      <c r="E8" s="152">
        <v>1</v>
      </c>
      <c r="F8" s="157">
        <v>41320</v>
      </c>
      <c r="G8" s="143"/>
      <c r="H8" s="153">
        <f>F8*E8</f>
        <v>41320</v>
      </c>
      <c r="I8" s="143"/>
      <c r="J8" s="154">
        <f>H8*12</f>
        <v>495840</v>
      </c>
      <c r="K8" s="135"/>
      <c r="L8" s="155">
        <f>H8/(1-D$68)</f>
        <v>58477.551854349287</v>
      </c>
      <c r="N8" s="156">
        <f>ROUNDUP(L8/D8/30,0)</f>
        <v>1950</v>
      </c>
    </row>
    <row r="9" spans="1:15" ht="15">
      <c r="A9" s="149">
        <v>3</v>
      </c>
      <c r="B9" s="150"/>
      <c r="C9" s="143"/>
      <c r="D9" s="151"/>
      <c r="E9" s="152"/>
      <c r="F9" s="157"/>
      <c r="G9" s="143"/>
      <c r="H9" s="153"/>
      <c r="I9" s="143"/>
      <c r="J9" s="154"/>
      <c r="K9" s="135"/>
      <c r="L9" s="155">
        <f>H9/(1-D$68)</f>
        <v>0</v>
      </c>
      <c r="N9" s="156" t="e">
        <f>ROUNDUP(L9/D9/30,0)</f>
        <v>#DIV/0!</v>
      </c>
    </row>
    <row r="10" spans="1:15" ht="15">
      <c r="A10" s="149">
        <v>4</v>
      </c>
      <c r="B10" s="150"/>
      <c r="C10" s="143"/>
      <c r="D10" s="151"/>
      <c r="E10" s="152"/>
      <c r="F10" s="157"/>
      <c r="G10" s="143"/>
      <c r="H10" s="153"/>
      <c r="I10" s="143"/>
      <c r="J10" s="154"/>
      <c r="K10" s="135"/>
      <c r="L10" s="155">
        <f>H10/(1-D$68)</f>
        <v>0</v>
      </c>
      <c r="N10" s="156" t="e">
        <f>ROUNDUP(L10/D10/30,0)</f>
        <v>#DIV/0!</v>
      </c>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2</v>
      </c>
      <c r="E24" s="161">
        <f>SUM(E7:E23)</f>
        <v>3</v>
      </c>
      <c r="F24" s="160"/>
      <c r="G24" s="160"/>
      <c r="H24" s="162">
        <f>SUM(H7:H23)</f>
        <v>59320</v>
      </c>
      <c r="I24" s="160"/>
      <c r="J24" s="162">
        <f>SUM(J7:J23)</f>
        <v>711840</v>
      </c>
      <c r="K24" s="135"/>
      <c r="L24" s="163">
        <f>SUM(L7:L23)</f>
        <v>83951.799999999988</v>
      </c>
      <c r="N24" s="164" t="s">
        <v>283</v>
      </c>
    </row>
    <row r="25" spans="1:14" ht="15">
      <c r="A25" s="135"/>
      <c r="B25" s="135"/>
      <c r="C25" s="165"/>
      <c r="D25" s="135"/>
      <c r="E25" s="135"/>
      <c r="F25" s="165"/>
      <c r="G25" s="165"/>
      <c r="H25" s="165"/>
      <c r="I25" s="165"/>
      <c r="J25" s="166"/>
      <c r="K25" s="135"/>
    </row>
    <row r="26" spans="1:14" ht="15.75">
      <c r="A26" s="135"/>
      <c r="B26" s="167" t="s">
        <v>284</v>
      </c>
      <c r="C26" s="160"/>
      <c r="D26" s="168"/>
      <c r="E26" s="168"/>
      <c r="F26" s="169"/>
      <c r="G26" s="160"/>
      <c r="H26" s="169"/>
      <c r="I26" s="160"/>
      <c r="J26" s="169"/>
      <c r="K26" s="135"/>
    </row>
    <row r="27" spans="1:14" ht="18">
      <c r="A27" s="170" t="s">
        <v>179</v>
      </c>
      <c r="B27" s="171"/>
      <c r="C27" s="172"/>
      <c r="D27" s="173"/>
      <c r="E27" s="173"/>
      <c r="F27" s="173"/>
      <c r="G27" s="173"/>
      <c r="H27" s="173"/>
      <c r="I27" s="173"/>
      <c r="J27" s="173"/>
      <c r="K27" s="135"/>
    </row>
    <row r="28" spans="1:14" ht="15">
      <c r="A28" s="149">
        <v>1</v>
      </c>
      <c r="B28" s="184"/>
      <c r="C28" s="175"/>
      <c r="D28" s="176"/>
      <c r="E28" s="176"/>
      <c r="F28" s="177"/>
      <c r="G28" s="143"/>
      <c r="H28" s="178"/>
      <c r="I28" s="143"/>
      <c r="J28" s="179"/>
      <c r="K28" s="135"/>
    </row>
    <row r="29" spans="1:14" ht="15">
      <c r="A29" s="149">
        <v>2</v>
      </c>
      <c r="B29" s="184"/>
      <c r="C29" s="175"/>
      <c r="D29" s="176"/>
      <c r="E29" s="176"/>
      <c r="F29" s="177"/>
      <c r="G29" s="143"/>
      <c r="H29" s="178"/>
      <c r="I29" s="143"/>
      <c r="J29" s="179"/>
      <c r="K29" s="135"/>
    </row>
    <row r="30" spans="1:14" ht="15">
      <c r="A30" s="149">
        <v>3</v>
      </c>
      <c r="B30" s="17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c r="C35" s="172"/>
      <c r="D35" s="173"/>
      <c r="E35" s="173"/>
      <c r="F35" s="173"/>
      <c r="G35" s="173"/>
      <c r="H35" s="173"/>
      <c r="I35" s="173"/>
      <c r="J35" s="173"/>
      <c r="K35" s="135"/>
    </row>
    <row r="36" spans="1:13" ht="15">
      <c r="A36" s="149">
        <v>1</v>
      </c>
      <c r="B36" s="184"/>
      <c r="C36" s="175"/>
      <c r="D36" s="176"/>
      <c r="E36" s="176"/>
      <c r="F36" s="180"/>
      <c r="G36" s="143"/>
      <c r="H36" s="153"/>
      <c r="I36" s="143"/>
      <c r="J36" s="154"/>
      <c r="K36" s="135"/>
      <c r="L36" s="183"/>
      <c r="M36" s="183"/>
    </row>
    <row r="37" spans="1:13" ht="15">
      <c r="A37" s="149">
        <v>2</v>
      </c>
      <c r="B37" s="184"/>
      <c r="C37" s="175"/>
      <c r="D37" s="176"/>
      <c r="E37" s="176"/>
      <c r="F37" s="180"/>
      <c r="G37" s="143"/>
      <c r="H37" s="153"/>
      <c r="I37" s="143"/>
      <c r="J37" s="154"/>
      <c r="K37" s="135"/>
      <c r="L37" s="183"/>
      <c r="M37" s="183"/>
    </row>
    <row r="38" spans="1:13" ht="15">
      <c r="A38" s="149">
        <v>3</v>
      </c>
      <c r="B38" s="174"/>
      <c r="C38" s="175"/>
      <c r="D38" s="176"/>
      <c r="E38" s="176"/>
      <c r="F38" s="180"/>
      <c r="G38" s="143"/>
      <c r="H38" s="153"/>
      <c r="I38" s="143"/>
      <c r="J38" s="154"/>
      <c r="K38" s="135"/>
      <c r="L38" s="183"/>
      <c r="M38" s="183"/>
    </row>
    <row r="39" spans="1:13" ht="15">
      <c r="A39" s="149">
        <v>4</v>
      </c>
      <c r="B39" s="17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c r="C47" s="172"/>
      <c r="D47" s="173"/>
      <c r="E47" s="173"/>
      <c r="F47" s="173"/>
      <c r="G47" s="173"/>
      <c r="H47" s="173"/>
      <c r="I47" s="173"/>
      <c r="J47" s="173"/>
      <c r="K47" s="135"/>
    </row>
    <row r="48" spans="1:13" ht="15">
      <c r="A48" s="149">
        <v>1</v>
      </c>
      <c r="B48" s="184"/>
      <c r="C48" s="175"/>
      <c r="D48" s="176"/>
      <c r="E48" s="176"/>
      <c r="F48" s="180"/>
      <c r="G48" s="143"/>
      <c r="H48" s="153"/>
      <c r="I48" s="143"/>
      <c r="J48" s="154"/>
      <c r="K48" s="135"/>
      <c r="L48" s="183"/>
      <c r="M48" s="183"/>
    </row>
    <row r="49" spans="1:21" ht="15">
      <c r="A49" s="149">
        <v>2</v>
      </c>
      <c r="B49" s="17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0.5</v>
      </c>
      <c r="F51" s="180">
        <v>8000</v>
      </c>
      <c r="G51" s="143"/>
      <c r="H51" s="153">
        <f>F51*E51</f>
        <v>4000</v>
      </c>
      <c r="I51" s="143"/>
      <c r="J51" s="154">
        <f>H51*12</f>
        <v>48000</v>
      </c>
      <c r="K51" s="135"/>
      <c r="L51" s="183"/>
      <c r="M51" s="183"/>
    </row>
    <row r="52" spans="1:21" ht="15">
      <c r="A52" s="149">
        <v>2</v>
      </c>
      <c r="B52" s="174" t="s">
        <v>309</v>
      </c>
      <c r="C52" s="175"/>
      <c r="D52" s="176"/>
      <c r="E52" s="176">
        <v>0.5</v>
      </c>
      <c r="F52" s="180">
        <v>3000</v>
      </c>
      <c r="G52" s="143"/>
      <c r="H52" s="153">
        <f>F52*E52</f>
        <v>1500</v>
      </c>
      <c r="I52" s="143"/>
      <c r="J52" s="154">
        <f>H52*12</f>
        <v>18000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f>
        <v>2</v>
      </c>
      <c r="F54" s="180">
        <v>2300</v>
      </c>
      <c r="G54" s="143"/>
      <c r="H54" s="153">
        <f>F54*E54</f>
        <v>4600</v>
      </c>
      <c r="I54" s="143"/>
      <c r="J54" s="154">
        <f>H54*12</f>
        <v>55200</v>
      </c>
      <c r="K54" s="135"/>
      <c r="L54" s="183"/>
      <c r="M54" s="183"/>
    </row>
    <row r="55" spans="1:21" ht="15">
      <c r="A55" s="149">
        <v>2</v>
      </c>
      <c r="B55" s="174"/>
      <c r="C55" s="175"/>
      <c r="D55" s="176"/>
      <c r="E55" s="176"/>
      <c r="F55" s="180"/>
      <c r="G55" s="143"/>
      <c r="H55" s="153"/>
      <c r="I55" s="143"/>
      <c r="J55" s="154"/>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0.25</v>
      </c>
      <c r="F57" s="180">
        <v>8000</v>
      </c>
      <c r="G57" s="143"/>
      <c r="H57" s="153">
        <f>F57*E57</f>
        <v>2000</v>
      </c>
      <c r="I57" s="143"/>
      <c r="J57" s="154">
        <f>H57*12</f>
        <v>24000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v>5</v>
      </c>
      <c r="F59" s="180">
        <v>400</v>
      </c>
      <c r="G59" s="143"/>
      <c r="H59" s="153">
        <f>F59*E59</f>
        <v>2000</v>
      </c>
      <c r="I59" s="143"/>
      <c r="J59" s="154">
        <f>H59*12</f>
        <v>24000</v>
      </c>
      <c r="K59" s="135"/>
      <c r="L59" s="183"/>
      <c r="M59" s="183"/>
    </row>
    <row r="60" spans="1:21" ht="15">
      <c r="A60" s="149">
        <v>4</v>
      </c>
      <c r="B60" s="184" t="s">
        <v>315</v>
      </c>
      <c r="C60" s="175"/>
      <c r="D60" s="176"/>
      <c r="E60" s="176">
        <v>0.2</v>
      </c>
      <c r="F60" s="180">
        <v>18000</v>
      </c>
      <c r="G60" s="143"/>
      <c r="H60" s="153">
        <f>F60*E60</f>
        <v>3600</v>
      </c>
      <c r="I60" s="143"/>
      <c r="J60" s="154">
        <f>H60*12</f>
        <v>43200</v>
      </c>
      <c r="K60" s="135"/>
      <c r="L60" s="183"/>
      <c r="M60" s="183"/>
    </row>
    <row r="61" spans="1:21" ht="15">
      <c r="B61" s="185" t="s">
        <v>316</v>
      </c>
      <c r="C61" s="162"/>
      <c r="D61" s="186"/>
      <c r="E61" s="186"/>
      <c r="F61" s="162"/>
      <c r="G61" s="162"/>
      <c r="H61" s="162">
        <f>SUM(H28:H34)+SUM(H36:H40)+SUM(H42:H46)+SUM(H48:H49)+SUM(H51:H52)+SUM(H54:H55)+SUM(H57:H60)</f>
        <v>17700</v>
      </c>
      <c r="I61" s="162"/>
      <c r="J61" s="162">
        <f>SUM(J28:J34)+SUM(J36:J40)+SUM(J42:J46)+SUM(J48:J49)+SUM(J51:J52)+SUM(J54:J55)+SUM(J57:J60)</f>
        <v>212400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59320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17700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0.09</v>
      </c>
      <c r="B66" s="194" t="s">
        <v>320</v>
      </c>
      <c r="C66" s="165"/>
      <c r="D66" s="199">
        <f>(D64+D65)*A66</f>
        <v>6931.8</v>
      </c>
      <c r="E66" s="200">
        <f>SUM(D64+D65+D66)</f>
        <v>83951.8</v>
      </c>
      <c r="F66" s="201">
        <f>E66*12</f>
        <v>1007421.6000000001</v>
      </c>
      <c r="G66" s="165"/>
      <c r="H66" s="165"/>
      <c r="I66" s="165"/>
      <c r="J66" s="192"/>
      <c r="K66" s="193"/>
      <c r="L66" s="193"/>
      <c r="M66" s="193"/>
      <c r="N66" s="193"/>
      <c r="O66" s="193"/>
      <c r="P66" s="135"/>
      <c r="Q66" s="135"/>
      <c r="R66" s="135"/>
      <c r="S66" s="135"/>
      <c r="T66" s="135"/>
      <c r="U66" s="135"/>
    </row>
    <row r="67" spans="1:21" ht="14.1" customHeight="1">
      <c r="A67" s="135"/>
      <c r="B67" s="202"/>
      <c r="C67" s="165"/>
      <c r="D67" s="135"/>
      <c r="E67" s="135"/>
      <c r="F67" s="165"/>
      <c r="G67" s="165"/>
      <c r="H67" s="165"/>
      <c r="I67" s="165"/>
      <c r="J67" s="192"/>
      <c r="K67" s="193"/>
      <c r="L67" s="193"/>
      <c r="M67" s="193"/>
      <c r="N67" s="193"/>
      <c r="O67" s="193"/>
      <c r="P67" s="135"/>
      <c r="Q67" s="135"/>
      <c r="R67" s="135"/>
      <c r="S67" s="135"/>
      <c r="T67" s="135"/>
      <c r="U67" s="135"/>
    </row>
    <row r="68" spans="1:21" ht="15">
      <c r="A68" s="203"/>
      <c r="B68" s="185" t="s">
        <v>321</v>
      </c>
      <c r="C68" s="135"/>
      <c r="D68" s="204">
        <f>(D66+D65)/(D64+D65+D66)</f>
        <v>0.29340407233674559</v>
      </c>
      <c r="E68" s="193"/>
      <c r="F68" s="172"/>
      <c r="G68" s="135"/>
      <c r="H68" s="172"/>
      <c r="I68" s="135"/>
      <c r="J68" s="205"/>
      <c r="K68" s="135"/>
      <c r="L68" s="135"/>
      <c r="M68" s="135"/>
      <c r="N68" s="135"/>
      <c r="O68" s="135"/>
    </row>
    <row r="69" spans="1:21" ht="15">
      <c r="A69" s="203"/>
      <c r="B69" s="135"/>
      <c r="C69" s="135"/>
      <c r="D69" s="135"/>
      <c r="E69" s="135"/>
      <c r="F69" s="172"/>
      <c r="G69" s="135"/>
      <c r="H69" s="172"/>
      <c r="I69" s="135"/>
      <c r="J69" s="193"/>
      <c r="K69" s="135"/>
      <c r="L69" s="135"/>
      <c r="M69" s="135"/>
      <c r="N69" s="135"/>
      <c r="O69" s="135"/>
    </row>
    <row r="70" spans="1:21" ht="15">
      <c r="A70" s="135"/>
      <c r="B70" s="135"/>
      <c r="C70" s="135"/>
      <c r="D70" s="205"/>
      <c r="E70" s="205"/>
      <c r="F70" s="135"/>
      <c r="G70" s="135"/>
      <c r="H70" s="135"/>
      <c r="I70" s="135"/>
      <c r="J70" s="135"/>
      <c r="K70" s="135"/>
      <c r="L70" s="135"/>
      <c r="M70" s="135"/>
      <c r="N70" s="135"/>
      <c r="O70" s="135"/>
    </row>
    <row r="71" spans="1:21" ht="15">
      <c r="A71" s="135"/>
      <c r="B71" s="135"/>
      <c r="C71" s="135"/>
      <c r="D71" s="135"/>
      <c r="E71" s="13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93">
        <v>0</v>
      </c>
      <c r="G74" s="135"/>
      <c r="H74" s="193">
        <v>0</v>
      </c>
      <c r="I74" s="135"/>
      <c r="J74" s="193">
        <v>0</v>
      </c>
      <c r="K74" s="135"/>
      <c r="L74" s="135"/>
      <c r="M74" s="135"/>
      <c r="N74" s="135"/>
      <c r="O74" s="135"/>
    </row>
    <row r="90" spans="6:6" ht="15">
      <c r="F90" s="135">
        <v>0</v>
      </c>
    </row>
  </sheetData>
  <mergeCells count="2">
    <mergeCell ref="B2:J2"/>
    <mergeCell ref="D4:E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0E7F-6E0B-41BC-8B6A-D315735E20D0}">
  <dimension ref="A1:U91"/>
  <sheetViews>
    <sheetView topLeftCell="A53" zoomScaleNormal="100" workbookViewId="0">
      <selection activeCell="A67" sqref="A67"/>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335</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Schedule'!B39</f>
        <v>Pest Control Supervisor</v>
      </c>
      <c r="C7" s="143"/>
      <c r="D7" s="151">
        <f>'[46]Manning Schedule'!D39</f>
        <v>1</v>
      </c>
      <c r="E7" s="152">
        <f>2</f>
        <v>2</v>
      </c>
      <c r="F7" s="153">
        <v>9900</v>
      </c>
      <c r="G7" s="143"/>
      <c r="H7" s="153">
        <f>F7*E7</f>
        <v>19800</v>
      </c>
      <c r="I7" s="143"/>
      <c r="J7" s="154">
        <f>H7*12</f>
        <v>237600</v>
      </c>
      <c r="K7" s="135"/>
      <c r="L7" s="155">
        <f>H7/(1-D$69)</f>
        <v>25318.750720461096</v>
      </c>
      <c r="N7" s="156">
        <f>ROUNDUP(L7/D7/30,0)</f>
        <v>844</v>
      </c>
    </row>
    <row r="8" spans="1:15" ht="15">
      <c r="A8" s="149">
        <v>2</v>
      </c>
      <c r="B8" s="150" t="str">
        <f>'[46]Manning Schedule'!B40</f>
        <v>Pest Control Service  (Lumpsum item per month)</v>
      </c>
      <c r="C8" s="143"/>
      <c r="D8" s="151">
        <f>'[46]Manning Schedule'!D40</f>
        <v>1</v>
      </c>
      <c r="E8" s="152">
        <v>1</v>
      </c>
      <c r="F8" s="157">
        <v>119000</v>
      </c>
      <c r="G8" s="143"/>
      <c r="H8" s="153">
        <f>F8*E8</f>
        <v>119000</v>
      </c>
      <c r="I8" s="143"/>
      <c r="J8" s="154">
        <f>H8*12</f>
        <v>1428000</v>
      </c>
      <c r="K8" s="135"/>
      <c r="L8" s="155">
        <f>H8/(1-D$69)</f>
        <v>152168.2492795389</v>
      </c>
      <c r="N8" s="156">
        <f>ROUNDUP(L8/D8/30,0)</f>
        <v>5073</v>
      </c>
    </row>
    <row r="9" spans="1:15" ht="15">
      <c r="A9" s="149">
        <v>3</v>
      </c>
      <c r="B9" s="150"/>
      <c r="C9" s="143"/>
      <c r="D9" s="151"/>
      <c r="E9" s="152"/>
      <c r="F9" s="157"/>
      <c r="G9" s="143"/>
      <c r="H9" s="153"/>
      <c r="I9" s="143"/>
      <c r="J9" s="154"/>
      <c r="K9" s="135"/>
      <c r="L9" s="155">
        <f>H9/(1-D$69)</f>
        <v>0</v>
      </c>
      <c r="N9" s="156" t="e">
        <f>ROUNDUP(L9/D9/30,0)</f>
        <v>#DIV/0!</v>
      </c>
    </row>
    <row r="10" spans="1:15" ht="15">
      <c r="A10" s="149">
        <v>4</v>
      </c>
      <c r="B10" s="150"/>
      <c r="C10" s="143"/>
      <c r="D10" s="151"/>
      <c r="E10" s="152"/>
      <c r="F10" s="157"/>
      <c r="G10" s="143"/>
      <c r="H10" s="153"/>
      <c r="I10" s="143"/>
      <c r="J10" s="154"/>
      <c r="K10" s="135"/>
      <c r="L10" s="155">
        <f>H10/(1-D$69)</f>
        <v>0</v>
      </c>
      <c r="N10" s="156" t="e">
        <f>ROUNDUP(L10/D10/30,0)</f>
        <v>#DIV/0!</v>
      </c>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2</v>
      </c>
      <c r="E24" s="161">
        <f>SUM(E7:E23)</f>
        <v>3</v>
      </c>
      <c r="F24" s="160"/>
      <c r="G24" s="160"/>
      <c r="H24" s="162">
        <f>SUM(H7:H23)</f>
        <v>138800</v>
      </c>
      <c r="I24" s="160"/>
      <c r="J24" s="162">
        <f>SUM(J7:J23)</f>
        <v>1665600</v>
      </c>
      <c r="K24" s="135"/>
      <c r="L24" s="163">
        <f>SUM(L7:L23)</f>
        <v>177487</v>
      </c>
      <c r="N24" s="164" t="s">
        <v>283</v>
      </c>
    </row>
    <row r="25" spans="1:14" ht="15">
      <c r="A25" s="135"/>
      <c r="B25" s="135"/>
      <c r="C25" s="165"/>
      <c r="D25" s="135"/>
      <c r="E25" s="135"/>
      <c r="F25" s="165"/>
      <c r="G25" s="165"/>
      <c r="H25" s="165"/>
      <c r="I25" s="165"/>
      <c r="J25" s="166"/>
      <c r="K25" s="135"/>
    </row>
    <row r="26" spans="1:14" ht="15.75">
      <c r="A26" s="135"/>
      <c r="B26" s="167" t="s">
        <v>284</v>
      </c>
      <c r="C26" s="160"/>
      <c r="D26" s="168"/>
      <c r="E26" s="168"/>
      <c r="F26" s="169"/>
      <c r="G26" s="160"/>
      <c r="H26" s="169"/>
      <c r="I26" s="160"/>
      <c r="J26" s="169"/>
      <c r="K26" s="135"/>
    </row>
    <row r="27" spans="1:14" ht="18">
      <c r="A27" s="170" t="s">
        <v>179</v>
      </c>
      <c r="B27" s="171"/>
      <c r="C27" s="172"/>
      <c r="D27" s="173"/>
      <c r="E27" s="173"/>
      <c r="F27" s="173"/>
      <c r="G27" s="173"/>
      <c r="H27" s="173"/>
      <c r="I27" s="173"/>
      <c r="J27" s="173"/>
      <c r="K27" s="135"/>
    </row>
    <row r="28" spans="1:14" ht="15">
      <c r="A28" s="149">
        <v>1</v>
      </c>
      <c r="B28" s="184"/>
      <c r="C28" s="175"/>
      <c r="D28" s="176"/>
      <c r="E28" s="176"/>
      <c r="F28" s="177"/>
      <c r="G28" s="143"/>
      <c r="H28" s="178"/>
      <c r="I28" s="143"/>
      <c r="J28" s="179"/>
      <c r="K28" s="135"/>
    </row>
    <row r="29" spans="1:14" ht="15">
      <c r="A29" s="149">
        <v>2</v>
      </c>
      <c r="B29" s="184"/>
      <c r="C29" s="175"/>
      <c r="D29" s="176"/>
      <c r="E29" s="176"/>
      <c r="F29" s="177"/>
      <c r="G29" s="143"/>
      <c r="H29" s="178"/>
      <c r="I29" s="143"/>
      <c r="J29" s="179"/>
      <c r="K29" s="135"/>
    </row>
    <row r="30" spans="1:14" ht="15">
      <c r="A30" s="149">
        <v>3</v>
      </c>
      <c r="B30" s="17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c r="C35" s="172"/>
      <c r="D35" s="173"/>
      <c r="E35" s="173"/>
      <c r="F35" s="173"/>
      <c r="G35" s="173"/>
      <c r="H35" s="173"/>
      <c r="I35" s="173"/>
      <c r="J35" s="173"/>
      <c r="K35" s="135"/>
    </row>
    <row r="36" spans="1:13" ht="15">
      <c r="A36" s="149">
        <v>1</v>
      </c>
      <c r="B36" s="184"/>
      <c r="C36" s="175"/>
      <c r="D36" s="176"/>
      <c r="E36" s="176"/>
      <c r="F36" s="180"/>
      <c r="G36" s="143"/>
      <c r="H36" s="153"/>
      <c r="I36" s="143"/>
      <c r="J36" s="154"/>
      <c r="K36" s="135"/>
      <c r="L36" s="183"/>
      <c r="M36" s="183"/>
    </row>
    <row r="37" spans="1:13" ht="15">
      <c r="A37" s="149">
        <v>2</v>
      </c>
      <c r="B37" s="184"/>
      <c r="C37" s="175"/>
      <c r="D37" s="176"/>
      <c r="E37" s="176"/>
      <c r="F37" s="180"/>
      <c r="G37" s="143"/>
      <c r="H37" s="153"/>
      <c r="I37" s="143"/>
      <c r="J37" s="154"/>
      <c r="K37" s="135"/>
      <c r="L37" s="183"/>
      <c r="M37" s="183"/>
    </row>
    <row r="38" spans="1:13" ht="15">
      <c r="A38" s="149">
        <v>3</v>
      </c>
      <c r="B38" s="174"/>
      <c r="C38" s="175"/>
      <c r="D38" s="176"/>
      <c r="E38" s="176"/>
      <c r="F38" s="180"/>
      <c r="G38" s="143"/>
      <c r="H38" s="153"/>
      <c r="I38" s="143"/>
      <c r="J38" s="154"/>
      <c r="K38" s="135"/>
      <c r="L38" s="183"/>
      <c r="M38" s="183"/>
    </row>
    <row r="39" spans="1:13" ht="15">
      <c r="A39" s="149">
        <v>4</v>
      </c>
      <c r="B39" s="17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c r="C47" s="172"/>
      <c r="D47" s="173"/>
      <c r="E47" s="173"/>
      <c r="F47" s="173"/>
      <c r="G47" s="173"/>
      <c r="H47" s="173"/>
      <c r="I47" s="173"/>
      <c r="J47" s="173"/>
      <c r="K47" s="135"/>
    </row>
    <row r="48" spans="1:13" ht="15">
      <c r="A48" s="149">
        <v>1</v>
      </c>
      <c r="B48" s="184"/>
      <c r="C48" s="175"/>
      <c r="D48" s="176"/>
      <c r="E48" s="176"/>
      <c r="F48" s="180"/>
      <c r="G48" s="143"/>
      <c r="H48" s="153"/>
      <c r="I48" s="143"/>
      <c r="J48" s="154"/>
      <c r="K48" s="135"/>
      <c r="L48" s="183"/>
      <c r="M48" s="183"/>
    </row>
    <row r="49" spans="1:21" ht="15">
      <c r="A49" s="149">
        <v>2</v>
      </c>
      <c r="B49" s="17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0.5</v>
      </c>
      <c r="F51" s="180">
        <v>8000</v>
      </c>
      <c r="G51" s="143"/>
      <c r="H51" s="153">
        <f>F51*E51</f>
        <v>4000</v>
      </c>
      <c r="I51" s="143"/>
      <c r="J51" s="154">
        <f>H51*12</f>
        <v>48000</v>
      </c>
      <c r="K51" s="135"/>
      <c r="L51" s="183"/>
      <c r="M51" s="183"/>
    </row>
    <row r="52" spans="1:21" ht="15">
      <c r="A52" s="149">
        <v>2</v>
      </c>
      <c r="B52" s="174" t="s">
        <v>309</v>
      </c>
      <c r="C52" s="175"/>
      <c r="D52" s="176"/>
      <c r="E52" s="176">
        <v>0.5</v>
      </c>
      <c r="F52" s="180">
        <v>3000</v>
      </c>
      <c r="G52" s="143"/>
      <c r="H52" s="153">
        <f>F52*E52</f>
        <v>1500</v>
      </c>
      <c r="I52" s="143"/>
      <c r="J52" s="154">
        <f>H52*12</f>
        <v>18000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f>
        <v>2</v>
      </c>
      <c r="F54" s="180">
        <v>2300</v>
      </c>
      <c r="G54" s="143"/>
      <c r="H54" s="153">
        <f>F54*E54</f>
        <v>4600</v>
      </c>
      <c r="I54" s="143"/>
      <c r="J54" s="154">
        <f>H54*12</f>
        <v>55200</v>
      </c>
      <c r="K54" s="135"/>
      <c r="L54" s="183"/>
      <c r="M54" s="183"/>
    </row>
    <row r="55" spans="1:21" ht="15">
      <c r="A55" s="149">
        <v>2</v>
      </c>
      <c r="B55" s="174"/>
      <c r="C55" s="175"/>
      <c r="D55" s="176"/>
      <c r="E55" s="176"/>
      <c r="F55" s="180"/>
      <c r="G55" s="143"/>
      <c r="H55" s="153"/>
      <c r="I55" s="143"/>
      <c r="J55" s="154"/>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0.25</v>
      </c>
      <c r="F57" s="180">
        <v>8000</v>
      </c>
      <c r="G57" s="143"/>
      <c r="H57" s="153">
        <f>F57*E57</f>
        <v>2000</v>
      </c>
      <c r="I57" s="143"/>
      <c r="J57" s="154">
        <f>H57*12</f>
        <v>24000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v>5</v>
      </c>
      <c r="F59" s="180">
        <v>400</v>
      </c>
      <c r="G59" s="143"/>
      <c r="H59" s="153">
        <f>F59*E59</f>
        <v>2000</v>
      </c>
      <c r="I59" s="143"/>
      <c r="J59" s="154">
        <f>H59*12</f>
        <v>24000</v>
      </c>
      <c r="K59" s="135"/>
      <c r="L59" s="183"/>
      <c r="M59" s="183"/>
    </row>
    <row r="60" spans="1:21" ht="15">
      <c r="A60" s="149">
        <v>4</v>
      </c>
      <c r="B60" s="184" t="s">
        <v>315</v>
      </c>
      <c r="C60" s="175"/>
      <c r="D60" s="176"/>
      <c r="E60" s="176">
        <v>0.2</v>
      </c>
      <c r="F60" s="180">
        <v>18000</v>
      </c>
      <c r="G60" s="143"/>
      <c r="H60" s="153">
        <f>F60*E60</f>
        <v>3600</v>
      </c>
      <c r="I60" s="143"/>
      <c r="J60" s="154">
        <f>H60*12</f>
        <v>43200</v>
      </c>
      <c r="K60" s="135"/>
      <c r="L60" s="183"/>
      <c r="M60" s="183"/>
    </row>
    <row r="61" spans="1:21" ht="15">
      <c r="B61" s="185" t="s">
        <v>316</v>
      </c>
      <c r="C61" s="162"/>
      <c r="D61" s="186"/>
      <c r="E61" s="186"/>
      <c r="F61" s="162"/>
      <c r="G61" s="162"/>
      <c r="H61" s="162">
        <f>SUM(H28:H34)+SUM(H36:H40)+SUM(H42:H46)+SUM(H48:H49)+SUM(H51:H52)+SUM(H54:H55)+SUM(H57:H60)</f>
        <v>17700</v>
      </c>
      <c r="I61" s="162"/>
      <c r="J61" s="162">
        <f>SUM(J28:J34)+SUM(J36:J40)+SUM(J42:J46)+SUM(J48:J49)+SUM(J51:J52)+SUM(J54:J55)+SUM(J57:J60)</f>
        <v>212400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138800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17700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0.09</v>
      </c>
      <c r="B66" s="194" t="s">
        <v>320</v>
      </c>
      <c r="C66" s="165"/>
      <c r="D66" s="199">
        <f>(D64+D65)*A66</f>
        <v>14085</v>
      </c>
      <c r="E66" s="200">
        <f>SUM(D64+D65+D66+D67)</f>
        <v>177487</v>
      </c>
      <c r="F66" s="201">
        <f>E66*12</f>
        <v>2129844</v>
      </c>
      <c r="G66" s="165"/>
      <c r="H66" s="165"/>
      <c r="I66" s="165"/>
      <c r="J66" s="192"/>
      <c r="K66" s="193"/>
      <c r="L66" s="193"/>
      <c r="M66" s="193"/>
      <c r="N66" s="193"/>
      <c r="O66" s="193"/>
      <c r="P66" s="135"/>
      <c r="Q66" s="135"/>
      <c r="R66" s="135"/>
      <c r="S66" s="135"/>
      <c r="T66" s="135"/>
      <c r="U66" s="135"/>
    </row>
    <row r="67" spans="1:21" ht="14.1" customHeight="1">
      <c r="A67" s="198"/>
      <c r="B67" s="194" t="s">
        <v>323</v>
      </c>
      <c r="C67" s="180"/>
      <c r="D67" s="199">
        <f>'Mobilization Budget'!H111</f>
        <v>6902</v>
      </c>
      <c r="E67" s="200"/>
      <c r="F67" s="201"/>
      <c r="G67" s="165"/>
      <c r="H67" s="165"/>
      <c r="I67" s="165"/>
      <c r="J67" s="192"/>
      <c r="K67" s="193"/>
      <c r="L67" s="193"/>
      <c r="M67" s="193"/>
      <c r="N67" s="193"/>
      <c r="O67" s="193"/>
      <c r="P67" s="135"/>
      <c r="Q67" s="135"/>
      <c r="R67" s="135"/>
      <c r="S67" s="135"/>
      <c r="T67" s="135"/>
      <c r="U67" s="135"/>
    </row>
    <row r="68" spans="1:21" ht="14.1" customHeight="1">
      <c r="A68" s="135"/>
      <c r="B68" s="202"/>
      <c r="C68" s="165"/>
      <c r="D68" s="135"/>
      <c r="E68" s="135"/>
      <c r="F68" s="165"/>
      <c r="G68" s="165"/>
      <c r="H68" s="165"/>
      <c r="I68" s="165"/>
      <c r="J68" s="192"/>
      <c r="K68" s="193"/>
      <c r="L68" s="193"/>
      <c r="M68" s="193"/>
      <c r="N68" s="193"/>
      <c r="O68" s="193"/>
      <c r="P68" s="135"/>
      <c r="Q68" s="135"/>
      <c r="R68" s="135"/>
      <c r="S68" s="135"/>
      <c r="T68" s="135"/>
      <c r="U68" s="135"/>
    </row>
    <row r="69" spans="1:21" ht="15">
      <c r="A69" s="203"/>
      <c r="B69" s="185" t="s">
        <v>321</v>
      </c>
      <c r="C69" s="135"/>
      <c r="D69" s="204">
        <f>(D66+D65+D67)/(D64+D65+D66+D67)</f>
        <v>0.21797089364291469</v>
      </c>
      <c r="E69" s="193"/>
      <c r="F69" s="172"/>
      <c r="G69" s="135"/>
      <c r="H69" s="172"/>
      <c r="I69" s="135"/>
      <c r="J69" s="205"/>
      <c r="K69" s="135"/>
      <c r="L69" s="135"/>
      <c r="M69" s="135"/>
      <c r="N69" s="135"/>
      <c r="O69" s="135"/>
    </row>
    <row r="70" spans="1:21" ht="15">
      <c r="A70" s="203"/>
      <c r="B70" s="135"/>
      <c r="C70" s="135"/>
      <c r="D70" s="135"/>
      <c r="E70" s="135"/>
      <c r="F70" s="172"/>
      <c r="G70" s="135"/>
      <c r="H70" s="172"/>
      <c r="I70" s="135"/>
      <c r="J70" s="193"/>
      <c r="K70" s="135"/>
      <c r="L70" s="135"/>
      <c r="M70" s="135"/>
      <c r="N70" s="135"/>
      <c r="O70" s="135"/>
    </row>
    <row r="71" spans="1:21" ht="15">
      <c r="A71" s="135"/>
      <c r="B71" s="135"/>
      <c r="C71" s="135"/>
      <c r="D71" s="205"/>
      <c r="E71" s="20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35"/>
      <c r="G74" s="135"/>
      <c r="H74" s="135"/>
      <c r="I74" s="135"/>
      <c r="J74" s="135"/>
      <c r="K74" s="135"/>
      <c r="L74" s="135"/>
      <c r="M74" s="135"/>
      <c r="N74" s="135"/>
      <c r="O74" s="135"/>
    </row>
    <row r="75" spans="1:21" ht="15">
      <c r="A75" s="135"/>
      <c r="B75" s="135"/>
      <c r="C75" s="135"/>
      <c r="D75" s="135"/>
      <c r="E75" s="135"/>
      <c r="F75" s="193">
        <v>0</v>
      </c>
      <c r="G75" s="135"/>
      <c r="H75" s="193">
        <v>0</v>
      </c>
      <c r="I75" s="135"/>
      <c r="J75" s="193">
        <v>0</v>
      </c>
      <c r="K75" s="135"/>
      <c r="L75" s="135"/>
      <c r="M75" s="135"/>
      <c r="N75" s="135"/>
      <c r="O75" s="135"/>
    </row>
    <row r="91" spans="6:6" ht="15">
      <c r="F91" s="135">
        <v>0</v>
      </c>
    </row>
  </sheetData>
  <mergeCells count="2">
    <mergeCell ref="B2:J2"/>
    <mergeCell ref="D4:E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14DD-2351-48B2-AA30-1F2F435082DC}">
  <dimension ref="A1:U90"/>
  <sheetViews>
    <sheetView topLeftCell="A53" zoomScaleNormal="100" workbookViewId="0">
      <selection activeCell="A67" sqref="A67"/>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336</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Schedule'!B43</f>
        <v>Landscape Manager</v>
      </c>
      <c r="C7" s="143"/>
      <c r="D7" s="151">
        <f>'[46]Manning Schedule'!D43</f>
        <v>1</v>
      </c>
      <c r="E7" s="152">
        <v>1</v>
      </c>
      <c r="F7" s="153">
        <v>24000</v>
      </c>
      <c r="G7" s="143"/>
      <c r="H7" s="153">
        <f>F7*E7</f>
        <v>24000</v>
      </c>
      <c r="I7" s="143"/>
      <c r="J7" s="154">
        <f>H7*12</f>
        <v>288000</v>
      </c>
      <c r="K7" s="135"/>
      <c r="L7" s="155">
        <f>H7/(1-D$68)</f>
        <v>58723.000000000007</v>
      </c>
      <c r="N7" s="156">
        <f>ROUNDUP(L7/D7/30,0)</f>
        <v>1958</v>
      </c>
    </row>
    <row r="8" spans="1:15" ht="15">
      <c r="A8" s="149">
        <v>2</v>
      </c>
      <c r="B8" s="150" t="str">
        <f>'[46]Manning Schedule'!B44</f>
        <v>Landscape Supervisor</v>
      </c>
      <c r="C8" s="143"/>
      <c r="D8" s="151">
        <f>'[46]Manning Schedule'!D44</f>
        <v>2</v>
      </c>
      <c r="E8" s="152">
        <f>ROUNDUP(D8+(D8/6),0)+1</f>
        <v>4</v>
      </c>
      <c r="F8" s="157">
        <v>9800</v>
      </c>
      <c r="G8" s="143"/>
      <c r="H8" s="153">
        <f>F8*E8</f>
        <v>39200</v>
      </c>
      <c r="I8" s="143"/>
      <c r="J8" s="154">
        <f>H8*12</f>
        <v>470400</v>
      </c>
      <c r="K8" s="135"/>
      <c r="L8" s="155">
        <f>H8/(1-D$68)</f>
        <v>95914.233333333337</v>
      </c>
      <c r="N8" s="156">
        <f>ROUNDUP(L8/D8/30,0)</f>
        <v>1599</v>
      </c>
    </row>
    <row r="9" spans="1:15" ht="15">
      <c r="A9" s="149">
        <v>3</v>
      </c>
      <c r="B9" s="150" t="str">
        <f>'[46]Manning Schedule'!B45</f>
        <v>Gardner</v>
      </c>
      <c r="C9" s="143"/>
      <c r="D9" s="151">
        <f>'[46]Manning Schedule'!D45</f>
        <v>20</v>
      </c>
      <c r="E9" s="152">
        <v>28</v>
      </c>
      <c r="F9" s="157">
        <v>4600</v>
      </c>
      <c r="G9" s="143"/>
      <c r="H9" s="153">
        <f>F9*E9</f>
        <v>128800</v>
      </c>
      <c r="I9" s="143"/>
      <c r="J9" s="154">
        <f>H9*12</f>
        <v>1545600</v>
      </c>
      <c r="K9" s="135"/>
      <c r="L9" s="155">
        <f>H9/(1-D$68)</f>
        <v>315146.76666666666</v>
      </c>
      <c r="N9" s="156">
        <f>ROUNDUP(L9/D9/30,0)</f>
        <v>526</v>
      </c>
    </row>
    <row r="10" spans="1:15" ht="15">
      <c r="A10" s="149">
        <v>4</v>
      </c>
      <c r="B10" s="150"/>
      <c r="C10" s="143"/>
      <c r="D10" s="151"/>
      <c r="E10" s="152"/>
      <c r="F10" s="157"/>
      <c r="G10" s="143"/>
      <c r="H10" s="153"/>
      <c r="I10" s="143"/>
      <c r="J10" s="154"/>
      <c r="K10" s="135"/>
      <c r="L10" s="155"/>
      <c r="N10" s="156"/>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23</v>
      </c>
      <c r="E24" s="161">
        <f>SUM(E7:E23)</f>
        <v>33</v>
      </c>
      <c r="F24" s="160"/>
      <c r="G24" s="160"/>
      <c r="H24" s="162">
        <f>SUM(H7:H23)</f>
        <v>192000</v>
      </c>
      <c r="I24" s="160"/>
      <c r="J24" s="162">
        <f>SUM(J7:J23)</f>
        <v>2304000</v>
      </c>
      <c r="K24" s="135"/>
      <c r="L24" s="163">
        <f>SUM(L7:L23)</f>
        <v>469784</v>
      </c>
      <c r="N24" s="164" t="s">
        <v>283</v>
      </c>
    </row>
    <row r="25" spans="1:14" ht="15">
      <c r="A25" s="135"/>
      <c r="B25" s="135"/>
      <c r="C25" s="165"/>
      <c r="D25" s="135"/>
      <c r="E25" s="135"/>
      <c r="F25" s="165"/>
      <c r="G25" s="165"/>
      <c r="H25" s="165"/>
      <c r="I25" s="165"/>
      <c r="J25" s="166"/>
      <c r="K25" s="135"/>
      <c r="L25" s="155">
        <f>L24/D35</f>
        <v>10.48625</v>
      </c>
    </row>
    <row r="26" spans="1:14" ht="15.75">
      <c r="A26" s="135"/>
      <c r="B26" s="167" t="s">
        <v>284</v>
      </c>
      <c r="C26" s="160"/>
      <c r="D26" s="168"/>
      <c r="E26" s="168"/>
      <c r="F26" s="169"/>
      <c r="G26" s="160"/>
      <c r="H26" s="169"/>
      <c r="I26" s="160"/>
      <c r="J26" s="169"/>
      <c r="K26" s="135"/>
    </row>
    <row r="27" spans="1:14" ht="18">
      <c r="A27" s="170" t="s">
        <v>179</v>
      </c>
      <c r="B27" s="171" t="s">
        <v>337</v>
      </c>
      <c r="C27" s="172"/>
      <c r="D27" s="173"/>
      <c r="E27" s="173"/>
      <c r="F27" s="173"/>
      <c r="G27" s="173"/>
      <c r="H27" s="173"/>
      <c r="I27" s="173"/>
      <c r="J27" s="173"/>
      <c r="K27" s="135"/>
    </row>
    <row r="28" spans="1:14" ht="15">
      <c r="A28" s="149">
        <v>1</v>
      </c>
      <c r="B28" s="184" t="s">
        <v>338</v>
      </c>
      <c r="C28" s="175"/>
      <c r="D28" s="176"/>
      <c r="E28" s="176">
        <f>E9</f>
        <v>28</v>
      </c>
      <c r="F28" s="177">
        <v>400</v>
      </c>
      <c r="G28" s="143"/>
      <c r="H28" s="178">
        <f>E28*F28</f>
        <v>11200</v>
      </c>
      <c r="I28" s="143"/>
      <c r="J28" s="179">
        <f>H28*12</f>
        <v>134400</v>
      </c>
      <c r="K28" s="135"/>
    </row>
    <row r="29" spans="1:14" ht="15">
      <c r="A29" s="149">
        <v>2</v>
      </c>
      <c r="B29" s="184" t="s">
        <v>339</v>
      </c>
      <c r="C29" s="175"/>
      <c r="D29" s="176"/>
      <c r="E29" s="176">
        <f>E28</f>
        <v>28</v>
      </c>
      <c r="F29" s="177">
        <v>600</v>
      </c>
      <c r="G29" s="143"/>
      <c r="H29" s="178">
        <f>E29*F29</f>
        <v>16800</v>
      </c>
      <c r="I29" s="143"/>
      <c r="J29" s="179">
        <f>H29*12</f>
        <v>201600</v>
      </c>
      <c r="K29" s="135"/>
    </row>
    <row r="30" spans="1:14" ht="15">
      <c r="A30" s="149">
        <v>3</v>
      </c>
      <c r="B30" s="17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340</v>
      </c>
      <c r="C35" s="172"/>
      <c r="D35" s="173">
        <v>44800</v>
      </c>
      <c r="E35" s="173"/>
      <c r="F35" s="173"/>
      <c r="G35" s="173"/>
      <c r="H35" s="173"/>
      <c r="I35" s="173"/>
      <c r="J35" s="173"/>
      <c r="K35" s="135"/>
    </row>
    <row r="36" spans="1:13" ht="15">
      <c r="A36" s="149">
        <v>1</v>
      </c>
      <c r="B36" s="184" t="s">
        <v>341</v>
      </c>
      <c r="C36" s="175"/>
      <c r="D36" s="176"/>
      <c r="E36" s="176">
        <f>D35</f>
        <v>44800</v>
      </c>
      <c r="F36" s="180">
        <v>0.9</v>
      </c>
      <c r="G36" s="143"/>
      <c r="H36" s="153">
        <f>F36*E36</f>
        <v>40320</v>
      </c>
      <c r="I36" s="143"/>
      <c r="J36" s="154">
        <f>H36*12</f>
        <v>483840</v>
      </c>
      <c r="K36" s="135"/>
      <c r="L36" s="183"/>
      <c r="M36" s="183"/>
    </row>
    <row r="37" spans="1:13" ht="15">
      <c r="A37" s="149">
        <v>2</v>
      </c>
      <c r="B37" s="184" t="s">
        <v>342</v>
      </c>
      <c r="C37" s="175"/>
      <c r="D37" s="176"/>
      <c r="E37" s="176">
        <f>D35</f>
        <v>44800</v>
      </c>
      <c r="F37" s="180">
        <v>1.1000000000000001</v>
      </c>
      <c r="G37" s="143"/>
      <c r="H37" s="153">
        <f>F37*E37</f>
        <v>49280.000000000007</v>
      </c>
      <c r="I37" s="143"/>
      <c r="J37" s="154">
        <f>H37*12</f>
        <v>591360.00000000012</v>
      </c>
      <c r="K37" s="135"/>
      <c r="L37" s="183"/>
      <c r="M37" s="183"/>
    </row>
    <row r="38" spans="1:13" ht="15">
      <c r="A38" s="149">
        <v>3</v>
      </c>
      <c r="B38" s="184" t="s">
        <v>343</v>
      </c>
      <c r="C38" s="175"/>
      <c r="D38" s="176"/>
      <c r="E38" s="176">
        <f>D35</f>
        <v>44800</v>
      </c>
      <c r="F38" s="180">
        <v>0.5</v>
      </c>
      <c r="G38" s="143"/>
      <c r="H38" s="153">
        <f>F38*E38</f>
        <v>22400</v>
      </c>
      <c r="I38" s="143"/>
      <c r="J38" s="154">
        <f>H38*12</f>
        <v>268800</v>
      </c>
      <c r="K38" s="135"/>
      <c r="L38" s="183"/>
      <c r="M38" s="183"/>
    </row>
    <row r="39" spans="1:13" ht="15">
      <c r="A39" s="149">
        <v>4</v>
      </c>
      <c r="B39" s="17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344</v>
      </c>
      <c r="C47" s="172"/>
      <c r="D47" s="173"/>
      <c r="E47" s="173"/>
      <c r="F47" s="173"/>
      <c r="G47" s="173"/>
      <c r="H47" s="173"/>
      <c r="I47" s="173"/>
      <c r="J47" s="173"/>
      <c r="K47" s="135"/>
    </row>
    <row r="48" spans="1:13" ht="15">
      <c r="A48" s="149">
        <v>1</v>
      </c>
      <c r="B48" s="184" t="s">
        <v>345</v>
      </c>
      <c r="C48" s="175"/>
      <c r="D48" s="176"/>
      <c r="E48" s="176">
        <v>1</v>
      </c>
      <c r="F48" s="180">
        <v>22000</v>
      </c>
      <c r="G48" s="143"/>
      <c r="H48" s="153">
        <f>F48*E48</f>
        <v>22000</v>
      </c>
      <c r="I48" s="143"/>
      <c r="J48" s="154">
        <f>H48*12</f>
        <v>264000</v>
      </c>
      <c r="K48" s="135"/>
      <c r="L48" s="183"/>
      <c r="M48" s="183"/>
    </row>
    <row r="49" spans="1:21" ht="15">
      <c r="A49" s="149">
        <v>2</v>
      </c>
      <c r="B49" s="184" t="s">
        <v>346</v>
      </c>
      <c r="C49" s="175"/>
      <c r="D49" s="176"/>
      <c r="E49" s="176">
        <v>25</v>
      </c>
      <c r="F49" s="180">
        <v>150</v>
      </c>
      <c r="G49" s="143"/>
      <c r="H49" s="153">
        <f>F49*E49</f>
        <v>3750</v>
      </c>
      <c r="I49" s="143"/>
      <c r="J49" s="154">
        <f>H49*12</f>
        <v>45000</v>
      </c>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0.25</v>
      </c>
      <c r="F51" s="180">
        <v>8000</v>
      </c>
      <c r="G51" s="143"/>
      <c r="H51" s="153">
        <f>F51*E51</f>
        <v>2000</v>
      </c>
      <c r="I51" s="143"/>
      <c r="J51" s="154">
        <f>H51*12</f>
        <v>24000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E8+E7</f>
        <v>5</v>
      </c>
      <c r="F54" s="180">
        <v>1200</v>
      </c>
      <c r="G54" s="143"/>
      <c r="H54" s="153">
        <f>F54*E54</f>
        <v>6000</v>
      </c>
      <c r="I54" s="143"/>
      <c r="J54" s="154">
        <f>H54*12</f>
        <v>72000</v>
      </c>
      <c r="K54" s="135"/>
      <c r="L54" s="183"/>
      <c r="M54" s="183"/>
    </row>
    <row r="55" spans="1:21" ht="15">
      <c r="A55" s="149">
        <v>2</v>
      </c>
      <c r="B55" s="174" t="s">
        <v>312</v>
      </c>
      <c r="C55" s="175"/>
      <c r="D55" s="176"/>
      <c r="E55" s="176">
        <f>E9</f>
        <v>28</v>
      </c>
      <c r="F55" s="180">
        <v>1000</v>
      </c>
      <c r="G55" s="143"/>
      <c r="H55" s="153">
        <f>F55*E55</f>
        <v>28000</v>
      </c>
      <c r="I55" s="143"/>
      <c r="J55" s="154">
        <f>H55*12</f>
        <v>336000</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5000</v>
      </c>
      <c r="G57" s="143"/>
      <c r="H57" s="153">
        <f>F57*E57</f>
        <v>5000</v>
      </c>
      <c r="I57" s="143"/>
      <c r="J57" s="154">
        <f>H57*12</f>
        <v>60000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33</v>
      </c>
      <c r="F59" s="180">
        <v>400</v>
      </c>
      <c r="G59" s="143"/>
      <c r="H59" s="153">
        <f>F59*E59</f>
        <v>13200</v>
      </c>
      <c r="I59" s="143"/>
      <c r="J59" s="154">
        <f>H59*12</f>
        <v>158400</v>
      </c>
      <c r="K59" s="135"/>
      <c r="L59" s="183"/>
      <c r="M59" s="183"/>
    </row>
    <row r="60" spans="1:21" ht="15">
      <c r="A60" s="149">
        <v>4</v>
      </c>
      <c r="B60" s="184" t="s">
        <v>315</v>
      </c>
      <c r="C60" s="175"/>
      <c r="D60" s="176"/>
      <c r="E60" s="176">
        <v>0.25</v>
      </c>
      <c r="F60" s="180">
        <v>18000</v>
      </c>
      <c r="G60" s="143"/>
      <c r="H60" s="153">
        <f>F60*E60</f>
        <v>4500</v>
      </c>
      <c r="I60" s="143"/>
      <c r="J60" s="154">
        <f>H60*12</f>
        <v>54000</v>
      </c>
      <c r="K60" s="135"/>
      <c r="L60" s="183"/>
      <c r="M60" s="183"/>
    </row>
    <row r="61" spans="1:21" ht="15">
      <c r="B61" s="185" t="s">
        <v>316</v>
      </c>
      <c r="C61" s="162"/>
      <c r="D61" s="186"/>
      <c r="E61" s="186"/>
      <c r="F61" s="162"/>
      <c r="G61" s="162"/>
      <c r="H61" s="162">
        <f>SUM(H28:H34)+SUM(H36:H40)+SUM(H42:H46)+SUM(H48:H49)+SUM(H51:H52)+SUM(H54:H55)+SUM(H57:H60)</f>
        <v>227450</v>
      </c>
      <c r="I61" s="162"/>
      <c r="J61" s="162">
        <f>SUM(J28:J34)+SUM(J36:J40)+SUM(J42:J46)+SUM(J48:J49)+SUM(J51:J52)+SUM(J54:J55)+SUM(J57:J60)</f>
        <v>2729400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192000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227450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0.12</v>
      </c>
      <c r="B66" s="194" t="s">
        <v>320</v>
      </c>
      <c r="C66" s="165"/>
      <c r="D66" s="199">
        <f>(D64+D65)*A66</f>
        <v>50334</v>
      </c>
      <c r="E66" s="200">
        <f>SUM(D64+D65+D66)</f>
        <v>469784</v>
      </c>
      <c r="F66" s="201">
        <f>E66*12</f>
        <v>5637408</v>
      </c>
      <c r="G66" s="165"/>
      <c r="H66" s="165"/>
      <c r="I66" s="165"/>
      <c r="J66" s="192"/>
      <c r="K66" s="193"/>
      <c r="L66" s="193"/>
      <c r="M66" s="193"/>
      <c r="N66" s="193"/>
      <c r="O66" s="193"/>
      <c r="P66" s="135"/>
      <c r="Q66" s="135"/>
      <c r="R66" s="135"/>
      <c r="S66" s="135"/>
      <c r="T66" s="135"/>
      <c r="U66" s="135"/>
    </row>
    <row r="67" spans="1:21" ht="14.1" customHeight="1">
      <c r="A67" s="135"/>
      <c r="B67" s="202"/>
      <c r="C67" s="165"/>
      <c r="D67" s="135"/>
      <c r="E67" s="135"/>
      <c r="F67" s="165"/>
      <c r="G67" s="165"/>
      <c r="H67" s="165"/>
      <c r="I67" s="165"/>
      <c r="J67" s="192"/>
      <c r="K67" s="193"/>
      <c r="L67" s="193"/>
      <c r="M67" s="193"/>
      <c r="N67" s="193"/>
      <c r="O67" s="193"/>
      <c r="P67" s="135"/>
      <c r="Q67" s="135"/>
      <c r="R67" s="135"/>
      <c r="S67" s="135"/>
      <c r="T67" s="135"/>
      <c r="U67" s="135"/>
    </row>
    <row r="68" spans="1:21" ht="15">
      <c r="A68" s="203"/>
      <c r="B68" s="185" t="s">
        <v>321</v>
      </c>
      <c r="C68" s="135"/>
      <c r="D68" s="204">
        <f>(D66+D65)/(D64+D65+D66)</f>
        <v>0.5913015343221566</v>
      </c>
      <c r="E68" s="193"/>
      <c r="F68" s="172"/>
      <c r="G68" s="135"/>
      <c r="H68" s="172"/>
      <c r="I68" s="135"/>
      <c r="J68" s="205"/>
      <c r="K68" s="135"/>
      <c r="L68" s="135"/>
      <c r="M68" s="135"/>
      <c r="N68" s="135"/>
      <c r="O68" s="135"/>
    </row>
    <row r="69" spans="1:21" ht="15">
      <c r="A69" s="203"/>
      <c r="B69" s="135"/>
      <c r="C69" s="135"/>
      <c r="D69" s="135"/>
      <c r="E69" s="135"/>
      <c r="F69" s="172"/>
      <c r="G69" s="135"/>
      <c r="H69" s="172"/>
      <c r="I69" s="135"/>
      <c r="J69" s="193"/>
      <c r="K69" s="135"/>
      <c r="L69" s="135"/>
      <c r="M69" s="135"/>
      <c r="N69" s="135"/>
      <c r="O69" s="135"/>
    </row>
    <row r="70" spans="1:21" ht="15">
      <c r="A70" s="135"/>
      <c r="B70" s="135"/>
      <c r="C70" s="135"/>
      <c r="D70" s="205"/>
      <c r="E70" s="205"/>
      <c r="F70" s="135"/>
      <c r="G70" s="135"/>
      <c r="H70" s="135"/>
      <c r="I70" s="135"/>
      <c r="J70" s="135"/>
      <c r="K70" s="135"/>
      <c r="L70" s="135"/>
      <c r="M70" s="135"/>
      <c r="N70" s="135"/>
      <c r="O70" s="135"/>
    </row>
    <row r="71" spans="1:21" ht="15">
      <c r="A71" s="135"/>
      <c r="B71" s="135"/>
      <c r="C71" s="135"/>
      <c r="D71" s="135"/>
      <c r="E71" s="13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93">
        <v>0</v>
      </c>
      <c r="G74" s="135"/>
      <c r="H74" s="193">
        <v>0</v>
      </c>
      <c r="I74" s="135"/>
      <c r="J74" s="193">
        <v>0</v>
      </c>
      <c r="K74" s="135"/>
      <c r="L74" s="135"/>
      <c r="M74" s="135"/>
      <c r="N74" s="135"/>
      <c r="O74" s="135"/>
    </row>
    <row r="90" spans="6:6" ht="15">
      <c r="F90" s="135">
        <v>0</v>
      </c>
    </row>
  </sheetData>
  <mergeCells count="2">
    <mergeCell ref="B2:J2"/>
    <mergeCell ref="D4:E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71F8B-8511-4550-B94E-6D2AE5387186}">
  <dimension ref="A1:U91"/>
  <sheetViews>
    <sheetView topLeftCell="A45" zoomScaleNormal="100" workbookViewId="0">
      <selection activeCell="A66" sqref="A66"/>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347</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Schedule'!B43</f>
        <v>Landscape Manager</v>
      </c>
      <c r="C7" s="143"/>
      <c r="D7" s="151">
        <f>'[46]Manning Schedule'!V43</f>
        <v>1</v>
      </c>
      <c r="E7" s="152">
        <v>0.6</v>
      </c>
      <c r="F7" s="153">
        <f>'Landscape Y1'!F7*1.25</f>
        <v>30000</v>
      </c>
      <c r="G7" s="143"/>
      <c r="H7" s="153">
        <f>F7*E7</f>
        <v>18000</v>
      </c>
      <c r="I7" s="143"/>
      <c r="J7" s="154">
        <f>H7*12</f>
        <v>216000</v>
      </c>
      <c r="K7" s="135"/>
      <c r="L7" s="155">
        <f>H7/(1-D$69)</f>
        <v>65360.469454066872</v>
      </c>
      <c r="N7" s="156">
        <f>ROUNDUP(L7/D7/30,0)</f>
        <v>2179</v>
      </c>
    </row>
    <row r="8" spans="1:15" ht="15">
      <c r="A8" s="149">
        <v>2</v>
      </c>
      <c r="B8" s="150" t="str">
        <f>'[46]Manning Schedule'!B44</f>
        <v>Landscape Supervisor</v>
      </c>
      <c r="C8" s="143"/>
      <c r="D8" s="151">
        <f>'[46]Manning Schedule'!V44</f>
        <v>4</v>
      </c>
      <c r="E8" s="152">
        <v>5</v>
      </c>
      <c r="F8" s="153">
        <f>'Landscape Y1'!F8*1.1</f>
        <v>10780</v>
      </c>
      <c r="G8" s="143"/>
      <c r="H8" s="153">
        <f>F8*E8</f>
        <v>53900</v>
      </c>
      <c r="I8" s="143"/>
      <c r="J8" s="154">
        <f>H8*12</f>
        <v>646800</v>
      </c>
      <c r="K8" s="135"/>
      <c r="L8" s="155">
        <f>H8/(1-D$69)</f>
        <v>195718.29464301135</v>
      </c>
      <c r="N8" s="156">
        <f>ROUNDUP(L8/D8/30,0)</f>
        <v>1631</v>
      </c>
    </row>
    <row r="9" spans="1:15" ht="15">
      <c r="A9" s="149">
        <v>3</v>
      </c>
      <c r="B9" s="150" t="str">
        <f>'[46]Manning Schedule'!B45</f>
        <v>Gardner</v>
      </c>
      <c r="C9" s="143"/>
      <c r="D9" s="151">
        <f>'[46]Manning Schedule'!V45</f>
        <v>60</v>
      </c>
      <c r="E9" s="152">
        <v>70</v>
      </c>
      <c r="F9" s="153">
        <v>4400</v>
      </c>
      <c r="G9" s="143"/>
      <c r="H9" s="153">
        <f>F9*E9</f>
        <v>308000</v>
      </c>
      <c r="I9" s="143"/>
      <c r="J9" s="154">
        <f>H9*12</f>
        <v>3696000</v>
      </c>
      <c r="K9" s="135"/>
      <c r="L9" s="155">
        <f>H9/(1-D$69)</f>
        <v>1118390.255102922</v>
      </c>
      <c r="N9" s="156">
        <f>ROUNDUP(L9/D9/30,0)</f>
        <v>622</v>
      </c>
    </row>
    <row r="10" spans="1:15" ht="15">
      <c r="A10" s="149">
        <v>4</v>
      </c>
      <c r="B10" s="150"/>
      <c r="C10" s="143"/>
      <c r="D10" s="151"/>
      <c r="E10" s="152"/>
      <c r="F10" s="157"/>
      <c r="G10" s="143"/>
      <c r="H10" s="153"/>
      <c r="I10" s="143"/>
      <c r="J10" s="154"/>
      <c r="K10" s="135"/>
      <c r="L10" s="155"/>
      <c r="N10" s="156"/>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65</v>
      </c>
      <c r="E24" s="161">
        <f>SUM(E7:E23)</f>
        <v>75.599999999999994</v>
      </c>
      <c r="F24" s="160"/>
      <c r="G24" s="160"/>
      <c r="H24" s="162">
        <f>SUM(H7:H23)</f>
        <v>379900</v>
      </c>
      <c r="I24" s="160"/>
      <c r="J24" s="162">
        <f>SUM(J7:J23)</f>
        <v>4558800</v>
      </c>
      <c r="K24" s="135"/>
      <c r="L24" s="163">
        <f>SUM(L7:L23)</f>
        <v>1379469.0192000002</v>
      </c>
      <c r="N24" s="164" t="s">
        <v>283</v>
      </c>
    </row>
    <row r="25" spans="1:14" ht="15">
      <c r="A25" s="135"/>
      <c r="B25" s="135"/>
      <c r="C25" s="165"/>
      <c r="D25" s="135"/>
      <c r="E25" s="135"/>
      <c r="F25" s="165"/>
      <c r="G25" s="165"/>
      <c r="H25" s="165"/>
      <c r="I25" s="165"/>
      <c r="J25" s="166"/>
      <c r="K25" s="135"/>
      <c r="L25" s="155">
        <f>L24/D35</f>
        <v>5.6846406962656504</v>
      </c>
    </row>
    <row r="26" spans="1:14" ht="15.75">
      <c r="A26" s="135"/>
      <c r="B26" s="167" t="s">
        <v>284</v>
      </c>
      <c r="C26" s="160"/>
      <c r="D26" s="168"/>
      <c r="E26" s="168"/>
      <c r="F26" s="169"/>
      <c r="G26" s="160"/>
      <c r="H26" s="169"/>
      <c r="I26" s="160"/>
      <c r="J26" s="169"/>
      <c r="K26" s="135"/>
    </row>
    <row r="27" spans="1:14" ht="18">
      <c r="A27" s="170" t="s">
        <v>179</v>
      </c>
      <c r="B27" s="171" t="s">
        <v>337</v>
      </c>
      <c r="C27" s="172"/>
      <c r="D27" s="173"/>
      <c r="E27" s="173"/>
      <c r="F27" s="173"/>
      <c r="G27" s="173"/>
      <c r="H27" s="173"/>
      <c r="I27" s="173"/>
      <c r="J27" s="173"/>
      <c r="K27" s="135"/>
    </row>
    <row r="28" spans="1:14" ht="15">
      <c r="A28" s="149">
        <v>1</v>
      </c>
      <c r="B28" s="184" t="s">
        <v>338</v>
      </c>
      <c r="C28" s="175"/>
      <c r="D28" s="176"/>
      <c r="E28" s="176">
        <f>E9</f>
        <v>70</v>
      </c>
      <c r="F28" s="177">
        <f>'Landscape Y1'!F28*1.1</f>
        <v>440.00000000000006</v>
      </c>
      <c r="G28" s="143"/>
      <c r="H28" s="178">
        <f>E28*F28</f>
        <v>30800.000000000004</v>
      </c>
      <c r="I28" s="143"/>
      <c r="J28" s="179">
        <f>H28*12</f>
        <v>369600.00000000006</v>
      </c>
      <c r="K28" s="135"/>
    </row>
    <row r="29" spans="1:14" ht="15">
      <c r="A29" s="149">
        <v>2</v>
      </c>
      <c r="B29" s="184" t="s">
        <v>339</v>
      </c>
      <c r="C29" s="175"/>
      <c r="D29" s="176"/>
      <c r="E29" s="176">
        <f>E28</f>
        <v>70</v>
      </c>
      <c r="F29" s="177">
        <f>'Landscape Y1'!F29*1.1</f>
        <v>660</v>
      </c>
      <c r="G29" s="143"/>
      <c r="H29" s="178">
        <f>E29*F29</f>
        <v>46200</v>
      </c>
      <c r="I29" s="143"/>
      <c r="J29" s="179">
        <f>H29*12</f>
        <v>554400</v>
      </c>
      <c r="K29" s="135"/>
    </row>
    <row r="30" spans="1:14" ht="15">
      <c r="A30" s="149">
        <v>3</v>
      </c>
      <c r="B30" s="17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340</v>
      </c>
      <c r="C35" s="172"/>
      <c r="D35" s="208">
        <v>242666</v>
      </c>
      <c r="E35" s="173"/>
      <c r="F35" s="173"/>
      <c r="G35" s="173"/>
      <c r="H35" s="173"/>
      <c r="I35" s="173"/>
      <c r="J35" s="173"/>
      <c r="K35" s="135"/>
    </row>
    <row r="36" spans="1:13" ht="15">
      <c r="A36" s="149">
        <v>1</v>
      </c>
      <c r="B36" s="184" t="s">
        <v>341</v>
      </c>
      <c r="C36" s="175"/>
      <c r="D36" s="176"/>
      <c r="E36" s="176">
        <f>D35</f>
        <v>242666</v>
      </c>
      <c r="F36" s="180">
        <v>0.76</v>
      </c>
      <c r="G36" s="143"/>
      <c r="H36" s="153">
        <f>F36*E36</f>
        <v>184426.16</v>
      </c>
      <c r="I36" s="143"/>
      <c r="J36" s="154">
        <f>H36*12</f>
        <v>2213113.92</v>
      </c>
      <c r="K36" s="135"/>
      <c r="L36" s="183"/>
      <c r="M36" s="183"/>
    </row>
    <row r="37" spans="1:13" ht="15">
      <c r="A37" s="149">
        <v>2</v>
      </c>
      <c r="B37" s="184" t="s">
        <v>342</v>
      </c>
      <c r="C37" s="175"/>
      <c r="D37" s="176"/>
      <c r="E37" s="176">
        <f>D35</f>
        <v>242666</v>
      </c>
      <c r="F37" s="180">
        <v>0.87</v>
      </c>
      <c r="G37" s="143"/>
      <c r="H37" s="153">
        <f>F37*E37</f>
        <v>211119.42</v>
      </c>
      <c r="I37" s="143"/>
      <c r="J37" s="154">
        <f>H37*12</f>
        <v>2533433.04</v>
      </c>
      <c r="K37" s="135"/>
      <c r="L37" s="183"/>
      <c r="M37" s="183"/>
    </row>
    <row r="38" spans="1:13" ht="15">
      <c r="A38" s="149">
        <v>3</v>
      </c>
      <c r="B38" s="184" t="s">
        <v>343</v>
      </c>
      <c r="C38" s="175"/>
      <c r="D38" s="176"/>
      <c r="E38" s="176">
        <f>D35</f>
        <v>242666</v>
      </c>
      <c r="F38" s="180">
        <v>0.45</v>
      </c>
      <c r="G38" s="143"/>
      <c r="H38" s="153">
        <f>F38*E38</f>
        <v>109199.7</v>
      </c>
      <c r="I38" s="143"/>
      <c r="J38" s="154">
        <f>H38*12</f>
        <v>1310396.3999999999</v>
      </c>
      <c r="K38" s="135"/>
      <c r="L38" s="183"/>
      <c r="M38" s="183"/>
    </row>
    <row r="39" spans="1:13" ht="15">
      <c r="A39" s="149">
        <v>4</v>
      </c>
      <c r="B39" s="17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344</v>
      </c>
      <c r="C47" s="172"/>
      <c r="D47" s="173"/>
      <c r="E47" s="173"/>
      <c r="F47" s="173"/>
      <c r="G47" s="173"/>
      <c r="H47" s="173"/>
      <c r="I47" s="173"/>
      <c r="J47" s="173"/>
      <c r="K47" s="135"/>
    </row>
    <row r="48" spans="1:13" ht="15">
      <c r="A48" s="149">
        <v>1</v>
      </c>
      <c r="B48" s="184" t="s">
        <v>345</v>
      </c>
      <c r="C48" s="175"/>
      <c r="D48" s="176"/>
      <c r="E48" s="176">
        <v>1</v>
      </c>
      <c r="F48" s="180">
        <v>67000</v>
      </c>
      <c r="G48" s="143"/>
      <c r="H48" s="153">
        <f>F48*E48</f>
        <v>67000</v>
      </c>
      <c r="I48" s="143"/>
      <c r="J48" s="154">
        <f>H48*12</f>
        <v>804000</v>
      </c>
      <c r="K48" s="135"/>
      <c r="L48" s="183"/>
      <c r="M48" s="183"/>
    </row>
    <row r="49" spans="1:21" ht="15">
      <c r="A49" s="149">
        <v>2</v>
      </c>
      <c r="B49" s="184" t="s">
        <v>346</v>
      </c>
      <c r="C49" s="175"/>
      <c r="D49" s="176"/>
      <c r="E49" s="176">
        <v>100</v>
      </c>
      <c r="F49" s="180">
        <v>150</v>
      </c>
      <c r="G49" s="143"/>
      <c r="H49" s="153">
        <f>F49*E49</f>
        <v>15000</v>
      </c>
      <c r="I49" s="143"/>
      <c r="J49" s="154">
        <f>H49*12</f>
        <v>180000</v>
      </c>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0.25</v>
      </c>
      <c r="F51" s="180">
        <v>8000</v>
      </c>
      <c r="G51" s="143"/>
      <c r="H51" s="153">
        <f>F51*E51</f>
        <v>2000</v>
      </c>
      <c r="I51" s="143"/>
      <c r="J51" s="154">
        <f>H51*12</f>
        <v>24000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E8+E7</f>
        <v>5.6</v>
      </c>
      <c r="F54" s="180">
        <v>1200</v>
      </c>
      <c r="G54" s="143"/>
      <c r="H54" s="153">
        <f>F54*E54</f>
        <v>6720</v>
      </c>
      <c r="I54" s="143"/>
      <c r="J54" s="154">
        <f>H54*12</f>
        <v>80640</v>
      </c>
      <c r="K54" s="135"/>
      <c r="L54" s="183"/>
      <c r="M54" s="183"/>
    </row>
    <row r="55" spans="1:21" ht="15">
      <c r="A55" s="149">
        <v>2</v>
      </c>
      <c r="B55" s="174" t="s">
        <v>312</v>
      </c>
      <c r="C55" s="175"/>
      <c r="D55" s="176"/>
      <c r="E55" s="176">
        <f>E9</f>
        <v>70</v>
      </c>
      <c r="F55" s="180">
        <v>1000</v>
      </c>
      <c r="G55" s="143"/>
      <c r="H55" s="153">
        <f>F55*E55</f>
        <v>70000</v>
      </c>
      <c r="I55" s="143"/>
      <c r="J55" s="154">
        <f>H55*12</f>
        <v>840000</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10000</v>
      </c>
      <c r="G57" s="143"/>
      <c r="H57" s="153">
        <f>F57*E57</f>
        <v>10000</v>
      </c>
      <c r="I57" s="143"/>
      <c r="J57" s="154">
        <f>H57*12</f>
        <v>120000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75.599999999999994</v>
      </c>
      <c r="F59" s="180">
        <v>400</v>
      </c>
      <c r="G59" s="143"/>
      <c r="H59" s="153">
        <f>F59*E59</f>
        <v>30239.999999999996</v>
      </c>
      <c r="I59" s="143"/>
      <c r="J59" s="154">
        <f>H59*12</f>
        <v>362879.99999999994</v>
      </c>
      <c r="K59" s="135"/>
      <c r="L59" s="183"/>
      <c r="M59" s="183"/>
    </row>
    <row r="60" spans="1:21" ht="15">
      <c r="A60" s="149">
        <v>4</v>
      </c>
      <c r="B60" s="184" t="s">
        <v>315</v>
      </c>
      <c r="C60" s="175"/>
      <c r="D60" s="176"/>
      <c r="E60" s="176">
        <v>0.25</v>
      </c>
      <c r="F60" s="180">
        <v>18000</v>
      </c>
      <c r="G60" s="143"/>
      <c r="H60" s="153">
        <f>F60*E60</f>
        <v>4500</v>
      </c>
      <c r="I60" s="143"/>
      <c r="J60" s="154">
        <f>H60*12</f>
        <v>54000</v>
      </c>
      <c r="K60" s="135"/>
      <c r="L60" s="183"/>
      <c r="M60" s="183"/>
    </row>
    <row r="61" spans="1:21" ht="15">
      <c r="B61" s="185" t="s">
        <v>316</v>
      </c>
      <c r="C61" s="162"/>
      <c r="D61" s="186"/>
      <c r="E61" s="186"/>
      <c r="F61" s="162"/>
      <c r="G61" s="162"/>
      <c r="H61" s="162">
        <f>SUM(H28:H34)+SUM(H36:H40)+SUM(H42:H46)+SUM(H48:H49)+SUM(H51:H52)+SUM(H54:H55)+SUM(H57:H60)</f>
        <v>790205.28</v>
      </c>
      <c r="I61" s="162"/>
      <c r="J61" s="162">
        <f>SUM(J28:J34)+SUM(J36:J40)+SUM(J42:J46)+SUM(J48:J49)+SUM(J51:J52)+SUM(J54:J55)+SUM(J57:J60)</f>
        <v>9482463.3599999994</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379900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790205.28</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0.14000000000000001</v>
      </c>
      <c r="B66" s="194" t="s">
        <v>320</v>
      </c>
      <c r="C66" s="165"/>
      <c r="D66" s="199">
        <f>(D64+D65)*A66</f>
        <v>163814.73920000001</v>
      </c>
      <c r="E66" s="200">
        <f>SUM(D64+D65+D66+D67)</f>
        <v>1379469.0192</v>
      </c>
      <c r="F66" s="201">
        <f>E66*12</f>
        <v>16553628.2304</v>
      </c>
      <c r="G66" s="165"/>
      <c r="H66" s="165"/>
      <c r="I66" s="165"/>
      <c r="J66" s="192"/>
      <c r="K66" s="193"/>
      <c r="L66" s="193"/>
      <c r="M66" s="193"/>
      <c r="N66" s="193"/>
      <c r="O66" s="193"/>
      <c r="P66" s="135"/>
      <c r="Q66" s="135"/>
      <c r="R66" s="135"/>
      <c r="S66" s="135"/>
      <c r="T66" s="135"/>
      <c r="U66" s="135"/>
    </row>
    <row r="67" spans="1:21" ht="14.1" customHeight="1">
      <c r="A67" s="198"/>
      <c r="B67" s="194" t="s">
        <v>323</v>
      </c>
      <c r="C67" s="180"/>
      <c r="D67" s="199">
        <f>'Mobilization Budget'!H112</f>
        <v>45549</v>
      </c>
      <c r="E67" s="200"/>
      <c r="F67" s="201"/>
      <c r="G67" s="165"/>
      <c r="H67" s="165"/>
      <c r="I67" s="165"/>
      <c r="J67" s="192"/>
      <c r="K67" s="193"/>
      <c r="L67" s="193"/>
      <c r="M67" s="193"/>
      <c r="N67" s="193"/>
      <c r="O67" s="193"/>
      <c r="P67" s="135"/>
      <c r="Q67" s="135"/>
      <c r="R67" s="135"/>
      <c r="S67" s="135"/>
      <c r="T67" s="135"/>
      <c r="U67" s="135"/>
    </row>
    <row r="68" spans="1:21" ht="14.1" customHeight="1">
      <c r="A68" s="135"/>
      <c r="B68" s="202"/>
      <c r="C68" s="165"/>
      <c r="D68" s="135"/>
      <c r="E68" s="135"/>
      <c r="F68" s="165"/>
      <c r="G68" s="165"/>
      <c r="H68" s="165"/>
      <c r="I68" s="165"/>
      <c r="J68" s="192"/>
      <c r="K68" s="193"/>
      <c r="L68" s="193"/>
      <c r="M68" s="193"/>
      <c r="N68" s="193"/>
      <c r="O68" s="193"/>
      <c r="P68" s="135"/>
      <c r="Q68" s="135"/>
      <c r="R68" s="135"/>
      <c r="S68" s="135"/>
      <c r="T68" s="135"/>
      <c r="U68" s="135"/>
    </row>
    <row r="69" spans="1:21" ht="15">
      <c r="A69" s="203"/>
      <c r="B69" s="185" t="s">
        <v>321</v>
      </c>
      <c r="C69" s="135"/>
      <c r="D69" s="204">
        <f>(D66+D65+D67)/(D64+D65+D66+D67)</f>
        <v>0.72460418123756298</v>
      </c>
      <c r="E69" s="193"/>
      <c r="F69" s="172"/>
      <c r="G69" s="135"/>
      <c r="H69" s="172"/>
      <c r="I69" s="135"/>
      <c r="J69" s="205"/>
      <c r="K69" s="135"/>
      <c r="L69" s="135"/>
      <c r="M69" s="135"/>
      <c r="N69" s="135"/>
      <c r="O69" s="135"/>
    </row>
    <row r="70" spans="1:21" ht="15">
      <c r="A70" s="203"/>
      <c r="B70" s="135"/>
      <c r="C70" s="135"/>
      <c r="D70" s="135"/>
      <c r="E70" s="135"/>
      <c r="F70" s="172"/>
      <c r="G70" s="135"/>
      <c r="H70" s="172"/>
      <c r="I70" s="135"/>
      <c r="J70" s="193"/>
      <c r="K70" s="135"/>
      <c r="L70" s="135"/>
      <c r="M70" s="135"/>
      <c r="N70" s="135"/>
      <c r="O70" s="135"/>
    </row>
    <row r="71" spans="1:21" ht="15">
      <c r="A71" s="135"/>
      <c r="B71" s="135"/>
      <c r="C71" s="135"/>
      <c r="D71" s="205"/>
      <c r="E71" s="20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35"/>
      <c r="G74" s="135"/>
      <c r="H74" s="135"/>
      <c r="I74" s="135"/>
      <c r="J74" s="135"/>
      <c r="K74" s="135"/>
      <c r="L74" s="135"/>
      <c r="M74" s="135"/>
      <c r="N74" s="135"/>
      <c r="O74" s="135"/>
    </row>
    <row r="75" spans="1:21" ht="15">
      <c r="A75" s="135"/>
      <c r="B75" s="135"/>
      <c r="C75" s="135"/>
      <c r="D75" s="135"/>
      <c r="E75" s="135"/>
      <c r="F75" s="193">
        <v>0</v>
      </c>
      <c r="G75" s="135"/>
      <c r="H75" s="193">
        <v>0</v>
      </c>
      <c r="I75" s="135"/>
      <c r="J75" s="193">
        <v>0</v>
      </c>
      <c r="K75" s="135"/>
      <c r="L75" s="135"/>
      <c r="M75" s="135"/>
      <c r="N75" s="135"/>
      <c r="O75" s="135"/>
    </row>
    <row r="91" spans="6:6" ht="15">
      <c r="F91" s="135">
        <v>0</v>
      </c>
    </row>
  </sheetData>
  <mergeCells count="2">
    <mergeCell ref="B2:J2"/>
    <mergeCell ref="D4:E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91E76-9E0E-4BC3-9111-6034C67DF53B}">
  <dimension ref="A1:U90"/>
  <sheetViews>
    <sheetView topLeftCell="A49" zoomScaleNormal="100" workbookViewId="0">
      <selection activeCell="B30" sqref="B30"/>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348</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Schedule'!B48</f>
        <v>Security Manger</v>
      </c>
      <c r="C7" s="143"/>
      <c r="D7" s="151">
        <f>'[46]Manning Schedule'!D48</f>
        <v>1</v>
      </c>
      <c r="E7" s="152">
        <f>D7+(D7/5)</f>
        <v>1.2</v>
      </c>
      <c r="F7" s="153">
        <v>18000</v>
      </c>
      <c r="G7" s="143"/>
      <c r="H7" s="153">
        <f>F7*E7</f>
        <v>21600</v>
      </c>
      <c r="I7" s="143"/>
      <c r="J7" s="154">
        <f>H7*12</f>
        <v>259200</v>
      </c>
      <c r="K7" s="135"/>
      <c r="L7" s="155">
        <f>H7/(1-D$68)</f>
        <v>41217.756778728901</v>
      </c>
      <c r="N7" s="156">
        <f>ROUNDUP(L7/D7/30,0)</f>
        <v>1374</v>
      </c>
    </row>
    <row r="8" spans="1:15" ht="15">
      <c r="A8" s="149">
        <v>2</v>
      </c>
      <c r="B8" s="150" t="str">
        <f>'[46]Manning Schedule'!B49</f>
        <v>Safety Supervisor / Agent</v>
      </c>
      <c r="C8" s="143"/>
      <c r="D8" s="151">
        <f>'[46]Manning Schedule'!D49</f>
        <v>2</v>
      </c>
      <c r="E8" s="152">
        <f>D8+(D8/5)</f>
        <v>2.4</v>
      </c>
      <c r="F8" s="157">
        <v>12000</v>
      </c>
      <c r="G8" s="143"/>
      <c r="H8" s="153">
        <f>F8*E8</f>
        <v>28800</v>
      </c>
      <c r="I8" s="143"/>
      <c r="J8" s="154">
        <f>H8*12</f>
        <v>345600</v>
      </c>
      <c r="K8" s="135"/>
      <c r="L8" s="155">
        <f>H8/(1-D$68)</f>
        <v>54957.009038305201</v>
      </c>
      <c r="N8" s="156">
        <f>ROUNDUP(L8/D8/30,0)</f>
        <v>916</v>
      </c>
    </row>
    <row r="9" spans="1:15" ht="15">
      <c r="A9" s="149">
        <v>3</v>
      </c>
      <c r="B9" s="150" t="str">
        <f>'[46]Manning Schedule'!B50</f>
        <v>Security Supervisor /  per shift</v>
      </c>
      <c r="C9" s="143"/>
      <c r="D9" s="151">
        <f>'[46]Manning Schedule'!D50*2</f>
        <v>2</v>
      </c>
      <c r="E9" s="152">
        <f>D9+(D9/5)</f>
        <v>2.4</v>
      </c>
      <c r="F9" s="157">
        <v>8110</v>
      </c>
      <c r="G9" s="143"/>
      <c r="H9" s="153">
        <f>F9*E9</f>
        <v>19464</v>
      </c>
      <c r="I9" s="143"/>
      <c r="J9" s="154">
        <f>H9*12</f>
        <v>233568</v>
      </c>
      <c r="K9" s="135"/>
      <c r="L9" s="155">
        <f>H9/(1-D$68)</f>
        <v>37141.778608387933</v>
      </c>
      <c r="N9" s="156">
        <f>ROUNDUP(L9/D9/30,0)</f>
        <v>620</v>
      </c>
    </row>
    <row r="10" spans="1:15" ht="15">
      <c r="A10" s="149">
        <v>4</v>
      </c>
      <c r="B10" s="150" t="str">
        <f>'[46]Manning Schedule'!B51</f>
        <v xml:space="preserve">Security Guards / per shift </v>
      </c>
      <c r="C10" s="143"/>
      <c r="D10" s="151">
        <f>'[46]Manning Schedule'!D51*2</f>
        <v>80</v>
      </c>
      <c r="E10" s="152">
        <f>D10+(D10/5)</f>
        <v>96</v>
      </c>
      <c r="F10" s="157">
        <v>4500</v>
      </c>
      <c r="G10" s="143"/>
      <c r="H10" s="153">
        <f>F10*E10</f>
        <v>432000</v>
      </c>
      <c r="I10" s="143"/>
      <c r="J10" s="154">
        <f>H10*12</f>
        <v>5184000</v>
      </c>
      <c r="K10" s="135"/>
      <c r="L10" s="155">
        <f>H10/(1-D$68)</f>
        <v>824355.13557457796</v>
      </c>
      <c r="N10" s="156">
        <f>ROUNDUP(L10/D10/30,0)</f>
        <v>344</v>
      </c>
    </row>
    <row r="11" spans="1:15" ht="15">
      <c r="A11" s="149">
        <v>5</v>
      </c>
      <c r="B11" s="150" t="str">
        <f>'[46]Manning Schedule'!B52</f>
        <v>CCTV Operator</v>
      </c>
      <c r="C11" s="143"/>
      <c r="D11" s="151">
        <f>'[46]Manning Schedule'!D52</f>
        <v>0</v>
      </c>
      <c r="E11" s="152">
        <f>D11+(D11/5)</f>
        <v>0</v>
      </c>
      <c r="F11" s="157">
        <v>8000</v>
      </c>
      <c r="G11" s="143"/>
      <c r="H11" s="153">
        <f>F11*E11</f>
        <v>0</v>
      </c>
      <c r="I11" s="143"/>
      <c r="J11" s="154">
        <f>H11*12</f>
        <v>0</v>
      </c>
      <c r="K11" s="135"/>
      <c r="L11" s="155">
        <f>H11/(1-D$68)</f>
        <v>0</v>
      </c>
      <c r="N11" s="156" t="e">
        <f>ROUNDUP(L11/D11/30,0)</f>
        <v>#DIV/0!</v>
      </c>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85</v>
      </c>
      <c r="E24" s="161">
        <f>SUM(E7:E23)</f>
        <v>102</v>
      </c>
      <c r="F24" s="160"/>
      <c r="G24" s="160"/>
      <c r="H24" s="162">
        <f>SUM(H7:H23)</f>
        <v>501864</v>
      </c>
      <c r="I24" s="160"/>
      <c r="J24" s="162">
        <f>SUM(J7:J23)</f>
        <v>6022368</v>
      </c>
      <c r="K24" s="135"/>
      <c r="L24" s="163">
        <f>SUM(L7:L23)</f>
        <v>957671.67999999993</v>
      </c>
      <c r="N24" s="164" t="s">
        <v>283</v>
      </c>
    </row>
    <row r="25" spans="1:14" ht="15">
      <c r="A25" s="135"/>
      <c r="B25" s="135"/>
      <c r="C25" s="165"/>
      <c r="D25" s="135"/>
      <c r="E25" s="135"/>
      <c r="F25" s="165"/>
      <c r="G25" s="165"/>
      <c r="H25" s="165"/>
      <c r="I25" s="165"/>
      <c r="J25" s="166"/>
      <c r="K25" s="135"/>
      <c r="L25" s="155"/>
    </row>
    <row r="26" spans="1:14" ht="15.75">
      <c r="A26" s="135"/>
      <c r="B26" s="167" t="s">
        <v>284</v>
      </c>
      <c r="C26" s="160"/>
      <c r="D26" s="168"/>
      <c r="E26" s="168"/>
      <c r="F26" s="169"/>
      <c r="G26" s="160"/>
      <c r="H26" s="169"/>
      <c r="I26" s="160"/>
      <c r="J26" s="169"/>
      <c r="K26" s="135"/>
    </row>
    <row r="27" spans="1:14" ht="18">
      <c r="A27" s="170" t="s">
        <v>179</v>
      </c>
      <c r="B27" s="171" t="s">
        <v>349</v>
      </c>
      <c r="C27" s="172"/>
      <c r="D27" s="173"/>
      <c r="E27" s="173"/>
      <c r="F27" s="173"/>
      <c r="G27" s="173"/>
      <c r="H27" s="173"/>
      <c r="I27" s="173"/>
      <c r="J27" s="173"/>
      <c r="K27" s="135"/>
    </row>
    <row r="28" spans="1:14" ht="15">
      <c r="A28" s="149">
        <v>1</v>
      </c>
      <c r="B28" s="184" t="s">
        <v>350</v>
      </c>
      <c r="C28" s="175"/>
      <c r="D28" s="176"/>
      <c r="E28" s="176">
        <v>20</v>
      </c>
      <c r="F28" s="177">
        <v>90</v>
      </c>
      <c r="G28" s="143"/>
      <c r="H28" s="178">
        <f>E28*F28</f>
        <v>1800</v>
      </c>
      <c r="I28" s="143"/>
      <c r="J28" s="179">
        <f>H28*12</f>
        <v>21600</v>
      </c>
      <c r="K28" s="135"/>
    </row>
    <row r="29" spans="1:14" ht="15">
      <c r="A29" s="149">
        <v>2</v>
      </c>
      <c r="B29" s="184" t="s">
        <v>351</v>
      </c>
      <c r="C29" s="175"/>
      <c r="D29" s="176"/>
      <c r="E29" s="176">
        <v>40</v>
      </c>
      <c r="F29" s="177">
        <v>75</v>
      </c>
      <c r="G29" s="143"/>
      <c r="H29" s="178">
        <f>E29*F29</f>
        <v>3000</v>
      </c>
      <c r="I29" s="143"/>
      <c r="J29" s="179">
        <f>H29*12</f>
        <v>36000</v>
      </c>
      <c r="K29" s="135"/>
    </row>
    <row r="30" spans="1:14" ht="15">
      <c r="A30" s="149">
        <v>3</v>
      </c>
      <c r="B30" s="184" t="s">
        <v>352</v>
      </c>
      <c r="C30" s="175"/>
      <c r="D30" s="176"/>
      <c r="E30" s="176">
        <v>22</v>
      </c>
      <c r="F30" s="180">
        <v>850</v>
      </c>
      <c r="G30" s="143"/>
      <c r="H30" s="178">
        <f>E30*F30</f>
        <v>18700</v>
      </c>
      <c r="I30" s="143"/>
      <c r="J30" s="179">
        <f>H30*12</f>
        <v>224400</v>
      </c>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353</v>
      </c>
      <c r="C35" s="172"/>
      <c r="D35" s="173"/>
      <c r="E35" s="173"/>
      <c r="F35" s="173"/>
      <c r="G35" s="173"/>
      <c r="H35" s="173"/>
      <c r="I35" s="173"/>
      <c r="J35" s="173"/>
      <c r="K35" s="135"/>
    </row>
    <row r="36" spans="1:13" ht="15">
      <c r="A36" s="149">
        <v>1</v>
      </c>
      <c r="B36" s="184" t="s">
        <v>354</v>
      </c>
      <c r="C36" s="175"/>
      <c r="D36" s="176"/>
      <c r="E36" s="176">
        <v>1</v>
      </c>
      <c r="F36" s="180">
        <v>3000</v>
      </c>
      <c r="G36" s="143"/>
      <c r="H36" s="153">
        <f>F36*E36</f>
        <v>3000</v>
      </c>
      <c r="I36" s="143"/>
      <c r="J36" s="154">
        <f>H36*12</f>
        <v>36000</v>
      </c>
      <c r="K36" s="135"/>
      <c r="L36" s="183"/>
      <c r="M36" s="183"/>
    </row>
    <row r="37" spans="1:13" ht="15">
      <c r="A37" s="149">
        <v>2</v>
      </c>
      <c r="B37" s="184" t="s">
        <v>355</v>
      </c>
      <c r="C37" s="175"/>
      <c r="D37" s="176"/>
      <c r="E37" s="176">
        <v>1</v>
      </c>
      <c r="F37" s="180">
        <v>2000</v>
      </c>
      <c r="G37" s="143"/>
      <c r="H37" s="153">
        <f>F37*E37</f>
        <v>2000</v>
      </c>
      <c r="I37" s="143"/>
      <c r="J37" s="154">
        <f>H37*12</f>
        <v>24000</v>
      </c>
      <c r="K37" s="135"/>
      <c r="L37" s="183"/>
      <c r="M37" s="183"/>
    </row>
    <row r="38" spans="1:13" ht="15">
      <c r="A38" s="149">
        <v>3</v>
      </c>
      <c r="B38" s="184" t="s">
        <v>356</v>
      </c>
      <c r="C38" s="175"/>
      <c r="D38" s="176"/>
      <c r="E38" s="176">
        <v>4</v>
      </c>
      <c r="F38" s="180">
        <v>2000</v>
      </c>
      <c r="G38" s="143"/>
      <c r="H38" s="153">
        <f>F38*E38</f>
        <v>8000</v>
      </c>
      <c r="I38" s="143"/>
      <c r="J38" s="154">
        <f>H38*12</f>
        <v>96000</v>
      </c>
      <c r="K38" s="135"/>
      <c r="L38" s="183"/>
      <c r="M38" s="183"/>
    </row>
    <row r="39" spans="1:13" ht="15">
      <c r="A39" s="149">
        <v>4</v>
      </c>
      <c r="B39" s="184" t="s">
        <v>357</v>
      </c>
      <c r="C39" s="175"/>
      <c r="D39" s="176"/>
      <c r="E39" s="176">
        <v>1</v>
      </c>
      <c r="F39" s="180">
        <v>5000</v>
      </c>
      <c r="G39" s="143"/>
      <c r="H39" s="153">
        <f>F39*E39</f>
        <v>5000</v>
      </c>
      <c r="I39" s="143"/>
      <c r="J39" s="154">
        <f>H39*12</f>
        <v>60000</v>
      </c>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358</v>
      </c>
      <c r="C47" s="172"/>
      <c r="D47" s="173"/>
      <c r="E47" s="173"/>
      <c r="F47" s="173"/>
      <c r="G47" s="173"/>
      <c r="H47" s="173"/>
      <c r="I47" s="173"/>
      <c r="J47" s="173"/>
      <c r="K47" s="135"/>
    </row>
    <row r="48" spans="1:13" ht="15">
      <c r="A48" s="149">
        <v>1</v>
      </c>
      <c r="B48" s="184" t="s">
        <v>359</v>
      </c>
      <c r="C48" s="175"/>
      <c r="D48" s="176"/>
      <c r="E48" s="176">
        <f>(E10+E9+E8)/8</f>
        <v>12.600000000000001</v>
      </c>
      <c r="F48" s="180">
        <v>12000</v>
      </c>
      <c r="G48" s="143"/>
      <c r="H48" s="153">
        <f>F48*E48</f>
        <v>151200.00000000003</v>
      </c>
      <c r="I48" s="143"/>
      <c r="J48" s="154">
        <f>H48*12</f>
        <v>1814400.0000000005</v>
      </c>
      <c r="K48" s="135"/>
      <c r="L48" s="183"/>
      <c r="M48" s="183"/>
    </row>
    <row r="49" spans="1:21" ht="15">
      <c r="A49" s="149">
        <v>2</v>
      </c>
      <c r="B49" s="18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0.5</v>
      </c>
      <c r="F51" s="180">
        <v>8000</v>
      </c>
      <c r="G51" s="143"/>
      <c r="H51" s="153">
        <f>F51*E51</f>
        <v>4000</v>
      </c>
      <c r="I51" s="143"/>
      <c r="J51" s="154">
        <f>H51*12</f>
        <v>48000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E7+E8+E9</f>
        <v>6</v>
      </c>
      <c r="F54" s="180">
        <v>1200</v>
      </c>
      <c r="G54" s="143"/>
      <c r="H54" s="153">
        <f>F54*E54</f>
        <v>7200</v>
      </c>
      <c r="I54" s="143"/>
      <c r="J54" s="154">
        <f>H54*12</f>
        <v>86400</v>
      </c>
      <c r="K54" s="135"/>
      <c r="L54" s="183"/>
      <c r="M54" s="183"/>
    </row>
    <row r="55" spans="1:21" ht="15">
      <c r="A55" s="149">
        <v>2</v>
      </c>
      <c r="B55" s="174" t="s">
        <v>312</v>
      </c>
      <c r="C55" s="175"/>
      <c r="D55" s="176"/>
      <c r="E55" s="176">
        <f>E10</f>
        <v>96</v>
      </c>
      <c r="F55" s="180">
        <v>1000</v>
      </c>
      <c r="G55" s="143"/>
      <c r="H55" s="153">
        <f>F55*E55</f>
        <v>96000</v>
      </c>
      <c r="I55" s="143"/>
      <c r="J55" s="154">
        <f>H55*12</f>
        <v>1152000</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5000</v>
      </c>
      <c r="G57" s="143"/>
      <c r="H57" s="153">
        <f>F57*E57</f>
        <v>5000</v>
      </c>
      <c r="I57" s="143"/>
      <c r="J57" s="154">
        <f>H57*12</f>
        <v>60000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102</v>
      </c>
      <c r="F59" s="180">
        <v>400</v>
      </c>
      <c r="G59" s="143"/>
      <c r="H59" s="153">
        <f>F59*E59</f>
        <v>40800</v>
      </c>
      <c r="I59" s="143"/>
      <c r="J59" s="154">
        <f>H59*12</f>
        <v>489600</v>
      </c>
      <c r="K59" s="135"/>
      <c r="L59" s="183"/>
      <c r="M59" s="183"/>
    </row>
    <row r="60" spans="1:21" ht="15">
      <c r="A60" s="149">
        <v>4</v>
      </c>
      <c r="B60" s="184" t="s">
        <v>315</v>
      </c>
      <c r="C60" s="175"/>
      <c r="D60" s="176"/>
      <c r="E60" s="176">
        <v>0.25</v>
      </c>
      <c r="F60" s="180">
        <v>18000</v>
      </c>
      <c r="G60" s="143"/>
      <c r="H60" s="153">
        <f>F60*E60</f>
        <v>4500</v>
      </c>
      <c r="I60" s="143"/>
      <c r="J60" s="154">
        <f>H60*12</f>
        <v>54000</v>
      </c>
      <c r="K60" s="135"/>
      <c r="L60" s="183"/>
      <c r="M60" s="183"/>
    </row>
    <row r="61" spans="1:21" ht="15">
      <c r="B61" s="185" t="s">
        <v>316</v>
      </c>
      <c r="C61" s="162"/>
      <c r="D61" s="186"/>
      <c r="E61" s="186"/>
      <c r="F61" s="162"/>
      <c r="G61" s="162"/>
      <c r="H61" s="162">
        <f>SUM(H28:H34)+SUM(H36:H40)+SUM(H42:H46)+SUM(H48:H49)+SUM(H51:H52)+SUM(H54:H55)+SUM(H57:H60)</f>
        <v>353200</v>
      </c>
      <c r="I61" s="162"/>
      <c r="J61" s="162">
        <f>SUM(J28:J34)+SUM(J36:J40)+SUM(J42:J46)+SUM(J48:J49)+SUM(J51:J52)+SUM(J54:J55)+SUM(J57:J60)</f>
        <v>4238400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501864</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353200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0.12</v>
      </c>
      <c r="B66" s="194" t="s">
        <v>320</v>
      </c>
      <c r="C66" s="165"/>
      <c r="D66" s="199">
        <f>(D64+D65)*A66</f>
        <v>102607.67999999999</v>
      </c>
      <c r="E66" s="200">
        <f>SUM(D64+D65+D66)</f>
        <v>957671.67999999993</v>
      </c>
      <c r="F66" s="201">
        <f>E66*12</f>
        <v>11492060.16</v>
      </c>
      <c r="G66" s="165"/>
      <c r="H66" s="165"/>
      <c r="I66" s="165"/>
      <c r="J66" s="192"/>
      <c r="K66" s="193"/>
      <c r="L66" s="193"/>
      <c r="M66" s="193"/>
      <c r="N66" s="193"/>
      <c r="O66" s="193"/>
      <c r="P66" s="135"/>
      <c r="Q66" s="135"/>
      <c r="R66" s="135"/>
      <c r="S66" s="135"/>
      <c r="T66" s="135"/>
      <c r="U66" s="135"/>
    </row>
    <row r="67" spans="1:21" ht="14.1" customHeight="1">
      <c r="A67" s="135"/>
      <c r="B67" s="202"/>
      <c r="C67" s="165"/>
      <c r="D67" s="135"/>
      <c r="E67" s="135"/>
      <c r="F67" s="165"/>
      <c r="G67" s="165"/>
      <c r="H67" s="165"/>
      <c r="I67" s="165"/>
      <c r="J67" s="192"/>
      <c r="K67" s="193"/>
      <c r="L67" s="193"/>
      <c r="M67" s="193"/>
      <c r="N67" s="193"/>
      <c r="O67" s="193"/>
      <c r="P67" s="135"/>
      <c r="Q67" s="135"/>
      <c r="R67" s="135"/>
      <c r="S67" s="135"/>
      <c r="T67" s="135"/>
      <c r="U67" s="135"/>
    </row>
    <row r="68" spans="1:21" ht="15">
      <c r="A68" s="203"/>
      <c r="B68" s="185" t="s">
        <v>321</v>
      </c>
      <c r="C68" s="135"/>
      <c r="D68" s="204">
        <f>(D66+D65)/(D64+D65+D66)</f>
        <v>0.47595401380147317</v>
      </c>
      <c r="E68" s="193"/>
      <c r="F68" s="172"/>
      <c r="G68" s="135"/>
      <c r="H68" s="172"/>
      <c r="I68" s="135"/>
      <c r="J68" s="205"/>
      <c r="K68" s="135"/>
      <c r="L68" s="135"/>
      <c r="M68" s="135"/>
      <c r="N68" s="135"/>
      <c r="O68" s="135"/>
    </row>
    <row r="69" spans="1:21" ht="15">
      <c r="A69" s="203"/>
      <c r="B69" s="135"/>
      <c r="C69" s="135"/>
      <c r="D69" s="135"/>
      <c r="E69" s="135"/>
      <c r="F69" s="172"/>
      <c r="G69" s="135"/>
      <c r="H69" s="172"/>
      <c r="I69" s="135"/>
      <c r="J69" s="193"/>
      <c r="K69" s="135"/>
      <c r="L69" s="135"/>
      <c r="M69" s="135"/>
      <c r="N69" s="135"/>
      <c r="O69" s="135"/>
    </row>
    <row r="70" spans="1:21" ht="15">
      <c r="A70" s="135"/>
      <c r="B70" s="135"/>
      <c r="C70" s="135"/>
      <c r="D70" s="205"/>
      <c r="E70" s="205"/>
      <c r="F70" s="135"/>
      <c r="G70" s="135"/>
      <c r="H70" s="135"/>
      <c r="I70" s="135"/>
      <c r="J70" s="135"/>
      <c r="K70" s="135"/>
      <c r="L70" s="135"/>
      <c r="M70" s="135"/>
      <c r="N70" s="135"/>
      <c r="O70" s="135"/>
    </row>
    <row r="71" spans="1:21" ht="15">
      <c r="A71" s="135"/>
      <c r="B71" s="135"/>
      <c r="C71" s="135"/>
      <c r="D71" s="135"/>
      <c r="E71" s="13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93">
        <v>0</v>
      </c>
      <c r="G74" s="135"/>
      <c r="H74" s="193">
        <v>0</v>
      </c>
      <c r="I74" s="135"/>
      <c r="J74" s="193">
        <v>0</v>
      </c>
      <c r="K74" s="135"/>
      <c r="L74" s="135"/>
      <c r="M74" s="135"/>
      <c r="N74" s="135"/>
      <c r="O74" s="135"/>
    </row>
    <row r="90" spans="6:6" ht="15">
      <c r="F90" s="135">
        <v>0</v>
      </c>
    </row>
  </sheetData>
  <mergeCells count="2">
    <mergeCell ref="B2:J2"/>
    <mergeCell ref="D4:E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3F92-6A68-40E6-91BF-ABB45FAD27EA}">
  <dimension ref="A1:U91"/>
  <sheetViews>
    <sheetView topLeftCell="A49" zoomScaleNormal="100" workbookViewId="0">
      <selection activeCell="A67" sqref="A67"/>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360</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Schedule'!B48</f>
        <v>Security Manger</v>
      </c>
      <c r="C7" s="143"/>
      <c r="D7" s="151">
        <f>'[46]Manning Schedule'!V48</f>
        <v>1</v>
      </c>
      <c r="E7" s="152">
        <f>D7+(D7/5)</f>
        <v>1.2</v>
      </c>
      <c r="F7" s="153">
        <f>'Security Y1'!F7*1.08</f>
        <v>19440</v>
      </c>
      <c r="G7" s="143"/>
      <c r="H7" s="153">
        <f>F7*E7</f>
        <v>23328</v>
      </c>
      <c r="I7" s="143"/>
      <c r="J7" s="154">
        <f>H7*12</f>
        <v>279936</v>
      </c>
      <c r="K7" s="135"/>
      <c r="L7" s="155">
        <f>H7/(1-D$69)</f>
        <v>43653.267150786785</v>
      </c>
      <c r="N7" s="156">
        <f>ROUNDUP(L7/D7/30,0)</f>
        <v>1456</v>
      </c>
    </row>
    <row r="8" spans="1:15" ht="15">
      <c r="A8" s="149">
        <v>2</v>
      </c>
      <c r="B8" s="150" t="str">
        <f>'[46]Manning Schedule'!B49</f>
        <v>Safety Supervisor / Agent</v>
      </c>
      <c r="C8" s="143"/>
      <c r="D8" s="151">
        <f>'[46]Manning Schedule'!V49</f>
        <v>4</v>
      </c>
      <c r="E8" s="152">
        <f>D8+(D8/5)</f>
        <v>4.8</v>
      </c>
      <c r="F8" s="153">
        <f>'Security Y1'!F8*1.08</f>
        <v>12960</v>
      </c>
      <c r="G8" s="143"/>
      <c r="H8" s="153">
        <f>F8*E8</f>
        <v>62208</v>
      </c>
      <c r="I8" s="143"/>
      <c r="J8" s="154">
        <f>H8*12</f>
        <v>746496</v>
      </c>
      <c r="K8" s="135"/>
      <c r="L8" s="155">
        <f>H8/(1-D$69)</f>
        <v>116408.71240209808</v>
      </c>
      <c r="N8" s="156">
        <f>ROUNDUP(L8/D8/30,0)</f>
        <v>971</v>
      </c>
    </row>
    <row r="9" spans="1:15" ht="15">
      <c r="A9" s="149">
        <v>3</v>
      </c>
      <c r="B9" s="150" t="str">
        <f>'[46]Manning Schedule'!B50</f>
        <v>Security Supervisor /  per shift</v>
      </c>
      <c r="C9" s="143"/>
      <c r="D9" s="151">
        <f>'[46]Manning Schedule'!V50*2</f>
        <v>2</v>
      </c>
      <c r="E9" s="152">
        <f>D9+(D9/5)</f>
        <v>2.4</v>
      </c>
      <c r="F9" s="153">
        <f>'Security Y1'!F9*1.08</f>
        <v>8758.8000000000011</v>
      </c>
      <c r="G9" s="143"/>
      <c r="H9" s="153">
        <f>F9*E9</f>
        <v>21021.120000000003</v>
      </c>
      <c r="I9" s="143"/>
      <c r="J9" s="154">
        <f>H9*12</f>
        <v>252253.44000000003</v>
      </c>
      <c r="K9" s="135"/>
      <c r="L9" s="155">
        <f>H9/(1-D$69)</f>
        <v>39336.44406587565</v>
      </c>
      <c r="N9" s="156">
        <f>ROUNDUP(L9/D9/30,0)</f>
        <v>656</v>
      </c>
    </row>
    <row r="10" spans="1:15" ht="15">
      <c r="A10" s="149">
        <v>4</v>
      </c>
      <c r="B10" s="150" t="str">
        <f>'[46]Manning Schedule'!B51</f>
        <v xml:space="preserve">Security Guards / per shift </v>
      </c>
      <c r="C10" s="143"/>
      <c r="D10" s="151">
        <f>'[46]Manning Schedule'!V51*2</f>
        <v>240</v>
      </c>
      <c r="E10" s="152">
        <f>D10+(D10/5)</f>
        <v>288</v>
      </c>
      <c r="F10" s="153">
        <f>'Security Y1'!F10*1.08</f>
        <v>4860</v>
      </c>
      <c r="G10" s="143"/>
      <c r="H10" s="153">
        <f>F10*E10</f>
        <v>1399680</v>
      </c>
      <c r="I10" s="143"/>
      <c r="J10" s="154">
        <f>H10*12</f>
        <v>16796160</v>
      </c>
      <c r="K10" s="135"/>
      <c r="L10" s="155">
        <f>H10/(1-D$69)</f>
        <v>2619196.029047207</v>
      </c>
      <c r="N10" s="156">
        <f>ROUNDUP(L10/D10/30,0)</f>
        <v>364</v>
      </c>
    </row>
    <row r="11" spans="1:15" ht="15">
      <c r="A11" s="149">
        <v>5</v>
      </c>
      <c r="B11" s="150" t="str">
        <f>'[46]Manning Schedule'!B52</f>
        <v>CCTV Operator</v>
      </c>
      <c r="C11" s="143"/>
      <c r="D11" s="151">
        <f>'[46]Manning Schedule'!V52</f>
        <v>2</v>
      </c>
      <c r="E11" s="152">
        <f>D11+(D11/5)</f>
        <v>2.4</v>
      </c>
      <c r="F11" s="153">
        <f>'Security Y1'!F11*1.08</f>
        <v>8640</v>
      </c>
      <c r="G11" s="143"/>
      <c r="H11" s="153">
        <f>F11*E11</f>
        <v>20736</v>
      </c>
      <c r="I11" s="143"/>
      <c r="J11" s="154">
        <f>H11*12</f>
        <v>248832</v>
      </c>
      <c r="K11" s="135"/>
      <c r="L11" s="155">
        <f>H11/(1-D$69)</f>
        <v>38802.904134032695</v>
      </c>
      <c r="N11" s="156">
        <f>ROUNDUP(L11/D11/30,0)</f>
        <v>647</v>
      </c>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249</v>
      </c>
      <c r="E24" s="161">
        <f>SUM(E7:E23)</f>
        <v>298.79999999999995</v>
      </c>
      <c r="F24" s="160"/>
      <c r="G24" s="160"/>
      <c r="H24" s="162">
        <f>SUM(H7:H23)</f>
        <v>1526973.12</v>
      </c>
      <c r="I24" s="160"/>
      <c r="J24" s="162">
        <f>SUM(J7:J23)</f>
        <v>18323677.440000001</v>
      </c>
      <c r="K24" s="135"/>
      <c r="L24" s="163">
        <f>SUM(L7:L23)</f>
        <v>2857397.3568000002</v>
      </c>
      <c r="N24" s="164" t="s">
        <v>283</v>
      </c>
    </row>
    <row r="25" spans="1:14" ht="15">
      <c r="A25" s="135"/>
      <c r="B25" s="135"/>
      <c r="C25" s="165"/>
      <c r="D25" s="135"/>
      <c r="E25" s="135"/>
      <c r="F25" s="165"/>
      <c r="G25" s="165"/>
      <c r="H25" s="165"/>
      <c r="I25" s="165"/>
      <c r="J25" s="166"/>
      <c r="K25" s="135"/>
      <c r="L25" s="155"/>
    </row>
    <row r="26" spans="1:14" ht="15.75">
      <c r="A26" s="135"/>
      <c r="B26" s="167" t="s">
        <v>284</v>
      </c>
      <c r="C26" s="160"/>
      <c r="D26" s="168"/>
      <c r="E26" s="168"/>
      <c r="F26" s="169"/>
      <c r="G26" s="160"/>
      <c r="H26" s="169"/>
      <c r="I26" s="160"/>
      <c r="J26" s="169"/>
      <c r="K26" s="135"/>
    </row>
    <row r="27" spans="1:14" ht="18">
      <c r="A27" s="170" t="s">
        <v>179</v>
      </c>
      <c r="B27" s="171" t="s">
        <v>349</v>
      </c>
      <c r="C27" s="172"/>
      <c r="D27" s="173"/>
      <c r="E27" s="173"/>
      <c r="F27" s="173"/>
      <c r="G27" s="173"/>
      <c r="H27" s="173"/>
      <c r="I27" s="173"/>
      <c r="J27" s="173"/>
      <c r="K27" s="135"/>
    </row>
    <row r="28" spans="1:14" ht="15">
      <c r="A28" s="149">
        <v>1</v>
      </c>
      <c r="B28" s="184" t="s">
        <v>350</v>
      </c>
      <c r="C28" s="175"/>
      <c r="D28" s="176"/>
      <c r="E28" s="176">
        <v>20</v>
      </c>
      <c r="F28" s="177">
        <v>90</v>
      </c>
      <c r="G28" s="143"/>
      <c r="H28" s="178">
        <f>E28*F28</f>
        <v>1800</v>
      </c>
      <c r="I28" s="143"/>
      <c r="J28" s="179">
        <f>H28*12</f>
        <v>21600</v>
      </c>
      <c r="K28" s="135"/>
    </row>
    <row r="29" spans="1:14" ht="15">
      <c r="A29" s="149">
        <v>2</v>
      </c>
      <c r="B29" s="184" t="s">
        <v>351</v>
      </c>
      <c r="C29" s="175"/>
      <c r="D29" s="176"/>
      <c r="E29" s="176">
        <v>40</v>
      </c>
      <c r="F29" s="177">
        <v>75</v>
      </c>
      <c r="G29" s="143"/>
      <c r="H29" s="178">
        <f>E29*F29</f>
        <v>3000</v>
      </c>
      <c r="I29" s="143"/>
      <c r="J29" s="179">
        <f>H29*12</f>
        <v>36000</v>
      </c>
      <c r="K29" s="135"/>
    </row>
    <row r="30" spans="1:14" ht="15">
      <c r="A30" s="149">
        <v>3</v>
      </c>
      <c r="B30" s="184" t="s">
        <v>352</v>
      </c>
      <c r="C30" s="175"/>
      <c r="D30" s="176"/>
      <c r="E30" s="176">
        <v>22</v>
      </c>
      <c r="F30" s="180">
        <v>850</v>
      </c>
      <c r="G30" s="143"/>
      <c r="H30" s="178">
        <f>E30*F30</f>
        <v>18700</v>
      </c>
      <c r="I30" s="143"/>
      <c r="J30" s="179">
        <f>H30*12</f>
        <v>224400</v>
      </c>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353</v>
      </c>
      <c r="C35" s="172"/>
      <c r="D35" s="173"/>
      <c r="E35" s="173"/>
      <c r="F35" s="173"/>
      <c r="G35" s="173"/>
      <c r="H35" s="173"/>
      <c r="I35" s="173"/>
      <c r="J35" s="173"/>
      <c r="K35" s="135"/>
    </row>
    <row r="36" spans="1:13" ht="15">
      <c r="A36" s="149">
        <v>1</v>
      </c>
      <c r="B36" s="184" t="s">
        <v>354</v>
      </c>
      <c r="C36" s="175"/>
      <c r="D36" s="176"/>
      <c r="E36" s="176">
        <v>1</v>
      </c>
      <c r="F36" s="180">
        <v>3000</v>
      </c>
      <c r="G36" s="143"/>
      <c r="H36" s="153">
        <f>F36*E36</f>
        <v>3000</v>
      </c>
      <c r="I36" s="143"/>
      <c r="J36" s="154">
        <f>H36*12</f>
        <v>36000</v>
      </c>
      <c r="K36" s="135"/>
      <c r="L36" s="183"/>
      <c r="M36" s="183"/>
    </row>
    <row r="37" spans="1:13" ht="15">
      <c r="A37" s="149">
        <v>2</v>
      </c>
      <c r="B37" s="184" t="s">
        <v>355</v>
      </c>
      <c r="C37" s="175"/>
      <c r="D37" s="176"/>
      <c r="E37" s="176">
        <v>1</v>
      </c>
      <c r="F37" s="180">
        <v>2000</v>
      </c>
      <c r="G37" s="143"/>
      <c r="H37" s="153">
        <f>F37*E37</f>
        <v>2000</v>
      </c>
      <c r="I37" s="143"/>
      <c r="J37" s="154">
        <f>H37*12</f>
        <v>24000</v>
      </c>
      <c r="K37" s="135"/>
      <c r="L37" s="183"/>
      <c r="M37" s="183"/>
    </row>
    <row r="38" spans="1:13" ht="15">
      <c r="A38" s="149">
        <v>3</v>
      </c>
      <c r="B38" s="184" t="s">
        <v>356</v>
      </c>
      <c r="C38" s="175"/>
      <c r="D38" s="176"/>
      <c r="E38" s="176">
        <v>4</v>
      </c>
      <c r="F38" s="180">
        <v>2000</v>
      </c>
      <c r="G38" s="143"/>
      <c r="H38" s="153">
        <f>F38*E38</f>
        <v>8000</v>
      </c>
      <c r="I38" s="143"/>
      <c r="J38" s="154">
        <f>H38*12</f>
        <v>96000</v>
      </c>
      <c r="K38" s="135"/>
      <c r="L38" s="183"/>
      <c r="M38" s="183"/>
    </row>
    <row r="39" spans="1:13" ht="15">
      <c r="A39" s="149">
        <v>4</v>
      </c>
      <c r="B39" s="184" t="s">
        <v>357</v>
      </c>
      <c r="C39" s="175"/>
      <c r="D39" s="176"/>
      <c r="E39" s="176">
        <v>1</v>
      </c>
      <c r="F39" s="180">
        <v>5000</v>
      </c>
      <c r="G39" s="143"/>
      <c r="H39" s="153">
        <f>F39*E39</f>
        <v>5000</v>
      </c>
      <c r="I39" s="143"/>
      <c r="J39" s="154">
        <f>H39*12</f>
        <v>60000</v>
      </c>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358</v>
      </c>
      <c r="C47" s="172"/>
      <c r="D47" s="173"/>
      <c r="E47" s="173"/>
      <c r="F47" s="173"/>
      <c r="G47" s="173"/>
      <c r="H47" s="173"/>
      <c r="I47" s="173"/>
      <c r="J47" s="173"/>
      <c r="K47" s="135"/>
    </row>
    <row r="48" spans="1:13" ht="15">
      <c r="A48" s="149">
        <v>1</v>
      </c>
      <c r="B48" s="184" t="s">
        <v>359</v>
      </c>
      <c r="C48" s="175"/>
      <c r="D48" s="176"/>
      <c r="E48" s="176">
        <f>(E10+E9+E8)/8</f>
        <v>36.9</v>
      </c>
      <c r="F48" s="180">
        <v>13000</v>
      </c>
      <c r="G48" s="143"/>
      <c r="H48" s="153">
        <f>F48*E48</f>
        <v>479700</v>
      </c>
      <c r="I48" s="143"/>
      <c r="J48" s="154">
        <f>H48*12</f>
        <v>5756400</v>
      </c>
      <c r="K48" s="135"/>
      <c r="L48" s="183"/>
      <c r="M48" s="183"/>
    </row>
    <row r="49" spans="1:21" ht="15">
      <c r="A49" s="149">
        <v>2</v>
      </c>
      <c r="B49" s="18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t="s">
        <v>308</v>
      </c>
      <c r="C51" s="175"/>
      <c r="D51" s="176"/>
      <c r="E51" s="176">
        <v>0.5</v>
      </c>
      <c r="F51" s="180">
        <v>8000</v>
      </c>
      <c r="G51" s="143"/>
      <c r="H51" s="153">
        <f>F51*E51</f>
        <v>4000</v>
      </c>
      <c r="I51" s="143"/>
      <c r="J51" s="154">
        <f>H51*12</f>
        <v>48000</v>
      </c>
      <c r="K51" s="135"/>
      <c r="L51" s="183"/>
      <c r="M51" s="183"/>
    </row>
    <row r="52" spans="1:21" ht="15">
      <c r="A52" s="149">
        <v>2</v>
      </c>
      <c r="B52" s="174" t="s">
        <v>309</v>
      </c>
      <c r="C52" s="175"/>
      <c r="D52" s="176"/>
      <c r="E52" s="176">
        <v>1</v>
      </c>
      <c r="F52" s="180">
        <v>3000</v>
      </c>
      <c r="G52" s="143"/>
      <c r="H52" s="153">
        <f>F52*E52</f>
        <v>3000</v>
      </c>
      <c r="I52" s="143"/>
      <c r="J52" s="154">
        <f>H52*12</f>
        <v>36000</v>
      </c>
      <c r="K52" s="135"/>
      <c r="L52" s="183"/>
      <c r="M52" s="183"/>
    </row>
    <row r="53" spans="1:21" ht="18">
      <c r="A53" s="170" t="s">
        <v>243</v>
      </c>
      <c r="B53" s="171" t="s">
        <v>310</v>
      </c>
      <c r="C53" s="172"/>
      <c r="D53" s="173"/>
      <c r="E53" s="173"/>
      <c r="F53" s="173"/>
      <c r="G53" s="173"/>
      <c r="H53" s="173"/>
      <c r="I53" s="173"/>
      <c r="J53" s="173"/>
      <c r="K53" s="135"/>
    </row>
    <row r="54" spans="1:21" ht="15">
      <c r="A54" s="149">
        <v>1</v>
      </c>
      <c r="B54" s="174" t="s">
        <v>311</v>
      </c>
      <c r="C54" s="175"/>
      <c r="D54" s="176"/>
      <c r="E54" s="176">
        <f>E7+E8+E9</f>
        <v>8.4</v>
      </c>
      <c r="F54" s="180">
        <v>1200</v>
      </c>
      <c r="G54" s="143"/>
      <c r="H54" s="153">
        <f>F54*E54</f>
        <v>10080</v>
      </c>
      <c r="I54" s="143"/>
      <c r="J54" s="154">
        <f>H54*12</f>
        <v>120960</v>
      </c>
      <c r="K54" s="135"/>
      <c r="L54" s="183"/>
      <c r="M54" s="183"/>
    </row>
    <row r="55" spans="1:21" ht="15">
      <c r="A55" s="149">
        <v>2</v>
      </c>
      <c r="B55" s="174" t="s">
        <v>312</v>
      </c>
      <c r="C55" s="175"/>
      <c r="D55" s="176"/>
      <c r="E55" s="176">
        <f>E10</f>
        <v>288</v>
      </c>
      <c r="F55" s="180">
        <v>1000</v>
      </c>
      <c r="G55" s="143"/>
      <c r="H55" s="153">
        <f>F55*E55</f>
        <v>288000</v>
      </c>
      <c r="I55" s="143"/>
      <c r="J55" s="154">
        <f>H55*12</f>
        <v>3456000</v>
      </c>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5000</v>
      </c>
      <c r="G57" s="143"/>
      <c r="H57" s="153">
        <f>F57*E57</f>
        <v>5000</v>
      </c>
      <c r="I57" s="143"/>
      <c r="J57" s="154">
        <f>H57*12</f>
        <v>60000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298.79999999999995</v>
      </c>
      <c r="F59" s="180">
        <v>400</v>
      </c>
      <c r="G59" s="143"/>
      <c r="H59" s="153">
        <f>F59*E59</f>
        <v>119519.99999999999</v>
      </c>
      <c r="I59" s="143"/>
      <c r="J59" s="154">
        <f>H59*12</f>
        <v>1434239.9999999998</v>
      </c>
      <c r="K59" s="135"/>
      <c r="L59" s="183"/>
      <c r="M59" s="183"/>
    </row>
    <row r="60" spans="1:21" ht="15">
      <c r="A60" s="149">
        <v>4</v>
      </c>
      <c r="B60" s="184" t="s">
        <v>315</v>
      </c>
      <c r="C60" s="175"/>
      <c r="D60" s="176"/>
      <c r="E60" s="176">
        <v>0.25</v>
      </c>
      <c r="F60" s="180">
        <v>18000</v>
      </c>
      <c r="G60" s="143"/>
      <c r="H60" s="153">
        <f>F60*E60</f>
        <v>4500</v>
      </c>
      <c r="I60" s="143"/>
      <c r="J60" s="154">
        <f>H60*12</f>
        <v>54000</v>
      </c>
      <c r="K60" s="135"/>
      <c r="L60" s="183"/>
      <c r="M60" s="183"/>
    </row>
    <row r="61" spans="1:21" ht="15">
      <c r="B61" s="185" t="s">
        <v>316</v>
      </c>
      <c r="C61" s="162"/>
      <c r="D61" s="186"/>
      <c r="E61" s="186"/>
      <c r="F61" s="162"/>
      <c r="G61" s="162"/>
      <c r="H61" s="162">
        <f>SUM(H28:H34)+SUM(H36:H40)+SUM(H42:H46)+SUM(H48:H49)+SUM(H51:H52)+SUM(H54:H55)+SUM(H57:H60)</f>
        <v>955300</v>
      </c>
      <c r="I61" s="162"/>
      <c r="J61" s="162">
        <f>SUM(J28:J34)+SUM(J36:J40)+SUM(J42:J46)+SUM(J48:J49)+SUM(J51:J52)+SUM(J54:J55)+SUM(J57:J60)</f>
        <v>11463600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1526973.12</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955300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0.14000000000000001</v>
      </c>
      <c r="B66" s="194" t="s">
        <v>320</v>
      </c>
      <c r="C66" s="165"/>
      <c r="D66" s="199">
        <f>(D64+D65)*A66</f>
        <v>347518.23680000007</v>
      </c>
      <c r="E66" s="200">
        <f>SUM(D64+D65+D67+D66)</f>
        <v>2857397.3568000002</v>
      </c>
      <c r="F66" s="201">
        <f>E66*12</f>
        <v>34288768.281599998</v>
      </c>
      <c r="G66" s="165"/>
      <c r="H66" s="165"/>
      <c r="I66" s="165"/>
      <c r="J66" s="192"/>
      <c r="K66" s="193"/>
      <c r="L66" s="193"/>
      <c r="M66" s="193"/>
      <c r="N66" s="193"/>
      <c r="O66" s="193"/>
      <c r="P66" s="135"/>
      <c r="Q66" s="135"/>
      <c r="R66" s="135"/>
      <c r="S66" s="135"/>
      <c r="T66" s="135"/>
      <c r="U66" s="135"/>
    </row>
    <row r="67" spans="1:21" ht="14.1" customHeight="1">
      <c r="A67" s="198"/>
      <c r="B67" s="194" t="s">
        <v>323</v>
      </c>
      <c r="C67" s="180"/>
      <c r="D67" s="199">
        <f>'Mobilization Budget'!H113</f>
        <v>27606</v>
      </c>
      <c r="E67" s="200"/>
      <c r="F67" s="201"/>
      <c r="G67" s="165"/>
      <c r="H67" s="165"/>
      <c r="I67" s="165"/>
      <c r="J67" s="192"/>
      <c r="K67" s="193"/>
      <c r="L67" s="193"/>
      <c r="M67" s="193"/>
      <c r="N67" s="193"/>
      <c r="O67" s="193"/>
      <c r="P67" s="135"/>
      <c r="Q67" s="135"/>
      <c r="R67" s="135"/>
      <c r="S67" s="135"/>
      <c r="T67" s="135"/>
      <c r="U67" s="135"/>
    </row>
    <row r="68" spans="1:21" ht="14.1" customHeight="1">
      <c r="A68" s="135"/>
      <c r="B68" s="202"/>
      <c r="C68" s="165"/>
      <c r="D68" s="135"/>
      <c r="E68" s="135"/>
      <c r="F68" s="165"/>
      <c r="G68" s="165"/>
      <c r="H68" s="165"/>
      <c r="I68" s="165"/>
      <c r="J68" s="192"/>
      <c r="K68" s="193"/>
      <c r="L68" s="193"/>
      <c r="M68" s="193"/>
      <c r="N68" s="193"/>
      <c r="O68" s="193"/>
      <c r="P68" s="135"/>
      <c r="Q68" s="135"/>
      <c r="R68" s="135"/>
      <c r="S68" s="135"/>
      <c r="T68" s="135"/>
      <c r="U68" s="135"/>
    </row>
    <row r="69" spans="1:21" ht="15">
      <c r="A69" s="203"/>
      <c r="B69" s="185" t="s">
        <v>321</v>
      </c>
      <c r="C69" s="135"/>
      <c r="D69" s="204">
        <f>(D66+D65+D67)/(D64+D65+D66+D67)</f>
        <v>0.46560700899154689</v>
      </c>
      <c r="E69" s="193"/>
      <c r="F69" s="172"/>
      <c r="G69" s="135"/>
      <c r="H69" s="172"/>
      <c r="I69" s="135"/>
      <c r="J69" s="205"/>
      <c r="K69" s="135"/>
      <c r="L69" s="135"/>
      <c r="M69" s="135"/>
      <c r="N69" s="135"/>
      <c r="O69" s="135"/>
    </row>
    <row r="70" spans="1:21" ht="15">
      <c r="A70" s="203"/>
      <c r="B70" s="135"/>
      <c r="C70" s="135"/>
      <c r="D70" s="135"/>
      <c r="E70" s="135"/>
      <c r="F70" s="172"/>
      <c r="G70" s="135"/>
      <c r="H70" s="172"/>
      <c r="I70" s="135"/>
      <c r="J70" s="193"/>
      <c r="K70" s="135"/>
      <c r="L70" s="135"/>
      <c r="M70" s="135"/>
      <c r="N70" s="135"/>
      <c r="O70" s="135"/>
    </row>
    <row r="71" spans="1:21" ht="15">
      <c r="A71" s="135"/>
      <c r="B71" s="135"/>
      <c r="C71" s="135"/>
      <c r="D71" s="205"/>
      <c r="E71" s="20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35"/>
      <c r="G74" s="135"/>
      <c r="H74" s="135"/>
      <c r="I74" s="135"/>
      <c r="J74" s="135"/>
      <c r="K74" s="135"/>
      <c r="L74" s="135"/>
      <c r="M74" s="135"/>
      <c r="N74" s="135"/>
      <c r="O74" s="135"/>
    </row>
    <row r="75" spans="1:21" ht="15">
      <c r="A75" s="135"/>
      <c r="B75" s="135"/>
      <c r="C75" s="135"/>
      <c r="D75" s="135"/>
      <c r="E75" s="135"/>
      <c r="F75" s="193">
        <v>0</v>
      </c>
      <c r="G75" s="135"/>
      <c r="H75" s="193">
        <v>0</v>
      </c>
      <c r="I75" s="135"/>
      <c r="J75" s="193">
        <v>0</v>
      </c>
      <c r="K75" s="135"/>
      <c r="L75" s="135"/>
      <c r="M75" s="135"/>
      <c r="N75" s="135"/>
      <c r="O75" s="135"/>
    </row>
    <row r="91" spans="6:6" ht="15">
      <c r="F91" s="135">
        <v>0</v>
      </c>
    </row>
  </sheetData>
  <mergeCells count="2">
    <mergeCell ref="B2:J2"/>
    <mergeCell ref="D4:E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A999-65B3-4BFA-92E4-39AD496C956D}">
  <dimension ref="A1:U90"/>
  <sheetViews>
    <sheetView topLeftCell="A66" zoomScaleNormal="100" workbookViewId="0">
      <selection activeCell="A67" sqref="A67"/>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361</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Schedule'!B55</f>
        <v>Pickup Double Cabinet (1 security + 1 MEP)</v>
      </c>
      <c r="C7" s="143"/>
      <c r="D7" s="151">
        <f>'[46]Manning Schedule'!D55</f>
        <v>2</v>
      </c>
      <c r="E7" s="152">
        <f>D7</f>
        <v>2</v>
      </c>
      <c r="F7" s="153">
        <v>39000</v>
      </c>
      <c r="G7" s="143"/>
      <c r="H7" s="153">
        <f>F7*E7</f>
        <v>78000</v>
      </c>
      <c r="I7" s="143"/>
      <c r="J7" s="154">
        <f>H7*12</f>
        <v>936000</v>
      </c>
      <c r="K7" s="135"/>
      <c r="L7" s="155">
        <f>H7/(1-D$68)</f>
        <v>120118.83668903803</v>
      </c>
      <c r="N7" s="156">
        <f>ROUNDUP(L7/D7/30,0)</f>
        <v>2002</v>
      </c>
    </row>
    <row r="8" spans="1:15" ht="15">
      <c r="A8" s="149">
        <v>2</v>
      </c>
      <c r="B8" s="150" t="str">
        <f>'[46]Manning Schedule'!B56</f>
        <v xml:space="preserve">Golf Car </v>
      </c>
      <c r="C8" s="143"/>
      <c r="D8" s="151">
        <f>'[46]Manning Schedule'!D56</f>
        <v>2</v>
      </c>
      <c r="E8" s="152">
        <f>D8</f>
        <v>2</v>
      </c>
      <c r="F8" s="157">
        <v>45000</v>
      </c>
      <c r="G8" s="143"/>
      <c r="H8" s="153">
        <f>F8*E8</f>
        <v>90000</v>
      </c>
      <c r="I8" s="143"/>
      <c r="J8" s="154">
        <f>H8*12</f>
        <v>1080000</v>
      </c>
      <c r="K8" s="135"/>
      <c r="L8" s="155">
        <f>H8/(1-D$68)</f>
        <v>138598.65771812081</v>
      </c>
      <c r="N8" s="156">
        <f>ROUNDUP(L8/D8/30,0)</f>
        <v>2310</v>
      </c>
    </row>
    <row r="9" spans="1:15" ht="15">
      <c r="A9" s="149">
        <v>3</v>
      </c>
      <c r="B9" s="150" t="str">
        <f>'[46]Manning Schedule'!B57</f>
        <v xml:space="preserve">Security Patrol Motorcycles / Tricycles </v>
      </c>
      <c r="C9" s="143"/>
      <c r="D9" s="151">
        <f>'[46]Manning Schedule'!D57</f>
        <v>2</v>
      </c>
      <c r="E9" s="152">
        <f>D9</f>
        <v>2</v>
      </c>
      <c r="F9" s="157">
        <v>9870</v>
      </c>
      <c r="G9" s="143"/>
      <c r="H9" s="153">
        <f>F9*E9</f>
        <v>19740</v>
      </c>
      <c r="I9" s="143"/>
      <c r="J9" s="154">
        <f>H9*12</f>
        <v>236880</v>
      </c>
      <c r="K9" s="135"/>
      <c r="L9" s="155">
        <f>H9/(1-D$68)</f>
        <v>30399.305592841163</v>
      </c>
      <c r="N9" s="156">
        <f>ROUNDUP(L9/D9/30,0)</f>
        <v>507</v>
      </c>
    </row>
    <row r="10" spans="1:15" ht="15">
      <c r="A10" s="149">
        <v>4</v>
      </c>
      <c r="B10" s="150"/>
      <c r="C10" s="143"/>
      <c r="D10" s="151"/>
      <c r="E10" s="152"/>
      <c r="F10" s="157"/>
      <c r="G10" s="143"/>
      <c r="H10" s="153"/>
      <c r="I10" s="143"/>
      <c r="J10" s="154"/>
      <c r="K10" s="135"/>
      <c r="L10" s="155"/>
      <c r="N10" s="156"/>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6</v>
      </c>
      <c r="E24" s="161">
        <f>SUM(E7:E23)</f>
        <v>6</v>
      </c>
      <c r="F24" s="160"/>
      <c r="G24" s="160"/>
      <c r="H24" s="162">
        <f>SUM(H7:H23)</f>
        <v>187740</v>
      </c>
      <c r="I24" s="160"/>
      <c r="J24" s="162">
        <f>SUM(J7:J23)</f>
        <v>2252880</v>
      </c>
      <c r="K24" s="135"/>
      <c r="L24" s="163">
        <f>SUM(L7:L23)</f>
        <v>289116.79999999999</v>
      </c>
      <c r="N24" s="164" t="s">
        <v>283</v>
      </c>
    </row>
    <row r="25" spans="1:14" ht="15">
      <c r="A25" s="135"/>
      <c r="B25" s="135"/>
      <c r="C25" s="165"/>
      <c r="D25" s="135"/>
      <c r="E25" s="135"/>
      <c r="F25" s="165"/>
      <c r="G25" s="165"/>
      <c r="H25" s="165"/>
      <c r="I25" s="165"/>
      <c r="J25" s="166"/>
      <c r="K25" s="135"/>
      <c r="L25" s="155"/>
    </row>
    <row r="26" spans="1:14" ht="15.75">
      <c r="A26" s="135"/>
      <c r="B26" s="167" t="s">
        <v>284</v>
      </c>
      <c r="C26" s="160"/>
      <c r="D26" s="168"/>
      <c r="E26" s="168"/>
      <c r="F26" s="169"/>
      <c r="G26" s="160"/>
      <c r="H26" s="169"/>
      <c r="I26" s="160"/>
      <c r="J26" s="169"/>
      <c r="K26" s="135"/>
    </row>
    <row r="27" spans="1:14" ht="18">
      <c r="A27" s="170" t="s">
        <v>179</v>
      </c>
      <c r="B27" s="171" t="s">
        <v>362</v>
      </c>
      <c r="C27" s="172"/>
      <c r="D27" s="173"/>
      <c r="E27" s="173"/>
      <c r="F27" s="173"/>
      <c r="G27" s="173"/>
      <c r="H27" s="173"/>
      <c r="I27" s="173"/>
      <c r="J27" s="173"/>
      <c r="K27" s="135"/>
    </row>
    <row r="28" spans="1:14" ht="15">
      <c r="A28" s="149">
        <v>1</v>
      </c>
      <c r="B28" s="184" t="s">
        <v>363</v>
      </c>
      <c r="C28" s="175"/>
      <c r="D28" s="176"/>
      <c r="E28" s="176">
        <f>E24</f>
        <v>6</v>
      </c>
      <c r="F28" s="177">
        <v>9000</v>
      </c>
      <c r="G28" s="143"/>
      <c r="H28" s="178">
        <f>E28*F28</f>
        <v>54000</v>
      </c>
      <c r="I28" s="143"/>
      <c r="J28" s="179">
        <f>H28*12</f>
        <v>648000</v>
      </c>
      <c r="K28" s="135"/>
    </row>
    <row r="29" spans="1:14" ht="15">
      <c r="A29" s="149">
        <v>2</v>
      </c>
      <c r="B29" s="184"/>
      <c r="C29" s="175"/>
      <c r="D29" s="176"/>
      <c r="E29" s="176"/>
      <c r="F29" s="177"/>
      <c r="G29" s="143"/>
      <c r="H29" s="178"/>
      <c r="I29" s="143"/>
      <c r="J29" s="179"/>
      <c r="K29" s="135"/>
    </row>
    <row r="30" spans="1:14" ht="15">
      <c r="A30" s="149">
        <v>3</v>
      </c>
      <c r="B30" s="18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353</v>
      </c>
      <c r="C35" s="172"/>
      <c r="D35" s="173"/>
      <c r="E35" s="173"/>
      <c r="F35" s="173"/>
      <c r="G35" s="173"/>
      <c r="H35" s="173"/>
      <c r="I35" s="173"/>
      <c r="J35" s="173"/>
      <c r="K35" s="135"/>
    </row>
    <row r="36" spans="1:13" ht="15">
      <c r="A36" s="149">
        <v>1</v>
      </c>
      <c r="B36" s="184"/>
      <c r="C36" s="175"/>
      <c r="D36" s="176"/>
      <c r="E36" s="176"/>
      <c r="F36" s="180"/>
      <c r="G36" s="143"/>
      <c r="H36" s="153"/>
      <c r="I36" s="143"/>
      <c r="J36" s="154"/>
      <c r="K36" s="135"/>
      <c r="L36" s="183"/>
      <c r="M36" s="183"/>
    </row>
    <row r="37" spans="1:13" ht="15">
      <c r="A37" s="149">
        <v>2</v>
      </c>
      <c r="B37" s="184"/>
      <c r="C37" s="175"/>
      <c r="D37" s="176"/>
      <c r="E37" s="176"/>
      <c r="F37" s="180"/>
      <c r="G37" s="143"/>
      <c r="H37" s="153"/>
      <c r="I37" s="143"/>
      <c r="J37" s="154"/>
      <c r="K37" s="135"/>
      <c r="L37" s="183"/>
      <c r="M37" s="183"/>
    </row>
    <row r="38" spans="1:13" ht="15">
      <c r="A38" s="149">
        <v>3</v>
      </c>
      <c r="B38" s="184"/>
      <c r="C38" s="175"/>
      <c r="D38" s="176"/>
      <c r="E38" s="176"/>
      <c r="F38" s="180"/>
      <c r="G38" s="143"/>
      <c r="H38" s="153"/>
      <c r="I38" s="143"/>
      <c r="J38" s="154"/>
      <c r="K38" s="135"/>
      <c r="L38" s="183"/>
      <c r="M38" s="183"/>
    </row>
    <row r="39" spans="1:13" ht="15">
      <c r="A39" s="149">
        <v>4</v>
      </c>
      <c r="B39" s="18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358</v>
      </c>
      <c r="C47" s="172"/>
      <c r="D47" s="173"/>
      <c r="E47" s="173"/>
      <c r="F47" s="173"/>
      <c r="G47" s="173"/>
      <c r="H47" s="173"/>
      <c r="I47" s="173"/>
      <c r="J47" s="173"/>
      <c r="K47" s="135"/>
    </row>
    <row r="48" spans="1:13" ht="15">
      <c r="A48" s="149">
        <v>1</v>
      </c>
      <c r="B48" s="184" t="s">
        <v>364</v>
      </c>
      <c r="C48" s="175"/>
      <c r="D48" s="176"/>
      <c r="E48" s="176">
        <v>6</v>
      </c>
      <c r="F48" s="180">
        <v>1500</v>
      </c>
      <c r="G48" s="143"/>
      <c r="H48" s="153">
        <f>F48*E48</f>
        <v>9000</v>
      </c>
      <c r="I48" s="143"/>
      <c r="J48" s="154">
        <f>H48*12</f>
        <v>108000</v>
      </c>
      <c r="K48" s="135"/>
      <c r="L48" s="183"/>
      <c r="M48" s="183"/>
    </row>
    <row r="49" spans="1:21" ht="15">
      <c r="A49" s="149">
        <v>2</v>
      </c>
      <c r="B49" s="18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c r="C51" s="175"/>
      <c r="D51" s="176"/>
      <c r="E51" s="176"/>
      <c r="F51" s="180"/>
      <c r="G51" s="143"/>
      <c r="H51" s="153"/>
      <c r="I51" s="143"/>
      <c r="J51" s="154"/>
      <c r="K51" s="135"/>
      <c r="L51" s="183"/>
      <c r="M51" s="183"/>
    </row>
    <row r="52" spans="1:21" ht="15">
      <c r="A52" s="149">
        <v>2</v>
      </c>
      <c r="B52" s="174"/>
      <c r="C52" s="175"/>
      <c r="D52" s="176"/>
      <c r="E52" s="176"/>
      <c r="F52" s="180"/>
      <c r="G52" s="143"/>
      <c r="H52" s="153"/>
      <c r="I52" s="143"/>
      <c r="J52" s="154"/>
      <c r="K52" s="135"/>
      <c r="L52" s="183"/>
      <c r="M52" s="183"/>
    </row>
    <row r="53" spans="1:21" ht="18">
      <c r="A53" s="170" t="s">
        <v>243</v>
      </c>
      <c r="B53" s="171" t="s">
        <v>310</v>
      </c>
      <c r="C53" s="172"/>
      <c r="D53" s="173"/>
      <c r="E53" s="173"/>
      <c r="F53" s="173"/>
      <c r="G53" s="173"/>
      <c r="H53" s="173"/>
      <c r="I53" s="173"/>
      <c r="J53" s="173"/>
      <c r="K53" s="135"/>
    </row>
    <row r="54" spans="1:21" ht="15">
      <c r="A54" s="149">
        <v>1</v>
      </c>
      <c r="B54" s="174"/>
      <c r="C54" s="175"/>
      <c r="D54" s="176"/>
      <c r="E54" s="176"/>
      <c r="F54" s="180"/>
      <c r="G54" s="143"/>
      <c r="H54" s="153"/>
      <c r="I54" s="143"/>
      <c r="J54" s="154"/>
      <c r="K54" s="135"/>
      <c r="L54" s="183"/>
      <c r="M54" s="183"/>
    </row>
    <row r="55" spans="1:21" ht="15">
      <c r="A55" s="149">
        <v>2</v>
      </c>
      <c r="B55" s="174"/>
      <c r="C55" s="175"/>
      <c r="D55" s="176"/>
      <c r="E55" s="176"/>
      <c r="F55" s="180"/>
      <c r="G55" s="143"/>
      <c r="H55" s="153"/>
      <c r="I55" s="143"/>
      <c r="J55" s="154"/>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5000</v>
      </c>
      <c r="G57" s="143"/>
      <c r="H57" s="153">
        <f>F57*E57</f>
        <v>5000</v>
      </c>
      <c r="I57" s="143"/>
      <c r="J57" s="154">
        <f>H57*12</f>
        <v>60000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6</v>
      </c>
      <c r="F59" s="180">
        <v>400</v>
      </c>
      <c r="G59" s="143"/>
      <c r="H59" s="153">
        <f>F59*E59</f>
        <v>2400</v>
      </c>
      <c r="I59" s="143"/>
      <c r="J59" s="154">
        <f>H59*12</f>
        <v>28800</v>
      </c>
      <c r="K59" s="135"/>
      <c r="L59" s="183"/>
      <c r="M59" s="183"/>
    </row>
    <row r="60" spans="1:21" ht="15">
      <c r="A60" s="149">
        <v>4</v>
      </c>
      <c r="B60" s="184" t="s">
        <v>315</v>
      </c>
      <c r="C60" s="175"/>
      <c r="D60" s="176"/>
      <c r="E60" s="176">
        <v>0</v>
      </c>
      <c r="F60" s="180">
        <v>18000</v>
      </c>
      <c r="G60" s="143"/>
      <c r="H60" s="153">
        <f>F60*E60</f>
        <v>0</v>
      </c>
      <c r="I60" s="143"/>
      <c r="J60" s="154">
        <f>H60*12</f>
        <v>0</v>
      </c>
      <c r="K60" s="135"/>
      <c r="L60" s="183"/>
      <c r="M60" s="183"/>
    </row>
    <row r="61" spans="1:21" ht="15">
      <c r="B61" s="185" t="s">
        <v>316</v>
      </c>
      <c r="C61" s="162"/>
      <c r="D61" s="186"/>
      <c r="E61" s="186"/>
      <c r="F61" s="162"/>
      <c r="G61" s="162"/>
      <c r="H61" s="162">
        <f>SUM(H28:H34)+SUM(H36:H40)+SUM(H42:H46)+SUM(H48:H49)+SUM(H51:H52)+SUM(H54:H55)+SUM(H57:H60)</f>
        <v>70400</v>
      </c>
      <c r="I61" s="162"/>
      <c r="J61" s="162">
        <f>SUM(J28:J34)+SUM(J36:J40)+SUM(J42:J46)+SUM(J48:J49)+SUM(J51:J52)+SUM(J54:J55)+SUM(J57:J60)</f>
        <v>844800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187740</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70400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0.12</v>
      </c>
      <c r="B66" s="194" t="s">
        <v>320</v>
      </c>
      <c r="C66" s="165"/>
      <c r="D66" s="199">
        <f>(D64+D65)*A66</f>
        <v>30976.799999999999</v>
      </c>
      <c r="E66" s="200">
        <f>SUM(D64+D65+D66)</f>
        <v>289116.79999999999</v>
      </c>
      <c r="F66" s="201">
        <f>E66*12</f>
        <v>3469401.5999999996</v>
      </c>
      <c r="G66" s="165"/>
      <c r="H66" s="165"/>
      <c r="I66" s="165"/>
      <c r="J66" s="192"/>
      <c r="K66" s="193"/>
      <c r="L66" s="193"/>
      <c r="M66" s="193"/>
      <c r="N66" s="193"/>
      <c r="O66" s="193"/>
      <c r="P66" s="135"/>
      <c r="Q66" s="135"/>
      <c r="R66" s="135"/>
      <c r="S66" s="135"/>
      <c r="T66" s="135"/>
      <c r="U66" s="135"/>
    </row>
    <row r="67" spans="1:21" ht="14.1" customHeight="1">
      <c r="A67" s="135"/>
      <c r="B67" s="202"/>
      <c r="C67" s="165"/>
      <c r="D67" s="135"/>
      <c r="E67" s="135"/>
      <c r="F67" s="165"/>
      <c r="G67" s="165"/>
      <c r="H67" s="165"/>
      <c r="I67" s="165"/>
      <c r="J67" s="192"/>
      <c r="K67" s="193"/>
      <c r="L67" s="193"/>
      <c r="M67" s="193"/>
      <c r="N67" s="193"/>
      <c r="O67" s="193"/>
      <c r="P67" s="135"/>
      <c r="Q67" s="135"/>
      <c r="R67" s="135"/>
      <c r="S67" s="135"/>
      <c r="T67" s="135"/>
      <c r="U67" s="135"/>
    </row>
    <row r="68" spans="1:21" ht="15">
      <c r="A68" s="203"/>
      <c r="B68" s="185" t="s">
        <v>321</v>
      </c>
      <c r="C68" s="135"/>
      <c r="D68" s="204">
        <f>(D66+D65)/(D64+D65+D66)</f>
        <v>0.35064306190439298</v>
      </c>
      <c r="E68" s="193"/>
      <c r="F68" s="172"/>
      <c r="G68" s="135"/>
      <c r="H68" s="172"/>
      <c r="I68" s="135"/>
      <c r="J68" s="205"/>
      <c r="K68" s="135"/>
      <c r="L68" s="135"/>
      <c r="M68" s="135"/>
      <c r="N68" s="135"/>
      <c r="O68" s="135"/>
    </row>
    <row r="69" spans="1:21" ht="15">
      <c r="A69" s="203"/>
      <c r="B69" s="135"/>
      <c r="C69" s="135"/>
      <c r="D69" s="135"/>
      <c r="E69" s="135"/>
      <c r="F69" s="172"/>
      <c r="G69" s="135"/>
      <c r="H69" s="172"/>
      <c r="I69" s="135"/>
      <c r="J69" s="193"/>
      <c r="K69" s="135"/>
      <c r="L69" s="135"/>
      <c r="M69" s="135"/>
      <c r="N69" s="135"/>
      <c r="O69" s="135"/>
    </row>
    <row r="70" spans="1:21" ht="15">
      <c r="A70" s="135"/>
      <c r="B70" s="135"/>
      <c r="C70" s="135"/>
      <c r="D70" s="205"/>
      <c r="E70" s="205"/>
      <c r="F70" s="135"/>
      <c r="G70" s="135"/>
      <c r="H70" s="135"/>
      <c r="I70" s="135"/>
      <c r="J70" s="135"/>
      <c r="K70" s="135"/>
      <c r="L70" s="135"/>
      <c r="M70" s="135"/>
      <c r="N70" s="135"/>
      <c r="O70" s="135"/>
    </row>
    <row r="71" spans="1:21" ht="15">
      <c r="A71" s="135"/>
      <c r="B71" s="135"/>
      <c r="C71" s="135"/>
      <c r="D71" s="135"/>
      <c r="E71" s="13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93">
        <v>0</v>
      </c>
      <c r="G74" s="135"/>
      <c r="H74" s="193">
        <v>0</v>
      </c>
      <c r="I74" s="135"/>
      <c r="J74" s="193">
        <v>0</v>
      </c>
      <c r="K74" s="135"/>
      <c r="L74" s="135"/>
      <c r="M74" s="135"/>
      <c r="N74" s="135"/>
      <c r="O74" s="135"/>
    </row>
    <row r="90" spans="6:6" ht="15">
      <c r="F90" s="135">
        <v>0</v>
      </c>
    </row>
  </sheetData>
  <mergeCells count="2">
    <mergeCell ref="B2:J2"/>
    <mergeCell ref="D4:E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CC81E-BB97-4D76-88D7-031DB3CA7DA1}">
  <dimension ref="A1:U91"/>
  <sheetViews>
    <sheetView topLeftCell="A33" zoomScaleNormal="100" workbookViewId="0">
      <selection activeCell="E77" sqref="E77"/>
    </sheetView>
  </sheetViews>
  <sheetFormatPr defaultColWidth="8.85546875" defaultRowHeight="14.25"/>
  <cols>
    <col min="1" max="1" width="4.42578125" style="136" customWidth="1"/>
    <col min="2" max="2" width="48.5703125" style="136" customWidth="1"/>
    <col min="3" max="3" width="0.85546875" style="136" customWidth="1"/>
    <col min="4" max="4" width="12.85546875" style="136" bestFit="1" customWidth="1"/>
    <col min="5" max="5" width="12.85546875" style="136" customWidth="1"/>
    <col min="6" max="6" width="18.42578125" style="136" bestFit="1" customWidth="1"/>
    <col min="7" max="7" width="0.85546875" style="136" customWidth="1"/>
    <col min="8" max="8" width="14" style="136" bestFit="1" customWidth="1"/>
    <col min="9" max="9" width="1" style="136" customWidth="1"/>
    <col min="10" max="10" width="21.140625" style="136" bestFit="1" customWidth="1"/>
    <col min="11" max="11" width="1" style="136" customWidth="1"/>
    <col min="12" max="12" width="18.140625" style="136" customWidth="1"/>
    <col min="13" max="13" width="1.140625" style="136" customWidth="1"/>
    <col min="14" max="14" width="17.140625" style="136" customWidth="1"/>
    <col min="15" max="15" width="29.42578125" style="136" customWidth="1"/>
    <col min="16" max="16" width="14.85546875" style="136" customWidth="1"/>
    <col min="17" max="17" width="12.5703125" style="136" customWidth="1"/>
    <col min="18" max="18" width="14.5703125" style="136" customWidth="1"/>
    <col min="19" max="16384" width="8.85546875" style="136"/>
  </cols>
  <sheetData>
    <row r="1" spans="1:15" ht="15">
      <c r="A1" s="135"/>
      <c r="B1" s="135"/>
      <c r="C1" s="135"/>
      <c r="D1" s="135"/>
      <c r="E1" s="135"/>
      <c r="F1" s="135"/>
      <c r="G1" s="135"/>
      <c r="H1" s="135"/>
      <c r="I1" s="135"/>
      <c r="J1" s="135"/>
      <c r="K1" s="135"/>
      <c r="L1" s="135"/>
      <c r="M1" s="135"/>
      <c r="N1" s="135"/>
      <c r="O1" s="135"/>
    </row>
    <row r="2" spans="1:15" ht="18.75">
      <c r="A2" s="135"/>
      <c r="B2" s="524" t="s">
        <v>365</v>
      </c>
      <c r="C2" s="525"/>
      <c r="D2" s="525"/>
      <c r="E2" s="525"/>
      <c r="F2" s="525"/>
      <c r="G2" s="525"/>
      <c r="H2" s="525"/>
      <c r="I2" s="525"/>
      <c r="J2" s="526"/>
      <c r="K2" s="135"/>
    </row>
    <row r="3" spans="1:15" ht="5.45" customHeight="1">
      <c r="A3" s="135"/>
      <c r="B3" s="135"/>
      <c r="C3" s="135"/>
      <c r="D3" s="135"/>
      <c r="E3" s="135"/>
      <c r="F3" s="135"/>
      <c r="G3" s="135"/>
      <c r="H3" s="135"/>
      <c r="I3" s="135"/>
      <c r="J3" s="135"/>
      <c r="K3" s="135"/>
    </row>
    <row r="4" spans="1:15" ht="15.75">
      <c r="A4" s="137"/>
      <c r="B4" s="135"/>
      <c r="C4" s="135"/>
      <c r="D4" s="527" t="s">
        <v>273</v>
      </c>
      <c r="E4" s="528"/>
      <c r="F4" s="138" t="s">
        <v>274</v>
      </c>
      <c r="G4" s="139"/>
      <c r="H4" s="140" t="s">
        <v>275</v>
      </c>
      <c r="I4" s="139"/>
      <c r="J4" s="138" t="s">
        <v>276</v>
      </c>
      <c r="K4" s="135"/>
    </row>
    <row r="5" spans="1:15" ht="7.35" customHeight="1">
      <c r="A5" s="135"/>
      <c r="B5" s="135"/>
      <c r="C5" s="135"/>
      <c r="D5" s="135"/>
      <c r="E5" s="135"/>
      <c r="F5" s="135"/>
      <c r="G5" s="135"/>
      <c r="H5" s="141"/>
      <c r="I5" s="135"/>
      <c r="J5" s="135"/>
      <c r="K5" s="135"/>
    </row>
    <row r="6" spans="1:15" ht="15.75">
      <c r="A6" s="135"/>
      <c r="B6" s="142" t="s">
        <v>277</v>
      </c>
      <c r="C6" s="143"/>
      <c r="D6" s="144" t="s">
        <v>278</v>
      </c>
      <c r="E6" s="144" t="s">
        <v>279</v>
      </c>
      <c r="F6" s="145"/>
      <c r="G6" s="146"/>
      <c r="H6" s="145"/>
      <c r="I6" s="146"/>
      <c r="J6" s="145"/>
      <c r="K6" s="135"/>
      <c r="L6" s="147" t="s">
        <v>280</v>
      </c>
      <c r="N6" s="148" t="s">
        <v>281</v>
      </c>
    </row>
    <row r="7" spans="1:15" ht="15">
      <c r="A7" s="149">
        <v>1</v>
      </c>
      <c r="B7" s="150" t="str">
        <f>'[46]Manning Schedule'!B55</f>
        <v>Pickup Double Cabinet (1 security + 1 MEP)</v>
      </c>
      <c r="C7" s="143"/>
      <c r="D7" s="151">
        <f>'[46]Manning Schedule'!D55</f>
        <v>2</v>
      </c>
      <c r="E7" s="152">
        <f>D7</f>
        <v>2</v>
      </c>
      <c r="F7" s="153">
        <f>'Transportation Y1'!F7*1.12</f>
        <v>43680.000000000007</v>
      </c>
      <c r="G7" s="143"/>
      <c r="H7" s="153">
        <f>F7*E7</f>
        <v>87360.000000000015</v>
      </c>
      <c r="I7" s="143"/>
      <c r="J7" s="154">
        <f>H7*12</f>
        <v>1048320.0000000002</v>
      </c>
      <c r="K7" s="135"/>
      <c r="L7" s="155">
        <f>H7/(1-D$69)</f>
        <v>134933.86436561204</v>
      </c>
      <c r="N7" s="156">
        <f>ROUNDUP(L7/D7/30,0)</f>
        <v>2249</v>
      </c>
    </row>
    <row r="8" spans="1:15" ht="15">
      <c r="A8" s="149">
        <v>2</v>
      </c>
      <c r="B8" s="150" t="str">
        <f>'[46]Manning Schedule'!B56</f>
        <v xml:space="preserve">Golf Car </v>
      </c>
      <c r="C8" s="143"/>
      <c r="D8" s="151">
        <f>'[46]Manning Schedule'!D56</f>
        <v>2</v>
      </c>
      <c r="E8" s="152">
        <f>D8</f>
        <v>2</v>
      </c>
      <c r="F8" s="153">
        <f>'Transportation Y1'!F8*1.12</f>
        <v>50400.000000000007</v>
      </c>
      <c r="G8" s="143"/>
      <c r="H8" s="153">
        <f>F8*E8</f>
        <v>100800.00000000001</v>
      </c>
      <c r="I8" s="143"/>
      <c r="J8" s="154">
        <f>H8*12</f>
        <v>1209600.0000000002</v>
      </c>
      <c r="K8" s="135"/>
      <c r="L8" s="155">
        <f>H8/(1-D$69)</f>
        <v>155692.92042186004</v>
      </c>
      <c r="N8" s="156">
        <f>ROUNDUP(L8/D8/30,0)</f>
        <v>2595</v>
      </c>
    </row>
    <row r="9" spans="1:15" ht="15">
      <c r="A9" s="149">
        <v>3</v>
      </c>
      <c r="B9" s="150" t="str">
        <f>'[46]Manning Schedule'!B57</f>
        <v xml:space="preserve">Security Patrol Motorcycles / Tricycles </v>
      </c>
      <c r="C9" s="143"/>
      <c r="D9" s="151">
        <f>'[46]Manning Schedule'!D57</f>
        <v>2</v>
      </c>
      <c r="E9" s="152">
        <f>D9</f>
        <v>2</v>
      </c>
      <c r="F9" s="153">
        <f>'Transportation Y1'!F9*1.12</f>
        <v>11054.400000000001</v>
      </c>
      <c r="G9" s="143"/>
      <c r="H9" s="153">
        <f>F9*E9</f>
        <v>22108.800000000003</v>
      </c>
      <c r="I9" s="143"/>
      <c r="J9" s="154">
        <f>H9*12</f>
        <v>265305.60000000003</v>
      </c>
      <c r="K9" s="135"/>
      <c r="L9" s="155">
        <f>H9/(1-D$69)</f>
        <v>34148.647212527969</v>
      </c>
      <c r="N9" s="156">
        <f>ROUNDUP(L9/D9/30,0)</f>
        <v>570</v>
      </c>
    </row>
    <row r="10" spans="1:15" ht="15">
      <c r="A10" s="149">
        <v>4</v>
      </c>
      <c r="B10" s="150"/>
      <c r="C10" s="143"/>
      <c r="D10" s="151"/>
      <c r="E10" s="152"/>
      <c r="F10" s="157"/>
      <c r="G10" s="143"/>
      <c r="H10" s="153"/>
      <c r="I10" s="143"/>
      <c r="J10" s="154"/>
      <c r="K10" s="135"/>
      <c r="L10" s="155"/>
      <c r="N10" s="156"/>
    </row>
    <row r="11" spans="1:15" ht="15">
      <c r="A11" s="149">
        <v>5</v>
      </c>
      <c r="B11" s="150"/>
      <c r="C11" s="143"/>
      <c r="D11" s="151"/>
      <c r="E11" s="152"/>
      <c r="F11" s="157"/>
      <c r="G11" s="143"/>
      <c r="H11" s="153"/>
      <c r="I11" s="143"/>
      <c r="J11" s="154"/>
      <c r="K11" s="135"/>
      <c r="L11" s="155"/>
      <c r="N11" s="156"/>
    </row>
    <row r="12" spans="1:15" ht="15">
      <c r="A12" s="149">
        <v>6</v>
      </c>
      <c r="B12" s="150"/>
      <c r="C12" s="143"/>
      <c r="D12" s="158"/>
      <c r="E12" s="152"/>
      <c r="F12" s="157"/>
      <c r="G12" s="143"/>
      <c r="H12" s="153"/>
      <c r="I12" s="143"/>
      <c r="J12" s="154"/>
      <c r="K12" s="135"/>
      <c r="L12" s="155"/>
      <c r="N12" s="156"/>
    </row>
    <row r="13" spans="1:15" ht="15">
      <c r="A13" s="149">
        <v>7</v>
      </c>
      <c r="B13" s="150"/>
      <c r="C13" s="143"/>
      <c r="D13" s="158"/>
      <c r="E13" s="152"/>
      <c r="F13" s="157"/>
      <c r="G13" s="143"/>
      <c r="H13" s="153"/>
      <c r="I13" s="143"/>
      <c r="J13" s="154"/>
      <c r="K13" s="135"/>
      <c r="L13" s="155"/>
      <c r="N13" s="156"/>
    </row>
    <row r="14" spans="1:15" ht="15">
      <c r="A14" s="149">
        <v>8</v>
      </c>
      <c r="B14" s="150"/>
      <c r="C14" s="143"/>
      <c r="D14" s="158"/>
      <c r="E14" s="152"/>
      <c r="F14" s="157"/>
      <c r="G14" s="143"/>
      <c r="H14" s="153"/>
      <c r="I14" s="143"/>
      <c r="J14" s="154"/>
      <c r="K14" s="135"/>
      <c r="L14" s="155"/>
      <c r="N14" s="156"/>
    </row>
    <row r="15" spans="1:15" ht="15">
      <c r="A15" s="149">
        <v>9</v>
      </c>
      <c r="B15" s="150"/>
      <c r="C15" s="143"/>
      <c r="D15" s="158"/>
      <c r="E15" s="152"/>
      <c r="F15" s="157"/>
      <c r="G15" s="143"/>
      <c r="H15" s="153"/>
      <c r="I15" s="143"/>
      <c r="J15" s="154"/>
      <c r="K15" s="135"/>
      <c r="L15" s="155"/>
      <c r="N15" s="156"/>
    </row>
    <row r="16" spans="1:15" ht="15">
      <c r="A16" s="149">
        <v>10</v>
      </c>
      <c r="B16" s="150"/>
      <c r="C16" s="143"/>
      <c r="D16" s="158"/>
      <c r="E16" s="152"/>
      <c r="F16" s="157"/>
      <c r="G16" s="143"/>
      <c r="H16" s="153"/>
      <c r="I16" s="143"/>
      <c r="J16" s="154"/>
      <c r="K16" s="135"/>
      <c r="L16" s="155"/>
      <c r="N16" s="156"/>
    </row>
    <row r="17" spans="1:14" ht="15">
      <c r="A17" s="149">
        <v>11</v>
      </c>
      <c r="B17" s="150"/>
      <c r="C17" s="143"/>
      <c r="D17" s="158"/>
      <c r="E17" s="152"/>
      <c r="F17" s="157"/>
      <c r="G17" s="143"/>
      <c r="H17" s="153"/>
      <c r="I17" s="143"/>
      <c r="J17" s="154"/>
      <c r="K17" s="135"/>
      <c r="L17" s="155"/>
      <c r="N17" s="156"/>
    </row>
    <row r="18" spans="1:14" ht="15">
      <c r="A18" s="149">
        <v>12</v>
      </c>
      <c r="B18" s="150"/>
      <c r="C18" s="143"/>
      <c r="D18" s="158"/>
      <c r="E18" s="152"/>
      <c r="F18" s="157"/>
      <c r="G18" s="143"/>
      <c r="H18" s="153"/>
      <c r="I18" s="143"/>
      <c r="J18" s="154"/>
      <c r="K18" s="135"/>
      <c r="L18" s="155"/>
      <c r="N18" s="156"/>
    </row>
    <row r="19" spans="1:14" ht="15">
      <c r="A19" s="149">
        <v>13</v>
      </c>
      <c r="B19" s="150"/>
      <c r="C19" s="143"/>
      <c r="D19" s="158"/>
      <c r="E19" s="152"/>
      <c r="F19" s="157"/>
      <c r="G19" s="143"/>
      <c r="H19" s="153"/>
      <c r="I19" s="143"/>
      <c r="J19" s="154"/>
      <c r="K19" s="135"/>
      <c r="L19" s="155"/>
      <c r="N19" s="156"/>
    </row>
    <row r="20" spans="1:14" ht="15">
      <c r="A20" s="149">
        <v>14</v>
      </c>
      <c r="B20" s="150"/>
      <c r="C20" s="143"/>
      <c r="D20" s="158"/>
      <c r="E20" s="152"/>
      <c r="F20" s="157"/>
      <c r="G20" s="143"/>
      <c r="H20" s="153"/>
      <c r="I20" s="143"/>
      <c r="J20" s="154"/>
      <c r="K20" s="135"/>
      <c r="L20" s="155"/>
      <c r="N20" s="156"/>
    </row>
    <row r="21" spans="1:14" ht="15">
      <c r="A21" s="149">
        <v>15</v>
      </c>
      <c r="B21" s="150"/>
      <c r="C21" s="143"/>
      <c r="D21" s="158"/>
      <c r="E21" s="152"/>
      <c r="F21" s="157"/>
      <c r="G21" s="143"/>
      <c r="H21" s="153"/>
      <c r="I21" s="143"/>
      <c r="J21" s="154"/>
      <c r="K21" s="135"/>
      <c r="L21" s="155"/>
      <c r="N21" s="156"/>
    </row>
    <row r="22" spans="1:14" ht="15">
      <c r="A22" s="149">
        <v>16</v>
      </c>
      <c r="B22" s="150"/>
      <c r="C22" s="143"/>
      <c r="D22" s="158"/>
      <c r="E22" s="152"/>
      <c r="F22" s="157"/>
      <c r="G22" s="143"/>
      <c r="H22" s="153"/>
      <c r="I22" s="143"/>
      <c r="J22" s="154"/>
      <c r="K22" s="135"/>
      <c r="L22" s="155"/>
      <c r="N22" s="156"/>
    </row>
    <row r="23" spans="1:14" ht="15">
      <c r="A23" s="149">
        <v>17</v>
      </c>
      <c r="B23" s="150"/>
      <c r="C23" s="143"/>
      <c r="D23" s="158"/>
      <c r="E23" s="152"/>
      <c r="F23" s="157"/>
      <c r="G23" s="143"/>
      <c r="H23" s="153"/>
      <c r="I23" s="143"/>
      <c r="J23" s="154"/>
      <c r="K23" s="135"/>
      <c r="L23" s="155"/>
      <c r="N23" s="156"/>
    </row>
    <row r="24" spans="1:14" ht="15">
      <c r="A24" s="135"/>
      <c r="B24" s="159" t="s">
        <v>282</v>
      </c>
      <c r="C24" s="160"/>
      <c r="D24" s="161">
        <f>SUM(D7:D23)</f>
        <v>6</v>
      </c>
      <c r="E24" s="161">
        <f>SUM(E7:E23)</f>
        <v>6</v>
      </c>
      <c r="F24" s="160"/>
      <c r="G24" s="160"/>
      <c r="H24" s="162">
        <f>SUM(H7:H23)</f>
        <v>210268.80000000005</v>
      </c>
      <c r="I24" s="160"/>
      <c r="J24" s="162">
        <f>SUM(J7:J23)</f>
        <v>2523225.6000000006</v>
      </c>
      <c r="K24" s="135"/>
      <c r="L24" s="163">
        <f>SUM(L7:L23)</f>
        <v>324775.43200000009</v>
      </c>
      <c r="N24" s="164" t="s">
        <v>283</v>
      </c>
    </row>
    <row r="25" spans="1:14" ht="15">
      <c r="A25" s="135"/>
      <c r="B25" s="135"/>
      <c r="C25" s="165"/>
      <c r="D25" s="135"/>
      <c r="E25" s="135"/>
      <c r="F25" s="165"/>
      <c r="G25" s="165"/>
      <c r="H25" s="165"/>
      <c r="I25" s="165"/>
      <c r="J25" s="166"/>
      <c r="K25" s="135"/>
      <c r="L25" s="155"/>
    </row>
    <row r="26" spans="1:14" ht="15.75">
      <c r="A26" s="135"/>
      <c r="B26" s="167" t="s">
        <v>284</v>
      </c>
      <c r="C26" s="160"/>
      <c r="D26" s="168"/>
      <c r="E26" s="168"/>
      <c r="F26" s="169"/>
      <c r="G26" s="160"/>
      <c r="H26" s="169"/>
      <c r="I26" s="160"/>
      <c r="J26" s="169"/>
      <c r="K26" s="135"/>
    </row>
    <row r="27" spans="1:14" ht="18">
      <c r="A27" s="170" t="s">
        <v>179</v>
      </c>
      <c r="B27" s="171" t="s">
        <v>362</v>
      </c>
      <c r="C27" s="172"/>
      <c r="D27" s="173"/>
      <c r="E27" s="173"/>
      <c r="F27" s="173"/>
      <c r="G27" s="173"/>
      <c r="H27" s="173"/>
      <c r="I27" s="173"/>
      <c r="J27" s="173"/>
      <c r="K27" s="135"/>
    </row>
    <row r="28" spans="1:14" ht="15">
      <c r="A28" s="149">
        <v>1</v>
      </c>
      <c r="B28" s="184" t="s">
        <v>363</v>
      </c>
      <c r="C28" s="175"/>
      <c r="D28" s="176"/>
      <c r="E28" s="176">
        <f>E24</f>
        <v>6</v>
      </c>
      <c r="F28" s="177">
        <v>9000</v>
      </c>
      <c r="G28" s="143"/>
      <c r="H28" s="178">
        <f>E28*F28</f>
        <v>54000</v>
      </c>
      <c r="I28" s="143"/>
      <c r="J28" s="179">
        <f>H28*12</f>
        <v>648000</v>
      </c>
      <c r="K28" s="135"/>
    </row>
    <row r="29" spans="1:14" ht="15">
      <c r="A29" s="149">
        <v>2</v>
      </c>
      <c r="B29" s="184"/>
      <c r="C29" s="175"/>
      <c r="D29" s="176"/>
      <c r="E29" s="176"/>
      <c r="F29" s="177"/>
      <c r="G29" s="143"/>
      <c r="H29" s="178"/>
      <c r="I29" s="143"/>
      <c r="J29" s="179"/>
      <c r="K29" s="135"/>
    </row>
    <row r="30" spans="1:14" ht="15">
      <c r="A30" s="149">
        <v>3</v>
      </c>
      <c r="B30" s="184"/>
      <c r="C30" s="175"/>
      <c r="D30" s="176"/>
      <c r="E30" s="176"/>
      <c r="F30" s="180"/>
      <c r="G30" s="143"/>
      <c r="H30" s="178"/>
      <c r="I30" s="143"/>
      <c r="J30" s="179"/>
      <c r="K30" s="135"/>
    </row>
    <row r="31" spans="1:14" ht="15">
      <c r="A31" s="149">
        <v>4</v>
      </c>
      <c r="B31" s="174"/>
      <c r="C31" s="175"/>
      <c r="D31" s="176"/>
      <c r="E31" s="176"/>
      <c r="F31" s="180"/>
      <c r="G31" s="143"/>
      <c r="H31" s="178"/>
      <c r="I31" s="143"/>
      <c r="J31" s="179"/>
      <c r="K31" s="135"/>
    </row>
    <row r="32" spans="1:14" ht="15">
      <c r="A32" s="149">
        <v>5</v>
      </c>
      <c r="B32" s="174"/>
      <c r="C32" s="175"/>
      <c r="D32" s="176"/>
      <c r="E32" s="176"/>
      <c r="F32" s="180"/>
      <c r="G32" s="143"/>
      <c r="H32" s="178"/>
      <c r="I32" s="143"/>
      <c r="J32" s="179"/>
      <c r="K32" s="135"/>
    </row>
    <row r="33" spans="1:13" ht="15">
      <c r="A33" s="149">
        <v>6</v>
      </c>
      <c r="B33" s="174"/>
      <c r="C33" s="175"/>
      <c r="D33" s="176"/>
      <c r="E33" s="176"/>
      <c r="F33" s="177"/>
      <c r="G33" s="143"/>
      <c r="H33" s="181"/>
      <c r="I33" s="143"/>
      <c r="J33" s="182"/>
      <c r="K33" s="135"/>
    </row>
    <row r="34" spans="1:13" ht="15">
      <c r="A34" s="149">
        <v>7</v>
      </c>
      <c r="B34" s="174"/>
      <c r="C34" s="175"/>
      <c r="D34" s="176"/>
      <c r="E34" s="176"/>
      <c r="F34" s="177"/>
      <c r="G34" s="143"/>
      <c r="H34" s="181"/>
      <c r="I34" s="143"/>
      <c r="J34" s="182"/>
      <c r="K34" s="135"/>
    </row>
    <row r="35" spans="1:13" ht="18">
      <c r="A35" s="170" t="s">
        <v>207</v>
      </c>
      <c r="B35" s="171" t="s">
        <v>353</v>
      </c>
      <c r="C35" s="172"/>
      <c r="D35" s="173"/>
      <c r="E35" s="173"/>
      <c r="F35" s="173"/>
      <c r="G35" s="173"/>
      <c r="H35" s="173"/>
      <c r="I35" s="173"/>
      <c r="J35" s="173"/>
      <c r="K35" s="135"/>
    </row>
    <row r="36" spans="1:13" ht="15">
      <c r="A36" s="149">
        <v>1</v>
      </c>
      <c r="B36" s="184"/>
      <c r="C36" s="175"/>
      <c r="D36" s="176"/>
      <c r="E36" s="176"/>
      <c r="F36" s="180"/>
      <c r="G36" s="143"/>
      <c r="H36" s="153"/>
      <c r="I36" s="143"/>
      <c r="J36" s="154"/>
      <c r="K36" s="135"/>
      <c r="L36" s="183"/>
      <c r="M36" s="183"/>
    </row>
    <row r="37" spans="1:13" ht="15">
      <c r="A37" s="149">
        <v>2</v>
      </c>
      <c r="B37" s="184"/>
      <c r="C37" s="175"/>
      <c r="D37" s="176"/>
      <c r="E37" s="176"/>
      <c r="F37" s="180"/>
      <c r="G37" s="143"/>
      <c r="H37" s="153"/>
      <c r="I37" s="143"/>
      <c r="J37" s="154"/>
      <c r="K37" s="135"/>
      <c r="L37" s="183"/>
      <c r="M37" s="183"/>
    </row>
    <row r="38" spans="1:13" ht="15">
      <c r="A38" s="149">
        <v>3</v>
      </c>
      <c r="B38" s="184"/>
      <c r="C38" s="175"/>
      <c r="D38" s="176"/>
      <c r="E38" s="176"/>
      <c r="F38" s="180"/>
      <c r="G38" s="143"/>
      <c r="H38" s="153"/>
      <c r="I38" s="143"/>
      <c r="J38" s="154"/>
      <c r="K38" s="135"/>
      <c r="L38" s="183"/>
      <c r="M38" s="183"/>
    </row>
    <row r="39" spans="1:13" ht="15">
      <c r="A39" s="149">
        <v>4</v>
      </c>
      <c r="B39" s="184"/>
      <c r="C39" s="175"/>
      <c r="D39" s="176"/>
      <c r="E39" s="176"/>
      <c r="F39" s="180"/>
      <c r="G39" s="143"/>
      <c r="H39" s="153"/>
      <c r="I39" s="143"/>
      <c r="J39" s="154"/>
      <c r="K39" s="135"/>
      <c r="L39" s="183"/>
      <c r="M39" s="183"/>
    </row>
    <row r="40" spans="1:13" ht="15">
      <c r="A40" s="149">
        <v>5</v>
      </c>
      <c r="B40" s="174"/>
      <c r="C40" s="175"/>
      <c r="D40" s="176"/>
      <c r="E40" s="176"/>
      <c r="F40" s="180"/>
      <c r="G40" s="143"/>
      <c r="H40" s="153"/>
      <c r="I40" s="143"/>
      <c r="J40" s="154"/>
      <c r="K40" s="135"/>
      <c r="L40" s="183"/>
      <c r="M40" s="183"/>
    </row>
    <row r="41" spans="1:13" ht="18">
      <c r="A41" s="170" t="s">
        <v>214</v>
      </c>
      <c r="B41" s="171"/>
      <c r="C41" s="172"/>
      <c r="D41" s="173"/>
      <c r="E41" s="173"/>
      <c r="F41" s="173"/>
      <c r="G41" s="173"/>
      <c r="H41" s="173"/>
      <c r="I41" s="173"/>
      <c r="J41" s="173"/>
      <c r="K41" s="135"/>
    </row>
    <row r="42" spans="1:13" ht="15">
      <c r="A42" s="149">
        <v>1</v>
      </c>
      <c r="B42" s="174"/>
      <c r="C42" s="175"/>
      <c r="D42" s="176"/>
      <c r="E42" s="176"/>
      <c r="F42" s="180"/>
      <c r="G42" s="143"/>
      <c r="H42" s="153"/>
      <c r="I42" s="143"/>
      <c r="J42" s="154"/>
      <c r="K42" s="135"/>
      <c r="L42" s="183"/>
      <c r="M42" s="183"/>
    </row>
    <row r="43" spans="1:13" ht="15">
      <c r="A43" s="149">
        <v>2</v>
      </c>
      <c r="B43" s="174"/>
      <c r="C43" s="175"/>
      <c r="D43" s="176"/>
      <c r="E43" s="176"/>
      <c r="F43" s="180"/>
      <c r="G43" s="143"/>
      <c r="H43" s="153"/>
      <c r="I43" s="143"/>
      <c r="J43" s="154"/>
      <c r="K43" s="135"/>
      <c r="L43" s="183"/>
      <c r="M43" s="183"/>
    </row>
    <row r="44" spans="1:13" ht="15">
      <c r="A44" s="149">
        <v>3</v>
      </c>
      <c r="B44" s="174"/>
      <c r="C44" s="175"/>
      <c r="D44" s="176"/>
      <c r="E44" s="176"/>
      <c r="F44" s="180"/>
      <c r="G44" s="143"/>
      <c r="H44" s="153"/>
      <c r="I44" s="143"/>
      <c r="J44" s="154"/>
      <c r="K44" s="135"/>
      <c r="L44" s="183"/>
      <c r="M44" s="183"/>
    </row>
    <row r="45" spans="1:13" ht="15">
      <c r="A45" s="149">
        <v>4</v>
      </c>
      <c r="B45" s="174"/>
      <c r="C45" s="175"/>
      <c r="D45" s="176"/>
      <c r="E45" s="176"/>
      <c r="F45" s="180"/>
      <c r="G45" s="143"/>
      <c r="H45" s="153"/>
      <c r="I45" s="143"/>
      <c r="J45" s="154"/>
      <c r="K45" s="135"/>
      <c r="L45" s="183"/>
      <c r="M45" s="183"/>
    </row>
    <row r="46" spans="1:13" ht="15">
      <c r="A46" s="149">
        <v>5</v>
      </c>
      <c r="B46" s="174"/>
      <c r="C46" s="175"/>
      <c r="D46" s="176"/>
      <c r="E46" s="176"/>
      <c r="F46" s="180"/>
      <c r="G46" s="143"/>
      <c r="H46" s="153"/>
      <c r="I46" s="143"/>
      <c r="J46" s="154"/>
      <c r="K46" s="135"/>
      <c r="L46" s="183"/>
      <c r="M46" s="183"/>
    </row>
    <row r="47" spans="1:13" ht="18">
      <c r="A47" s="170" t="s">
        <v>223</v>
      </c>
      <c r="B47" s="171" t="s">
        <v>358</v>
      </c>
      <c r="C47" s="172"/>
      <c r="D47" s="173"/>
      <c r="E47" s="173"/>
      <c r="F47" s="173"/>
      <c r="G47" s="173"/>
      <c r="H47" s="173"/>
      <c r="I47" s="173"/>
      <c r="J47" s="173"/>
      <c r="K47" s="135"/>
    </row>
    <row r="48" spans="1:13" ht="15">
      <c r="A48" s="149">
        <v>1</v>
      </c>
      <c r="B48" s="184" t="s">
        <v>364</v>
      </c>
      <c r="C48" s="175"/>
      <c r="D48" s="176"/>
      <c r="E48" s="176">
        <v>6</v>
      </c>
      <c r="F48" s="180">
        <v>1800</v>
      </c>
      <c r="G48" s="143"/>
      <c r="H48" s="153">
        <f>F48*E48</f>
        <v>10800</v>
      </c>
      <c r="I48" s="143"/>
      <c r="J48" s="154">
        <f>H48*12</f>
        <v>129600</v>
      </c>
      <c r="K48" s="135"/>
      <c r="L48" s="183"/>
      <c r="M48" s="183"/>
    </row>
    <row r="49" spans="1:21" ht="15">
      <c r="A49" s="149">
        <v>2</v>
      </c>
      <c r="B49" s="184"/>
      <c r="C49" s="175"/>
      <c r="D49" s="176"/>
      <c r="E49" s="176"/>
      <c r="F49" s="180"/>
      <c r="G49" s="143"/>
      <c r="H49" s="153"/>
      <c r="I49" s="143"/>
      <c r="J49" s="154"/>
      <c r="K49" s="135"/>
      <c r="L49" s="183"/>
      <c r="M49" s="183"/>
    </row>
    <row r="50" spans="1:21" ht="18">
      <c r="A50" s="170" t="s">
        <v>234</v>
      </c>
      <c r="B50" s="171" t="s">
        <v>307</v>
      </c>
      <c r="C50" s="172"/>
      <c r="D50" s="173"/>
      <c r="E50" s="173"/>
      <c r="F50" s="173"/>
      <c r="G50" s="173"/>
      <c r="H50" s="173"/>
      <c r="I50" s="173"/>
      <c r="J50" s="173"/>
      <c r="K50" s="135"/>
    </row>
    <row r="51" spans="1:21" ht="15">
      <c r="A51" s="149">
        <v>1</v>
      </c>
      <c r="B51" s="174"/>
      <c r="C51" s="175"/>
      <c r="D51" s="176"/>
      <c r="E51" s="176"/>
      <c r="F51" s="180"/>
      <c r="G51" s="143"/>
      <c r="H51" s="153"/>
      <c r="I51" s="143"/>
      <c r="J51" s="154"/>
      <c r="K51" s="135"/>
      <c r="L51" s="183"/>
      <c r="M51" s="183"/>
    </row>
    <row r="52" spans="1:21" ht="15">
      <c r="A52" s="149">
        <v>2</v>
      </c>
      <c r="B52" s="174"/>
      <c r="C52" s="175"/>
      <c r="D52" s="176"/>
      <c r="E52" s="176"/>
      <c r="F52" s="180"/>
      <c r="G52" s="143"/>
      <c r="H52" s="153"/>
      <c r="I52" s="143"/>
      <c r="J52" s="154"/>
      <c r="K52" s="135"/>
      <c r="L52" s="183"/>
      <c r="M52" s="183"/>
    </row>
    <row r="53" spans="1:21" ht="18">
      <c r="A53" s="170" t="s">
        <v>243</v>
      </c>
      <c r="B53" s="171" t="s">
        <v>310</v>
      </c>
      <c r="C53" s="172"/>
      <c r="D53" s="173"/>
      <c r="E53" s="173"/>
      <c r="F53" s="173"/>
      <c r="G53" s="173"/>
      <c r="H53" s="173"/>
      <c r="I53" s="173"/>
      <c r="J53" s="173"/>
      <c r="K53" s="135"/>
    </row>
    <row r="54" spans="1:21" ht="15">
      <c r="A54" s="149">
        <v>1</v>
      </c>
      <c r="B54" s="174"/>
      <c r="C54" s="175"/>
      <c r="D54" s="176"/>
      <c r="E54" s="176"/>
      <c r="F54" s="180"/>
      <c r="G54" s="143"/>
      <c r="H54" s="153"/>
      <c r="I54" s="143"/>
      <c r="J54" s="154"/>
      <c r="K54" s="135"/>
      <c r="L54" s="183"/>
      <c r="M54" s="183"/>
    </row>
    <row r="55" spans="1:21" ht="15">
      <c r="A55" s="149">
        <v>2</v>
      </c>
      <c r="B55" s="174"/>
      <c r="C55" s="175"/>
      <c r="D55" s="176"/>
      <c r="E55" s="176"/>
      <c r="F55" s="180"/>
      <c r="G55" s="143"/>
      <c r="H55" s="153"/>
      <c r="I55" s="143"/>
      <c r="J55" s="154"/>
      <c r="K55" s="135"/>
      <c r="L55" s="183"/>
      <c r="M55" s="183"/>
    </row>
    <row r="56" spans="1:21" ht="18">
      <c r="A56" s="170" t="s">
        <v>250</v>
      </c>
      <c r="B56" s="171" t="s">
        <v>304</v>
      </c>
      <c r="C56" s="172"/>
      <c r="D56" s="173"/>
      <c r="E56" s="173"/>
      <c r="F56" s="173"/>
      <c r="G56" s="173"/>
      <c r="H56" s="173"/>
      <c r="I56" s="173"/>
      <c r="J56" s="173"/>
      <c r="K56" s="135"/>
    </row>
    <row r="57" spans="1:21" ht="15">
      <c r="A57" s="149">
        <v>1</v>
      </c>
      <c r="B57" s="174" t="s">
        <v>313</v>
      </c>
      <c r="C57" s="175"/>
      <c r="D57" s="176"/>
      <c r="E57" s="176">
        <v>1</v>
      </c>
      <c r="F57" s="180">
        <v>5000</v>
      </c>
      <c r="G57" s="143"/>
      <c r="H57" s="153">
        <f>F57*E57</f>
        <v>5000</v>
      </c>
      <c r="I57" s="143"/>
      <c r="J57" s="154">
        <f>H57*12</f>
        <v>60000</v>
      </c>
      <c r="K57" s="135"/>
      <c r="L57" s="183"/>
      <c r="M57" s="183"/>
    </row>
    <row r="58" spans="1:21" ht="15">
      <c r="A58" s="149">
        <v>2</v>
      </c>
      <c r="B58" s="174" t="s">
        <v>314</v>
      </c>
      <c r="C58" s="175"/>
      <c r="D58" s="176"/>
      <c r="E58" s="176">
        <v>0</v>
      </c>
      <c r="F58" s="180">
        <v>9000</v>
      </c>
      <c r="G58" s="143"/>
      <c r="H58" s="153">
        <f>F58*E58</f>
        <v>0</v>
      </c>
      <c r="I58" s="143"/>
      <c r="J58" s="154">
        <f>H58*12</f>
        <v>0</v>
      </c>
      <c r="K58" s="135"/>
      <c r="L58" s="183"/>
      <c r="M58" s="183"/>
    </row>
    <row r="59" spans="1:21" ht="15">
      <c r="A59" s="149">
        <v>3</v>
      </c>
      <c r="B59" s="184" t="s">
        <v>213</v>
      </c>
      <c r="C59" s="175"/>
      <c r="D59" s="176"/>
      <c r="E59" s="176">
        <f>E24</f>
        <v>6</v>
      </c>
      <c r="F59" s="180">
        <v>400</v>
      </c>
      <c r="G59" s="143"/>
      <c r="H59" s="153">
        <f>F59*E59</f>
        <v>2400</v>
      </c>
      <c r="I59" s="143"/>
      <c r="J59" s="154">
        <f>H59*12</f>
        <v>28800</v>
      </c>
      <c r="K59" s="135"/>
      <c r="L59" s="183"/>
      <c r="M59" s="183"/>
    </row>
    <row r="60" spans="1:21" ht="15">
      <c r="A60" s="149">
        <v>4</v>
      </c>
      <c r="B60" s="184" t="s">
        <v>315</v>
      </c>
      <c r="C60" s="175"/>
      <c r="D60" s="176"/>
      <c r="E60" s="176">
        <v>0</v>
      </c>
      <c r="F60" s="180">
        <v>18000</v>
      </c>
      <c r="G60" s="143"/>
      <c r="H60" s="153">
        <f>F60*E60</f>
        <v>0</v>
      </c>
      <c r="I60" s="143"/>
      <c r="J60" s="154">
        <f>H60*12</f>
        <v>0</v>
      </c>
      <c r="K60" s="135"/>
      <c r="L60" s="183"/>
      <c r="M60" s="183"/>
    </row>
    <row r="61" spans="1:21" ht="15">
      <c r="B61" s="185" t="s">
        <v>316</v>
      </c>
      <c r="C61" s="162"/>
      <c r="D61" s="186"/>
      <c r="E61" s="186"/>
      <c r="F61" s="162"/>
      <c r="G61" s="162"/>
      <c r="H61" s="162">
        <f>SUM(H28:H34)+SUM(H36:H40)+SUM(H42:H46)+SUM(H48:H49)+SUM(H51:H52)+SUM(H54:H55)+SUM(H57:H60)</f>
        <v>72200</v>
      </c>
      <c r="I61" s="162"/>
      <c r="J61" s="162">
        <f>SUM(J28:J34)+SUM(J36:J40)+SUM(J42:J46)+SUM(J48:J49)+SUM(J51:J52)+SUM(J54:J55)+SUM(J57:J60)</f>
        <v>866400</v>
      </c>
      <c r="K61" s="187"/>
      <c r="L61" s="135"/>
      <c r="M61" s="155"/>
    </row>
    <row r="62" spans="1:21" ht="13.7" customHeight="1">
      <c r="B62" s="188"/>
      <c r="C62" s="189"/>
      <c r="D62" s="188"/>
      <c r="E62" s="188"/>
      <c r="F62" s="189"/>
      <c r="G62" s="189"/>
      <c r="H62" s="189"/>
      <c r="I62" s="189"/>
      <c r="J62" s="190"/>
      <c r="K62" s="187"/>
      <c r="L62" s="135"/>
      <c r="M62" s="155"/>
    </row>
    <row r="63" spans="1:21" ht="14.1" customHeight="1">
      <c r="A63" s="135"/>
      <c r="B63" s="191" t="s">
        <v>317</v>
      </c>
      <c r="C63" s="165"/>
      <c r="D63" s="135"/>
      <c r="E63" s="135"/>
      <c r="F63" s="165"/>
      <c r="G63" s="165"/>
      <c r="H63" s="165"/>
      <c r="I63" s="165"/>
      <c r="J63" s="192"/>
      <c r="K63" s="193"/>
      <c r="L63" s="193"/>
      <c r="M63" s="193"/>
      <c r="N63" s="193"/>
      <c r="O63" s="193"/>
      <c r="P63" s="135"/>
      <c r="Q63" s="135"/>
      <c r="R63" s="135"/>
      <c r="S63" s="135"/>
      <c r="T63" s="135"/>
      <c r="U63" s="135"/>
    </row>
    <row r="64" spans="1:21" ht="14.1" customHeight="1">
      <c r="A64" s="135"/>
      <c r="B64" s="194" t="s">
        <v>318</v>
      </c>
      <c r="C64" s="165"/>
      <c r="D64" s="195">
        <f>H24</f>
        <v>210268.80000000005</v>
      </c>
      <c r="E64" s="135"/>
      <c r="F64" s="165"/>
      <c r="G64" s="165"/>
      <c r="H64" s="165"/>
      <c r="I64" s="165"/>
      <c r="J64" s="192"/>
      <c r="K64" s="193"/>
      <c r="L64" s="193"/>
      <c r="M64" s="193"/>
      <c r="N64" s="193"/>
      <c r="O64" s="193"/>
      <c r="P64" s="135"/>
      <c r="Q64" s="135"/>
      <c r="R64" s="135"/>
      <c r="S64" s="135"/>
      <c r="T64" s="135"/>
      <c r="U64" s="135"/>
    </row>
    <row r="65" spans="1:21" ht="14.1" customHeight="1">
      <c r="A65" s="135"/>
      <c r="B65" s="194" t="s">
        <v>319</v>
      </c>
      <c r="C65" s="165"/>
      <c r="D65" s="195">
        <f>H61</f>
        <v>72200</v>
      </c>
      <c r="E65" s="196" t="s">
        <v>275</v>
      </c>
      <c r="F65" s="197" t="s">
        <v>276</v>
      </c>
      <c r="G65" s="165"/>
      <c r="H65" s="165"/>
      <c r="I65" s="165"/>
      <c r="J65" s="192"/>
      <c r="K65" s="193"/>
      <c r="L65" s="193"/>
      <c r="M65" s="193"/>
      <c r="N65" s="193"/>
      <c r="O65" s="193"/>
      <c r="P65" s="135"/>
      <c r="Q65" s="135"/>
      <c r="R65" s="135"/>
      <c r="S65" s="135"/>
      <c r="T65" s="135"/>
      <c r="U65" s="135"/>
    </row>
    <row r="66" spans="1:21" ht="14.1" customHeight="1">
      <c r="A66" s="198">
        <v>0.14000000000000001</v>
      </c>
      <c r="B66" s="194" t="s">
        <v>320</v>
      </c>
      <c r="C66" s="165"/>
      <c r="D66" s="199">
        <f>(D64+D65)*A66</f>
        <v>39545.632000000012</v>
      </c>
      <c r="E66" s="200">
        <f>SUM(D64+D65+D66+D67)</f>
        <v>324775.43200000003</v>
      </c>
      <c r="F66" s="201">
        <f>E66*12</f>
        <v>3897305.1840000004</v>
      </c>
      <c r="G66" s="165"/>
      <c r="H66" s="165"/>
      <c r="I66" s="165"/>
      <c r="J66" s="192"/>
      <c r="K66" s="193"/>
      <c r="L66" s="193"/>
      <c r="M66" s="193"/>
      <c r="N66" s="193"/>
      <c r="O66" s="193"/>
      <c r="P66" s="135"/>
      <c r="Q66" s="135"/>
      <c r="R66" s="135"/>
      <c r="S66" s="135"/>
      <c r="T66" s="135"/>
      <c r="U66" s="135"/>
    </row>
    <row r="67" spans="1:21" ht="14.1" customHeight="1">
      <c r="A67" s="198"/>
      <c r="B67" s="194" t="s">
        <v>323</v>
      </c>
      <c r="C67" s="180"/>
      <c r="D67" s="199">
        <f>'Mobilization Budget'!H114</f>
        <v>2761</v>
      </c>
      <c r="E67" s="200"/>
      <c r="F67" s="201"/>
      <c r="G67" s="165"/>
      <c r="H67" s="165"/>
      <c r="I67" s="165"/>
      <c r="J67" s="192"/>
      <c r="K67" s="193"/>
      <c r="L67" s="193"/>
      <c r="M67" s="193"/>
      <c r="N67" s="193"/>
      <c r="O67" s="193"/>
      <c r="P67" s="135"/>
      <c r="Q67" s="135"/>
      <c r="R67" s="135"/>
      <c r="S67" s="135"/>
      <c r="T67" s="135"/>
      <c r="U67" s="135"/>
    </row>
    <row r="68" spans="1:21" ht="14.1" customHeight="1">
      <c r="A68" s="135"/>
      <c r="B68" s="202"/>
      <c r="C68" s="165"/>
      <c r="D68" s="135"/>
      <c r="E68" s="135"/>
      <c r="F68" s="165"/>
      <c r="G68" s="165"/>
      <c r="H68" s="165"/>
      <c r="I68" s="165"/>
      <c r="J68" s="192"/>
      <c r="K68" s="193"/>
      <c r="L68" s="193"/>
      <c r="M68" s="193"/>
      <c r="N68" s="193"/>
      <c r="O68" s="193"/>
      <c r="P68" s="135"/>
      <c r="Q68" s="135"/>
      <c r="R68" s="135"/>
      <c r="S68" s="135"/>
      <c r="T68" s="135"/>
      <c r="U68" s="135"/>
    </row>
    <row r="69" spans="1:21" ht="15">
      <c r="A69" s="203"/>
      <c r="B69" s="185" t="s">
        <v>321</v>
      </c>
      <c r="C69" s="135"/>
      <c r="D69" s="204">
        <f>(D66+D65+D67)/(D64+D65+D66+D67)</f>
        <v>0.3525717179247721</v>
      </c>
      <c r="E69" s="193"/>
      <c r="F69" s="172"/>
      <c r="G69" s="135"/>
      <c r="H69" s="172"/>
      <c r="I69" s="135"/>
      <c r="J69" s="205"/>
      <c r="K69" s="135"/>
      <c r="L69" s="135"/>
      <c r="M69" s="135"/>
      <c r="N69" s="135"/>
      <c r="O69" s="135"/>
    </row>
    <row r="70" spans="1:21" ht="15">
      <c r="A70" s="203"/>
      <c r="B70" s="135"/>
      <c r="C70" s="135"/>
      <c r="D70" s="135"/>
      <c r="E70" s="135"/>
      <c r="F70" s="172"/>
      <c r="G70" s="135"/>
      <c r="H70" s="172"/>
      <c r="I70" s="135"/>
      <c r="J70" s="193"/>
      <c r="K70" s="135"/>
      <c r="L70" s="135"/>
      <c r="M70" s="135"/>
      <c r="N70" s="135"/>
      <c r="O70" s="135"/>
    </row>
    <row r="71" spans="1:21" ht="15">
      <c r="A71" s="135"/>
      <c r="B71" s="135"/>
      <c r="C71" s="135"/>
      <c r="D71" s="205"/>
      <c r="E71" s="205"/>
      <c r="F71" s="135"/>
      <c r="G71" s="135"/>
      <c r="H71" s="135"/>
      <c r="I71" s="135"/>
      <c r="J71" s="135"/>
      <c r="K71" s="135"/>
      <c r="L71" s="135"/>
      <c r="M71" s="135"/>
      <c r="N71" s="135"/>
      <c r="O71" s="135"/>
    </row>
    <row r="72" spans="1:21" ht="15">
      <c r="A72" s="135"/>
      <c r="B72" s="135"/>
      <c r="C72" s="135"/>
      <c r="D72" s="135"/>
      <c r="E72" s="135"/>
      <c r="F72" s="135"/>
      <c r="G72" s="135"/>
      <c r="H72" s="135"/>
      <c r="I72" s="135"/>
      <c r="J72" s="135"/>
      <c r="K72" s="135"/>
      <c r="L72" s="135"/>
      <c r="M72" s="135"/>
      <c r="N72" s="135"/>
      <c r="O72" s="135"/>
    </row>
    <row r="73" spans="1:21" ht="15">
      <c r="A73" s="135"/>
      <c r="B73" s="135"/>
      <c r="C73" s="135"/>
      <c r="D73" s="135"/>
      <c r="E73" s="135"/>
      <c r="F73" s="135"/>
      <c r="G73" s="135"/>
      <c r="H73" s="135"/>
      <c r="I73" s="135"/>
      <c r="J73" s="135"/>
      <c r="K73" s="135"/>
      <c r="L73" s="135"/>
      <c r="M73" s="135"/>
      <c r="N73" s="135"/>
      <c r="O73" s="135"/>
    </row>
    <row r="74" spans="1:21" ht="15">
      <c r="A74" s="135"/>
      <c r="B74" s="135"/>
      <c r="C74" s="135"/>
      <c r="D74" s="135"/>
      <c r="E74" s="135"/>
      <c r="F74" s="135"/>
      <c r="G74" s="135"/>
      <c r="H74" s="135"/>
      <c r="I74" s="135"/>
      <c r="J74" s="135"/>
      <c r="K74" s="135"/>
      <c r="L74" s="135"/>
      <c r="M74" s="135"/>
      <c r="N74" s="135"/>
      <c r="O74" s="135"/>
    </row>
    <row r="75" spans="1:21" ht="15">
      <c r="A75" s="135"/>
      <c r="B75" s="135"/>
      <c r="C75" s="135"/>
      <c r="D75" s="135"/>
      <c r="E75" s="135"/>
      <c r="F75" s="193">
        <v>0</v>
      </c>
      <c r="G75" s="135"/>
      <c r="H75" s="193">
        <v>0</v>
      </c>
      <c r="I75" s="135"/>
      <c r="J75" s="193">
        <v>0</v>
      </c>
      <c r="K75" s="135"/>
      <c r="L75" s="135"/>
      <c r="M75" s="135"/>
      <c r="N75" s="135"/>
      <c r="O75" s="135"/>
    </row>
    <row r="91" spans="6:6" ht="15">
      <c r="F91" s="135">
        <v>0</v>
      </c>
    </row>
  </sheetData>
  <mergeCells count="2">
    <mergeCell ref="B2:J2"/>
    <mergeCell ref="D4:E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vt:i4>
      </vt:variant>
    </vt:vector>
  </HeadingPairs>
  <TitlesOfParts>
    <vt:vector size="24" baseType="lpstr">
      <vt:lpstr>Pricing Notes</vt:lpstr>
      <vt:lpstr>FM Fees Summary</vt:lpstr>
      <vt:lpstr>Manning Schedule</vt:lpstr>
      <vt:lpstr>End User Services Rates</vt:lpstr>
      <vt:lpstr>Manning Schedule (2)</vt:lpstr>
      <vt:lpstr>Fianl All</vt:lpstr>
      <vt:lpstr>MEP</vt:lpstr>
      <vt:lpstr>Mobilization Budget</vt:lpstr>
      <vt:lpstr>MEP Budget-Y1</vt:lpstr>
      <vt:lpstr>MEP Budget-Y2</vt:lpstr>
      <vt:lpstr>HK &amp; Waste Management-Y1</vt:lpstr>
      <vt:lpstr>HK &amp; Waste Management-Y2</vt:lpstr>
      <vt:lpstr>Pest Control Y-1</vt:lpstr>
      <vt:lpstr>Pest Control Y-2</vt:lpstr>
      <vt:lpstr>Landscape Y1</vt:lpstr>
      <vt:lpstr>Landscape Y2</vt:lpstr>
      <vt:lpstr>Security Y1</vt:lpstr>
      <vt:lpstr>Security Y2</vt:lpstr>
      <vt:lpstr>Transportation Y1</vt:lpstr>
      <vt:lpstr>Transportation Y2</vt:lpstr>
      <vt:lpstr>'End User Services Rates'!Print_Area</vt:lpstr>
      <vt:lpstr>'FM Fees Summary'!Print_Area</vt:lpstr>
      <vt:lpstr>'Manning Schedule'!Print_Area</vt:lpstr>
      <vt:lpstr>'Manning Schedule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Sherif Monir</dc:creator>
  <cp:lastModifiedBy>DELL</cp:lastModifiedBy>
  <cp:lastPrinted>2025-11-19T09:45:00Z</cp:lastPrinted>
  <dcterms:created xsi:type="dcterms:W3CDTF">2015-06-05T18:17:20Z</dcterms:created>
  <dcterms:modified xsi:type="dcterms:W3CDTF">2025-11-19T11:17:52Z</dcterms:modified>
</cp:coreProperties>
</file>