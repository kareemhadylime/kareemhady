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el mostawred AH\Downloads\"/>
    </mc:Choice>
  </mc:AlternateContent>
  <xr:revisionPtr revIDLastSave="0" documentId="13_ncr:1_{623AA860-1EE0-47EA-A689-BCAC20265173}" xr6:coauthVersionLast="47" xr6:coauthVersionMax="47" xr10:uidLastSave="{00000000-0000-0000-0000-000000000000}"/>
  <bookViews>
    <workbookView xWindow="-28920" yWindow="-120" windowWidth="29040" windowHeight="15720" tabRatio="962" xr2:uid="{00000000-000D-0000-FFFF-FFFF00000000}"/>
  </bookViews>
  <sheets>
    <sheet name="AUC Grand Total  Budget " sheetId="2" r:id="rId1"/>
    <sheet name="Budget Items Summary" sheetId="1" r:id="rId2"/>
    <sheet name="AUC Total Manning" sheetId="3" r:id="rId3"/>
    <sheet name="AUC Total Equipment" sheetId="4" r:id="rId4"/>
    <sheet name="AUC Total Tools" sheetId="5" r:id="rId5"/>
    <sheet name="AUC Total Consumables" sheetId="6" r:id="rId6"/>
    <sheet name="AUC Total Transportation" sheetId="7" r:id="rId7"/>
    <sheet name="AUC Total IT &amp; Communication" sheetId="8" r:id="rId8"/>
  </sheets>
  <externalReferences>
    <externalReference r:id="rId9"/>
  </externalReferences>
  <definedNames>
    <definedName name="labour">#REF!</definedName>
    <definedName name="PAY_1">#REF!</definedName>
    <definedName name="PAY_2">#REF!</definedName>
    <definedName name="PAY_3">#REF!</definedName>
    <definedName name="PV">#REF!</definedName>
    <definedName name="PVRepair">#REF!</definedName>
    <definedName name="q">#REF!</definedName>
    <definedName name="Rangetest">#REF!</definedName>
    <definedName name="Rep_1">#REF!</definedName>
    <definedName name="Rep_2">#REF!</definedName>
    <definedName name="Rep_3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9" i="2" l="1"/>
  <c r="G11" i="4"/>
  <c r="G6" i="4"/>
  <c r="G31" i="2" l="1"/>
  <c r="F37" i="2"/>
  <c r="G7" i="2"/>
  <c r="G8" i="2"/>
  <c r="G6" i="2"/>
  <c r="G3" i="2"/>
  <c r="I6" i="2" l="1"/>
  <c r="AL12" i="8"/>
  <c r="AM12" i="8" s="1"/>
  <c r="AJ12" i="8"/>
  <c r="AK12" i="8" s="1"/>
  <c r="AE12" i="8"/>
  <c r="AF12" i="8" s="1"/>
  <c r="AC12" i="8"/>
  <c r="AD12" i="8" s="1"/>
  <c r="X12" i="8"/>
  <c r="Y12" i="8" s="1"/>
  <c r="V12" i="8"/>
  <c r="W12" i="8" s="1"/>
  <c r="Q12" i="8"/>
  <c r="O12" i="8"/>
  <c r="P12" i="8" s="1"/>
  <c r="I12" i="8"/>
  <c r="J12" i="8" s="1"/>
  <c r="G12" i="8"/>
  <c r="H12" i="8" s="1"/>
  <c r="D12" i="8"/>
  <c r="C12" i="8"/>
  <c r="AL11" i="8"/>
  <c r="AM11" i="8" s="1"/>
  <c r="AJ11" i="8"/>
  <c r="AK11" i="8" s="1"/>
  <c r="AE11" i="8"/>
  <c r="AF11" i="8" s="1"/>
  <c r="AC11" i="8"/>
  <c r="AD11" i="8" s="1"/>
  <c r="T11" i="8"/>
  <c r="V11" i="8" s="1"/>
  <c r="W11" i="8" s="1"/>
  <c r="AL10" i="8"/>
  <c r="AM10" i="8" s="1"/>
  <c r="AJ10" i="8"/>
  <c r="AK10" i="8" s="1"/>
  <c r="AE10" i="8"/>
  <c r="AF10" i="8" s="1"/>
  <c r="AC10" i="8"/>
  <c r="AD10" i="8" s="1"/>
  <c r="V10" i="8"/>
  <c r="W10" i="8" s="1"/>
  <c r="AL9" i="8"/>
  <c r="AM9" i="8" s="1"/>
  <c r="AJ9" i="8"/>
  <c r="AK9" i="8" s="1"/>
  <c r="AE9" i="8"/>
  <c r="AF9" i="8" s="1"/>
  <c r="AC9" i="8"/>
  <c r="AD9" i="8" s="1"/>
  <c r="U9" i="8"/>
  <c r="X9" i="8" s="1"/>
  <c r="Y9" i="8" s="1"/>
  <c r="T9" i="8"/>
  <c r="V9" i="8" s="1"/>
  <c r="W9" i="8" s="1"/>
  <c r="N9" i="8"/>
  <c r="Q9" i="8" s="1"/>
  <c r="M9" i="8"/>
  <c r="O9" i="8" s="1"/>
  <c r="AL8" i="8"/>
  <c r="AM8" i="8" s="1"/>
  <c r="AJ8" i="8"/>
  <c r="AK8" i="8" s="1"/>
  <c r="AE8" i="8"/>
  <c r="AF8" i="8" s="1"/>
  <c r="AC8" i="8"/>
  <c r="AD8" i="8" s="1"/>
  <c r="X8" i="8"/>
  <c r="Y8" i="8" s="1"/>
  <c r="V8" i="8"/>
  <c r="W8" i="8" s="1"/>
  <c r="Q8" i="8"/>
  <c r="R8" i="8" s="1"/>
  <c r="O8" i="8"/>
  <c r="D8" i="8"/>
  <c r="I8" i="8" s="1"/>
  <c r="J8" i="8" s="1"/>
  <c r="C8" i="8"/>
  <c r="G8" i="8" s="1"/>
  <c r="H8" i="8" s="1"/>
  <c r="AL7" i="8"/>
  <c r="AM7" i="8" s="1"/>
  <c r="AJ7" i="8"/>
  <c r="AK7" i="8" s="1"/>
  <c r="AE7" i="8"/>
  <c r="AF7" i="8" s="1"/>
  <c r="AC7" i="8"/>
  <c r="AD7" i="8" s="1"/>
  <c r="AL6" i="8"/>
  <c r="AM6" i="8" s="1"/>
  <c r="AJ6" i="8"/>
  <c r="AK6" i="8" s="1"/>
  <c r="AE6" i="8"/>
  <c r="AF6" i="8" s="1"/>
  <c r="AC6" i="8"/>
  <c r="AD6" i="8" s="1"/>
  <c r="V6" i="8"/>
  <c r="W6" i="8" s="1"/>
  <c r="U6" i="8"/>
  <c r="T6" i="8"/>
  <c r="T10" i="8" s="1"/>
  <c r="N6" i="8"/>
  <c r="M6" i="8"/>
  <c r="C6" i="8"/>
  <c r="G6" i="8" s="1"/>
  <c r="AL11" i="7"/>
  <c r="AM11" i="7" s="1"/>
  <c r="AJ11" i="7"/>
  <c r="AK11" i="7" s="1"/>
  <c r="AE11" i="7"/>
  <c r="AF11" i="7" s="1"/>
  <c r="AC11" i="7"/>
  <c r="AD11" i="7" s="1"/>
  <c r="X11" i="7"/>
  <c r="Y11" i="7" s="1"/>
  <c r="V11" i="7"/>
  <c r="W11" i="7" s="1"/>
  <c r="Q11" i="7"/>
  <c r="O11" i="7"/>
  <c r="P11" i="7" s="1"/>
  <c r="I11" i="7"/>
  <c r="J11" i="7" s="1"/>
  <c r="D11" i="7"/>
  <c r="C11" i="7"/>
  <c r="G11" i="7" s="1"/>
  <c r="H11" i="7" s="1"/>
  <c r="AL10" i="7"/>
  <c r="AM10" i="7" s="1"/>
  <c r="AJ10" i="7"/>
  <c r="AK10" i="7" s="1"/>
  <c r="AE10" i="7"/>
  <c r="AF10" i="7" s="1"/>
  <c r="AC10" i="7"/>
  <c r="AD10" i="7" s="1"/>
  <c r="X10" i="7"/>
  <c r="Y10" i="7" s="1"/>
  <c r="V10" i="7"/>
  <c r="W10" i="7" s="1"/>
  <c r="Q10" i="7"/>
  <c r="O10" i="7"/>
  <c r="P10" i="7" s="1"/>
  <c r="I10" i="7"/>
  <c r="J10" i="7" s="1"/>
  <c r="D10" i="7"/>
  <c r="C10" i="7"/>
  <c r="G10" i="7" s="1"/>
  <c r="H10" i="7" s="1"/>
  <c r="AL9" i="7"/>
  <c r="AM9" i="7" s="1"/>
  <c r="AJ9" i="7"/>
  <c r="AK9" i="7" s="1"/>
  <c r="AE9" i="7"/>
  <c r="AF9" i="7" s="1"/>
  <c r="AC9" i="7"/>
  <c r="AD9" i="7" s="1"/>
  <c r="X9" i="7"/>
  <c r="Y9" i="7" s="1"/>
  <c r="V9" i="7"/>
  <c r="W9" i="7" s="1"/>
  <c r="Q9" i="7"/>
  <c r="O9" i="7"/>
  <c r="P9" i="7" s="1"/>
  <c r="D9" i="7"/>
  <c r="I9" i="7" s="1"/>
  <c r="J9" i="7" s="1"/>
  <c r="C9" i="7"/>
  <c r="G9" i="7" s="1"/>
  <c r="AL8" i="7"/>
  <c r="AM8" i="7" s="1"/>
  <c r="AJ8" i="7"/>
  <c r="AK8" i="7" s="1"/>
  <c r="AE8" i="7"/>
  <c r="AF8" i="7" s="1"/>
  <c r="AC8" i="7"/>
  <c r="AD8" i="7" s="1"/>
  <c r="X8" i="7"/>
  <c r="Y8" i="7" s="1"/>
  <c r="V8" i="7"/>
  <c r="W8" i="7" s="1"/>
  <c r="Q8" i="7"/>
  <c r="O8" i="7"/>
  <c r="P8" i="7" s="1"/>
  <c r="D8" i="7"/>
  <c r="I8" i="7" s="1"/>
  <c r="J8" i="7" s="1"/>
  <c r="C8" i="7"/>
  <c r="G8" i="7" s="1"/>
  <c r="H8" i="7" s="1"/>
  <c r="AL7" i="7"/>
  <c r="AM7" i="7" s="1"/>
  <c r="AJ7" i="7"/>
  <c r="AK7" i="7" s="1"/>
  <c r="AE7" i="7"/>
  <c r="AF7" i="7" s="1"/>
  <c r="AC7" i="7"/>
  <c r="AD7" i="7" s="1"/>
  <c r="X7" i="7"/>
  <c r="Y7" i="7" s="1"/>
  <c r="V7" i="7"/>
  <c r="W7" i="7" s="1"/>
  <c r="Q7" i="7"/>
  <c r="O7" i="7"/>
  <c r="P7" i="7" s="1"/>
  <c r="D7" i="7"/>
  <c r="I7" i="7" s="1"/>
  <c r="J7" i="7" s="1"/>
  <c r="C7" i="7"/>
  <c r="G7" i="7" s="1"/>
  <c r="H7" i="7" s="1"/>
  <c r="AL6" i="7"/>
  <c r="AJ6" i="7"/>
  <c r="AE6" i="7"/>
  <c r="AC6" i="7"/>
  <c r="X6" i="7"/>
  <c r="V6" i="7"/>
  <c r="R6" i="7"/>
  <c r="Q6" i="7"/>
  <c r="O6" i="7"/>
  <c r="P6" i="7" s="1"/>
  <c r="H6" i="7"/>
  <c r="D6" i="7"/>
  <c r="I6" i="7" s="1"/>
  <c r="C6" i="7"/>
  <c r="G6" i="7" s="1"/>
  <c r="AM38" i="6"/>
  <c r="AL38" i="6"/>
  <c r="AJ38" i="6"/>
  <c r="AK38" i="6" s="1"/>
  <c r="AF38" i="6"/>
  <c r="AE38" i="6"/>
  <c r="AC38" i="6"/>
  <c r="AD38" i="6" s="1"/>
  <c r="Y38" i="6"/>
  <c r="X38" i="6"/>
  <c r="V38" i="6"/>
  <c r="W38" i="6" s="1"/>
  <c r="R38" i="6"/>
  <c r="Q38" i="6"/>
  <c r="O38" i="6"/>
  <c r="P38" i="6" s="1"/>
  <c r="D38" i="6"/>
  <c r="I38" i="6" s="1"/>
  <c r="C38" i="6"/>
  <c r="G38" i="6" s="1"/>
  <c r="H38" i="6" s="1"/>
  <c r="AL37" i="6"/>
  <c r="AM37" i="6" s="1"/>
  <c r="AK37" i="6"/>
  <c r="AJ37" i="6"/>
  <c r="AE37" i="6"/>
  <c r="AF37" i="6" s="1"/>
  <c r="AD37" i="6"/>
  <c r="AC37" i="6"/>
  <c r="X37" i="6"/>
  <c r="Y37" i="6" s="1"/>
  <c r="W37" i="6"/>
  <c r="V37" i="6"/>
  <c r="Q37" i="6"/>
  <c r="R37" i="6" s="1"/>
  <c r="P37" i="6"/>
  <c r="O37" i="6"/>
  <c r="D37" i="6"/>
  <c r="I37" i="6" s="1"/>
  <c r="C37" i="6"/>
  <c r="G37" i="6" s="1"/>
  <c r="H37" i="6" s="1"/>
  <c r="AM36" i="6"/>
  <c r="AL36" i="6"/>
  <c r="AJ36" i="6"/>
  <c r="AK36" i="6" s="1"/>
  <c r="AF36" i="6"/>
  <c r="AE36" i="6"/>
  <c r="AC36" i="6"/>
  <c r="AD36" i="6" s="1"/>
  <c r="Y36" i="6"/>
  <c r="X36" i="6"/>
  <c r="V36" i="6"/>
  <c r="W36" i="6" s="1"/>
  <c r="R36" i="6"/>
  <c r="Q36" i="6"/>
  <c r="O36" i="6"/>
  <c r="P36" i="6" s="1"/>
  <c r="D36" i="6"/>
  <c r="I36" i="6" s="1"/>
  <c r="C36" i="6"/>
  <c r="G36" i="6" s="1"/>
  <c r="H36" i="6" s="1"/>
  <c r="AL35" i="6"/>
  <c r="AM35" i="6" s="1"/>
  <c r="AK35" i="6"/>
  <c r="AJ35" i="6"/>
  <c r="AE35" i="6"/>
  <c r="AF35" i="6" s="1"/>
  <c r="AD35" i="6"/>
  <c r="AC35" i="6"/>
  <c r="X35" i="6"/>
  <c r="Y35" i="6" s="1"/>
  <c r="W35" i="6"/>
  <c r="V35" i="6"/>
  <c r="Q35" i="6"/>
  <c r="R35" i="6" s="1"/>
  <c r="P35" i="6"/>
  <c r="O35" i="6"/>
  <c r="D35" i="6"/>
  <c r="I35" i="6" s="1"/>
  <c r="C35" i="6"/>
  <c r="G35" i="6" s="1"/>
  <c r="H35" i="6" s="1"/>
  <c r="AM34" i="6"/>
  <c r="AL34" i="6"/>
  <c r="AK34" i="6"/>
  <c r="AJ34" i="6"/>
  <c r="AF34" i="6"/>
  <c r="AE34" i="6"/>
  <c r="AD34" i="6"/>
  <c r="AC34" i="6"/>
  <c r="Y34" i="6"/>
  <c r="X34" i="6"/>
  <c r="W34" i="6"/>
  <c r="V34" i="6"/>
  <c r="Q34" i="6"/>
  <c r="R34" i="6" s="1"/>
  <c r="O34" i="6"/>
  <c r="K34" i="6" s="1"/>
  <c r="D34" i="6"/>
  <c r="I34" i="6" s="1"/>
  <c r="L34" i="6" s="1"/>
  <c r="C34" i="6"/>
  <c r="G34" i="6" s="1"/>
  <c r="H34" i="6" s="1"/>
  <c r="AL33" i="6"/>
  <c r="AM33" i="6" s="1"/>
  <c r="AK33" i="6"/>
  <c r="AJ33" i="6"/>
  <c r="AE33" i="6"/>
  <c r="AF33" i="6" s="1"/>
  <c r="AD33" i="6"/>
  <c r="AC33" i="6"/>
  <c r="X33" i="6"/>
  <c r="Y33" i="6" s="1"/>
  <c r="W33" i="6"/>
  <c r="V33" i="6"/>
  <c r="Q33" i="6"/>
  <c r="R33" i="6" s="1"/>
  <c r="P33" i="6"/>
  <c r="O33" i="6"/>
  <c r="D33" i="6"/>
  <c r="I33" i="6" s="1"/>
  <c r="L33" i="6" s="1"/>
  <c r="C33" i="6"/>
  <c r="G33" i="6" s="1"/>
  <c r="H33" i="6" s="1"/>
  <c r="AL32" i="6"/>
  <c r="AM32" i="6" s="1"/>
  <c r="AK32" i="6"/>
  <c r="AJ32" i="6"/>
  <c r="AE32" i="6"/>
  <c r="AF32" i="6" s="1"/>
  <c r="AD32" i="6"/>
  <c r="AC32" i="6"/>
  <c r="X32" i="6"/>
  <c r="Y32" i="6" s="1"/>
  <c r="W32" i="6"/>
  <c r="V32" i="6"/>
  <c r="Q32" i="6"/>
  <c r="R32" i="6" s="1"/>
  <c r="P32" i="6"/>
  <c r="O32" i="6"/>
  <c r="D32" i="6"/>
  <c r="I32" i="6" s="1"/>
  <c r="C32" i="6"/>
  <c r="G32" i="6" s="1"/>
  <c r="H32" i="6" s="1"/>
  <c r="AM31" i="6"/>
  <c r="AL31" i="6"/>
  <c r="AJ31" i="6"/>
  <c r="AK31" i="6" s="1"/>
  <c r="AF31" i="6"/>
  <c r="AE31" i="6"/>
  <c r="AC31" i="6"/>
  <c r="AD31" i="6" s="1"/>
  <c r="Y31" i="6"/>
  <c r="X31" i="6"/>
  <c r="V31" i="6"/>
  <c r="W31" i="6" s="1"/>
  <c r="R31" i="6"/>
  <c r="Q31" i="6"/>
  <c r="O31" i="6"/>
  <c r="P31" i="6" s="1"/>
  <c r="J31" i="6"/>
  <c r="D31" i="6"/>
  <c r="I31" i="6" s="1"/>
  <c r="L31" i="6" s="1"/>
  <c r="C31" i="6"/>
  <c r="G31" i="6" s="1"/>
  <c r="H31" i="6" s="1"/>
  <c r="AL30" i="6"/>
  <c r="AM30" i="6" s="1"/>
  <c r="AK30" i="6"/>
  <c r="AJ30" i="6"/>
  <c r="AE30" i="6"/>
  <c r="AF30" i="6" s="1"/>
  <c r="AD30" i="6"/>
  <c r="AC30" i="6"/>
  <c r="X30" i="6"/>
  <c r="Y30" i="6" s="1"/>
  <c r="W30" i="6"/>
  <c r="V30" i="6"/>
  <c r="Q30" i="6"/>
  <c r="R30" i="6" s="1"/>
  <c r="P30" i="6"/>
  <c r="O30" i="6"/>
  <c r="D30" i="6"/>
  <c r="I30" i="6" s="1"/>
  <c r="C30" i="6"/>
  <c r="G30" i="6" s="1"/>
  <c r="H30" i="6" s="1"/>
  <c r="AL29" i="6"/>
  <c r="AM29" i="6" s="1"/>
  <c r="AJ29" i="6"/>
  <c r="AK29" i="6" s="1"/>
  <c r="AE29" i="6"/>
  <c r="AF29" i="6" s="1"/>
  <c r="AC29" i="6"/>
  <c r="AD29" i="6" s="1"/>
  <c r="X29" i="6"/>
  <c r="Y29" i="6" s="1"/>
  <c r="W29" i="6"/>
  <c r="V29" i="6"/>
  <c r="Q29" i="6"/>
  <c r="R29" i="6" s="1"/>
  <c r="P29" i="6"/>
  <c r="O29" i="6"/>
  <c r="D29" i="6"/>
  <c r="I29" i="6" s="1"/>
  <c r="L29" i="6" s="1"/>
  <c r="C29" i="6"/>
  <c r="G29" i="6" s="1"/>
  <c r="H29" i="6" s="1"/>
  <c r="AM28" i="6"/>
  <c r="AL28" i="6"/>
  <c r="AJ28" i="6"/>
  <c r="AK28" i="6" s="1"/>
  <c r="AF28" i="6"/>
  <c r="AE28" i="6"/>
  <c r="AC28" i="6"/>
  <c r="AD28" i="6" s="1"/>
  <c r="Y28" i="6"/>
  <c r="X28" i="6"/>
  <c r="V28" i="6"/>
  <c r="W28" i="6" s="1"/>
  <c r="R28" i="6"/>
  <c r="Q28" i="6"/>
  <c r="O28" i="6"/>
  <c r="D28" i="6"/>
  <c r="I28" i="6" s="1"/>
  <c r="L28" i="6" s="1"/>
  <c r="C28" i="6"/>
  <c r="G28" i="6" s="1"/>
  <c r="H28" i="6" s="1"/>
  <c r="AL27" i="6"/>
  <c r="AM27" i="6" s="1"/>
  <c r="AK27" i="6"/>
  <c r="AJ27" i="6"/>
  <c r="AE27" i="6"/>
  <c r="AF27" i="6" s="1"/>
  <c r="AD27" i="6"/>
  <c r="AC27" i="6"/>
  <c r="X27" i="6"/>
  <c r="Y27" i="6" s="1"/>
  <c r="W27" i="6"/>
  <c r="V27" i="6"/>
  <c r="Q27" i="6"/>
  <c r="R27" i="6" s="1"/>
  <c r="P27" i="6"/>
  <c r="O27" i="6"/>
  <c r="D27" i="6"/>
  <c r="I27" i="6" s="1"/>
  <c r="C27" i="6"/>
  <c r="G27" i="6" s="1"/>
  <c r="H27" i="6" s="1"/>
  <c r="AL26" i="6"/>
  <c r="AM26" i="6" s="1"/>
  <c r="AK26" i="6"/>
  <c r="AJ26" i="6"/>
  <c r="AE26" i="6"/>
  <c r="AF26" i="6" s="1"/>
  <c r="AD26" i="6"/>
  <c r="AC26" i="6"/>
  <c r="X26" i="6"/>
  <c r="Y26" i="6" s="1"/>
  <c r="V26" i="6"/>
  <c r="W26" i="6" s="1"/>
  <c r="Q26" i="6"/>
  <c r="R26" i="6" s="1"/>
  <c r="O26" i="6"/>
  <c r="D26" i="6"/>
  <c r="I26" i="6" s="1"/>
  <c r="L26" i="6" s="1"/>
  <c r="C26" i="6"/>
  <c r="G26" i="6" s="1"/>
  <c r="H26" i="6" s="1"/>
  <c r="AL25" i="6"/>
  <c r="AM25" i="6" s="1"/>
  <c r="AJ25" i="6"/>
  <c r="AK25" i="6" s="1"/>
  <c r="AF25" i="6"/>
  <c r="AE25" i="6"/>
  <c r="AC25" i="6"/>
  <c r="AD25" i="6" s="1"/>
  <c r="X25" i="6"/>
  <c r="Y25" i="6" s="1"/>
  <c r="V25" i="6"/>
  <c r="W25" i="6" s="1"/>
  <c r="Q25" i="6"/>
  <c r="R25" i="6" s="1"/>
  <c r="P25" i="6"/>
  <c r="O25" i="6"/>
  <c r="D25" i="6"/>
  <c r="I25" i="6" s="1"/>
  <c r="C25" i="6"/>
  <c r="G25" i="6" s="1"/>
  <c r="H25" i="6" s="1"/>
  <c r="AL24" i="6"/>
  <c r="AM24" i="6" s="1"/>
  <c r="AJ24" i="6"/>
  <c r="AK24" i="6" s="1"/>
  <c r="AE24" i="6"/>
  <c r="AF24" i="6" s="1"/>
  <c r="AD24" i="6"/>
  <c r="AC24" i="6"/>
  <c r="X24" i="6"/>
  <c r="Y24" i="6" s="1"/>
  <c r="V24" i="6"/>
  <c r="W24" i="6" s="1"/>
  <c r="Q24" i="6"/>
  <c r="R24" i="6" s="1"/>
  <c r="O24" i="6"/>
  <c r="P24" i="6" s="1"/>
  <c r="J24" i="6"/>
  <c r="D24" i="6"/>
  <c r="I24" i="6" s="1"/>
  <c r="C24" i="6"/>
  <c r="G24" i="6" s="1"/>
  <c r="H24" i="6" s="1"/>
  <c r="AL23" i="6"/>
  <c r="AM23" i="6" s="1"/>
  <c r="AK23" i="6"/>
  <c r="AJ23" i="6"/>
  <c r="AE23" i="6"/>
  <c r="AF23" i="6" s="1"/>
  <c r="AD23" i="6"/>
  <c r="AC23" i="6"/>
  <c r="X23" i="6"/>
  <c r="Y23" i="6" s="1"/>
  <c r="V23" i="6"/>
  <c r="W23" i="6" s="1"/>
  <c r="Q23" i="6"/>
  <c r="R23" i="6" s="1"/>
  <c r="O23" i="6"/>
  <c r="D23" i="6"/>
  <c r="I23" i="6" s="1"/>
  <c r="J23" i="6" s="1"/>
  <c r="C23" i="6"/>
  <c r="G23" i="6" s="1"/>
  <c r="H23" i="6" s="1"/>
  <c r="AL22" i="6"/>
  <c r="AM22" i="6" s="1"/>
  <c r="AJ22" i="6"/>
  <c r="AK22" i="6" s="1"/>
  <c r="AE22" i="6"/>
  <c r="AF22" i="6" s="1"/>
  <c r="AC22" i="6"/>
  <c r="AD22" i="6" s="1"/>
  <c r="X22" i="6"/>
  <c r="Y22" i="6" s="1"/>
  <c r="W22" i="6"/>
  <c r="V22" i="6"/>
  <c r="Q22" i="6"/>
  <c r="R22" i="6" s="1"/>
  <c r="P22" i="6"/>
  <c r="O22" i="6"/>
  <c r="D22" i="6"/>
  <c r="I22" i="6" s="1"/>
  <c r="J22" i="6" s="1"/>
  <c r="C22" i="6"/>
  <c r="G22" i="6" s="1"/>
  <c r="H22" i="6" s="1"/>
  <c r="AL21" i="6"/>
  <c r="AM21" i="6" s="1"/>
  <c r="AJ21" i="6"/>
  <c r="AK21" i="6" s="1"/>
  <c r="AE21" i="6"/>
  <c r="AF21" i="6" s="1"/>
  <c r="AD21" i="6"/>
  <c r="AC21" i="6"/>
  <c r="X21" i="6"/>
  <c r="Y21" i="6" s="1"/>
  <c r="V21" i="6"/>
  <c r="W21" i="6" s="1"/>
  <c r="Q21" i="6"/>
  <c r="R21" i="6" s="1"/>
  <c r="O21" i="6"/>
  <c r="D21" i="6"/>
  <c r="I21" i="6" s="1"/>
  <c r="J21" i="6" s="1"/>
  <c r="C21" i="6"/>
  <c r="G21" i="6" s="1"/>
  <c r="H21" i="6" s="1"/>
  <c r="AL20" i="6"/>
  <c r="AM20" i="6" s="1"/>
  <c r="AJ20" i="6"/>
  <c r="AK20" i="6" s="1"/>
  <c r="AE20" i="6"/>
  <c r="AF20" i="6" s="1"/>
  <c r="AC20" i="6"/>
  <c r="AD20" i="6" s="1"/>
  <c r="X20" i="6"/>
  <c r="Y20" i="6" s="1"/>
  <c r="V20" i="6"/>
  <c r="W20" i="6" s="1"/>
  <c r="Q20" i="6"/>
  <c r="R20" i="6" s="1"/>
  <c r="P20" i="6"/>
  <c r="O20" i="6"/>
  <c r="D20" i="6"/>
  <c r="I20" i="6" s="1"/>
  <c r="J20" i="6" s="1"/>
  <c r="C20" i="6"/>
  <c r="G20" i="6" s="1"/>
  <c r="H20" i="6" s="1"/>
  <c r="AL19" i="6"/>
  <c r="AM19" i="6" s="1"/>
  <c r="AJ19" i="6"/>
  <c r="AK19" i="6" s="1"/>
  <c r="AE19" i="6"/>
  <c r="AF19" i="6" s="1"/>
  <c r="AC19" i="6"/>
  <c r="AD19" i="6" s="1"/>
  <c r="X19" i="6"/>
  <c r="Y19" i="6" s="1"/>
  <c r="W19" i="6"/>
  <c r="V19" i="6"/>
  <c r="Q19" i="6"/>
  <c r="R19" i="6" s="1"/>
  <c r="P19" i="6"/>
  <c r="O19" i="6"/>
  <c r="D19" i="6"/>
  <c r="I19" i="6" s="1"/>
  <c r="C19" i="6"/>
  <c r="G19" i="6" s="1"/>
  <c r="H19" i="6" s="1"/>
  <c r="AM18" i="6"/>
  <c r="AL18" i="6"/>
  <c r="AJ18" i="6"/>
  <c r="AK18" i="6" s="1"/>
  <c r="AE18" i="6"/>
  <c r="AF18" i="6" s="1"/>
  <c r="AC18" i="6"/>
  <c r="AD18" i="6" s="1"/>
  <c r="X18" i="6"/>
  <c r="Y18" i="6" s="1"/>
  <c r="W18" i="6"/>
  <c r="V18" i="6"/>
  <c r="Q18" i="6"/>
  <c r="R18" i="6" s="1"/>
  <c r="P18" i="6"/>
  <c r="O18" i="6"/>
  <c r="K18" i="6" s="1"/>
  <c r="D18" i="6"/>
  <c r="I18" i="6" s="1"/>
  <c r="L18" i="6" s="1"/>
  <c r="C18" i="6"/>
  <c r="G18" i="6" s="1"/>
  <c r="H18" i="6" s="1"/>
  <c r="AL17" i="6"/>
  <c r="AM17" i="6" s="1"/>
  <c r="AJ17" i="6"/>
  <c r="AK17" i="6" s="1"/>
  <c r="AE17" i="6"/>
  <c r="AF17" i="6" s="1"/>
  <c r="AC17" i="6"/>
  <c r="AD17" i="6" s="1"/>
  <c r="X17" i="6"/>
  <c r="Y17" i="6" s="1"/>
  <c r="V17" i="6"/>
  <c r="W17" i="6" s="1"/>
  <c r="R17" i="6"/>
  <c r="Q17" i="6"/>
  <c r="O17" i="6"/>
  <c r="P17" i="6" s="1"/>
  <c r="D17" i="6"/>
  <c r="I17" i="6" s="1"/>
  <c r="C17" i="6"/>
  <c r="G17" i="6" s="1"/>
  <c r="H17" i="6" s="1"/>
  <c r="AL16" i="6"/>
  <c r="AM16" i="6" s="1"/>
  <c r="AJ16" i="6"/>
  <c r="AK16" i="6" s="1"/>
  <c r="AE16" i="6"/>
  <c r="AF16" i="6" s="1"/>
  <c r="AC16" i="6"/>
  <c r="AD16" i="6" s="1"/>
  <c r="X16" i="6"/>
  <c r="Y16" i="6" s="1"/>
  <c r="W16" i="6"/>
  <c r="V16" i="6"/>
  <c r="Q16" i="6"/>
  <c r="R16" i="6" s="1"/>
  <c r="O16" i="6"/>
  <c r="P16" i="6" s="1"/>
  <c r="D16" i="6"/>
  <c r="I16" i="6" s="1"/>
  <c r="J16" i="6" s="1"/>
  <c r="C16" i="6"/>
  <c r="G16" i="6" s="1"/>
  <c r="H16" i="6" s="1"/>
  <c r="AL15" i="6"/>
  <c r="AM15" i="6" s="1"/>
  <c r="AK15" i="6"/>
  <c r="AJ15" i="6"/>
  <c r="AE15" i="6"/>
  <c r="AF15" i="6" s="1"/>
  <c r="AC15" i="6"/>
  <c r="AD15" i="6" s="1"/>
  <c r="X15" i="6"/>
  <c r="Y15" i="6" s="1"/>
  <c r="V15" i="6"/>
  <c r="W15" i="6" s="1"/>
  <c r="Q15" i="6"/>
  <c r="R15" i="6" s="1"/>
  <c r="O15" i="6"/>
  <c r="D15" i="6"/>
  <c r="I15" i="6" s="1"/>
  <c r="C15" i="6"/>
  <c r="G15" i="6" s="1"/>
  <c r="H15" i="6" s="1"/>
  <c r="AL14" i="6"/>
  <c r="AM14" i="6" s="1"/>
  <c r="AJ14" i="6"/>
  <c r="AK14" i="6" s="1"/>
  <c r="AE14" i="6"/>
  <c r="AF14" i="6" s="1"/>
  <c r="AC14" i="6"/>
  <c r="AD14" i="6" s="1"/>
  <c r="X14" i="6"/>
  <c r="Y14" i="6" s="1"/>
  <c r="W14" i="6"/>
  <c r="V14" i="6"/>
  <c r="Q14" i="6"/>
  <c r="R14" i="6" s="1"/>
  <c r="O14" i="6"/>
  <c r="P14" i="6" s="1"/>
  <c r="D14" i="6"/>
  <c r="I14" i="6" s="1"/>
  <c r="J14" i="6" s="1"/>
  <c r="C14" i="6"/>
  <c r="G14" i="6" s="1"/>
  <c r="H14" i="6" s="1"/>
  <c r="AL13" i="6"/>
  <c r="AM13" i="6" s="1"/>
  <c r="AK13" i="6"/>
  <c r="AJ13" i="6"/>
  <c r="AE13" i="6"/>
  <c r="AF13" i="6" s="1"/>
  <c r="AC13" i="6"/>
  <c r="AD13" i="6" s="1"/>
  <c r="X13" i="6"/>
  <c r="Y13" i="6" s="1"/>
  <c r="V13" i="6"/>
  <c r="W13" i="6" s="1"/>
  <c r="Q13" i="6"/>
  <c r="R13" i="6" s="1"/>
  <c r="O13" i="6"/>
  <c r="D13" i="6"/>
  <c r="I13" i="6" s="1"/>
  <c r="C13" i="6"/>
  <c r="G13" i="6" s="1"/>
  <c r="H13" i="6" s="1"/>
  <c r="AL12" i="6"/>
  <c r="AM12" i="6" s="1"/>
  <c r="AJ12" i="6"/>
  <c r="AK12" i="6" s="1"/>
  <c r="AF12" i="6"/>
  <c r="AE12" i="6"/>
  <c r="AC12" i="6"/>
  <c r="AD12" i="6" s="1"/>
  <c r="X12" i="6"/>
  <c r="Y12" i="6" s="1"/>
  <c r="V12" i="6"/>
  <c r="W12" i="6" s="1"/>
  <c r="Q12" i="6"/>
  <c r="R12" i="6" s="1"/>
  <c r="O12" i="6"/>
  <c r="I12" i="6"/>
  <c r="D12" i="6"/>
  <c r="C12" i="6"/>
  <c r="G12" i="6" s="1"/>
  <c r="H12" i="6" s="1"/>
  <c r="AL11" i="6"/>
  <c r="AM11" i="6" s="1"/>
  <c r="AJ11" i="6"/>
  <c r="AK11" i="6" s="1"/>
  <c r="AF11" i="6"/>
  <c r="AE11" i="6"/>
  <c r="AC11" i="6"/>
  <c r="AD11" i="6" s="1"/>
  <c r="X11" i="6"/>
  <c r="Y11" i="6" s="1"/>
  <c r="V11" i="6"/>
  <c r="W11" i="6" s="1"/>
  <c r="Q11" i="6"/>
  <c r="R11" i="6" s="1"/>
  <c r="O11" i="6"/>
  <c r="P11" i="6" s="1"/>
  <c r="D11" i="6"/>
  <c r="I11" i="6" s="1"/>
  <c r="C11" i="6"/>
  <c r="G11" i="6" s="1"/>
  <c r="H11" i="6" s="1"/>
  <c r="AL10" i="6"/>
  <c r="AM10" i="6" s="1"/>
  <c r="AK10" i="6"/>
  <c r="AJ10" i="6"/>
  <c r="AE10" i="6"/>
  <c r="AF10" i="6" s="1"/>
  <c r="AC10" i="6"/>
  <c r="AD10" i="6" s="1"/>
  <c r="X10" i="6"/>
  <c r="Y10" i="6" s="1"/>
  <c r="V10" i="6"/>
  <c r="W10" i="6" s="1"/>
  <c r="Q10" i="6"/>
  <c r="R10" i="6" s="1"/>
  <c r="O10" i="6"/>
  <c r="H10" i="6"/>
  <c r="D10" i="6"/>
  <c r="I10" i="6" s="1"/>
  <c r="C10" i="6"/>
  <c r="G10" i="6" s="1"/>
  <c r="AL9" i="6"/>
  <c r="AM9" i="6" s="1"/>
  <c r="AK9" i="6"/>
  <c r="AJ9" i="6"/>
  <c r="AE9" i="6"/>
  <c r="AF9" i="6" s="1"/>
  <c r="AC9" i="6"/>
  <c r="AD9" i="6" s="1"/>
  <c r="X9" i="6"/>
  <c r="Y9" i="6" s="1"/>
  <c r="V9" i="6"/>
  <c r="W9" i="6" s="1"/>
  <c r="Q9" i="6"/>
  <c r="R9" i="6" s="1"/>
  <c r="P9" i="6"/>
  <c r="O9" i="6"/>
  <c r="D9" i="6"/>
  <c r="I9" i="6" s="1"/>
  <c r="C9" i="6"/>
  <c r="G9" i="6" s="1"/>
  <c r="H9" i="6" s="1"/>
  <c r="AM8" i="6"/>
  <c r="AL8" i="6"/>
  <c r="AJ8" i="6"/>
  <c r="AK8" i="6" s="1"/>
  <c r="AE8" i="6"/>
  <c r="AF8" i="6" s="1"/>
  <c r="AC8" i="6"/>
  <c r="AD8" i="6" s="1"/>
  <c r="X8" i="6"/>
  <c r="Y8" i="6" s="1"/>
  <c r="V8" i="6"/>
  <c r="W8" i="6" s="1"/>
  <c r="Q8" i="6"/>
  <c r="R8" i="6" s="1"/>
  <c r="O8" i="6"/>
  <c r="I8" i="6"/>
  <c r="D8" i="6"/>
  <c r="C8" i="6"/>
  <c r="G8" i="6" s="1"/>
  <c r="H8" i="6" s="1"/>
  <c r="AM7" i="6"/>
  <c r="AL7" i="6"/>
  <c r="AJ7" i="6"/>
  <c r="AK7" i="6" s="1"/>
  <c r="AE7" i="6"/>
  <c r="AF7" i="6" s="1"/>
  <c r="AC7" i="6"/>
  <c r="AD7" i="6" s="1"/>
  <c r="X7" i="6"/>
  <c r="Y7" i="6" s="1"/>
  <c r="V7" i="6"/>
  <c r="W7" i="6" s="1"/>
  <c r="Q7" i="6"/>
  <c r="R7" i="6" s="1"/>
  <c r="O7" i="6"/>
  <c r="P7" i="6" s="1"/>
  <c r="D7" i="6"/>
  <c r="I7" i="6" s="1"/>
  <c r="C7" i="6"/>
  <c r="G7" i="6" s="1"/>
  <c r="H7" i="6" s="1"/>
  <c r="AL6" i="6"/>
  <c r="AK6" i="6"/>
  <c r="AJ6" i="6"/>
  <c r="AE6" i="6"/>
  <c r="AD6" i="6"/>
  <c r="AC6" i="6"/>
  <c r="X6" i="6"/>
  <c r="W6" i="6"/>
  <c r="V6" i="6"/>
  <c r="Q6" i="6"/>
  <c r="P6" i="6"/>
  <c r="O6" i="6"/>
  <c r="H6" i="6"/>
  <c r="D6" i="6"/>
  <c r="I6" i="6" s="1"/>
  <c r="C6" i="6"/>
  <c r="G6" i="6" s="1"/>
  <c r="AL48" i="5"/>
  <c r="AM48" i="5" s="1"/>
  <c r="AK48" i="5"/>
  <c r="AJ48" i="5"/>
  <c r="AE48" i="5"/>
  <c r="AF48" i="5" s="1"/>
  <c r="AD48" i="5"/>
  <c r="AC48" i="5"/>
  <c r="X48" i="5"/>
  <c r="Y48" i="5" s="1"/>
  <c r="W48" i="5"/>
  <c r="V48" i="5"/>
  <c r="Q48" i="5"/>
  <c r="R48" i="5" s="1"/>
  <c r="P48" i="5"/>
  <c r="O48" i="5"/>
  <c r="G48" i="5"/>
  <c r="D48" i="5"/>
  <c r="I48" i="5" s="1"/>
  <c r="C48" i="5"/>
  <c r="AL47" i="5"/>
  <c r="AM47" i="5" s="1"/>
  <c r="AK47" i="5"/>
  <c r="AJ47" i="5"/>
  <c r="AE47" i="5"/>
  <c r="AF47" i="5" s="1"/>
  <c r="AD47" i="5"/>
  <c r="AC47" i="5"/>
  <c r="X47" i="5"/>
  <c r="Y47" i="5" s="1"/>
  <c r="W47" i="5"/>
  <c r="V47" i="5"/>
  <c r="Q47" i="5"/>
  <c r="R47" i="5" s="1"/>
  <c r="P47" i="5"/>
  <c r="O47" i="5"/>
  <c r="G47" i="5"/>
  <c r="D47" i="5"/>
  <c r="I47" i="5" s="1"/>
  <c r="C47" i="5"/>
  <c r="AL46" i="5"/>
  <c r="AM46" i="5" s="1"/>
  <c r="AK46" i="5"/>
  <c r="AJ46" i="5"/>
  <c r="AE46" i="5"/>
  <c r="AF46" i="5" s="1"/>
  <c r="AD46" i="5"/>
  <c r="AC46" i="5"/>
  <c r="X46" i="5"/>
  <c r="Y46" i="5" s="1"/>
  <c r="W46" i="5"/>
  <c r="V46" i="5"/>
  <c r="Q46" i="5"/>
  <c r="R46" i="5" s="1"/>
  <c r="P46" i="5"/>
  <c r="O46" i="5"/>
  <c r="G46" i="5"/>
  <c r="D46" i="5"/>
  <c r="I46" i="5" s="1"/>
  <c r="C46" i="5"/>
  <c r="AL45" i="5"/>
  <c r="AM45" i="5" s="1"/>
  <c r="AK45" i="5"/>
  <c r="AJ45" i="5"/>
  <c r="AE45" i="5"/>
  <c r="AF45" i="5" s="1"/>
  <c r="AD45" i="5"/>
  <c r="AC45" i="5"/>
  <c r="X45" i="5"/>
  <c r="Y45" i="5" s="1"/>
  <c r="W45" i="5"/>
  <c r="V45" i="5"/>
  <c r="Q45" i="5"/>
  <c r="R45" i="5" s="1"/>
  <c r="P45" i="5"/>
  <c r="O45" i="5"/>
  <c r="G45" i="5"/>
  <c r="D45" i="5"/>
  <c r="I45" i="5" s="1"/>
  <c r="C45" i="5"/>
  <c r="AL44" i="5"/>
  <c r="AM44" i="5" s="1"/>
  <c r="AK44" i="5"/>
  <c r="AJ44" i="5"/>
  <c r="AE44" i="5"/>
  <c r="AF44" i="5" s="1"/>
  <c r="AD44" i="5"/>
  <c r="AC44" i="5"/>
  <c r="X44" i="5"/>
  <c r="Y44" i="5" s="1"/>
  <c r="W44" i="5"/>
  <c r="V44" i="5"/>
  <c r="Q44" i="5"/>
  <c r="R44" i="5" s="1"/>
  <c r="P44" i="5"/>
  <c r="O44" i="5"/>
  <c r="G44" i="5"/>
  <c r="D44" i="5"/>
  <c r="I44" i="5" s="1"/>
  <c r="C44" i="5"/>
  <c r="AL43" i="5"/>
  <c r="AM43" i="5" s="1"/>
  <c r="AK43" i="5"/>
  <c r="AJ43" i="5"/>
  <c r="AE43" i="5"/>
  <c r="AF43" i="5" s="1"/>
  <c r="AD43" i="5"/>
  <c r="AC43" i="5"/>
  <c r="X43" i="5"/>
  <c r="Y43" i="5" s="1"/>
  <c r="W43" i="5"/>
  <c r="V43" i="5"/>
  <c r="Q43" i="5"/>
  <c r="R43" i="5" s="1"/>
  <c r="P43" i="5"/>
  <c r="O43" i="5"/>
  <c r="G43" i="5"/>
  <c r="D43" i="5"/>
  <c r="I43" i="5" s="1"/>
  <c r="C43" i="5"/>
  <c r="AL42" i="5"/>
  <c r="AM42" i="5" s="1"/>
  <c r="AK42" i="5"/>
  <c r="AJ42" i="5"/>
  <c r="AE42" i="5"/>
  <c r="AF42" i="5" s="1"/>
  <c r="AD42" i="5"/>
  <c r="AC42" i="5"/>
  <c r="X42" i="5"/>
  <c r="Y42" i="5" s="1"/>
  <c r="W42" i="5"/>
  <c r="V42" i="5"/>
  <c r="Q42" i="5"/>
  <c r="R42" i="5" s="1"/>
  <c r="P42" i="5"/>
  <c r="O42" i="5"/>
  <c r="G42" i="5"/>
  <c r="D42" i="5"/>
  <c r="I42" i="5" s="1"/>
  <c r="C42" i="5"/>
  <c r="AL41" i="5"/>
  <c r="AM41" i="5" s="1"/>
  <c r="AK41" i="5"/>
  <c r="AJ41" i="5"/>
  <c r="AE41" i="5"/>
  <c r="AF41" i="5" s="1"/>
  <c r="AD41" i="5"/>
  <c r="AC41" i="5"/>
  <c r="X41" i="5"/>
  <c r="Y41" i="5" s="1"/>
  <c r="W41" i="5"/>
  <c r="V41" i="5"/>
  <c r="Q41" i="5"/>
  <c r="R41" i="5" s="1"/>
  <c r="P41" i="5"/>
  <c r="O41" i="5"/>
  <c r="G41" i="5"/>
  <c r="D41" i="5"/>
  <c r="I41" i="5" s="1"/>
  <c r="C41" i="5"/>
  <c r="AL40" i="5"/>
  <c r="AM40" i="5" s="1"/>
  <c r="AK40" i="5"/>
  <c r="AJ40" i="5"/>
  <c r="AE40" i="5"/>
  <c r="AF40" i="5" s="1"/>
  <c r="AD40" i="5"/>
  <c r="AC40" i="5"/>
  <c r="X40" i="5"/>
  <c r="Y40" i="5" s="1"/>
  <c r="W40" i="5"/>
  <c r="V40" i="5"/>
  <c r="Q40" i="5"/>
  <c r="R40" i="5" s="1"/>
  <c r="P40" i="5"/>
  <c r="O40" i="5"/>
  <c r="G40" i="5"/>
  <c r="D40" i="5"/>
  <c r="I40" i="5" s="1"/>
  <c r="C40" i="5"/>
  <c r="AL39" i="5"/>
  <c r="AM39" i="5" s="1"/>
  <c r="AJ39" i="5"/>
  <c r="AK39" i="5" s="1"/>
  <c r="AE39" i="5"/>
  <c r="AF39" i="5" s="1"/>
  <c r="AC39" i="5"/>
  <c r="AD39" i="5" s="1"/>
  <c r="X39" i="5"/>
  <c r="Y39" i="5" s="1"/>
  <c r="V39" i="5"/>
  <c r="W39" i="5" s="1"/>
  <c r="Q39" i="5"/>
  <c r="R39" i="5" s="1"/>
  <c r="P39" i="5"/>
  <c r="O39" i="5"/>
  <c r="D39" i="5"/>
  <c r="I39" i="5" s="1"/>
  <c r="C39" i="5"/>
  <c r="G39" i="5" s="1"/>
  <c r="AL38" i="5"/>
  <c r="AM38" i="5" s="1"/>
  <c r="AJ38" i="5"/>
  <c r="AK38" i="5" s="1"/>
  <c r="AE38" i="5"/>
  <c r="AF38" i="5" s="1"/>
  <c r="AD38" i="5"/>
  <c r="AC38" i="5"/>
  <c r="X38" i="5"/>
  <c r="Y38" i="5" s="1"/>
  <c r="W38" i="5"/>
  <c r="V38" i="5"/>
  <c r="Q38" i="5"/>
  <c r="R38" i="5" s="1"/>
  <c r="O38" i="5"/>
  <c r="P38" i="5" s="1"/>
  <c r="D38" i="5"/>
  <c r="I38" i="5" s="1"/>
  <c r="C38" i="5"/>
  <c r="G38" i="5" s="1"/>
  <c r="AL37" i="5"/>
  <c r="AM37" i="5" s="1"/>
  <c r="AJ37" i="5"/>
  <c r="AK37" i="5" s="1"/>
  <c r="AE37" i="5"/>
  <c r="AF37" i="5" s="1"/>
  <c r="AD37" i="5"/>
  <c r="AC37" i="5"/>
  <c r="X37" i="5"/>
  <c r="Y37" i="5" s="1"/>
  <c r="V37" i="5"/>
  <c r="W37" i="5" s="1"/>
  <c r="Q37" i="5"/>
  <c r="R37" i="5" s="1"/>
  <c r="O37" i="5"/>
  <c r="P37" i="5" s="1"/>
  <c r="H37" i="5"/>
  <c r="D37" i="5"/>
  <c r="I37" i="5" s="1"/>
  <c r="C37" i="5"/>
  <c r="G37" i="5" s="1"/>
  <c r="AM36" i="5"/>
  <c r="AL36" i="5"/>
  <c r="AJ36" i="5"/>
  <c r="AK36" i="5" s="1"/>
  <c r="AF36" i="5"/>
  <c r="AE36" i="5"/>
  <c r="AC36" i="5"/>
  <c r="AD36" i="5" s="1"/>
  <c r="Y36" i="5"/>
  <c r="X36" i="5"/>
  <c r="V36" i="5"/>
  <c r="W36" i="5" s="1"/>
  <c r="R36" i="5"/>
  <c r="Q36" i="5"/>
  <c r="O36" i="5"/>
  <c r="P36" i="5" s="1"/>
  <c r="D36" i="5"/>
  <c r="I36" i="5" s="1"/>
  <c r="C36" i="5"/>
  <c r="G36" i="5" s="1"/>
  <c r="K36" i="5" s="1"/>
  <c r="AM35" i="5"/>
  <c r="AL35" i="5"/>
  <c r="AJ35" i="5"/>
  <c r="AK35" i="5" s="1"/>
  <c r="AF35" i="5"/>
  <c r="AE35" i="5"/>
  <c r="AC35" i="5"/>
  <c r="AD35" i="5" s="1"/>
  <c r="Y35" i="5"/>
  <c r="X35" i="5"/>
  <c r="V35" i="5"/>
  <c r="W35" i="5" s="1"/>
  <c r="R35" i="5"/>
  <c r="Q35" i="5"/>
  <c r="O35" i="5"/>
  <c r="P35" i="5" s="1"/>
  <c r="D35" i="5"/>
  <c r="I35" i="5" s="1"/>
  <c r="C35" i="5"/>
  <c r="G35" i="5" s="1"/>
  <c r="K35" i="5" s="1"/>
  <c r="AM34" i="5"/>
  <c r="AL34" i="5"/>
  <c r="AJ34" i="5"/>
  <c r="AK34" i="5" s="1"/>
  <c r="AF34" i="5"/>
  <c r="AE34" i="5"/>
  <c r="AC34" i="5"/>
  <c r="AD34" i="5" s="1"/>
  <c r="Y34" i="5"/>
  <c r="X34" i="5"/>
  <c r="V34" i="5"/>
  <c r="W34" i="5" s="1"/>
  <c r="R34" i="5"/>
  <c r="Q34" i="5"/>
  <c r="O34" i="5"/>
  <c r="P34" i="5" s="1"/>
  <c r="H34" i="5"/>
  <c r="D34" i="5"/>
  <c r="I34" i="5" s="1"/>
  <c r="C34" i="5"/>
  <c r="G34" i="5" s="1"/>
  <c r="K34" i="5" s="1"/>
  <c r="AM33" i="5"/>
  <c r="AL33" i="5"/>
  <c r="AJ33" i="5"/>
  <c r="AK33" i="5" s="1"/>
  <c r="AF33" i="5"/>
  <c r="AE33" i="5"/>
  <c r="AC33" i="5"/>
  <c r="AD33" i="5" s="1"/>
  <c r="Y33" i="5"/>
  <c r="X33" i="5"/>
  <c r="V33" i="5"/>
  <c r="W33" i="5" s="1"/>
  <c r="R33" i="5"/>
  <c r="Q33" i="5"/>
  <c r="O33" i="5"/>
  <c r="P33" i="5" s="1"/>
  <c r="H33" i="5"/>
  <c r="D33" i="5"/>
  <c r="I33" i="5" s="1"/>
  <c r="C33" i="5"/>
  <c r="G33" i="5" s="1"/>
  <c r="K33" i="5" s="1"/>
  <c r="AM32" i="5"/>
  <c r="AL32" i="5"/>
  <c r="AJ32" i="5"/>
  <c r="AK32" i="5" s="1"/>
  <c r="AF32" i="5"/>
  <c r="AE32" i="5"/>
  <c r="AC32" i="5"/>
  <c r="AD32" i="5" s="1"/>
  <c r="Y32" i="5"/>
  <c r="X32" i="5"/>
  <c r="V32" i="5"/>
  <c r="W32" i="5" s="1"/>
  <c r="R32" i="5"/>
  <c r="Q32" i="5"/>
  <c r="O32" i="5"/>
  <c r="P32" i="5" s="1"/>
  <c r="D32" i="5"/>
  <c r="I32" i="5" s="1"/>
  <c r="C32" i="5"/>
  <c r="G32" i="5" s="1"/>
  <c r="K32" i="5" s="1"/>
  <c r="AM31" i="5"/>
  <c r="AL31" i="5"/>
  <c r="AJ31" i="5"/>
  <c r="AK31" i="5" s="1"/>
  <c r="AF31" i="5"/>
  <c r="AE31" i="5"/>
  <c r="AC31" i="5"/>
  <c r="AD31" i="5" s="1"/>
  <c r="Y31" i="5"/>
  <c r="X31" i="5"/>
  <c r="V31" i="5"/>
  <c r="W31" i="5" s="1"/>
  <c r="R31" i="5"/>
  <c r="Q31" i="5"/>
  <c r="O31" i="5"/>
  <c r="P31" i="5" s="1"/>
  <c r="D31" i="5"/>
  <c r="I31" i="5" s="1"/>
  <c r="C31" i="5"/>
  <c r="G31" i="5" s="1"/>
  <c r="K31" i="5" s="1"/>
  <c r="AM30" i="5"/>
  <c r="AL30" i="5"/>
  <c r="AJ30" i="5"/>
  <c r="AK30" i="5" s="1"/>
  <c r="AF30" i="5"/>
  <c r="AE30" i="5"/>
  <c r="AC30" i="5"/>
  <c r="AD30" i="5" s="1"/>
  <c r="Y30" i="5"/>
  <c r="X30" i="5"/>
  <c r="V30" i="5"/>
  <c r="W30" i="5" s="1"/>
  <c r="R30" i="5"/>
  <c r="Q30" i="5"/>
  <c r="O30" i="5"/>
  <c r="P30" i="5" s="1"/>
  <c r="H30" i="5"/>
  <c r="D30" i="5"/>
  <c r="I30" i="5" s="1"/>
  <c r="C30" i="5"/>
  <c r="G30" i="5" s="1"/>
  <c r="K30" i="5" s="1"/>
  <c r="AM29" i="5"/>
  <c r="AL29" i="5"/>
  <c r="AJ29" i="5"/>
  <c r="AK29" i="5" s="1"/>
  <c r="AF29" i="5"/>
  <c r="AE29" i="5"/>
  <c r="AC29" i="5"/>
  <c r="AD29" i="5" s="1"/>
  <c r="Y29" i="5"/>
  <c r="X29" i="5"/>
  <c r="V29" i="5"/>
  <c r="W29" i="5" s="1"/>
  <c r="R29" i="5"/>
  <c r="Q29" i="5"/>
  <c r="O29" i="5"/>
  <c r="P29" i="5" s="1"/>
  <c r="H29" i="5"/>
  <c r="D29" i="5"/>
  <c r="I29" i="5" s="1"/>
  <c r="C29" i="5"/>
  <c r="G29" i="5" s="1"/>
  <c r="K29" i="5" s="1"/>
  <c r="AM28" i="5"/>
  <c r="AL28" i="5"/>
  <c r="AJ28" i="5"/>
  <c r="AK28" i="5" s="1"/>
  <c r="AF28" i="5"/>
  <c r="AE28" i="5"/>
  <c r="AC28" i="5"/>
  <c r="AD28" i="5" s="1"/>
  <c r="Y28" i="5"/>
  <c r="X28" i="5"/>
  <c r="V28" i="5"/>
  <c r="W28" i="5" s="1"/>
  <c r="R28" i="5"/>
  <c r="Q28" i="5"/>
  <c r="O28" i="5"/>
  <c r="P28" i="5" s="1"/>
  <c r="D28" i="5"/>
  <c r="I28" i="5" s="1"/>
  <c r="C28" i="5"/>
  <c r="G28" i="5" s="1"/>
  <c r="K28" i="5" s="1"/>
  <c r="AM27" i="5"/>
  <c r="AL27" i="5"/>
  <c r="AJ27" i="5"/>
  <c r="AK27" i="5" s="1"/>
  <c r="AF27" i="5"/>
  <c r="AE27" i="5"/>
  <c r="AC27" i="5"/>
  <c r="AD27" i="5" s="1"/>
  <c r="Y27" i="5"/>
  <c r="X27" i="5"/>
  <c r="V27" i="5"/>
  <c r="W27" i="5" s="1"/>
  <c r="R27" i="5"/>
  <c r="Q27" i="5"/>
  <c r="O27" i="5"/>
  <c r="P27" i="5" s="1"/>
  <c r="D27" i="5"/>
  <c r="I27" i="5" s="1"/>
  <c r="C27" i="5"/>
  <c r="G27" i="5" s="1"/>
  <c r="K27" i="5" s="1"/>
  <c r="AM26" i="5"/>
  <c r="AL26" i="5"/>
  <c r="AJ26" i="5"/>
  <c r="AK26" i="5" s="1"/>
  <c r="AF26" i="5"/>
  <c r="AE26" i="5"/>
  <c r="AC26" i="5"/>
  <c r="AD26" i="5" s="1"/>
  <c r="Y26" i="5"/>
  <c r="X26" i="5"/>
  <c r="V26" i="5"/>
  <c r="W26" i="5" s="1"/>
  <c r="R26" i="5"/>
  <c r="Q26" i="5"/>
  <c r="O26" i="5"/>
  <c r="P26" i="5" s="1"/>
  <c r="H26" i="5"/>
  <c r="D26" i="5"/>
  <c r="I26" i="5" s="1"/>
  <c r="C26" i="5"/>
  <c r="G26" i="5" s="1"/>
  <c r="K26" i="5" s="1"/>
  <c r="AM25" i="5"/>
  <c r="AL25" i="5"/>
  <c r="AJ25" i="5"/>
  <c r="AK25" i="5" s="1"/>
  <c r="AF25" i="5"/>
  <c r="AE25" i="5"/>
  <c r="AC25" i="5"/>
  <c r="AD25" i="5" s="1"/>
  <c r="Y25" i="5"/>
  <c r="X25" i="5"/>
  <c r="V25" i="5"/>
  <c r="W25" i="5" s="1"/>
  <c r="R25" i="5"/>
  <c r="Q25" i="5"/>
  <c r="O25" i="5"/>
  <c r="P25" i="5" s="1"/>
  <c r="H25" i="5"/>
  <c r="D25" i="5"/>
  <c r="I25" i="5" s="1"/>
  <c r="C25" i="5"/>
  <c r="G25" i="5" s="1"/>
  <c r="K25" i="5" s="1"/>
  <c r="AM24" i="5"/>
  <c r="AL24" i="5"/>
  <c r="AJ24" i="5"/>
  <c r="AK24" i="5" s="1"/>
  <c r="AF24" i="5"/>
  <c r="AE24" i="5"/>
  <c r="AC24" i="5"/>
  <c r="AD24" i="5" s="1"/>
  <c r="Y24" i="5"/>
  <c r="X24" i="5"/>
  <c r="V24" i="5"/>
  <c r="W24" i="5" s="1"/>
  <c r="R24" i="5"/>
  <c r="Q24" i="5"/>
  <c r="O24" i="5"/>
  <c r="P24" i="5" s="1"/>
  <c r="D24" i="5"/>
  <c r="I24" i="5" s="1"/>
  <c r="C24" i="5"/>
  <c r="G24" i="5" s="1"/>
  <c r="K24" i="5" s="1"/>
  <c r="AM23" i="5"/>
  <c r="AL23" i="5"/>
  <c r="AJ23" i="5"/>
  <c r="AK23" i="5" s="1"/>
  <c r="AF23" i="5"/>
  <c r="AE23" i="5"/>
  <c r="AC23" i="5"/>
  <c r="AD23" i="5" s="1"/>
  <c r="Y23" i="5"/>
  <c r="X23" i="5"/>
  <c r="V23" i="5"/>
  <c r="W23" i="5" s="1"/>
  <c r="R23" i="5"/>
  <c r="Q23" i="5"/>
  <c r="O23" i="5"/>
  <c r="P23" i="5" s="1"/>
  <c r="D23" i="5"/>
  <c r="I23" i="5" s="1"/>
  <c r="C23" i="5"/>
  <c r="G23" i="5" s="1"/>
  <c r="K23" i="5" s="1"/>
  <c r="AM22" i="5"/>
  <c r="AL22" i="5"/>
  <c r="AJ22" i="5"/>
  <c r="AK22" i="5" s="1"/>
  <c r="AF22" i="5"/>
  <c r="AE22" i="5"/>
  <c r="AC22" i="5"/>
  <c r="AD22" i="5" s="1"/>
  <c r="Y22" i="5"/>
  <c r="X22" i="5"/>
  <c r="V22" i="5"/>
  <c r="W22" i="5" s="1"/>
  <c r="R22" i="5"/>
  <c r="Q22" i="5"/>
  <c r="O22" i="5"/>
  <c r="P22" i="5" s="1"/>
  <c r="H22" i="5"/>
  <c r="D22" i="5"/>
  <c r="I22" i="5" s="1"/>
  <c r="C22" i="5"/>
  <c r="G22" i="5" s="1"/>
  <c r="K22" i="5" s="1"/>
  <c r="AM21" i="5"/>
  <c r="AL21" i="5"/>
  <c r="AJ21" i="5"/>
  <c r="AK21" i="5" s="1"/>
  <c r="AF21" i="5"/>
  <c r="AE21" i="5"/>
  <c r="AC21" i="5"/>
  <c r="AD21" i="5" s="1"/>
  <c r="Y21" i="5"/>
  <c r="X21" i="5"/>
  <c r="V21" i="5"/>
  <c r="W21" i="5" s="1"/>
  <c r="R21" i="5"/>
  <c r="Q21" i="5"/>
  <c r="O21" i="5"/>
  <c r="P21" i="5" s="1"/>
  <c r="H21" i="5"/>
  <c r="D21" i="5"/>
  <c r="I21" i="5" s="1"/>
  <c r="C21" i="5"/>
  <c r="G21" i="5" s="1"/>
  <c r="K21" i="5" s="1"/>
  <c r="AM20" i="5"/>
  <c r="AL20" i="5"/>
  <c r="AJ20" i="5"/>
  <c r="AK20" i="5" s="1"/>
  <c r="AF20" i="5"/>
  <c r="AE20" i="5"/>
  <c r="AC20" i="5"/>
  <c r="AD20" i="5" s="1"/>
  <c r="Y20" i="5"/>
  <c r="X20" i="5"/>
  <c r="V20" i="5"/>
  <c r="W20" i="5" s="1"/>
  <c r="R20" i="5"/>
  <c r="Q20" i="5"/>
  <c r="O20" i="5"/>
  <c r="P20" i="5" s="1"/>
  <c r="D20" i="5"/>
  <c r="I20" i="5" s="1"/>
  <c r="C20" i="5"/>
  <c r="G20" i="5" s="1"/>
  <c r="K20" i="5" s="1"/>
  <c r="AM19" i="5"/>
  <c r="AL19" i="5"/>
  <c r="AJ19" i="5"/>
  <c r="AK19" i="5" s="1"/>
  <c r="AF19" i="5"/>
  <c r="AE19" i="5"/>
  <c r="AC19" i="5"/>
  <c r="AD19" i="5" s="1"/>
  <c r="Y19" i="5"/>
  <c r="X19" i="5"/>
  <c r="V19" i="5"/>
  <c r="W19" i="5" s="1"/>
  <c r="R19" i="5"/>
  <c r="Q19" i="5"/>
  <c r="O19" i="5"/>
  <c r="P19" i="5" s="1"/>
  <c r="D19" i="5"/>
  <c r="I19" i="5" s="1"/>
  <c r="C19" i="5"/>
  <c r="G19" i="5" s="1"/>
  <c r="K19" i="5" s="1"/>
  <c r="AM18" i="5"/>
  <c r="AL18" i="5"/>
  <c r="AJ18" i="5"/>
  <c r="AK18" i="5" s="1"/>
  <c r="AF18" i="5"/>
  <c r="AE18" i="5"/>
  <c r="AC18" i="5"/>
  <c r="AD18" i="5" s="1"/>
  <c r="Y18" i="5"/>
  <c r="X18" i="5"/>
  <c r="V18" i="5"/>
  <c r="W18" i="5" s="1"/>
  <c r="R18" i="5"/>
  <c r="Q18" i="5"/>
  <c r="O18" i="5"/>
  <c r="P18" i="5" s="1"/>
  <c r="H18" i="5"/>
  <c r="D18" i="5"/>
  <c r="I18" i="5" s="1"/>
  <c r="C18" i="5"/>
  <c r="G18" i="5" s="1"/>
  <c r="K18" i="5" s="1"/>
  <c r="AM17" i="5"/>
  <c r="AL17" i="5"/>
  <c r="AJ17" i="5"/>
  <c r="AK17" i="5" s="1"/>
  <c r="AF17" i="5"/>
  <c r="AE17" i="5"/>
  <c r="AC17" i="5"/>
  <c r="AD17" i="5" s="1"/>
  <c r="Y17" i="5"/>
  <c r="X17" i="5"/>
  <c r="V17" i="5"/>
  <c r="W17" i="5" s="1"/>
  <c r="R17" i="5"/>
  <c r="Q17" i="5"/>
  <c r="O17" i="5"/>
  <c r="P17" i="5" s="1"/>
  <c r="H17" i="5"/>
  <c r="D17" i="5"/>
  <c r="I17" i="5" s="1"/>
  <c r="C17" i="5"/>
  <c r="G17" i="5" s="1"/>
  <c r="K17" i="5" s="1"/>
  <c r="AM16" i="5"/>
  <c r="AL16" i="5"/>
  <c r="AJ16" i="5"/>
  <c r="AK16" i="5" s="1"/>
  <c r="AF16" i="5"/>
  <c r="AE16" i="5"/>
  <c r="AC16" i="5"/>
  <c r="AD16" i="5" s="1"/>
  <c r="Y16" i="5"/>
  <c r="X16" i="5"/>
  <c r="V16" i="5"/>
  <c r="W16" i="5" s="1"/>
  <c r="R16" i="5"/>
  <c r="Q16" i="5"/>
  <c r="O16" i="5"/>
  <c r="P16" i="5" s="1"/>
  <c r="D16" i="5"/>
  <c r="I16" i="5" s="1"/>
  <c r="C16" i="5"/>
  <c r="G16" i="5" s="1"/>
  <c r="K16" i="5" s="1"/>
  <c r="AM15" i="5"/>
  <c r="AL15" i="5"/>
  <c r="AJ15" i="5"/>
  <c r="AK15" i="5" s="1"/>
  <c r="AF15" i="5"/>
  <c r="AE15" i="5"/>
  <c r="AC15" i="5"/>
  <c r="AD15" i="5" s="1"/>
  <c r="Y15" i="5"/>
  <c r="X15" i="5"/>
  <c r="V15" i="5"/>
  <c r="W15" i="5" s="1"/>
  <c r="R15" i="5"/>
  <c r="Q15" i="5"/>
  <c r="O15" i="5"/>
  <c r="P15" i="5" s="1"/>
  <c r="D15" i="5"/>
  <c r="I15" i="5" s="1"/>
  <c r="C15" i="5"/>
  <c r="G15" i="5" s="1"/>
  <c r="K15" i="5" s="1"/>
  <c r="AM14" i="5"/>
  <c r="AL14" i="5"/>
  <c r="AJ14" i="5"/>
  <c r="AK14" i="5" s="1"/>
  <c r="AF14" i="5"/>
  <c r="AE14" i="5"/>
  <c r="AC14" i="5"/>
  <c r="AD14" i="5" s="1"/>
  <c r="Y14" i="5"/>
  <c r="X14" i="5"/>
  <c r="V14" i="5"/>
  <c r="W14" i="5" s="1"/>
  <c r="R14" i="5"/>
  <c r="Q14" i="5"/>
  <c r="O14" i="5"/>
  <c r="P14" i="5" s="1"/>
  <c r="H14" i="5"/>
  <c r="D14" i="5"/>
  <c r="I14" i="5" s="1"/>
  <c r="C14" i="5"/>
  <c r="G14" i="5" s="1"/>
  <c r="K14" i="5" s="1"/>
  <c r="AM13" i="5"/>
  <c r="AL13" i="5"/>
  <c r="AJ13" i="5"/>
  <c r="AK13" i="5" s="1"/>
  <c r="AF13" i="5"/>
  <c r="AE13" i="5"/>
  <c r="AC13" i="5"/>
  <c r="AD13" i="5" s="1"/>
  <c r="Y13" i="5"/>
  <c r="X13" i="5"/>
  <c r="V13" i="5"/>
  <c r="W13" i="5" s="1"/>
  <c r="R13" i="5"/>
  <c r="Q13" i="5"/>
  <c r="O13" i="5"/>
  <c r="P13" i="5" s="1"/>
  <c r="H13" i="5"/>
  <c r="D13" i="5"/>
  <c r="I13" i="5" s="1"/>
  <c r="C13" i="5"/>
  <c r="G13" i="5" s="1"/>
  <c r="K13" i="5" s="1"/>
  <c r="AM12" i="5"/>
  <c r="AL12" i="5"/>
  <c r="AJ12" i="5"/>
  <c r="AK12" i="5" s="1"/>
  <c r="AF12" i="5"/>
  <c r="AE12" i="5"/>
  <c r="AC12" i="5"/>
  <c r="AD12" i="5" s="1"/>
  <c r="Y12" i="5"/>
  <c r="X12" i="5"/>
  <c r="V12" i="5"/>
  <c r="W12" i="5" s="1"/>
  <c r="R12" i="5"/>
  <c r="Q12" i="5"/>
  <c r="O12" i="5"/>
  <c r="P12" i="5" s="1"/>
  <c r="D12" i="5"/>
  <c r="I12" i="5" s="1"/>
  <c r="C12" i="5"/>
  <c r="G12" i="5" s="1"/>
  <c r="K12" i="5" s="1"/>
  <c r="AM11" i="5"/>
  <c r="AL11" i="5"/>
  <c r="AJ11" i="5"/>
  <c r="AK11" i="5" s="1"/>
  <c r="AF11" i="5"/>
  <c r="AE11" i="5"/>
  <c r="AC11" i="5"/>
  <c r="AD11" i="5" s="1"/>
  <c r="Y11" i="5"/>
  <c r="X11" i="5"/>
  <c r="V11" i="5"/>
  <c r="W11" i="5" s="1"/>
  <c r="R11" i="5"/>
  <c r="Q11" i="5"/>
  <c r="O11" i="5"/>
  <c r="P11" i="5" s="1"/>
  <c r="D11" i="5"/>
  <c r="I11" i="5" s="1"/>
  <c r="C11" i="5"/>
  <c r="G11" i="5" s="1"/>
  <c r="K11" i="5" s="1"/>
  <c r="AM10" i="5"/>
  <c r="AL10" i="5"/>
  <c r="AJ10" i="5"/>
  <c r="AK10" i="5" s="1"/>
  <c r="AF10" i="5"/>
  <c r="AE10" i="5"/>
  <c r="AC10" i="5"/>
  <c r="AD10" i="5" s="1"/>
  <c r="Y10" i="5"/>
  <c r="X10" i="5"/>
  <c r="V10" i="5"/>
  <c r="W10" i="5" s="1"/>
  <c r="R10" i="5"/>
  <c r="Q10" i="5"/>
  <c r="O10" i="5"/>
  <c r="P10" i="5" s="1"/>
  <c r="H10" i="5"/>
  <c r="D10" i="5"/>
  <c r="I10" i="5" s="1"/>
  <c r="C10" i="5"/>
  <c r="G10" i="5" s="1"/>
  <c r="K10" i="5" s="1"/>
  <c r="AM9" i="5"/>
  <c r="AL9" i="5"/>
  <c r="AJ9" i="5"/>
  <c r="AK9" i="5" s="1"/>
  <c r="AF9" i="5"/>
  <c r="AE9" i="5"/>
  <c r="AC9" i="5"/>
  <c r="AD9" i="5" s="1"/>
  <c r="Y9" i="5"/>
  <c r="X9" i="5"/>
  <c r="V9" i="5"/>
  <c r="W9" i="5" s="1"/>
  <c r="R9" i="5"/>
  <c r="Q9" i="5"/>
  <c r="O9" i="5"/>
  <c r="P9" i="5" s="1"/>
  <c r="H9" i="5"/>
  <c r="D9" i="5"/>
  <c r="I9" i="5" s="1"/>
  <c r="C9" i="5"/>
  <c r="G9" i="5" s="1"/>
  <c r="K9" i="5" s="1"/>
  <c r="AM8" i="5"/>
  <c r="AL8" i="5"/>
  <c r="AJ8" i="5"/>
  <c r="AK8" i="5" s="1"/>
  <c r="AF8" i="5"/>
  <c r="AE8" i="5"/>
  <c r="AC8" i="5"/>
  <c r="AD8" i="5" s="1"/>
  <c r="Y8" i="5"/>
  <c r="X8" i="5"/>
  <c r="V8" i="5"/>
  <c r="W8" i="5" s="1"/>
  <c r="R8" i="5"/>
  <c r="Q8" i="5"/>
  <c r="O8" i="5"/>
  <c r="P8" i="5" s="1"/>
  <c r="D8" i="5"/>
  <c r="I8" i="5" s="1"/>
  <c r="C8" i="5"/>
  <c r="G8" i="5" s="1"/>
  <c r="K8" i="5" s="1"/>
  <c r="AM7" i="5"/>
  <c r="AL7" i="5"/>
  <c r="AJ7" i="5"/>
  <c r="AK7" i="5" s="1"/>
  <c r="AF7" i="5"/>
  <c r="AE7" i="5"/>
  <c r="AC7" i="5"/>
  <c r="AD7" i="5" s="1"/>
  <c r="Y7" i="5"/>
  <c r="X7" i="5"/>
  <c r="V7" i="5"/>
  <c r="W7" i="5" s="1"/>
  <c r="R7" i="5"/>
  <c r="Q7" i="5"/>
  <c r="O7" i="5"/>
  <c r="P7" i="5" s="1"/>
  <c r="D7" i="5"/>
  <c r="I7" i="5" s="1"/>
  <c r="C7" i="5"/>
  <c r="G7" i="5" s="1"/>
  <c r="K7" i="5" s="1"/>
  <c r="AM6" i="5"/>
  <c r="AL6" i="5"/>
  <c r="AJ6" i="5"/>
  <c r="AF6" i="5"/>
  <c r="AE6" i="5"/>
  <c r="AC6" i="5"/>
  <c r="AC49" i="5" s="1"/>
  <c r="AD49" i="5" s="1"/>
  <c r="Y6" i="5"/>
  <c r="X6" i="5"/>
  <c r="V6" i="5"/>
  <c r="R6" i="5"/>
  <c r="Q6" i="5"/>
  <c r="O6" i="5"/>
  <c r="H6" i="5"/>
  <c r="D6" i="5"/>
  <c r="I6" i="5" s="1"/>
  <c r="C6" i="5"/>
  <c r="G6" i="5" s="1"/>
  <c r="K6" i="5" s="1"/>
  <c r="AM19" i="4"/>
  <c r="AL19" i="4"/>
  <c r="AJ19" i="4"/>
  <c r="AK19" i="4" s="1"/>
  <c r="AF19" i="4"/>
  <c r="AE19" i="4"/>
  <c r="AC19" i="4"/>
  <c r="AD19" i="4" s="1"/>
  <c r="Y19" i="4"/>
  <c r="X19" i="4"/>
  <c r="V19" i="4"/>
  <c r="W19" i="4" s="1"/>
  <c r="R19" i="4"/>
  <c r="Q19" i="4"/>
  <c r="O19" i="4"/>
  <c r="P19" i="4" s="1"/>
  <c r="D19" i="4"/>
  <c r="I19" i="4" s="1"/>
  <c r="C19" i="4"/>
  <c r="G19" i="4" s="1"/>
  <c r="H19" i="4" s="1"/>
  <c r="AL18" i="4"/>
  <c r="AM18" i="4" s="1"/>
  <c r="AK18" i="4"/>
  <c r="AJ18" i="4"/>
  <c r="AE18" i="4"/>
  <c r="AF18" i="4" s="1"/>
  <c r="AD18" i="4"/>
  <c r="AC18" i="4"/>
  <c r="X18" i="4"/>
  <c r="Y18" i="4" s="1"/>
  <c r="W18" i="4"/>
  <c r="V18" i="4"/>
  <c r="Q18" i="4"/>
  <c r="R18" i="4" s="1"/>
  <c r="P18" i="4"/>
  <c r="O18" i="4"/>
  <c r="D18" i="4"/>
  <c r="I18" i="4" s="1"/>
  <c r="L18" i="4" s="1"/>
  <c r="C18" i="4"/>
  <c r="G18" i="4" s="1"/>
  <c r="H18" i="4" s="1"/>
  <c r="AM17" i="4"/>
  <c r="AL17" i="4"/>
  <c r="AJ17" i="4"/>
  <c r="AK17" i="4" s="1"/>
  <c r="AF17" i="4"/>
  <c r="AE17" i="4"/>
  <c r="AC17" i="4"/>
  <c r="AD17" i="4" s="1"/>
  <c r="Y17" i="4"/>
  <c r="X17" i="4"/>
  <c r="V17" i="4"/>
  <c r="W17" i="4" s="1"/>
  <c r="R17" i="4"/>
  <c r="Q17" i="4"/>
  <c r="O17" i="4"/>
  <c r="P17" i="4" s="1"/>
  <c r="J17" i="4"/>
  <c r="D17" i="4"/>
  <c r="I17" i="4" s="1"/>
  <c r="L17" i="4" s="1"/>
  <c r="C17" i="4"/>
  <c r="G17" i="4" s="1"/>
  <c r="H17" i="4" s="1"/>
  <c r="AM16" i="4"/>
  <c r="AL16" i="4"/>
  <c r="AJ16" i="4"/>
  <c r="AK16" i="4" s="1"/>
  <c r="AF16" i="4"/>
  <c r="AE16" i="4"/>
  <c r="AC16" i="4"/>
  <c r="AD16" i="4" s="1"/>
  <c r="Y16" i="4"/>
  <c r="X16" i="4"/>
  <c r="V16" i="4"/>
  <c r="W16" i="4" s="1"/>
  <c r="R16" i="4"/>
  <c r="Q16" i="4"/>
  <c r="O16" i="4"/>
  <c r="P16" i="4" s="1"/>
  <c r="D16" i="4"/>
  <c r="I16" i="4" s="1"/>
  <c r="L16" i="4" s="1"/>
  <c r="C16" i="4"/>
  <c r="G16" i="4" s="1"/>
  <c r="H16" i="4" s="1"/>
  <c r="AL15" i="4"/>
  <c r="AM15" i="4" s="1"/>
  <c r="AK15" i="4"/>
  <c r="AJ15" i="4"/>
  <c r="AE15" i="4"/>
  <c r="AF15" i="4" s="1"/>
  <c r="AD15" i="4"/>
  <c r="AC15" i="4"/>
  <c r="X15" i="4"/>
  <c r="Y15" i="4" s="1"/>
  <c r="W15" i="4"/>
  <c r="V15" i="4"/>
  <c r="Q15" i="4"/>
  <c r="R15" i="4" s="1"/>
  <c r="P15" i="4"/>
  <c r="O15" i="4"/>
  <c r="D15" i="4"/>
  <c r="I15" i="4" s="1"/>
  <c r="L15" i="4" s="1"/>
  <c r="C15" i="4"/>
  <c r="G15" i="4" s="1"/>
  <c r="H15" i="4" s="1"/>
  <c r="AM14" i="4"/>
  <c r="AL14" i="4"/>
  <c r="AJ14" i="4"/>
  <c r="AK14" i="4" s="1"/>
  <c r="AF14" i="4"/>
  <c r="AE14" i="4"/>
  <c r="AC14" i="4"/>
  <c r="AD14" i="4" s="1"/>
  <c r="Y14" i="4"/>
  <c r="X14" i="4"/>
  <c r="V14" i="4"/>
  <c r="W14" i="4" s="1"/>
  <c r="R14" i="4"/>
  <c r="Q14" i="4"/>
  <c r="O14" i="4"/>
  <c r="P14" i="4" s="1"/>
  <c r="J14" i="4"/>
  <c r="D14" i="4"/>
  <c r="I14" i="4" s="1"/>
  <c r="L14" i="4" s="1"/>
  <c r="C14" i="4"/>
  <c r="G14" i="4" s="1"/>
  <c r="H14" i="4" s="1"/>
  <c r="AM13" i="4"/>
  <c r="AL13" i="4"/>
  <c r="AJ13" i="4"/>
  <c r="AK13" i="4" s="1"/>
  <c r="AF13" i="4"/>
  <c r="AE13" i="4"/>
  <c r="AC13" i="4"/>
  <c r="AD13" i="4" s="1"/>
  <c r="Y13" i="4"/>
  <c r="X13" i="4"/>
  <c r="V13" i="4"/>
  <c r="W13" i="4" s="1"/>
  <c r="R13" i="4"/>
  <c r="Q13" i="4"/>
  <c r="O13" i="4"/>
  <c r="P13" i="4" s="1"/>
  <c r="J13" i="4"/>
  <c r="D13" i="4"/>
  <c r="I13" i="4" s="1"/>
  <c r="L13" i="4" s="1"/>
  <c r="C13" i="4"/>
  <c r="G13" i="4" s="1"/>
  <c r="H13" i="4" s="1"/>
  <c r="AL12" i="4"/>
  <c r="AM12" i="4" s="1"/>
  <c r="AK12" i="4"/>
  <c r="AJ12" i="4"/>
  <c r="AE12" i="4"/>
  <c r="AF12" i="4" s="1"/>
  <c r="AD12" i="4"/>
  <c r="AC12" i="4"/>
  <c r="X12" i="4"/>
  <c r="Y12" i="4" s="1"/>
  <c r="W12" i="4"/>
  <c r="V12" i="4"/>
  <c r="Q12" i="4"/>
  <c r="R12" i="4" s="1"/>
  <c r="P12" i="4"/>
  <c r="O12" i="4"/>
  <c r="D12" i="4"/>
  <c r="I12" i="4" s="1"/>
  <c r="C12" i="4"/>
  <c r="G12" i="4" s="1"/>
  <c r="H12" i="4" s="1"/>
  <c r="AM11" i="4"/>
  <c r="AL11" i="4"/>
  <c r="AJ11" i="4"/>
  <c r="AK11" i="4" s="1"/>
  <c r="AF11" i="4"/>
  <c r="AE11" i="4"/>
  <c r="AC11" i="4"/>
  <c r="AD11" i="4" s="1"/>
  <c r="Y11" i="4"/>
  <c r="X11" i="4"/>
  <c r="V11" i="4"/>
  <c r="W11" i="4" s="1"/>
  <c r="R11" i="4"/>
  <c r="Q11" i="4"/>
  <c r="O11" i="4"/>
  <c r="P11" i="4" s="1"/>
  <c r="J11" i="4"/>
  <c r="D11" i="4"/>
  <c r="I11" i="4" s="1"/>
  <c r="L11" i="4" s="1"/>
  <c r="C11" i="4"/>
  <c r="H11" i="4" s="1"/>
  <c r="AM10" i="4"/>
  <c r="AL10" i="4"/>
  <c r="AJ10" i="4"/>
  <c r="AK10" i="4" s="1"/>
  <c r="AF10" i="4"/>
  <c r="AE10" i="4"/>
  <c r="AC10" i="4"/>
  <c r="AD10" i="4" s="1"/>
  <c r="Y10" i="4"/>
  <c r="X10" i="4"/>
  <c r="V10" i="4"/>
  <c r="W10" i="4" s="1"/>
  <c r="R10" i="4"/>
  <c r="Q10" i="4"/>
  <c r="O10" i="4"/>
  <c r="J10" i="4"/>
  <c r="D10" i="4"/>
  <c r="I10" i="4" s="1"/>
  <c r="L10" i="4" s="1"/>
  <c r="C10" i="4"/>
  <c r="G10" i="4" s="1"/>
  <c r="H10" i="4" s="1"/>
  <c r="AL9" i="4"/>
  <c r="AM9" i="4" s="1"/>
  <c r="AK9" i="4"/>
  <c r="AJ9" i="4"/>
  <c r="AE9" i="4"/>
  <c r="AF9" i="4" s="1"/>
  <c r="AD9" i="4"/>
  <c r="AC9" i="4"/>
  <c r="X9" i="4"/>
  <c r="Y9" i="4" s="1"/>
  <c r="W9" i="4"/>
  <c r="V9" i="4"/>
  <c r="Q9" i="4"/>
  <c r="R9" i="4" s="1"/>
  <c r="P9" i="4"/>
  <c r="O9" i="4"/>
  <c r="D9" i="4"/>
  <c r="I9" i="4" s="1"/>
  <c r="L9" i="4" s="1"/>
  <c r="C9" i="4"/>
  <c r="G9" i="4" s="1"/>
  <c r="H9" i="4" s="1"/>
  <c r="AL8" i="4"/>
  <c r="AM8" i="4" s="1"/>
  <c r="AK8" i="4"/>
  <c r="AJ8" i="4"/>
  <c r="AE8" i="4"/>
  <c r="AF8" i="4" s="1"/>
  <c r="AD8" i="4"/>
  <c r="AC8" i="4"/>
  <c r="X8" i="4"/>
  <c r="Y8" i="4" s="1"/>
  <c r="W8" i="4"/>
  <c r="V8" i="4"/>
  <c r="Q8" i="4"/>
  <c r="R8" i="4" s="1"/>
  <c r="P8" i="4"/>
  <c r="O8" i="4"/>
  <c r="D8" i="4"/>
  <c r="I8" i="4" s="1"/>
  <c r="C8" i="4"/>
  <c r="G8" i="4" s="1"/>
  <c r="H8" i="4" s="1"/>
  <c r="AM7" i="4"/>
  <c r="AL7" i="4"/>
  <c r="AJ7" i="4"/>
  <c r="AK7" i="4" s="1"/>
  <c r="AF7" i="4"/>
  <c r="AE7" i="4"/>
  <c r="AC7" i="4"/>
  <c r="AD7" i="4" s="1"/>
  <c r="Y7" i="4"/>
  <c r="X7" i="4"/>
  <c r="V7" i="4"/>
  <c r="W7" i="4" s="1"/>
  <c r="R7" i="4"/>
  <c r="Q7" i="4"/>
  <c r="O7" i="4"/>
  <c r="P7" i="4" s="1"/>
  <c r="J7" i="4"/>
  <c r="D7" i="4"/>
  <c r="I7" i="4" s="1"/>
  <c r="L7" i="4" s="1"/>
  <c r="C7" i="4"/>
  <c r="G7" i="4" s="1"/>
  <c r="H7" i="4" s="1"/>
  <c r="AL6" i="4"/>
  <c r="AL20" i="4" s="1"/>
  <c r="AM20" i="4" s="1"/>
  <c r="AK6" i="4"/>
  <c r="AJ6" i="4"/>
  <c r="AE6" i="4"/>
  <c r="AD6" i="4"/>
  <c r="AC6" i="4"/>
  <c r="X6" i="4"/>
  <c r="X20" i="4" s="1"/>
  <c r="Y20" i="4" s="1"/>
  <c r="W6" i="4"/>
  <c r="V6" i="4"/>
  <c r="Q6" i="4"/>
  <c r="Q20" i="4" s="1"/>
  <c r="P6" i="4"/>
  <c r="O6" i="4"/>
  <c r="D6" i="4"/>
  <c r="I6" i="4" s="1"/>
  <c r="J6" i="4" s="1"/>
  <c r="C6" i="4"/>
  <c r="C19" i="3"/>
  <c r="E19" i="3" s="1"/>
  <c r="B19" i="3"/>
  <c r="D19" i="3" s="1"/>
  <c r="C18" i="3"/>
  <c r="E18" i="3" s="1"/>
  <c r="B18" i="3"/>
  <c r="D18" i="3" s="1"/>
  <c r="C17" i="3"/>
  <c r="E17" i="3" s="1"/>
  <c r="B17" i="3"/>
  <c r="D17" i="3" s="1"/>
  <c r="C16" i="3"/>
  <c r="E16" i="3" s="1"/>
  <c r="B16" i="3"/>
  <c r="D16" i="3" s="1"/>
  <c r="C15" i="3"/>
  <c r="E15" i="3" s="1"/>
  <c r="B15" i="3"/>
  <c r="D15" i="3" s="1"/>
  <c r="C14" i="3"/>
  <c r="E14" i="3" s="1"/>
  <c r="B14" i="3"/>
  <c r="D14" i="3" s="1"/>
  <c r="C13" i="3"/>
  <c r="E13" i="3" s="1"/>
  <c r="B13" i="3"/>
  <c r="D13" i="3" s="1"/>
  <c r="C12" i="3"/>
  <c r="E12" i="3" s="1"/>
  <c r="B12" i="3"/>
  <c r="D12" i="3" s="1"/>
  <c r="C11" i="3"/>
  <c r="E11" i="3" s="1"/>
  <c r="B11" i="3"/>
  <c r="D11" i="3" s="1"/>
  <c r="C10" i="3"/>
  <c r="E10" i="3" s="1"/>
  <c r="B10" i="3"/>
  <c r="D10" i="3" s="1"/>
  <c r="C9" i="3"/>
  <c r="E9" i="3" s="1"/>
  <c r="B9" i="3"/>
  <c r="D9" i="3" s="1"/>
  <c r="C8" i="3"/>
  <c r="E8" i="3" s="1"/>
  <c r="B8" i="3"/>
  <c r="D8" i="3" s="1"/>
  <c r="C7" i="3"/>
  <c r="E7" i="3" s="1"/>
  <c r="B7" i="3"/>
  <c r="D7" i="3" s="1"/>
  <c r="C6" i="3"/>
  <c r="E6" i="3" s="1"/>
  <c r="B6" i="3"/>
  <c r="D6" i="3" s="1"/>
  <c r="C5" i="3"/>
  <c r="C21" i="3" s="1"/>
  <c r="B5" i="3"/>
  <c r="B21" i="3" s="1"/>
  <c r="K45" i="2"/>
  <c r="K44" i="2"/>
  <c r="K43" i="2"/>
  <c r="K42" i="2"/>
  <c r="I41" i="2"/>
  <c r="J41" i="2" s="1"/>
  <c r="G41" i="2"/>
  <c r="H41" i="2" s="1"/>
  <c r="I37" i="2"/>
  <c r="L37" i="2" s="1"/>
  <c r="G37" i="2"/>
  <c r="K37" i="2" s="1"/>
  <c r="C37" i="2"/>
  <c r="AI35" i="2"/>
  <c r="AL35" i="2" s="1"/>
  <c r="AM35" i="2" s="1"/>
  <c r="AH35" i="2"/>
  <c r="C35" i="2" s="1"/>
  <c r="AB35" i="2"/>
  <c r="AE35" i="2" s="1"/>
  <c r="AA35" i="2"/>
  <c r="AC35" i="2" s="1"/>
  <c r="Y35" i="2"/>
  <c r="W35" i="2"/>
  <c r="U35" i="2"/>
  <c r="T35" i="2"/>
  <c r="R35" i="2"/>
  <c r="P35" i="2"/>
  <c r="N35" i="2"/>
  <c r="M35" i="2"/>
  <c r="AM33" i="2"/>
  <c r="AL33" i="2"/>
  <c r="AJ33" i="2"/>
  <c r="AK33" i="2" s="1"/>
  <c r="AE33" i="2"/>
  <c r="I33" i="2" s="1"/>
  <c r="L33" i="2" s="1"/>
  <c r="AC33" i="2"/>
  <c r="Y33" i="2"/>
  <c r="W33" i="2"/>
  <c r="R33" i="2"/>
  <c r="P33" i="2"/>
  <c r="D33" i="2"/>
  <c r="C33" i="2"/>
  <c r="G33" i="2" s="1"/>
  <c r="AM32" i="2"/>
  <c r="AL32" i="2"/>
  <c r="AJ32" i="2"/>
  <c r="AK32" i="2" s="1"/>
  <c r="AF32" i="2"/>
  <c r="AE32" i="2"/>
  <c r="I32" i="2" s="1"/>
  <c r="L32" i="2" s="1"/>
  <c r="AC32" i="2"/>
  <c r="AD32" i="2" s="1"/>
  <c r="Y32" i="2"/>
  <c r="W32" i="2"/>
  <c r="R32" i="2"/>
  <c r="P32" i="2"/>
  <c r="K32" i="2"/>
  <c r="D32" i="2"/>
  <c r="C32" i="2"/>
  <c r="G32" i="2" s="1"/>
  <c r="AL31" i="2"/>
  <c r="AM31" i="2" s="1"/>
  <c r="AK31" i="2"/>
  <c r="AJ31" i="2"/>
  <c r="AE31" i="2"/>
  <c r="AC31" i="2"/>
  <c r="AD31" i="2" s="1"/>
  <c r="Y31" i="2"/>
  <c r="W31" i="2"/>
  <c r="R31" i="2"/>
  <c r="P31" i="2"/>
  <c r="AL30" i="2"/>
  <c r="AM30" i="2" s="1"/>
  <c r="AJ30" i="2"/>
  <c r="AK30" i="2" s="1"/>
  <c r="AE30" i="2"/>
  <c r="AF30" i="2" s="1"/>
  <c r="AC30" i="2"/>
  <c r="H30" i="2" s="1"/>
  <c r="Y30" i="2"/>
  <c r="W30" i="2"/>
  <c r="R30" i="2"/>
  <c r="P30" i="2"/>
  <c r="I30" i="2"/>
  <c r="L30" i="2" s="1"/>
  <c r="D30" i="2"/>
  <c r="C30" i="2"/>
  <c r="G30" i="2" s="1"/>
  <c r="AM29" i="2"/>
  <c r="AK29" i="2"/>
  <c r="AF29" i="2"/>
  <c r="AD29" i="2"/>
  <c r="Y29" i="2"/>
  <c r="X29" i="2"/>
  <c r="V29" i="2"/>
  <c r="W29" i="2" s="1"/>
  <c r="Q29" i="2"/>
  <c r="R29" i="2" s="1"/>
  <c r="O29" i="2"/>
  <c r="G29" i="2"/>
  <c r="H29" i="2" s="1"/>
  <c r="D29" i="2"/>
  <c r="I29" i="2" s="1"/>
  <c r="L29" i="2" s="1"/>
  <c r="C29" i="2"/>
  <c r="AL28" i="2"/>
  <c r="AM28" i="2" s="1"/>
  <c r="AK28" i="2"/>
  <c r="AJ28" i="2"/>
  <c r="AE28" i="2"/>
  <c r="AF28" i="2" s="1"/>
  <c r="AD28" i="2"/>
  <c r="AC28" i="2"/>
  <c r="X28" i="2"/>
  <c r="Y28" i="2" s="1"/>
  <c r="W28" i="2"/>
  <c r="V28" i="2"/>
  <c r="Q28" i="2"/>
  <c r="R28" i="2" s="1"/>
  <c r="P28" i="2"/>
  <c r="O28" i="2"/>
  <c r="D28" i="2"/>
  <c r="I28" i="2" s="1"/>
  <c r="L28" i="2" s="1"/>
  <c r="C28" i="2"/>
  <c r="G28" i="2" s="1"/>
  <c r="K28" i="2" s="1"/>
  <c r="AM26" i="2"/>
  <c r="AK26" i="2"/>
  <c r="AF26" i="2"/>
  <c r="AD26" i="2"/>
  <c r="Y26" i="2"/>
  <c r="W26" i="2"/>
  <c r="R26" i="2"/>
  <c r="P26" i="2"/>
  <c r="I26" i="2"/>
  <c r="L26" i="2" s="1"/>
  <c r="G26" i="2"/>
  <c r="K26" i="2" s="1"/>
  <c r="AM25" i="2"/>
  <c r="AK25" i="2"/>
  <c r="AF25" i="2"/>
  <c r="AD25" i="2"/>
  <c r="Y25" i="2"/>
  <c r="W25" i="2"/>
  <c r="R25" i="2"/>
  <c r="P25" i="2"/>
  <c r="I25" i="2"/>
  <c r="L25" i="2" s="1"/>
  <c r="G25" i="2"/>
  <c r="K25" i="2" s="1"/>
  <c r="AM24" i="2"/>
  <c r="AK24" i="2"/>
  <c r="AF24" i="2"/>
  <c r="AD24" i="2"/>
  <c r="Y24" i="2"/>
  <c r="W24" i="2"/>
  <c r="R24" i="2"/>
  <c r="P24" i="2"/>
  <c r="L24" i="2"/>
  <c r="I24" i="2"/>
  <c r="G24" i="2"/>
  <c r="K24" i="2" s="1"/>
  <c r="AI22" i="2"/>
  <c r="AL22" i="2" s="1"/>
  <c r="AM22" i="2" s="1"/>
  <c r="AH22" i="2"/>
  <c r="AJ22" i="2" s="1"/>
  <c r="AK22" i="2" s="1"/>
  <c r="AB22" i="2"/>
  <c r="AE22" i="2" s="1"/>
  <c r="AF22" i="2" s="1"/>
  <c r="AA22" i="2"/>
  <c r="AC22" i="2" s="1"/>
  <c r="AD22" i="2" s="1"/>
  <c r="V22" i="2"/>
  <c r="W22" i="2" s="1"/>
  <c r="U22" i="2"/>
  <c r="X22" i="2" s="1"/>
  <c r="Y22" i="2" s="1"/>
  <c r="T22" i="2"/>
  <c r="N22" i="2"/>
  <c r="Q22" i="2" s="1"/>
  <c r="M22" i="2"/>
  <c r="O22" i="2" s="1"/>
  <c r="AM20" i="2"/>
  <c r="AL20" i="2"/>
  <c r="AJ20" i="2"/>
  <c r="AK20" i="2" s="1"/>
  <c r="AF20" i="2"/>
  <c r="AE20" i="2"/>
  <c r="AC20" i="2"/>
  <c r="AD20" i="2" s="1"/>
  <c r="Y20" i="2"/>
  <c r="X20" i="2"/>
  <c r="V20" i="2"/>
  <c r="W20" i="2" s="1"/>
  <c r="R20" i="2"/>
  <c r="Q20" i="2"/>
  <c r="O20" i="2"/>
  <c r="P20" i="2" s="1"/>
  <c r="D20" i="2"/>
  <c r="I20" i="2" s="1"/>
  <c r="C20" i="2"/>
  <c r="AL19" i="2"/>
  <c r="AM19" i="2" s="1"/>
  <c r="AK19" i="2"/>
  <c r="AJ19" i="2"/>
  <c r="AE19" i="2"/>
  <c r="AF19" i="2" s="1"/>
  <c r="AD19" i="2"/>
  <c r="AC19" i="2"/>
  <c r="X19" i="2"/>
  <c r="Y19" i="2" s="1"/>
  <c r="W19" i="2"/>
  <c r="V19" i="2"/>
  <c r="Q19" i="2"/>
  <c r="R19" i="2" s="1"/>
  <c r="P19" i="2"/>
  <c r="O19" i="2"/>
  <c r="D19" i="2"/>
  <c r="I19" i="2" s="1"/>
  <c r="C19" i="2"/>
  <c r="AM18" i="2"/>
  <c r="AL18" i="2"/>
  <c r="AJ18" i="2"/>
  <c r="AK18" i="2" s="1"/>
  <c r="AF18" i="2"/>
  <c r="AE18" i="2"/>
  <c r="AC18" i="2"/>
  <c r="AD18" i="2" s="1"/>
  <c r="Y18" i="2"/>
  <c r="X18" i="2"/>
  <c r="V18" i="2"/>
  <c r="W18" i="2" s="1"/>
  <c r="R18" i="2"/>
  <c r="Q18" i="2"/>
  <c r="O18" i="2"/>
  <c r="P18" i="2" s="1"/>
  <c r="D18" i="2"/>
  <c r="I18" i="2" s="1"/>
  <c r="C18" i="2"/>
  <c r="AL17" i="2"/>
  <c r="AM17" i="2" s="1"/>
  <c r="AK17" i="2"/>
  <c r="AJ17" i="2"/>
  <c r="AE17" i="2"/>
  <c r="AF17" i="2" s="1"/>
  <c r="AD17" i="2"/>
  <c r="AC17" i="2"/>
  <c r="X17" i="2"/>
  <c r="Y17" i="2" s="1"/>
  <c r="W17" i="2"/>
  <c r="V17" i="2"/>
  <c r="Q17" i="2"/>
  <c r="R17" i="2" s="1"/>
  <c r="P17" i="2"/>
  <c r="O17" i="2"/>
  <c r="D17" i="2"/>
  <c r="I17" i="2" s="1"/>
  <c r="C17" i="2"/>
  <c r="AM16" i="2"/>
  <c r="AL16" i="2"/>
  <c r="AJ16" i="2"/>
  <c r="AK16" i="2" s="1"/>
  <c r="AF16" i="2"/>
  <c r="AE16" i="2"/>
  <c r="AC16" i="2"/>
  <c r="AD16" i="2" s="1"/>
  <c r="Y16" i="2"/>
  <c r="X16" i="2"/>
  <c r="V16" i="2"/>
  <c r="W16" i="2" s="1"/>
  <c r="R16" i="2"/>
  <c r="Q16" i="2"/>
  <c r="O16" i="2"/>
  <c r="P16" i="2" s="1"/>
  <c r="D16" i="2"/>
  <c r="I16" i="2" s="1"/>
  <c r="C16" i="2"/>
  <c r="AL15" i="2"/>
  <c r="AM15" i="2" s="1"/>
  <c r="AK15" i="2"/>
  <c r="AJ15" i="2"/>
  <c r="AE15" i="2"/>
  <c r="AF15" i="2" s="1"/>
  <c r="AD15" i="2"/>
  <c r="AC15" i="2"/>
  <c r="X15" i="2"/>
  <c r="Y15" i="2" s="1"/>
  <c r="W15" i="2"/>
  <c r="V15" i="2"/>
  <c r="Q15" i="2"/>
  <c r="R15" i="2" s="1"/>
  <c r="P15" i="2"/>
  <c r="O15" i="2"/>
  <c r="D15" i="2"/>
  <c r="I15" i="2" s="1"/>
  <c r="C15" i="2"/>
  <c r="AM14" i="2"/>
  <c r="AL14" i="2"/>
  <c r="AJ14" i="2"/>
  <c r="AK14" i="2" s="1"/>
  <c r="AF14" i="2"/>
  <c r="AE14" i="2"/>
  <c r="AC14" i="2"/>
  <c r="AD14" i="2" s="1"/>
  <c r="Y14" i="2"/>
  <c r="X14" i="2"/>
  <c r="V14" i="2"/>
  <c r="W14" i="2" s="1"/>
  <c r="R14" i="2"/>
  <c r="Q14" i="2"/>
  <c r="O14" i="2"/>
  <c r="P14" i="2" s="1"/>
  <c r="D14" i="2"/>
  <c r="I14" i="2" s="1"/>
  <c r="C14" i="2"/>
  <c r="AL13" i="2"/>
  <c r="AM13" i="2" s="1"/>
  <c r="AK13" i="2"/>
  <c r="AJ13" i="2"/>
  <c r="AE13" i="2"/>
  <c r="AF13" i="2" s="1"/>
  <c r="AD13" i="2"/>
  <c r="AC13" i="2"/>
  <c r="X13" i="2"/>
  <c r="Y13" i="2" s="1"/>
  <c r="W13" i="2"/>
  <c r="V13" i="2"/>
  <c r="Q13" i="2"/>
  <c r="R13" i="2" s="1"/>
  <c r="P13" i="2"/>
  <c r="O13" i="2"/>
  <c r="D13" i="2"/>
  <c r="I13" i="2" s="1"/>
  <c r="C13" i="2"/>
  <c r="AM12" i="2"/>
  <c r="AL12" i="2"/>
  <c r="AJ12" i="2"/>
  <c r="AK12" i="2" s="1"/>
  <c r="AE12" i="2"/>
  <c r="AF12" i="2" s="1"/>
  <c r="AC12" i="2"/>
  <c r="AD12" i="2" s="1"/>
  <c r="X12" i="2"/>
  <c r="Y12" i="2" s="1"/>
  <c r="V12" i="2"/>
  <c r="W12" i="2" s="1"/>
  <c r="R12" i="2"/>
  <c r="Q12" i="2"/>
  <c r="O12" i="2"/>
  <c r="I12" i="2"/>
  <c r="L12" i="2" s="1"/>
  <c r="D12" i="2"/>
  <c r="C12" i="2"/>
  <c r="AL11" i="2"/>
  <c r="AM11" i="2" s="1"/>
  <c r="AJ11" i="2"/>
  <c r="AK11" i="2" s="1"/>
  <c r="AE11" i="2"/>
  <c r="AF11" i="2" s="1"/>
  <c r="AC11" i="2"/>
  <c r="AD11" i="2" s="1"/>
  <c r="Y11" i="2"/>
  <c r="X11" i="2"/>
  <c r="V11" i="2"/>
  <c r="W11" i="2" s="1"/>
  <c r="R11" i="2"/>
  <c r="Q11" i="2"/>
  <c r="O11" i="2"/>
  <c r="D11" i="2"/>
  <c r="I11" i="2" s="1"/>
  <c r="L11" i="2" s="1"/>
  <c r="C11" i="2"/>
  <c r="AL10" i="2"/>
  <c r="AM10" i="2" s="1"/>
  <c r="AJ10" i="2"/>
  <c r="AK10" i="2" s="1"/>
  <c r="AF10" i="2"/>
  <c r="AE10" i="2"/>
  <c r="AC10" i="2"/>
  <c r="AD10" i="2" s="1"/>
  <c r="Y10" i="2"/>
  <c r="X10" i="2"/>
  <c r="V10" i="2"/>
  <c r="W10" i="2" s="1"/>
  <c r="Q10" i="2"/>
  <c r="R10" i="2" s="1"/>
  <c r="O10" i="2"/>
  <c r="P10" i="2" s="1"/>
  <c r="D10" i="2"/>
  <c r="I10" i="2" s="1"/>
  <c r="L10" i="2" s="1"/>
  <c r="C10" i="2"/>
  <c r="AM9" i="2"/>
  <c r="AL9" i="2"/>
  <c r="AJ9" i="2"/>
  <c r="AK9" i="2" s="1"/>
  <c r="AF9" i="2"/>
  <c r="AE9" i="2"/>
  <c r="AC9" i="2"/>
  <c r="AD9" i="2" s="1"/>
  <c r="X9" i="2"/>
  <c r="Y9" i="2" s="1"/>
  <c r="V9" i="2"/>
  <c r="W9" i="2" s="1"/>
  <c r="Q9" i="2"/>
  <c r="R9" i="2" s="1"/>
  <c r="O9" i="2"/>
  <c r="I9" i="2"/>
  <c r="D9" i="2"/>
  <c r="C9" i="2"/>
  <c r="AM8" i="2"/>
  <c r="AL8" i="2"/>
  <c r="AJ8" i="2"/>
  <c r="AK8" i="2" s="1"/>
  <c r="AE8" i="2"/>
  <c r="AF8" i="2" s="1"/>
  <c r="AC8" i="2"/>
  <c r="AD8" i="2" s="1"/>
  <c r="X8" i="2"/>
  <c r="Y8" i="2" s="1"/>
  <c r="V8" i="2"/>
  <c r="W8" i="2" s="1"/>
  <c r="R8" i="2"/>
  <c r="Q8" i="2"/>
  <c r="O8" i="2"/>
  <c r="I8" i="2"/>
  <c r="L8" i="2" s="1"/>
  <c r="H8" i="2"/>
  <c r="AL7" i="2"/>
  <c r="AM7" i="2" s="1"/>
  <c r="AJ7" i="2"/>
  <c r="AK7" i="2" s="1"/>
  <c r="AE7" i="2"/>
  <c r="AF7" i="2" s="1"/>
  <c r="AC7" i="2"/>
  <c r="AD7" i="2" s="1"/>
  <c r="X7" i="2"/>
  <c r="Y7" i="2" s="1"/>
  <c r="W7" i="2"/>
  <c r="V7" i="2"/>
  <c r="Q7" i="2"/>
  <c r="R7" i="2" s="1"/>
  <c r="P7" i="2"/>
  <c r="O7" i="2"/>
  <c r="I7" i="2"/>
  <c r="J7" i="2" s="1"/>
  <c r="H7" i="2"/>
  <c r="AM6" i="2"/>
  <c r="AL6" i="2"/>
  <c r="AJ6" i="2"/>
  <c r="AF6" i="2"/>
  <c r="AE6" i="2"/>
  <c r="AC6" i="2"/>
  <c r="X6" i="2"/>
  <c r="X39" i="2" s="1"/>
  <c r="V6" i="2"/>
  <c r="Q6" i="2"/>
  <c r="R6" i="2" s="1"/>
  <c r="O6" i="2"/>
  <c r="O39" i="2" s="1"/>
  <c r="H6" i="2"/>
  <c r="J2" i="2"/>
  <c r="I2" i="2"/>
  <c r="D9" i="1"/>
  <c r="C9" i="1"/>
  <c r="C8" i="1"/>
  <c r="D7" i="1"/>
  <c r="C7" i="1"/>
  <c r="G15" i="2" l="1"/>
  <c r="H15" i="2" s="1"/>
  <c r="E2" i="2"/>
  <c r="G19" i="2"/>
  <c r="H19" i="2" s="1"/>
  <c r="H26" i="2"/>
  <c r="AD30" i="2"/>
  <c r="AE20" i="4"/>
  <c r="AF20" i="4" s="1"/>
  <c r="D8" i="1"/>
  <c r="AC39" i="2"/>
  <c r="AD39" i="2" s="1"/>
  <c r="D22" i="2"/>
  <c r="I22" i="2" s="1"/>
  <c r="L22" i="2" s="1"/>
  <c r="G12" i="2"/>
  <c r="H12" i="2" s="1"/>
  <c r="H24" i="2"/>
  <c r="I31" i="2"/>
  <c r="AJ35" i="2"/>
  <c r="AK35" i="2" s="1"/>
  <c r="D5" i="3"/>
  <c r="R6" i="4"/>
  <c r="Y6" i="4"/>
  <c r="AF6" i="4"/>
  <c r="AM6" i="4"/>
  <c r="J9" i="4"/>
  <c r="K10" i="4"/>
  <c r="P10" i="4"/>
  <c r="L12" i="4"/>
  <c r="H8" i="5"/>
  <c r="H12" i="5"/>
  <c r="H16" i="5"/>
  <c r="H20" i="5"/>
  <c r="H24" i="5"/>
  <c r="H28" i="5"/>
  <c r="H32" i="5"/>
  <c r="H36" i="5"/>
  <c r="G10" i="2"/>
  <c r="H10" i="2" s="1"/>
  <c r="Q39" i="2"/>
  <c r="Y6" i="2"/>
  <c r="K8" i="2"/>
  <c r="C22" i="2"/>
  <c r="G22" i="2" s="1"/>
  <c r="K22" i="2" s="1"/>
  <c r="G9" i="2"/>
  <c r="K12" i="2"/>
  <c r="G13" i="2"/>
  <c r="K13" i="2" s="1"/>
  <c r="G17" i="2"/>
  <c r="H17" i="2" s="1"/>
  <c r="AF33" i="2"/>
  <c r="K14" i="4"/>
  <c r="V39" i="2"/>
  <c r="L9" i="2"/>
  <c r="G11" i="2"/>
  <c r="K11" i="2" s="1"/>
  <c r="G14" i="2"/>
  <c r="H14" i="2" s="1"/>
  <c r="K15" i="2"/>
  <c r="G16" i="2"/>
  <c r="H16" i="2" s="1"/>
  <c r="K17" i="2"/>
  <c r="H18" i="2"/>
  <c r="G18" i="2"/>
  <c r="K19" i="2"/>
  <c r="G20" i="2"/>
  <c r="H20" i="2" s="1"/>
  <c r="K29" i="2"/>
  <c r="H33" i="2"/>
  <c r="D35" i="2"/>
  <c r="E5" i="3"/>
  <c r="O20" i="4"/>
  <c r="V20" i="4"/>
  <c r="W20" i="4" s="1"/>
  <c r="H7" i="5"/>
  <c r="H11" i="5"/>
  <c r="H15" i="5"/>
  <c r="H19" i="5"/>
  <c r="H23" i="5"/>
  <c r="H27" i="5"/>
  <c r="H31" i="5"/>
  <c r="H35" i="5"/>
  <c r="K37" i="5"/>
  <c r="K38" i="5"/>
  <c r="H38" i="5"/>
  <c r="K39" i="5"/>
  <c r="H39" i="5"/>
  <c r="K41" i="5"/>
  <c r="H41" i="5"/>
  <c r="K45" i="5"/>
  <c r="H45" i="5"/>
  <c r="AL39" i="6"/>
  <c r="AM39" i="6" s="1"/>
  <c r="AM6" i="6"/>
  <c r="K8" i="6"/>
  <c r="P8" i="6"/>
  <c r="L35" i="6"/>
  <c r="J35" i="6"/>
  <c r="U10" i="8"/>
  <c r="X10" i="8" s="1"/>
  <c r="Y10" i="8" s="1"/>
  <c r="X6" i="8"/>
  <c r="Y6" i="8" s="1"/>
  <c r="O49" i="5"/>
  <c r="P49" i="5" s="1"/>
  <c r="V49" i="5"/>
  <c r="W49" i="5" s="1"/>
  <c r="AJ49" i="5"/>
  <c r="AK49" i="5" s="1"/>
  <c r="K40" i="5"/>
  <c r="H40" i="5"/>
  <c r="K44" i="5"/>
  <c r="H44" i="5"/>
  <c r="K48" i="5"/>
  <c r="H48" i="5"/>
  <c r="AE39" i="6"/>
  <c r="AF39" i="6" s="1"/>
  <c r="AF6" i="6"/>
  <c r="L15" i="6"/>
  <c r="J15" i="6"/>
  <c r="L17" i="6"/>
  <c r="L30" i="6"/>
  <c r="J33" i="6"/>
  <c r="P34" i="6"/>
  <c r="V12" i="7"/>
  <c r="W12" i="7" s="1"/>
  <c r="W6" i="7"/>
  <c r="M10" i="8"/>
  <c r="M7" i="8"/>
  <c r="O7" i="8" s="1"/>
  <c r="AC20" i="4"/>
  <c r="AD20" i="4" s="1"/>
  <c r="AJ20" i="4"/>
  <c r="AK20" i="4" s="1"/>
  <c r="L8" i="4"/>
  <c r="J15" i="4"/>
  <c r="J18" i="4"/>
  <c r="P6" i="5"/>
  <c r="W6" i="5"/>
  <c r="AD6" i="5"/>
  <c r="AK6" i="5"/>
  <c r="K43" i="5"/>
  <c r="H43" i="5"/>
  <c r="K47" i="5"/>
  <c r="H47" i="5"/>
  <c r="X39" i="6"/>
  <c r="Y39" i="6" s="1"/>
  <c r="Y6" i="6"/>
  <c r="K18" i="4"/>
  <c r="Q49" i="5"/>
  <c r="X49" i="5"/>
  <c r="Y49" i="5" s="1"/>
  <c r="AE49" i="5"/>
  <c r="AF49" i="5" s="1"/>
  <c r="AL49" i="5"/>
  <c r="AM49" i="5" s="1"/>
  <c r="K42" i="5"/>
  <c r="H42" i="5"/>
  <c r="K46" i="5"/>
  <c r="H46" i="5"/>
  <c r="Q39" i="6"/>
  <c r="R6" i="6"/>
  <c r="L8" i="6"/>
  <c r="L10" i="6"/>
  <c r="K10" i="6"/>
  <c r="K13" i="6"/>
  <c r="K15" i="6"/>
  <c r="L19" i="6"/>
  <c r="J19" i="6"/>
  <c r="K26" i="6"/>
  <c r="K28" i="6"/>
  <c r="P28" i="6"/>
  <c r="N11" i="8"/>
  <c r="Q6" i="8"/>
  <c r="D6" i="8"/>
  <c r="I6" i="8" s="1"/>
  <c r="J6" i="8" s="1"/>
  <c r="V39" i="6"/>
  <c r="W39" i="6" s="1"/>
  <c r="AC39" i="6"/>
  <c r="AD39" i="6" s="1"/>
  <c r="AJ39" i="6"/>
  <c r="AK39" i="6" s="1"/>
  <c r="P10" i="6"/>
  <c r="L12" i="6"/>
  <c r="P13" i="6"/>
  <c r="P15" i="6"/>
  <c r="K21" i="6"/>
  <c r="P21" i="6"/>
  <c r="P26" i="6"/>
  <c r="L27" i="6"/>
  <c r="J27" i="6"/>
  <c r="K6" i="7"/>
  <c r="K12" i="6"/>
  <c r="K23" i="6"/>
  <c r="L25" i="6"/>
  <c r="K30" i="6"/>
  <c r="L32" i="6"/>
  <c r="AJ12" i="7"/>
  <c r="AK12" i="7" s="1"/>
  <c r="P12" i="6"/>
  <c r="L13" i="6"/>
  <c r="L14" i="6"/>
  <c r="L16" i="6"/>
  <c r="P23" i="6"/>
  <c r="K25" i="6"/>
  <c r="J29" i="6"/>
  <c r="K32" i="6"/>
  <c r="K37" i="6"/>
  <c r="AK6" i="7"/>
  <c r="D9" i="8"/>
  <c r="I9" i="8" s="1"/>
  <c r="J9" i="8" s="1"/>
  <c r="W39" i="2"/>
  <c r="J22" i="2"/>
  <c r="L13" i="2"/>
  <c r="J13" i="2"/>
  <c r="C5" i="1"/>
  <c r="L15" i="2"/>
  <c r="J15" i="2"/>
  <c r="L17" i="2"/>
  <c r="J17" i="2"/>
  <c r="L19" i="2"/>
  <c r="J19" i="2"/>
  <c r="R22" i="2"/>
  <c r="H31" i="2"/>
  <c r="K31" i="2"/>
  <c r="P39" i="2"/>
  <c r="Y39" i="2"/>
  <c r="R39" i="2"/>
  <c r="L14" i="2"/>
  <c r="J14" i="2"/>
  <c r="L16" i="2"/>
  <c r="J16" i="2"/>
  <c r="L18" i="2"/>
  <c r="J18" i="2"/>
  <c r="L20" i="2"/>
  <c r="J20" i="2"/>
  <c r="AD35" i="2"/>
  <c r="G35" i="2"/>
  <c r="K35" i="2" s="1"/>
  <c r="K14" i="2"/>
  <c r="K16" i="2"/>
  <c r="K18" i="2"/>
  <c r="P22" i="2"/>
  <c r="AF35" i="2"/>
  <c r="I35" i="2"/>
  <c r="C10" i="1" s="1"/>
  <c r="K7" i="2"/>
  <c r="AD6" i="2"/>
  <c r="L7" i="2"/>
  <c r="P8" i="2"/>
  <c r="P9" i="2"/>
  <c r="P20" i="4"/>
  <c r="R49" i="5"/>
  <c r="J6" i="2"/>
  <c r="W6" i="2"/>
  <c r="AK6" i="2"/>
  <c r="J8" i="2"/>
  <c r="J9" i="2"/>
  <c r="J10" i="2"/>
  <c r="P11" i="2"/>
  <c r="P12" i="2"/>
  <c r="K6" i="2"/>
  <c r="AE39" i="2"/>
  <c r="AL39" i="2"/>
  <c r="H9" i="2"/>
  <c r="H25" i="2"/>
  <c r="H28" i="2"/>
  <c r="P29" i="2"/>
  <c r="K30" i="2"/>
  <c r="L31" i="2"/>
  <c r="AF31" i="2"/>
  <c r="H32" i="2"/>
  <c r="AD33" i="2"/>
  <c r="H37" i="2"/>
  <c r="G20" i="4"/>
  <c r="H20" i="4" s="1"/>
  <c r="H6" i="4"/>
  <c r="J8" i="4"/>
  <c r="K9" i="4"/>
  <c r="J12" i="4"/>
  <c r="K13" i="4"/>
  <c r="J16" i="4"/>
  <c r="K17" i="4"/>
  <c r="L19" i="4"/>
  <c r="J19" i="4"/>
  <c r="J9" i="6"/>
  <c r="L9" i="6"/>
  <c r="P6" i="2"/>
  <c r="J11" i="2"/>
  <c r="J12" i="2"/>
  <c r="L6" i="2"/>
  <c r="K33" i="2"/>
  <c r="L6" i="4"/>
  <c r="I20" i="4"/>
  <c r="J20" i="4" s="1"/>
  <c r="R20" i="4"/>
  <c r="K8" i="4"/>
  <c r="K12" i="4"/>
  <c r="K16" i="4"/>
  <c r="K19" i="4"/>
  <c r="K7" i="4"/>
  <c r="K11" i="4"/>
  <c r="K15" i="4"/>
  <c r="I49" i="5"/>
  <c r="J49" i="5" s="1"/>
  <c r="J6" i="5"/>
  <c r="L6" i="5"/>
  <c r="J7" i="5"/>
  <c r="L7" i="5"/>
  <c r="J8" i="5"/>
  <c r="L8" i="5"/>
  <c r="J9" i="5"/>
  <c r="L9" i="5"/>
  <c r="J10" i="5"/>
  <c r="L10" i="5"/>
  <c r="J11" i="5"/>
  <c r="L11" i="5"/>
  <c r="J12" i="5"/>
  <c r="L12" i="5"/>
  <c r="J13" i="5"/>
  <c r="L13" i="5"/>
  <c r="J14" i="5"/>
  <c r="L14" i="5"/>
  <c r="J15" i="5"/>
  <c r="L15" i="5"/>
  <c r="J16" i="5"/>
  <c r="L16" i="5"/>
  <c r="J17" i="5"/>
  <c r="L17" i="5"/>
  <c r="J18" i="5"/>
  <c r="L18" i="5"/>
  <c r="J19" i="5"/>
  <c r="L19" i="5"/>
  <c r="J20" i="5"/>
  <c r="L20" i="5"/>
  <c r="J21" i="5"/>
  <c r="L21" i="5"/>
  <c r="J22" i="5"/>
  <c r="L22" i="5"/>
  <c r="J23" i="5"/>
  <c r="L23" i="5"/>
  <c r="J24" i="5"/>
  <c r="L24" i="5"/>
  <c r="J25" i="5"/>
  <c r="L25" i="5"/>
  <c r="J26" i="5"/>
  <c r="L26" i="5"/>
  <c r="J27" i="5"/>
  <c r="L27" i="5"/>
  <c r="J28" i="5"/>
  <c r="L28" i="5"/>
  <c r="J29" i="5"/>
  <c r="L29" i="5"/>
  <c r="J30" i="5"/>
  <c r="L30" i="5"/>
  <c r="J31" i="5"/>
  <c r="L31" i="5"/>
  <c r="J32" i="5"/>
  <c r="L32" i="5"/>
  <c r="J33" i="5"/>
  <c r="L33" i="5"/>
  <c r="J34" i="5"/>
  <c r="L34" i="5"/>
  <c r="J35" i="5"/>
  <c r="L35" i="5"/>
  <c r="J36" i="5"/>
  <c r="L36" i="5"/>
  <c r="J37" i="5"/>
  <c r="L37" i="5"/>
  <c r="J38" i="5"/>
  <c r="L38" i="5"/>
  <c r="J39" i="5"/>
  <c r="L39" i="5"/>
  <c r="J40" i="5"/>
  <c r="L40" i="5"/>
  <c r="J41" i="5"/>
  <c r="L41" i="5"/>
  <c r="J42" i="5"/>
  <c r="L42" i="5"/>
  <c r="J43" i="5"/>
  <c r="L43" i="5"/>
  <c r="J44" i="5"/>
  <c r="L44" i="5"/>
  <c r="J45" i="5"/>
  <c r="L45" i="5"/>
  <c r="J46" i="5"/>
  <c r="L46" i="5"/>
  <c r="J47" i="5"/>
  <c r="L47" i="5"/>
  <c r="J48" i="5"/>
  <c r="L48" i="5"/>
  <c r="J7" i="6"/>
  <c r="L7" i="6"/>
  <c r="J11" i="6"/>
  <c r="L11" i="6"/>
  <c r="I39" i="6"/>
  <c r="J39" i="6" s="1"/>
  <c r="L37" i="6"/>
  <c r="J37" i="6"/>
  <c r="I12" i="7"/>
  <c r="J12" i="7" s="1"/>
  <c r="J6" i="7"/>
  <c r="L6" i="7"/>
  <c r="K6" i="4"/>
  <c r="G49" i="5"/>
  <c r="H49" i="5" s="1"/>
  <c r="G39" i="6"/>
  <c r="H39" i="6" s="1"/>
  <c r="J6" i="6"/>
  <c r="R39" i="6"/>
  <c r="L39" i="6"/>
  <c r="K7" i="6"/>
  <c r="J8" i="6"/>
  <c r="K9" i="6"/>
  <c r="J10" i="6"/>
  <c r="K11" i="6"/>
  <c r="J12" i="6"/>
  <c r="K14" i="6"/>
  <c r="J18" i="6"/>
  <c r="K19" i="6"/>
  <c r="K20" i="6"/>
  <c r="K24" i="6"/>
  <c r="J26" i="6"/>
  <c r="K27" i="6"/>
  <c r="J30" i="6"/>
  <c r="K31" i="6"/>
  <c r="J34" i="6"/>
  <c r="K35" i="6"/>
  <c r="H9" i="7"/>
  <c r="K9" i="7"/>
  <c r="L6" i="6"/>
  <c r="J13" i="6"/>
  <c r="J17" i="6"/>
  <c r="L36" i="6"/>
  <c r="J36" i="6"/>
  <c r="L38" i="6"/>
  <c r="J38" i="6"/>
  <c r="O10" i="8"/>
  <c r="C10" i="8"/>
  <c r="G10" i="8" s="1"/>
  <c r="H10" i="8" s="1"/>
  <c r="O39" i="6"/>
  <c r="K6" i="6"/>
  <c r="K16" i="6"/>
  <c r="K17" i="6"/>
  <c r="K22" i="6"/>
  <c r="J25" i="6"/>
  <c r="J28" i="6"/>
  <c r="K29" i="6"/>
  <c r="J32" i="6"/>
  <c r="K33" i="6"/>
  <c r="K36" i="6"/>
  <c r="K38" i="6"/>
  <c r="R7" i="7"/>
  <c r="L7" i="7"/>
  <c r="R11" i="7"/>
  <c r="L11" i="7"/>
  <c r="O12" i="7"/>
  <c r="H6" i="8"/>
  <c r="Q11" i="8"/>
  <c r="R11" i="8" s="1"/>
  <c r="P7" i="8"/>
  <c r="R12" i="8"/>
  <c r="L12" i="8"/>
  <c r="AD6" i="7"/>
  <c r="AL12" i="7"/>
  <c r="AM12" i="7" s="1"/>
  <c r="AM6" i="7"/>
  <c r="R8" i="7"/>
  <c r="L8" i="7"/>
  <c r="K10" i="7"/>
  <c r="R6" i="8"/>
  <c r="P9" i="8"/>
  <c r="K9" i="8"/>
  <c r="L20" i="6"/>
  <c r="L21" i="6"/>
  <c r="L22" i="6"/>
  <c r="L23" i="6"/>
  <c r="L24" i="6"/>
  <c r="AE12" i="7"/>
  <c r="AF12" i="7" s="1"/>
  <c r="AF6" i="7"/>
  <c r="K7" i="7"/>
  <c r="R9" i="7"/>
  <c r="L9" i="7"/>
  <c r="K11" i="7"/>
  <c r="AC12" i="7"/>
  <c r="AD12" i="7" s="1"/>
  <c r="K8" i="8"/>
  <c r="P8" i="8"/>
  <c r="C9" i="8"/>
  <c r="G9" i="8" s="1"/>
  <c r="H9" i="8" s="1"/>
  <c r="K12" i="8"/>
  <c r="AC13" i="8"/>
  <c r="AD13" i="8" s="1"/>
  <c r="G12" i="7"/>
  <c r="H12" i="7" s="1"/>
  <c r="Q12" i="7"/>
  <c r="X12" i="7"/>
  <c r="Y12" i="7" s="1"/>
  <c r="Y6" i="7"/>
  <c r="K8" i="7"/>
  <c r="R10" i="7"/>
  <c r="L10" i="7"/>
  <c r="M11" i="8"/>
  <c r="O6" i="8"/>
  <c r="L9" i="8"/>
  <c r="R9" i="8"/>
  <c r="AJ13" i="8"/>
  <c r="AK13" i="8" s="1"/>
  <c r="N7" i="8"/>
  <c r="N10" i="8"/>
  <c r="U11" i="8"/>
  <c r="X11" i="8" s="1"/>
  <c r="Y11" i="8" s="1"/>
  <c r="T7" i="8"/>
  <c r="V7" i="8" s="1"/>
  <c r="W7" i="8" s="1"/>
  <c r="AE13" i="8"/>
  <c r="AF13" i="8" s="1"/>
  <c r="AL13" i="8"/>
  <c r="AM13" i="8" s="1"/>
  <c r="U7" i="8"/>
  <c r="X7" i="8" s="1"/>
  <c r="Y7" i="8" s="1"/>
  <c r="L8" i="8"/>
  <c r="K10" i="2" l="1"/>
  <c r="D6" i="1"/>
  <c r="C6" i="1"/>
  <c r="H22" i="2"/>
  <c r="K20" i="2"/>
  <c r="H11" i="2"/>
  <c r="H13" i="2"/>
  <c r="L6" i="8"/>
  <c r="L20" i="4"/>
  <c r="AJ39" i="2"/>
  <c r="AK39" i="2" s="1"/>
  <c r="D10" i="8"/>
  <c r="I10" i="8" s="1"/>
  <c r="J10" i="8" s="1"/>
  <c r="Q10" i="8"/>
  <c r="C7" i="8"/>
  <c r="G7" i="8" s="1"/>
  <c r="X13" i="8"/>
  <c r="Y13" i="8" s="1"/>
  <c r="D7" i="8"/>
  <c r="I7" i="8" s="1"/>
  <c r="Q7" i="8"/>
  <c r="R12" i="7"/>
  <c r="L12" i="7"/>
  <c r="V13" i="8"/>
  <c r="W13" i="8" s="1"/>
  <c r="D11" i="8"/>
  <c r="I11" i="8" s="1"/>
  <c r="J11" i="8" s="1"/>
  <c r="K12" i="7"/>
  <c r="P12" i="7"/>
  <c r="K39" i="6"/>
  <c r="P39" i="6"/>
  <c r="K9" i="2"/>
  <c r="O46" i="2"/>
  <c r="V46" i="2"/>
  <c r="K49" i="5"/>
  <c r="D5" i="1"/>
  <c r="K20" i="4"/>
  <c r="L35" i="2"/>
  <c r="P6" i="8"/>
  <c r="K6" i="8"/>
  <c r="O11" i="8"/>
  <c r="P11" i="8" s="1"/>
  <c r="C11" i="8"/>
  <c r="G11" i="8" s="1"/>
  <c r="H11" i="8" s="1"/>
  <c r="K7" i="8"/>
  <c r="P10" i="8"/>
  <c r="K10" i="8"/>
  <c r="AM39" i="2"/>
  <c r="L49" i="5"/>
  <c r="H35" i="2"/>
  <c r="D10" i="1"/>
  <c r="AJ46" i="2"/>
  <c r="AF39" i="2"/>
  <c r="AC46" i="2" s="1"/>
  <c r="I39" i="2"/>
  <c r="H7" i="8" l="1"/>
  <c r="G13" i="8"/>
  <c r="H13" i="8" s="1"/>
  <c r="L7" i="8"/>
  <c r="R7" i="8"/>
  <c r="Q13" i="8"/>
  <c r="L10" i="8"/>
  <c r="R10" i="8"/>
  <c r="I40" i="2"/>
  <c r="J39" i="2"/>
  <c r="J7" i="8"/>
  <c r="I13" i="8"/>
  <c r="J13" i="8" s="1"/>
  <c r="O13" i="8"/>
  <c r="H39" i="2"/>
  <c r="G46" i="2" s="1"/>
  <c r="K46" i="2" s="1"/>
  <c r="G40" i="2"/>
  <c r="K39" i="2"/>
  <c r="L39" i="2"/>
  <c r="K13" i="8" l="1"/>
  <c r="P13" i="8"/>
  <c r="H40" i="2"/>
  <c r="D11" i="1"/>
  <c r="D12" i="1" s="1"/>
  <c r="C40" i="2"/>
  <c r="D40" i="2"/>
  <c r="J40" i="2"/>
  <c r="C11" i="1"/>
  <c r="C12" i="1" s="1"/>
  <c r="R13" i="8"/>
  <c r="L13" i="8"/>
  <c r="G47" i="2" l="1"/>
  <c r="G48" i="2" s="1"/>
  <c r="G49" i="2" s="1"/>
  <c r="X40" i="2"/>
  <c r="Q40" i="2"/>
  <c r="AL40" i="2"/>
  <c r="AE40" i="2"/>
  <c r="AC40" i="2"/>
  <c r="O40" i="2"/>
  <c r="V40" i="2"/>
  <c r="AJ40" i="2"/>
  <c r="AM40" i="2" l="1"/>
  <c r="AM41" i="2" s="1"/>
  <c r="AL41" i="2"/>
  <c r="L40" i="2"/>
  <c r="R40" i="2"/>
  <c r="R41" i="2" s="1"/>
  <c r="Q41" i="2"/>
  <c r="W40" i="2"/>
  <c r="V41" i="2"/>
  <c r="K40" i="2"/>
  <c r="P40" i="2"/>
  <c r="O41" i="2"/>
  <c r="AD40" i="2"/>
  <c r="AC41" i="2"/>
  <c r="Y40" i="2"/>
  <c r="Y41" i="2" s="1"/>
  <c r="X41" i="2"/>
  <c r="AK40" i="2"/>
  <c r="AJ41" i="2"/>
  <c r="AF40" i="2"/>
  <c r="AF41" i="2" s="1"/>
  <c r="AE41" i="2"/>
  <c r="AJ47" i="2" l="1"/>
  <c r="AJ48" i="2" s="1"/>
  <c r="AJ49" i="2" s="1"/>
  <c r="AK41" i="2"/>
  <c r="AC47" i="2"/>
  <c r="AC48" i="2" s="1"/>
  <c r="AC49" i="2" s="1"/>
  <c r="AD41" i="2"/>
  <c r="K41" i="2"/>
  <c r="V47" i="2"/>
  <c r="V48" i="2" s="1"/>
  <c r="V49" i="2" s="1"/>
  <c r="W41" i="2"/>
  <c r="O47" i="2"/>
  <c r="P41" i="2"/>
  <c r="L41" i="2"/>
  <c r="K47" i="2" l="1"/>
  <c r="O48" i="2"/>
  <c r="O49" i="2" l="1"/>
  <c r="K49" i="2" s="1"/>
  <c r="K48" i="2"/>
</calcChain>
</file>

<file path=xl/sharedStrings.xml><?xml version="1.0" encoding="utf-8"?>
<sst xmlns="http://schemas.openxmlformats.org/spreadsheetml/2006/main" count="536" uniqueCount="159">
  <si>
    <t>Item</t>
  </si>
  <si>
    <t>Monthly Budget</t>
  </si>
  <si>
    <t>Low Season</t>
  </si>
  <si>
    <t>High Season</t>
  </si>
  <si>
    <t xml:space="preserve">Manpower Costs - Transportation &amp; Insurance Included </t>
  </si>
  <si>
    <t>Uniform &amp; PPE's</t>
  </si>
  <si>
    <t>Tools</t>
  </si>
  <si>
    <t>Equipment</t>
  </si>
  <si>
    <t>Consumables</t>
  </si>
  <si>
    <t>IT &amp; Others</t>
  </si>
  <si>
    <t>Budgeted Gross Profit</t>
  </si>
  <si>
    <t>Total Revenue</t>
  </si>
  <si>
    <t>INNER CAMPUS Budget</t>
  </si>
  <si>
    <t>OUTER CAMPUS  Budget</t>
  </si>
  <si>
    <t>NEW CAIRO OFF CAMPUS HOUSING Budget</t>
  </si>
  <si>
    <t>Maadi Buildings Budget</t>
  </si>
  <si>
    <t>NC INNER CAMPUS Budget</t>
  </si>
  <si>
    <t>High</t>
  </si>
  <si>
    <t>Low</t>
  </si>
  <si>
    <t>CTC</t>
  </si>
  <si>
    <t xml:space="preserve"> High Season </t>
  </si>
  <si>
    <t>Head Count</t>
  </si>
  <si>
    <t>Monthly</t>
  </si>
  <si>
    <t>Annually "8"Months</t>
  </si>
  <si>
    <t>Annually "4"Months</t>
  </si>
  <si>
    <t xml:space="preserve">HK Manager </t>
  </si>
  <si>
    <t>Ass. Manger</t>
  </si>
  <si>
    <t>Sienior Supervisor</t>
  </si>
  <si>
    <t xml:space="preserve">Supervisor 8H </t>
  </si>
  <si>
    <t xml:space="preserve">HK Male &amp; Female 8H </t>
  </si>
  <si>
    <t xml:space="preserve">Facades Supervisor 8H </t>
  </si>
  <si>
    <t xml:space="preserve">Facades Labor 8H </t>
  </si>
  <si>
    <t>Supervisor Waste 8H</t>
  </si>
  <si>
    <t xml:space="preserve">Labor Waste 8H </t>
  </si>
  <si>
    <t xml:space="preserve">Admin </t>
  </si>
  <si>
    <t>Storekeeper</t>
  </si>
  <si>
    <t>Drivers</t>
  </si>
  <si>
    <t>Trainer</t>
  </si>
  <si>
    <t>Supervisor 8H R</t>
  </si>
  <si>
    <t>HK Female 8H R</t>
  </si>
  <si>
    <t>Uniform &amp; PPE</t>
  </si>
  <si>
    <t>Tools and Consumables</t>
  </si>
  <si>
    <t>Machinery</t>
  </si>
  <si>
    <t xml:space="preserve">Consumables </t>
  </si>
  <si>
    <t>Transportation &amp; Vehicles</t>
  </si>
  <si>
    <t>Bus</t>
  </si>
  <si>
    <t>Microbus</t>
  </si>
  <si>
    <t>Sidan Car</t>
  </si>
  <si>
    <t>Minivan</t>
  </si>
  <si>
    <t>Pick up Car</t>
  </si>
  <si>
    <t>Fule</t>
  </si>
  <si>
    <t>IT and Communications</t>
  </si>
  <si>
    <t>Laptop, Mobile Phone, Printers, SIM Cards - Calls, Data, MIFI and Fingerprints Machine</t>
  </si>
  <si>
    <t>Others "Mobilization&amp;Over Head"</t>
  </si>
  <si>
    <t>Mobilization and Over Head</t>
  </si>
  <si>
    <t>Total Cost</t>
  </si>
  <si>
    <t>Gross Margin</t>
  </si>
  <si>
    <t>Gross Margin %</t>
  </si>
  <si>
    <t>Total Cost Annually</t>
  </si>
  <si>
    <t>Gross Margin Annually</t>
  </si>
  <si>
    <t>Total Revenue Annually</t>
  </si>
  <si>
    <t>Total Revenue Annually W VAT</t>
  </si>
  <si>
    <t>HK Budget</t>
  </si>
  <si>
    <t>Deprecation / Moth</t>
  </si>
  <si>
    <t>Price</t>
  </si>
  <si>
    <t>QTY.</t>
  </si>
  <si>
    <t>Road Sweeper Truck Rentel</t>
  </si>
  <si>
    <t>Manlift 15 M Rental</t>
  </si>
  <si>
    <t>Scissor lift 15 M Rental</t>
  </si>
  <si>
    <t>Boom Lift 15 M Rental</t>
  </si>
  <si>
    <t>Ride On Scraber</t>
  </si>
  <si>
    <t>Manual Push Sweeper</t>
  </si>
  <si>
    <t>Facades Cleaner</t>
  </si>
  <si>
    <t>Buzzi Machine</t>
  </si>
  <si>
    <t>Twintec</t>
  </si>
  <si>
    <t xml:space="preserve">Single Disk Machine  </t>
  </si>
  <si>
    <t>Full Wet/Dry Vacuum Cleaner 3 Motors</t>
  </si>
  <si>
    <t>Full Vacuum Cleaner 1 Motor</t>
  </si>
  <si>
    <t>Water High Pressure</t>
  </si>
  <si>
    <t>Maintenance</t>
  </si>
  <si>
    <t>Ladders 1.5 Meter</t>
  </si>
  <si>
    <t>Ladders 3 Meter</t>
  </si>
  <si>
    <t>Ladders 6 Meter</t>
  </si>
  <si>
    <t>Blower 3000 cfm</t>
  </si>
  <si>
    <t>H.K trolly Public Area</t>
  </si>
  <si>
    <t>Garbage  Trolley Maclin 400 L</t>
  </si>
  <si>
    <t>Carry Caddy</t>
  </si>
  <si>
    <t>Telescope 9 M</t>
  </si>
  <si>
    <t>Caution Wet Floor sign</t>
  </si>
  <si>
    <t>Microfiber Flat Mop with Bucket</t>
  </si>
  <si>
    <t>Microfiber Flat Mop pads</t>
  </si>
  <si>
    <t>Dry Mop 60 cm</t>
  </si>
  <si>
    <t>Dry Mop Pads 60 cm</t>
  </si>
  <si>
    <t>Dry Mop 100 cm</t>
  </si>
  <si>
    <t>Dry Mop Pads 100 cm</t>
  </si>
  <si>
    <t>Mop No Dust  40 cm</t>
  </si>
  <si>
    <t>Mop No Dust Pads  40 cm</t>
  </si>
  <si>
    <t>Gloves  No Dust  40 cm</t>
  </si>
  <si>
    <t>Liter Pickers</t>
  </si>
  <si>
    <t>Hard Floor Brooms W/ Hand   60cm</t>
  </si>
  <si>
    <t>Hard Floor Brooms W/ Hand   30cm</t>
  </si>
  <si>
    <t>Soft Floor Brooms W/ Hand   30cm</t>
  </si>
  <si>
    <t>Floor Squeezer W/ Hand  30 cm</t>
  </si>
  <si>
    <t>Floor Squeezer W/ Hand  80 cm</t>
  </si>
  <si>
    <t>Ceiling Duster</t>
  </si>
  <si>
    <t>Plastic Sprayer</t>
  </si>
  <si>
    <t xml:space="preserve">Floor Brush </t>
  </si>
  <si>
    <t>Toilet Bowl Cleaners Broom</t>
  </si>
  <si>
    <t xml:space="preserve">Dust Pans W/ Hand  </t>
  </si>
  <si>
    <t>Dust Pans   w / cover</t>
  </si>
  <si>
    <t>Water Bucket 20 L</t>
  </si>
  <si>
    <t>Floor Scraper</t>
  </si>
  <si>
    <t>Glass Scraper</t>
  </si>
  <si>
    <t>Spare Glass Scraper</t>
  </si>
  <si>
    <t>Glass Squeezer   35cm</t>
  </si>
  <si>
    <t>Window Washer   35cm</t>
  </si>
  <si>
    <t>Spare Glass Squeezer   35cm</t>
  </si>
  <si>
    <t>Spare Window Washer   35cm</t>
  </si>
  <si>
    <t>Red Pads 17mm</t>
  </si>
  <si>
    <t>White Pads 17mm</t>
  </si>
  <si>
    <t>Black Pads 17mm</t>
  </si>
  <si>
    <t>Electric Cable</t>
  </si>
  <si>
    <t>Hose 50 m</t>
  </si>
  <si>
    <t>TASKI Jontec ProStrip F 1b</t>
  </si>
  <si>
    <t>Oxivir Excel</t>
  </si>
  <si>
    <t>Room Care R1 Conc</t>
  </si>
  <si>
    <t>TASKI Calcacid W3</t>
  </si>
  <si>
    <t xml:space="preserve"> Suma Inox Classic D7 </t>
  </si>
  <si>
    <t xml:space="preserve">Room Care R3 Conc. </t>
  </si>
  <si>
    <t>Room Care R5 Conc.</t>
  </si>
  <si>
    <t>TASKI Tapi Extract C1b</t>
  </si>
  <si>
    <t>TASKI Tapi Spotx 1</t>
  </si>
  <si>
    <t>TASKI Tapi Spotx2</t>
  </si>
  <si>
    <t xml:space="preserve"> Soft Care Plus H41</t>
  </si>
  <si>
    <t>Room Care R4</t>
  </si>
  <si>
    <t xml:space="preserve"> TASKI Jontec Liquid Wax</t>
  </si>
  <si>
    <t>Soft Care Elegant</t>
  </si>
  <si>
    <t xml:space="preserve">TASKI Sprint Flower </t>
  </si>
  <si>
    <t>Domestos Prof Urinal Blocks</t>
  </si>
  <si>
    <t>LAPE O.L.T. SHAMPOO &amp; BODY WASH 2X5L</t>
  </si>
  <si>
    <t>Blue Towels   50*100</t>
  </si>
  <si>
    <t>Yellow Towels  30*30</t>
  </si>
  <si>
    <t>White Towels    30*30</t>
  </si>
  <si>
    <t>Microfiber red color</t>
  </si>
  <si>
    <t>Microfiber blue color</t>
  </si>
  <si>
    <t>Microfiber green color</t>
  </si>
  <si>
    <t>Hard Sponges</t>
  </si>
  <si>
    <t>Soft Sponges</t>
  </si>
  <si>
    <t>Aluminum mesh</t>
  </si>
  <si>
    <t xml:space="preserve">Garbage Bags   120 L </t>
  </si>
  <si>
    <t xml:space="preserve">Garbage Bags  60 L </t>
  </si>
  <si>
    <t xml:space="preserve">Garbage Bags  20 L </t>
  </si>
  <si>
    <t>Laptop</t>
  </si>
  <si>
    <t>Mobile Phone</t>
  </si>
  <si>
    <t>Printers</t>
  </si>
  <si>
    <t>SIM Cards Calls</t>
  </si>
  <si>
    <t>SIM Cards Data</t>
  </si>
  <si>
    <t xml:space="preserve">MIFI </t>
  </si>
  <si>
    <t>Fingerprints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</si>
</sst>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0.0000"/>
    <numFmt numFmtId="166" formatCode="_(* #,##0.0000_);_(* \(#,##0.0000\);_(* &quot;-&quot;??_);_(@_)"/>
    <numFmt numFmtId="167" formatCode="_(* #,##0_);_(* \(#,##0\);_(* &quot;-&quot;??_);_(@_)"/>
  </numFmts>
  <fonts count="12" x14ac:knownFonts="1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FFC000"/>
      <name val="Calibri"/>
      <family val="2"/>
    </font>
    <font>
      <b/>
      <sz val="11"/>
      <color rgb="FFFFC000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b/>
      <sz val="12"/>
      <color rgb="FFFF0000"/>
      <name val="Calibri"/>
      <family val="2"/>
    </font>
    <font>
      <sz val="11"/>
      <color rgb="FF0C0C0C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3F3F3F"/>
        <bgColor rgb="FF3F3F3F"/>
      </patternFill>
    </fill>
    <fill>
      <patternFill patternType="solid">
        <fgColor rgb="FFFFFFFF"/>
        <bgColor rgb="FFFFFFFF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 applyFont="1" applyAlignment="1"/>
    <xf numFmtId="0" fontId="1" fillId="2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43" fontId="3" fillId="0" borderId="5" xfId="0" applyNumberFormat="1" applyFont="1" applyBorder="1" applyAlignment="1">
      <alignment horizontal="center" vertical="center"/>
    </xf>
    <xf numFmtId="0" fontId="1" fillId="3" borderId="5" xfId="0" applyFont="1" applyFill="1" applyBorder="1" applyAlignment="1">
      <alignment horizontal="right" vertical="center"/>
    </xf>
    <xf numFmtId="43" fontId="1" fillId="3" borderId="5" xfId="0" applyNumberFormat="1" applyFont="1" applyFill="1" applyBorder="1" applyAlignment="1">
      <alignment horizontal="right" vertical="center"/>
    </xf>
    <xf numFmtId="43" fontId="1" fillId="2" borderId="5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2" fontId="3" fillId="0" borderId="0" xfId="0" applyNumberFormat="1" applyFont="1" applyAlignment="1">
      <alignment vertical="center"/>
    </xf>
    <xf numFmtId="43" fontId="3" fillId="0" borderId="0" xfId="0" applyNumberFormat="1" applyFont="1" applyAlignment="1">
      <alignment vertical="center"/>
    </xf>
    <xf numFmtId="165" fontId="3" fillId="0" borderId="0" xfId="0" applyNumberFormat="1" applyFont="1" applyAlignment="1">
      <alignment vertical="center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43" fontId="5" fillId="4" borderId="15" xfId="0" applyNumberFormat="1" applyFont="1" applyFill="1" applyBorder="1" applyAlignment="1">
      <alignment horizontal="center" vertical="center"/>
    </xf>
    <xf numFmtId="43" fontId="5" fillId="4" borderId="15" xfId="0" applyNumberFormat="1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left" vertical="center" wrapText="1"/>
    </xf>
    <xf numFmtId="43" fontId="3" fillId="0" borderId="15" xfId="0" applyNumberFormat="1" applyFont="1" applyBorder="1" applyAlignment="1">
      <alignment vertical="center"/>
    </xf>
    <xf numFmtId="0" fontId="3" fillId="0" borderId="15" xfId="0" applyFont="1" applyBorder="1" applyAlignment="1">
      <alignment horizontal="left" vertical="center"/>
    </xf>
    <xf numFmtId="43" fontId="3" fillId="0" borderId="0" xfId="0" applyNumberFormat="1" applyFont="1" applyAlignment="1">
      <alignment horizontal="center" vertical="center"/>
    </xf>
    <xf numFmtId="0" fontId="6" fillId="0" borderId="15" xfId="0" applyFont="1" applyBorder="1" applyAlignment="1">
      <alignment horizontal="left" vertical="center"/>
    </xf>
    <xf numFmtId="0" fontId="1" fillId="2" borderId="15" xfId="0" applyFont="1" applyFill="1" applyBorder="1" applyAlignment="1">
      <alignment horizontal="left" vertical="center"/>
    </xf>
    <xf numFmtId="0" fontId="3" fillId="2" borderId="16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43" fontId="1" fillId="2" borderId="15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3" fillId="0" borderId="15" xfId="0" applyNumberFormat="1" applyFont="1" applyBorder="1" applyAlignment="1">
      <alignment horizontal="center"/>
    </xf>
    <xf numFmtId="0" fontId="3" fillId="2" borderId="15" xfId="0" applyFont="1" applyFill="1" applyBorder="1" applyAlignment="1">
      <alignment horizontal="left" vertical="center"/>
    </xf>
    <xf numFmtId="0" fontId="3" fillId="0" borderId="15" xfId="0" applyFont="1" applyBorder="1" applyAlignment="1">
      <alignment vertical="center"/>
    </xf>
    <xf numFmtId="0" fontId="7" fillId="0" borderId="15" xfId="0" applyFont="1" applyBorder="1" applyAlignment="1">
      <alignment horizontal="left" vertical="center"/>
    </xf>
    <xf numFmtId="9" fontId="3" fillId="0" borderId="0" xfId="0" applyNumberFormat="1" applyFont="1" applyAlignment="1">
      <alignment horizontal="center" vertical="center"/>
    </xf>
    <xf numFmtId="166" fontId="3" fillId="0" borderId="15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43" fontId="7" fillId="0" borderId="15" xfId="0" applyNumberFormat="1" applyFont="1" applyBorder="1" applyAlignment="1">
      <alignment vertical="center"/>
    </xf>
    <xf numFmtId="43" fontId="7" fillId="0" borderId="0" xfId="0" applyNumberFormat="1" applyFont="1" applyAlignment="1">
      <alignment vertical="center"/>
    </xf>
    <xf numFmtId="0" fontId="4" fillId="4" borderId="18" xfId="0" applyFont="1" applyFill="1" applyBorder="1" applyAlignment="1">
      <alignment horizontal="center" vertical="center"/>
    </xf>
    <xf numFmtId="43" fontId="5" fillId="4" borderId="19" xfId="0" applyNumberFormat="1" applyFont="1" applyFill="1" applyBorder="1" applyAlignment="1">
      <alignment horizontal="center" vertical="center" wrapText="1"/>
    </xf>
    <xf numFmtId="2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43" fontId="8" fillId="0" borderId="0" xfId="0" applyNumberFormat="1" applyFont="1" applyAlignment="1">
      <alignment horizontal="center" vertical="center"/>
    </xf>
    <xf numFmtId="43" fontId="3" fillId="0" borderId="0" xfId="0" applyNumberFormat="1" applyFont="1"/>
    <xf numFmtId="0" fontId="6" fillId="0" borderId="15" xfId="0" applyFont="1" applyBorder="1" applyAlignment="1">
      <alignment horizontal="center" vertical="center"/>
    </xf>
    <xf numFmtId="43" fontId="3" fillId="0" borderId="15" xfId="0" applyNumberFormat="1" applyFont="1" applyBorder="1" applyAlignment="1">
      <alignment horizontal="center" vertical="center"/>
    </xf>
    <xf numFmtId="43" fontId="9" fillId="0" borderId="15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43" fontId="8" fillId="0" borderId="0" xfId="0" applyNumberFormat="1" applyFont="1" applyAlignment="1">
      <alignment vertical="center"/>
    </xf>
    <xf numFmtId="43" fontId="6" fillId="0" borderId="15" xfId="0" applyNumberFormat="1" applyFont="1" applyBorder="1" applyAlignment="1">
      <alignment horizontal="center" vertical="center"/>
    </xf>
    <xf numFmtId="0" fontId="9" fillId="0" borderId="15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 wrapText="1" readingOrder="1"/>
    </xf>
    <xf numFmtId="0" fontId="10" fillId="5" borderId="15" xfId="0" applyFont="1" applyFill="1" applyBorder="1" applyAlignment="1">
      <alignment horizontal="left" vertical="center" wrapText="1"/>
    </xf>
    <xf numFmtId="0" fontId="10" fillId="5" borderId="15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left" vertical="center" wrapText="1"/>
    </xf>
    <xf numFmtId="167" fontId="3" fillId="0" borderId="0" xfId="0" applyNumberFormat="1" applyFont="1" applyAlignment="1">
      <alignment vertical="center"/>
    </xf>
    <xf numFmtId="43" fontId="11" fillId="0" borderId="0" xfId="0" applyNumberFormat="1" applyFont="1"/>
    <xf numFmtId="2" fontId="2" fillId="0" borderId="0" xfId="0" applyNumberFormat="1" applyFont="1"/>
    <xf numFmtId="43" fontId="7" fillId="0" borderId="0" xfId="0" applyNumberFormat="1" applyFont="1"/>
    <xf numFmtId="43" fontId="2" fillId="0" borderId="0" xfId="0" applyNumberFormat="1" applyFont="1"/>
    <xf numFmtId="0" fontId="3" fillId="0" borderId="15" xfId="0" applyFont="1" applyBorder="1" applyAlignment="1">
      <alignment horizontal="center"/>
    </xf>
    <xf numFmtId="164" fontId="3" fillId="0" borderId="0" xfId="0" applyNumberFormat="1" applyFont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4" xfId="0" applyFont="1" applyBorder="1"/>
    <xf numFmtId="43" fontId="7" fillId="0" borderId="0" xfId="0" applyNumberFormat="1" applyFont="1" applyAlignment="1">
      <alignment horizontal="center" vertical="center"/>
    </xf>
    <xf numFmtId="0" fontId="0" fillId="0" borderId="0" xfId="0" applyFont="1" applyAlignment="1"/>
    <xf numFmtId="0" fontId="3" fillId="0" borderId="6" xfId="0" applyFont="1" applyBorder="1" applyAlignment="1">
      <alignment horizontal="center" vertical="center"/>
    </xf>
    <xf numFmtId="0" fontId="2" fillId="0" borderId="6" xfId="0" applyFont="1" applyBorder="1"/>
    <xf numFmtId="43" fontId="5" fillId="4" borderId="11" xfId="0" applyNumberFormat="1" applyFont="1" applyFill="1" applyBorder="1" applyAlignment="1">
      <alignment horizontal="center" vertical="center"/>
    </xf>
    <xf numFmtId="0" fontId="2" fillId="0" borderId="12" xfId="0" applyFont="1" applyBorder="1"/>
    <xf numFmtId="0" fontId="4" fillId="4" borderId="7" xfId="0" applyFont="1" applyFill="1" applyBorder="1" applyAlignment="1">
      <alignment horizontal="center" vertical="center"/>
    </xf>
    <xf numFmtId="0" fontId="2" fillId="0" borderId="13" xfId="0" applyFont="1" applyBorder="1"/>
    <xf numFmtId="0" fontId="5" fillId="4" borderId="10" xfId="0" applyFont="1" applyFill="1" applyBorder="1" applyAlignment="1">
      <alignment horizontal="center" vertical="center"/>
    </xf>
    <xf numFmtId="0" fontId="2" fillId="0" borderId="14" xfId="0" applyFont="1" applyBorder="1"/>
    <xf numFmtId="43" fontId="5" fillId="4" borderId="7" xfId="0" applyNumberFormat="1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 wrapText="1"/>
    </xf>
    <xf numFmtId="43" fontId="3" fillId="0" borderId="0" xfId="0" applyNumberFormat="1" applyFont="1" applyFill="1" applyAlignment="1">
      <alignment vertical="center"/>
    </xf>
    <xf numFmtId="43" fontId="3" fillId="0" borderId="15" xfId="0" applyNumberFormat="1" applyFont="1" applyFill="1" applyBorder="1" applyAlignment="1">
      <alignment vertical="center"/>
    </xf>
    <xf numFmtId="0" fontId="3" fillId="0" borderId="15" xfId="0" applyFont="1" applyFill="1" applyBorder="1" applyAlignment="1">
      <alignment horizontal="left" vertical="center" wrapText="1"/>
    </xf>
    <xf numFmtId="43" fontId="3" fillId="0" borderId="0" xfId="0" applyNumberFormat="1" applyFont="1" applyFill="1" applyAlignment="1">
      <alignment horizontal="center" vertical="center"/>
    </xf>
    <xf numFmtId="0" fontId="3" fillId="0" borderId="1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esktop/Ahmed/Final%20Budget/Breakdown%20-%20Updated%20-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eakdown 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00"/>
  <sheetViews>
    <sheetView tabSelected="1" workbookViewId="0">
      <pane ySplit="4" topLeftCell="A5" activePane="bottomLeft" state="frozen"/>
      <selection pane="bottomLeft" activeCell="F19" sqref="F19"/>
    </sheetView>
  </sheetViews>
  <sheetFormatPr defaultColWidth="14.453125" defaultRowHeight="15" customHeight="1" x14ac:dyDescent="0.35"/>
  <cols>
    <col min="1" max="1" width="4.7265625" customWidth="1"/>
    <col min="2" max="2" width="31.7265625" customWidth="1"/>
    <col min="3" max="3" width="11.54296875" customWidth="1"/>
    <col min="4" max="4" width="9.1796875" customWidth="1"/>
    <col min="5" max="6" width="15.7265625" customWidth="1"/>
    <col min="7" max="7" width="18.81640625" customWidth="1"/>
    <col min="8" max="8" width="20" customWidth="1"/>
    <col min="9" max="9" width="18.81640625" customWidth="1"/>
    <col min="10" max="10" width="20.26953125" customWidth="1"/>
    <col min="11" max="11" width="16.26953125" customWidth="1"/>
    <col min="12" max="12" width="14.81640625" customWidth="1"/>
    <col min="13" max="14" width="9.1796875" customWidth="1"/>
    <col min="15" max="15" width="18.81640625" customWidth="1"/>
    <col min="16" max="16" width="20.26953125" customWidth="1"/>
    <col min="17" max="18" width="18.54296875" customWidth="1"/>
    <col min="19" max="21" width="9.1796875" customWidth="1"/>
    <col min="22" max="22" width="18.1796875" customWidth="1"/>
    <col min="23" max="23" width="18.54296875" customWidth="1"/>
    <col min="24" max="24" width="16" customWidth="1"/>
    <col min="25" max="25" width="18.81640625" customWidth="1"/>
    <col min="26" max="28" width="9.1796875" customWidth="1"/>
    <col min="29" max="32" width="15.7265625" customWidth="1"/>
    <col min="33" max="35" width="9.1796875" customWidth="1"/>
    <col min="36" max="39" width="15.7265625" customWidth="1"/>
  </cols>
  <sheetData>
    <row r="1" spans="1:39" ht="14.25" customHeight="1" x14ac:dyDescent="0.35">
      <c r="A1" s="8"/>
      <c r="B1" s="9"/>
      <c r="C1" s="7"/>
      <c r="D1" s="7"/>
      <c r="E1" s="8"/>
      <c r="F1" s="8"/>
      <c r="G1" s="8"/>
      <c r="H1" s="8"/>
      <c r="I1" s="8"/>
      <c r="J1" s="8"/>
      <c r="K1" s="8"/>
      <c r="L1" s="8"/>
      <c r="M1" s="8"/>
      <c r="N1" s="8"/>
      <c r="O1" s="10"/>
      <c r="P1" s="10"/>
      <c r="Q1" s="10"/>
      <c r="R1" s="10"/>
      <c r="S1" s="8"/>
      <c r="T1" s="8"/>
      <c r="U1" s="8"/>
      <c r="V1" s="10"/>
      <c r="W1" s="10"/>
      <c r="X1" s="10"/>
      <c r="Y1" s="10"/>
      <c r="Z1" s="8"/>
      <c r="AA1" s="8"/>
      <c r="AB1" s="8"/>
      <c r="AC1" s="10"/>
      <c r="AD1" s="10"/>
      <c r="AE1" s="10"/>
      <c r="AF1" s="10"/>
      <c r="AG1" s="8"/>
      <c r="AH1" s="8"/>
      <c r="AI1" s="8"/>
      <c r="AJ1" s="10"/>
      <c r="AK1" s="10"/>
      <c r="AL1" s="10"/>
      <c r="AM1" s="10"/>
    </row>
    <row r="2" spans="1:39" ht="14.25" customHeight="1" x14ac:dyDescent="0.35">
      <c r="A2" s="8"/>
      <c r="B2" s="9"/>
      <c r="C2" s="7"/>
      <c r="D2" s="7"/>
      <c r="E2" s="11">
        <f>F15/C15</f>
        <v>4750</v>
      </c>
      <c r="F2" s="8"/>
      <c r="G2" s="8"/>
      <c r="H2" s="8"/>
      <c r="I2" s="8">
        <f>850*30*6</f>
        <v>153000</v>
      </c>
      <c r="J2" s="8">
        <f>K2*6</f>
        <v>180</v>
      </c>
      <c r="K2" s="8">
        <v>30</v>
      </c>
      <c r="L2" s="8"/>
      <c r="M2" s="8"/>
      <c r="N2" s="8"/>
      <c r="O2" s="10"/>
      <c r="P2" s="10"/>
      <c r="Q2" s="10"/>
      <c r="R2" s="10"/>
      <c r="S2" s="8"/>
      <c r="T2" s="8"/>
      <c r="U2" s="8"/>
      <c r="V2" s="10"/>
      <c r="W2" s="10"/>
      <c r="X2" s="10"/>
      <c r="Y2" s="10"/>
      <c r="Z2" s="8"/>
      <c r="AA2" s="8"/>
      <c r="AB2" s="8"/>
      <c r="AC2" s="10"/>
      <c r="AD2" s="10"/>
      <c r="AE2" s="10"/>
      <c r="AF2" s="10"/>
      <c r="AG2" s="8"/>
      <c r="AH2" s="8"/>
      <c r="AI2" s="8"/>
      <c r="AJ2" s="10"/>
      <c r="AK2" s="10"/>
      <c r="AL2" s="10"/>
      <c r="AM2" s="10"/>
    </row>
    <row r="3" spans="1:39" ht="14.25" customHeight="1" x14ac:dyDescent="0.35">
      <c r="A3" s="8"/>
      <c r="B3" s="8"/>
      <c r="C3" s="7"/>
      <c r="D3" s="7"/>
      <c r="E3" s="8"/>
      <c r="F3" s="8"/>
      <c r="G3" s="61">
        <f>F16/2</f>
        <v>4250</v>
      </c>
      <c r="H3" s="8"/>
      <c r="I3" s="8"/>
      <c r="J3" s="8"/>
      <c r="K3" s="8"/>
      <c r="L3" s="8"/>
      <c r="M3" s="68" t="s">
        <v>12</v>
      </c>
      <c r="N3" s="69"/>
      <c r="O3" s="69"/>
      <c r="P3" s="69"/>
      <c r="Q3" s="69"/>
      <c r="R3" s="69"/>
      <c r="S3" s="8"/>
      <c r="T3" s="68" t="s">
        <v>13</v>
      </c>
      <c r="U3" s="69"/>
      <c r="V3" s="69"/>
      <c r="W3" s="69"/>
      <c r="X3" s="69"/>
      <c r="Y3" s="69"/>
      <c r="Z3" s="8"/>
      <c r="AA3" s="68" t="s">
        <v>14</v>
      </c>
      <c r="AB3" s="69"/>
      <c r="AC3" s="69"/>
      <c r="AD3" s="69"/>
      <c r="AE3" s="69"/>
      <c r="AF3" s="69"/>
      <c r="AG3" s="8"/>
      <c r="AH3" s="68" t="s">
        <v>15</v>
      </c>
      <c r="AI3" s="69"/>
      <c r="AJ3" s="69"/>
      <c r="AK3" s="69"/>
      <c r="AL3" s="69"/>
      <c r="AM3" s="69"/>
    </row>
    <row r="4" spans="1:39" ht="30" customHeight="1" x14ac:dyDescent="0.35">
      <c r="A4" s="8"/>
      <c r="B4" s="72" t="s">
        <v>16</v>
      </c>
      <c r="C4" s="12" t="s">
        <v>17</v>
      </c>
      <c r="D4" s="13" t="s">
        <v>18</v>
      </c>
      <c r="E4" s="74"/>
      <c r="F4" s="76" t="s">
        <v>19</v>
      </c>
      <c r="G4" s="70" t="s">
        <v>20</v>
      </c>
      <c r="H4" s="71"/>
      <c r="I4" s="70" t="s">
        <v>2</v>
      </c>
      <c r="J4" s="71"/>
      <c r="K4" s="8"/>
      <c r="L4" s="8"/>
      <c r="M4" s="12" t="s">
        <v>17</v>
      </c>
      <c r="N4" s="13" t="s">
        <v>18</v>
      </c>
      <c r="O4" s="70" t="s">
        <v>20</v>
      </c>
      <c r="P4" s="71"/>
      <c r="Q4" s="70" t="s">
        <v>2</v>
      </c>
      <c r="R4" s="71"/>
      <c r="S4" s="8"/>
      <c r="T4" s="12" t="s">
        <v>17</v>
      </c>
      <c r="U4" s="13" t="s">
        <v>18</v>
      </c>
      <c r="V4" s="70" t="s">
        <v>20</v>
      </c>
      <c r="W4" s="71"/>
      <c r="X4" s="70" t="s">
        <v>2</v>
      </c>
      <c r="Y4" s="71"/>
      <c r="Z4" s="8"/>
      <c r="AA4" s="12" t="s">
        <v>17</v>
      </c>
      <c r="AB4" s="13" t="s">
        <v>18</v>
      </c>
      <c r="AC4" s="70" t="s">
        <v>20</v>
      </c>
      <c r="AD4" s="71"/>
      <c r="AE4" s="70" t="s">
        <v>2</v>
      </c>
      <c r="AF4" s="71"/>
      <c r="AG4" s="8"/>
      <c r="AH4" s="12" t="s">
        <v>17</v>
      </c>
      <c r="AI4" s="13" t="s">
        <v>18</v>
      </c>
      <c r="AJ4" s="70" t="s">
        <v>20</v>
      </c>
      <c r="AK4" s="71"/>
      <c r="AL4" s="70" t="s">
        <v>2</v>
      </c>
      <c r="AM4" s="71"/>
    </row>
    <row r="5" spans="1:39" ht="14.25" customHeight="1" x14ac:dyDescent="0.35">
      <c r="A5" s="8"/>
      <c r="B5" s="73"/>
      <c r="C5" s="12" t="s">
        <v>21</v>
      </c>
      <c r="D5" s="12" t="s">
        <v>21</v>
      </c>
      <c r="E5" s="75"/>
      <c r="F5" s="73"/>
      <c r="G5" s="14" t="s">
        <v>22</v>
      </c>
      <c r="H5" s="15" t="s">
        <v>23</v>
      </c>
      <c r="I5" s="14" t="s">
        <v>22</v>
      </c>
      <c r="J5" s="15" t="s">
        <v>24</v>
      </c>
      <c r="K5" s="8"/>
      <c r="L5" s="8"/>
      <c r="M5" s="12" t="s">
        <v>21</v>
      </c>
      <c r="N5" s="12" t="s">
        <v>21</v>
      </c>
      <c r="O5" s="14" t="s">
        <v>22</v>
      </c>
      <c r="P5" s="15" t="s">
        <v>23</v>
      </c>
      <c r="Q5" s="14" t="s">
        <v>22</v>
      </c>
      <c r="R5" s="15" t="s">
        <v>24</v>
      </c>
      <c r="S5" s="8"/>
      <c r="T5" s="12" t="s">
        <v>21</v>
      </c>
      <c r="U5" s="12" t="s">
        <v>21</v>
      </c>
      <c r="V5" s="14" t="s">
        <v>22</v>
      </c>
      <c r="W5" s="15" t="s">
        <v>23</v>
      </c>
      <c r="X5" s="14" t="s">
        <v>22</v>
      </c>
      <c r="Y5" s="15" t="s">
        <v>24</v>
      </c>
      <c r="Z5" s="8"/>
      <c r="AA5" s="12" t="s">
        <v>21</v>
      </c>
      <c r="AB5" s="12" t="s">
        <v>21</v>
      </c>
      <c r="AC5" s="14" t="s">
        <v>22</v>
      </c>
      <c r="AD5" s="15" t="s">
        <v>23</v>
      </c>
      <c r="AE5" s="14" t="s">
        <v>22</v>
      </c>
      <c r="AF5" s="15" t="s">
        <v>24</v>
      </c>
      <c r="AG5" s="8"/>
      <c r="AH5" s="12" t="s">
        <v>21</v>
      </c>
      <c r="AI5" s="12" t="s">
        <v>21</v>
      </c>
      <c r="AJ5" s="14" t="s">
        <v>22</v>
      </c>
      <c r="AK5" s="15" t="s">
        <v>23</v>
      </c>
      <c r="AL5" s="14" t="s">
        <v>22</v>
      </c>
      <c r="AM5" s="15" t="s">
        <v>24</v>
      </c>
    </row>
    <row r="6" spans="1:39" ht="14.25" customHeight="1" x14ac:dyDescent="0.35">
      <c r="A6" s="8"/>
      <c r="B6" s="16" t="s">
        <v>25</v>
      </c>
      <c r="C6" s="7">
        <v>1</v>
      </c>
      <c r="D6" s="7">
        <v>1</v>
      </c>
      <c r="E6" s="10"/>
      <c r="F6" s="17">
        <v>32500</v>
      </c>
      <c r="G6" s="79">
        <f>C6*F6</f>
        <v>32500</v>
      </c>
      <c r="H6" s="10">
        <f t="shared" ref="H6:H20" si="0">G6*8</f>
        <v>260000</v>
      </c>
      <c r="I6" s="10">
        <f>D6*F6</f>
        <v>32500</v>
      </c>
      <c r="J6" s="10">
        <f t="shared" ref="J6:J20" si="1">I6*4</f>
        <v>130000</v>
      </c>
      <c r="K6" s="10">
        <f t="shared" ref="K6:K20" si="2">(O6+V6+AC6+AJ6)-G6</f>
        <v>0</v>
      </c>
      <c r="L6" s="10">
        <f t="shared" ref="L6:L20" si="3">(Q6+X6+AE6+AL6)-I6</f>
        <v>0</v>
      </c>
      <c r="M6" s="7">
        <v>0.75</v>
      </c>
      <c r="N6" s="7">
        <v>0.75</v>
      </c>
      <c r="O6" s="10">
        <f t="shared" ref="O6:O20" si="4">F6*M6</f>
        <v>24375</v>
      </c>
      <c r="P6" s="10">
        <f t="shared" ref="P6:P20" si="5">O6*8</f>
        <v>195000</v>
      </c>
      <c r="Q6" s="10">
        <f t="shared" ref="Q6:Q20" si="6">N6*F6</f>
        <v>24375</v>
      </c>
      <c r="R6" s="10">
        <f t="shared" ref="R6:R20" si="7">Q6*4</f>
        <v>97500</v>
      </c>
      <c r="S6" s="8"/>
      <c r="T6" s="10">
        <v>0.25</v>
      </c>
      <c r="U6" s="10">
        <v>0.25</v>
      </c>
      <c r="V6" s="10">
        <f t="shared" ref="V6:V20" si="8">T6*F6</f>
        <v>8125</v>
      </c>
      <c r="W6" s="10">
        <f t="shared" ref="W6:W20" si="9">V6*8</f>
        <v>65000</v>
      </c>
      <c r="X6" s="10">
        <f t="shared" ref="X6:X20" si="10">U6*F6</f>
        <v>8125</v>
      </c>
      <c r="Y6" s="10">
        <f t="shared" ref="Y6:Y20" si="11">X6*4</f>
        <v>32500</v>
      </c>
      <c r="Z6" s="8"/>
      <c r="AA6" s="8"/>
      <c r="AB6" s="8"/>
      <c r="AC6" s="10">
        <f t="shared" ref="AC6:AC20" si="12">AA6*F6</f>
        <v>0</v>
      </c>
      <c r="AD6" s="10">
        <f t="shared" ref="AD6:AD20" si="13">AC6*8</f>
        <v>0</v>
      </c>
      <c r="AE6" s="10">
        <f t="shared" ref="AE6:AE20" si="14">AB6*F6</f>
        <v>0</v>
      </c>
      <c r="AF6" s="10">
        <f t="shared" ref="AF6:AF20" si="15">AE6*4</f>
        <v>0</v>
      </c>
      <c r="AG6" s="8"/>
      <c r="AH6" s="8"/>
      <c r="AI6" s="8"/>
      <c r="AJ6" s="10">
        <f t="shared" ref="AJ6:AJ20" si="16">AH6*F6</f>
        <v>0</v>
      </c>
      <c r="AK6" s="10">
        <f t="shared" ref="AK6:AK20" si="17">AJ6*8</f>
        <v>0</v>
      </c>
      <c r="AL6" s="10">
        <f t="shared" ref="AL6:AL20" si="18">AI6*F6</f>
        <v>0</v>
      </c>
      <c r="AM6" s="10">
        <f t="shared" ref="AM6:AM20" si="19">AL6*4</f>
        <v>0</v>
      </c>
    </row>
    <row r="7" spans="1:39" ht="14.25" customHeight="1" x14ac:dyDescent="0.35">
      <c r="A7" s="8"/>
      <c r="B7" s="16" t="s">
        <v>26</v>
      </c>
      <c r="C7" s="7">
        <v>5</v>
      </c>
      <c r="D7" s="7">
        <v>5</v>
      </c>
      <c r="E7" s="10">
        <v>15500</v>
      </c>
      <c r="F7" s="17">
        <v>18500</v>
      </c>
      <c r="G7" s="79">
        <f t="shared" ref="G7:G20" si="20">C7*F7</f>
        <v>92500</v>
      </c>
      <c r="H7" s="10">
        <f t="shared" si="0"/>
        <v>740000</v>
      </c>
      <c r="I7" s="10">
        <f t="shared" ref="I7:I20" si="21">D7*F7</f>
        <v>92500</v>
      </c>
      <c r="J7" s="10">
        <f t="shared" si="1"/>
        <v>370000</v>
      </c>
      <c r="K7" s="10">
        <f t="shared" si="2"/>
        <v>0</v>
      </c>
      <c r="L7" s="10">
        <f t="shared" si="3"/>
        <v>0</v>
      </c>
      <c r="M7" s="7">
        <v>3</v>
      </c>
      <c r="N7" s="7">
        <v>3</v>
      </c>
      <c r="O7" s="10">
        <f t="shared" si="4"/>
        <v>55500</v>
      </c>
      <c r="P7" s="10">
        <f t="shared" si="5"/>
        <v>444000</v>
      </c>
      <c r="Q7" s="10">
        <f t="shared" si="6"/>
        <v>55500</v>
      </c>
      <c r="R7" s="10">
        <f t="shared" si="7"/>
        <v>222000</v>
      </c>
      <c r="S7" s="8"/>
      <c r="T7" s="10">
        <v>2</v>
      </c>
      <c r="U7" s="10">
        <v>2</v>
      </c>
      <c r="V7" s="10">
        <f t="shared" si="8"/>
        <v>37000</v>
      </c>
      <c r="W7" s="10">
        <f t="shared" si="9"/>
        <v>296000</v>
      </c>
      <c r="X7" s="10">
        <f t="shared" si="10"/>
        <v>37000</v>
      </c>
      <c r="Y7" s="10">
        <f t="shared" si="11"/>
        <v>148000</v>
      </c>
      <c r="Z7" s="8"/>
      <c r="AA7" s="8"/>
      <c r="AB7" s="8"/>
      <c r="AC7" s="10">
        <f t="shared" si="12"/>
        <v>0</v>
      </c>
      <c r="AD7" s="10">
        <f t="shared" si="13"/>
        <v>0</v>
      </c>
      <c r="AE7" s="10">
        <f t="shared" si="14"/>
        <v>0</v>
      </c>
      <c r="AF7" s="10">
        <f t="shared" si="15"/>
        <v>0</v>
      </c>
      <c r="AG7" s="8"/>
      <c r="AH7" s="8"/>
      <c r="AI7" s="8"/>
      <c r="AJ7" s="10">
        <f t="shared" si="16"/>
        <v>0</v>
      </c>
      <c r="AK7" s="10">
        <f t="shared" si="17"/>
        <v>0</v>
      </c>
      <c r="AL7" s="10">
        <f t="shared" si="18"/>
        <v>0</v>
      </c>
      <c r="AM7" s="10">
        <f t="shared" si="19"/>
        <v>0</v>
      </c>
    </row>
    <row r="8" spans="1:39" ht="14.25" customHeight="1" x14ac:dyDescent="0.35">
      <c r="A8" s="8"/>
      <c r="B8" s="16" t="s">
        <v>27</v>
      </c>
      <c r="C8" s="7">
        <v>5</v>
      </c>
      <c r="D8" s="7">
        <v>5</v>
      </c>
      <c r="E8" s="10">
        <v>11000</v>
      </c>
      <c r="F8" s="17">
        <v>13000</v>
      </c>
      <c r="G8" s="79">
        <f t="shared" si="20"/>
        <v>65000</v>
      </c>
      <c r="H8" s="10">
        <f t="shared" si="0"/>
        <v>520000</v>
      </c>
      <c r="I8" s="10">
        <f t="shared" si="21"/>
        <v>65000</v>
      </c>
      <c r="J8" s="10">
        <f t="shared" si="1"/>
        <v>260000</v>
      </c>
      <c r="K8" s="10">
        <f t="shared" si="2"/>
        <v>0</v>
      </c>
      <c r="L8" s="10">
        <f t="shared" si="3"/>
        <v>0</v>
      </c>
      <c r="M8" s="7">
        <v>3</v>
      </c>
      <c r="N8" s="7">
        <v>3</v>
      </c>
      <c r="O8" s="10">
        <f t="shared" si="4"/>
        <v>39000</v>
      </c>
      <c r="P8" s="10">
        <f t="shared" si="5"/>
        <v>312000</v>
      </c>
      <c r="Q8" s="10">
        <f t="shared" si="6"/>
        <v>39000</v>
      </c>
      <c r="R8" s="10">
        <f t="shared" si="7"/>
        <v>156000</v>
      </c>
      <c r="S8" s="8"/>
      <c r="T8" s="10">
        <v>2</v>
      </c>
      <c r="U8" s="10">
        <v>2</v>
      </c>
      <c r="V8" s="10">
        <f t="shared" si="8"/>
        <v>26000</v>
      </c>
      <c r="W8" s="10">
        <f t="shared" si="9"/>
        <v>208000</v>
      </c>
      <c r="X8" s="10">
        <f t="shared" si="10"/>
        <v>26000</v>
      </c>
      <c r="Y8" s="10">
        <f t="shared" si="11"/>
        <v>104000</v>
      </c>
      <c r="Z8" s="8"/>
      <c r="AA8" s="8"/>
      <c r="AB8" s="8"/>
      <c r="AC8" s="10">
        <f t="shared" si="12"/>
        <v>0</v>
      </c>
      <c r="AD8" s="10">
        <f t="shared" si="13"/>
        <v>0</v>
      </c>
      <c r="AE8" s="10">
        <f t="shared" si="14"/>
        <v>0</v>
      </c>
      <c r="AF8" s="10">
        <f t="shared" si="15"/>
        <v>0</v>
      </c>
      <c r="AG8" s="8"/>
      <c r="AH8" s="8"/>
      <c r="AI8" s="8"/>
      <c r="AJ8" s="10">
        <f t="shared" si="16"/>
        <v>0</v>
      </c>
      <c r="AK8" s="10">
        <f t="shared" si="17"/>
        <v>0</v>
      </c>
      <c r="AL8" s="10">
        <f t="shared" si="18"/>
        <v>0</v>
      </c>
      <c r="AM8" s="10">
        <f t="shared" si="19"/>
        <v>0</v>
      </c>
    </row>
    <row r="9" spans="1:39" ht="14.25" customHeight="1" x14ac:dyDescent="0.35">
      <c r="A9" s="8"/>
      <c r="B9" s="18" t="s">
        <v>28</v>
      </c>
      <c r="C9" s="19">
        <f t="shared" ref="C9:D9" si="22">M9+T9+AA9+AH9</f>
        <v>28</v>
      </c>
      <c r="D9" s="19">
        <f t="shared" si="22"/>
        <v>14</v>
      </c>
      <c r="E9" s="10">
        <v>8100</v>
      </c>
      <c r="F9" s="17">
        <v>8000</v>
      </c>
      <c r="G9" s="79">
        <f t="shared" si="20"/>
        <v>224000</v>
      </c>
      <c r="H9" s="10">
        <f t="shared" si="0"/>
        <v>1792000</v>
      </c>
      <c r="I9" s="10">
        <f t="shared" si="21"/>
        <v>112000</v>
      </c>
      <c r="J9" s="10">
        <f t="shared" si="1"/>
        <v>448000</v>
      </c>
      <c r="K9" s="10">
        <f t="shared" si="2"/>
        <v>0</v>
      </c>
      <c r="L9" s="10">
        <f t="shared" si="3"/>
        <v>0</v>
      </c>
      <c r="M9" s="7">
        <v>21</v>
      </c>
      <c r="N9" s="7">
        <v>11</v>
      </c>
      <c r="O9" s="10">
        <f t="shared" si="4"/>
        <v>168000</v>
      </c>
      <c r="P9" s="10">
        <f t="shared" si="5"/>
        <v>1344000</v>
      </c>
      <c r="Q9" s="10">
        <f t="shared" si="6"/>
        <v>88000</v>
      </c>
      <c r="R9" s="10">
        <f t="shared" si="7"/>
        <v>352000</v>
      </c>
      <c r="S9" s="8"/>
      <c r="T9" s="10">
        <v>7</v>
      </c>
      <c r="U9" s="10">
        <v>3</v>
      </c>
      <c r="V9" s="10">
        <f t="shared" si="8"/>
        <v>56000</v>
      </c>
      <c r="W9" s="10">
        <f t="shared" si="9"/>
        <v>448000</v>
      </c>
      <c r="X9" s="10">
        <f t="shared" si="10"/>
        <v>24000</v>
      </c>
      <c r="Y9" s="10">
        <f t="shared" si="11"/>
        <v>96000</v>
      </c>
      <c r="Z9" s="8"/>
      <c r="AA9" s="8"/>
      <c r="AB9" s="8"/>
      <c r="AC9" s="10">
        <f t="shared" si="12"/>
        <v>0</v>
      </c>
      <c r="AD9" s="10">
        <f t="shared" si="13"/>
        <v>0</v>
      </c>
      <c r="AE9" s="10">
        <f t="shared" si="14"/>
        <v>0</v>
      </c>
      <c r="AF9" s="10">
        <f t="shared" si="15"/>
        <v>0</v>
      </c>
      <c r="AG9" s="8"/>
      <c r="AH9" s="8"/>
      <c r="AI9" s="8"/>
      <c r="AJ9" s="10">
        <f t="shared" si="16"/>
        <v>0</v>
      </c>
      <c r="AK9" s="10">
        <f t="shared" si="17"/>
        <v>0</v>
      </c>
      <c r="AL9" s="10">
        <f t="shared" si="18"/>
        <v>0</v>
      </c>
      <c r="AM9" s="10">
        <f t="shared" si="19"/>
        <v>0</v>
      </c>
    </row>
    <row r="10" spans="1:39" ht="14.25" customHeight="1" x14ac:dyDescent="0.35">
      <c r="A10" s="8"/>
      <c r="B10" s="16" t="s">
        <v>29</v>
      </c>
      <c r="C10" s="19">
        <f t="shared" ref="C10:D10" si="23">M10+T10+AA10+AH10</f>
        <v>282</v>
      </c>
      <c r="D10" s="19">
        <f t="shared" si="23"/>
        <v>134</v>
      </c>
      <c r="E10" s="10">
        <v>4200</v>
      </c>
      <c r="F10" s="17">
        <v>4150</v>
      </c>
      <c r="G10" s="79">
        <f t="shared" si="20"/>
        <v>1170300</v>
      </c>
      <c r="H10" s="10">
        <f t="shared" si="0"/>
        <v>9362400</v>
      </c>
      <c r="I10" s="10">
        <f t="shared" si="21"/>
        <v>556100</v>
      </c>
      <c r="J10" s="10">
        <f t="shared" si="1"/>
        <v>2224400</v>
      </c>
      <c r="K10" s="10">
        <f t="shared" si="2"/>
        <v>0</v>
      </c>
      <c r="L10" s="10">
        <f t="shared" si="3"/>
        <v>0</v>
      </c>
      <c r="M10" s="7">
        <v>199</v>
      </c>
      <c r="N10" s="7">
        <v>95</v>
      </c>
      <c r="O10" s="10">
        <f t="shared" si="4"/>
        <v>825850</v>
      </c>
      <c r="P10" s="10">
        <f t="shared" si="5"/>
        <v>6606800</v>
      </c>
      <c r="Q10" s="10">
        <f t="shared" si="6"/>
        <v>394250</v>
      </c>
      <c r="R10" s="10">
        <f t="shared" si="7"/>
        <v>1577000</v>
      </c>
      <c r="S10" s="8"/>
      <c r="T10" s="10">
        <v>79</v>
      </c>
      <c r="U10" s="10">
        <v>35</v>
      </c>
      <c r="V10" s="10">
        <f t="shared" si="8"/>
        <v>327850</v>
      </c>
      <c r="W10" s="10">
        <f t="shared" si="9"/>
        <v>2622800</v>
      </c>
      <c r="X10" s="10">
        <f t="shared" si="10"/>
        <v>145250</v>
      </c>
      <c r="Y10" s="10">
        <f t="shared" si="11"/>
        <v>581000</v>
      </c>
      <c r="Z10" s="8"/>
      <c r="AA10" s="8">
        <v>3</v>
      </c>
      <c r="AB10" s="8">
        <v>3</v>
      </c>
      <c r="AC10" s="10">
        <f t="shared" si="12"/>
        <v>12450</v>
      </c>
      <c r="AD10" s="10">
        <f t="shared" si="13"/>
        <v>99600</v>
      </c>
      <c r="AE10" s="10">
        <f t="shared" si="14"/>
        <v>12450</v>
      </c>
      <c r="AF10" s="10">
        <f t="shared" si="15"/>
        <v>49800</v>
      </c>
      <c r="AG10" s="8"/>
      <c r="AH10" s="8">
        <v>1</v>
      </c>
      <c r="AI10" s="8">
        <v>1</v>
      </c>
      <c r="AJ10" s="10">
        <f t="shared" si="16"/>
        <v>4150</v>
      </c>
      <c r="AK10" s="10">
        <f t="shared" si="17"/>
        <v>33200</v>
      </c>
      <c r="AL10" s="10">
        <f t="shared" si="18"/>
        <v>4150</v>
      </c>
      <c r="AM10" s="10">
        <f t="shared" si="19"/>
        <v>16600</v>
      </c>
    </row>
    <row r="11" spans="1:39" ht="14.25" customHeight="1" x14ac:dyDescent="0.35">
      <c r="A11" s="8"/>
      <c r="B11" s="16" t="s">
        <v>30</v>
      </c>
      <c r="C11" s="19">
        <f t="shared" ref="C11:D11" si="24">M11+T11+AA11+AH11</f>
        <v>1</v>
      </c>
      <c r="D11" s="19">
        <f t="shared" si="24"/>
        <v>1</v>
      </c>
      <c r="E11" s="10"/>
      <c r="F11" s="17">
        <v>11000</v>
      </c>
      <c r="G11" s="79">
        <f t="shared" si="20"/>
        <v>11000</v>
      </c>
      <c r="H11" s="10">
        <f t="shared" si="0"/>
        <v>88000</v>
      </c>
      <c r="I11" s="10">
        <f t="shared" si="21"/>
        <v>11000</v>
      </c>
      <c r="J11" s="10">
        <f t="shared" si="1"/>
        <v>44000</v>
      </c>
      <c r="K11" s="10">
        <f t="shared" si="2"/>
        <v>0</v>
      </c>
      <c r="L11" s="10">
        <f t="shared" si="3"/>
        <v>0</v>
      </c>
      <c r="M11" s="7">
        <v>0.75</v>
      </c>
      <c r="N11" s="7">
        <v>0.75</v>
      </c>
      <c r="O11" s="10">
        <f t="shared" si="4"/>
        <v>8250</v>
      </c>
      <c r="P11" s="10">
        <f t="shared" si="5"/>
        <v>66000</v>
      </c>
      <c r="Q11" s="10">
        <f t="shared" si="6"/>
        <v>8250</v>
      </c>
      <c r="R11" s="10">
        <f t="shared" si="7"/>
        <v>33000</v>
      </c>
      <c r="S11" s="8"/>
      <c r="T11" s="10">
        <v>0.25</v>
      </c>
      <c r="U11" s="10">
        <v>0.25</v>
      </c>
      <c r="V11" s="10">
        <f t="shared" si="8"/>
        <v>2750</v>
      </c>
      <c r="W11" s="10">
        <f t="shared" si="9"/>
        <v>22000</v>
      </c>
      <c r="X11" s="10">
        <f t="shared" si="10"/>
        <v>2750</v>
      </c>
      <c r="Y11" s="10">
        <f t="shared" si="11"/>
        <v>11000</v>
      </c>
      <c r="Z11" s="8"/>
      <c r="AA11" s="8"/>
      <c r="AB11" s="8"/>
      <c r="AC11" s="10">
        <f t="shared" si="12"/>
        <v>0</v>
      </c>
      <c r="AD11" s="10">
        <f t="shared" si="13"/>
        <v>0</v>
      </c>
      <c r="AE11" s="10">
        <f t="shared" si="14"/>
        <v>0</v>
      </c>
      <c r="AF11" s="10">
        <f t="shared" si="15"/>
        <v>0</v>
      </c>
      <c r="AG11" s="8"/>
      <c r="AH11" s="8"/>
      <c r="AI11" s="8"/>
      <c r="AJ11" s="10">
        <f t="shared" si="16"/>
        <v>0</v>
      </c>
      <c r="AK11" s="10">
        <f t="shared" si="17"/>
        <v>0</v>
      </c>
      <c r="AL11" s="10">
        <f t="shared" si="18"/>
        <v>0</v>
      </c>
      <c r="AM11" s="10">
        <f t="shared" si="19"/>
        <v>0</v>
      </c>
    </row>
    <row r="12" spans="1:39" ht="14.25" customHeight="1" x14ac:dyDescent="0.35">
      <c r="A12" s="8"/>
      <c r="B12" s="16" t="s">
        <v>31</v>
      </c>
      <c r="C12" s="19">
        <f t="shared" ref="C12:D12" si="25">M12+T12+AA12+AH12</f>
        <v>4</v>
      </c>
      <c r="D12" s="19">
        <f t="shared" si="25"/>
        <v>4</v>
      </c>
      <c r="E12" s="10"/>
      <c r="F12" s="17">
        <v>8000</v>
      </c>
      <c r="G12" s="79">
        <f t="shared" si="20"/>
        <v>32000</v>
      </c>
      <c r="H12" s="10">
        <f t="shared" si="0"/>
        <v>256000</v>
      </c>
      <c r="I12" s="10">
        <f t="shared" si="21"/>
        <v>32000</v>
      </c>
      <c r="J12" s="10">
        <f t="shared" si="1"/>
        <v>128000</v>
      </c>
      <c r="K12" s="10">
        <f t="shared" si="2"/>
        <v>0</v>
      </c>
      <c r="L12" s="10">
        <f t="shared" si="3"/>
        <v>0</v>
      </c>
      <c r="M12" s="7">
        <v>3</v>
      </c>
      <c r="N12" s="7">
        <v>3</v>
      </c>
      <c r="O12" s="10">
        <f t="shared" si="4"/>
        <v>24000</v>
      </c>
      <c r="P12" s="10">
        <f t="shared" si="5"/>
        <v>192000</v>
      </c>
      <c r="Q12" s="10">
        <f t="shared" si="6"/>
        <v>24000</v>
      </c>
      <c r="R12" s="10">
        <f t="shared" si="7"/>
        <v>96000</v>
      </c>
      <c r="S12" s="8"/>
      <c r="T12" s="10">
        <v>1</v>
      </c>
      <c r="U12" s="10">
        <v>1</v>
      </c>
      <c r="V12" s="10">
        <f t="shared" si="8"/>
        <v>8000</v>
      </c>
      <c r="W12" s="10">
        <f t="shared" si="9"/>
        <v>64000</v>
      </c>
      <c r="X12" s="10">
        <f t="shared" si="10"/>
        <v>8000</v>
      </c>
      <c r="Y12" s="10">
        <f t="shared" si="11"/>
        <v>32000</v>
      </c>
      <c r="Z12" s="8"/>
      <c r="AA12" s="8"/>
      <c r="AB12" s="8"/>
      <c r="AC12" s="10">
        <f t="shared" si="12"/>
        <v>0</v>
      </c>
      <c r="AD12" s="10">
        <f t="shared" si="13"/>
        <v>0</v>
      </c>
      <c r="AE12" s="10">
        <f t="shared" si="14"/>
        <v>0</v>
      </c>
      <c r="AF12" s="10">
        <f t="shared" si="15"/>
        <v>0</v>
      </c>
      <c r="AG12" s="8"/>
      <c r="AH12" s="8"/>
      <c r="AI12" s="8"/>
      <c r="AJ12" s="10">
        <f t="shared" si="16"/>
        <v>0</v>
      </c>
      <c r="AK12" s="10">
        <f t="shared" si="17"/>
        <v>0</v>
      </c>
      <c r="AL12" s="10">
        <f t="shared" si="18"/>
        <v>0</v>
      </c>
      <c r="AM12" s="10">
        <f t="shared" si="19"/>
        <v>0</v>
      </c>
    </row>
    <row r="13" spans="1:39" ht="14.25" customHeight="1" x14ac:dyDescent="0.35">
      <c r="A13" s="8"/>
      <c r="B13" s="81" t="s">
        <v>32</v>
      </c>
      <c r="C13" s="82">
        <f t="shared" ref="C13:D13" si="26">M13+T13+AA13+AH13</f>
        <v>3</v>
      </c>
      <c r="D13" s="19">
        <f t="shared" si="26"/>
        <v>3</v>
      </c>
      <c r="E13" s="10"/>
      <c r="F13" s="17">
        <v>8000</v>
      </c>
      <c r="G13" s="79">
        <f t="shared" si="20"/>
        <v>24000</v>
      </c>
      <c r="H13" s="10">
        <f t="shared" si="0"/>
        <v>192000</v>
      </c>
      <c r="I13" s="10">
        <f t="shared" si="21"/>
        <v>24000</v>
      </c>
      <c r="J13" s="10">
        <f t="shared" si="1"/>
        <v>96000</v>
      </c>
      <c r="K13" s="10">
        <f t="shared" si="2"/>
        <v>0</v>
      </c>
      <c r="L13" s="10">
        <f t="shared" si="3"/>
        <v>0</v>
      </c>
      <c r="M13" s="7">
        <v>2</v>
      </c>
      <c r="N13" s="7">
        <v>2</v>
      </c>
      <c r="O13" s="10">
        <f t="shared" si="4"/>
        <v>16000</v>
      </c>
      <c r="P13" s="10">
        <f t="shared" si="5"/>
        <v>128000</v>
      </c>
      <c r="Q13" s="10">
        <f t="shared" si="6"/>
        <v>16000</v>
      </c>
      <c r="R13" s="10">
        <f t="shared" si="7"/>
        <v>64000</v>
      </c>
      <c r="S13" s="8"/>
      <c r="T13" s="10">
        <v>1</v>
      </c>
      <c r="U13" s="10">
        <v>1</v>
      </c>
      <c r="V13" s="10">
        <f t="shared" si="8"/>
        <v>8000</v>
      </c>
      <c r="W13" s="10">
        <f t="shared" si="9"/>
        <v>64000</v>
      </c>
      <c r="X13" s="10">
        <f t="shared" si="10"/>
        <v>8000</v>
      </c>
      <c r="Y13" s="10">
        <f t="shared" si="11"/>
        <v>32000</v>
      </c>
      <c r="Z13" s="8"/>
      <c r="AA13" s="8"/>
      <c r="AB13" s="8"/>
      <c r="AC13" s="10">
        <f t="shared" si="12"/>
        <v>0</v>
      </c>
      <c r="AD13" s="10">
        <f t="shared" si="13"/>
        <v>0</v>
      </c>
      <c r="AE13" s="10">
        <f t="shared" si="14"/>
        <v>0</v>
      </c>
      <c r="AF13" s="10">
        <f t="shared" si="15"/>
        <v>0</v>
      </c>
      <c r="AG13" s="8"/>
      <c r="AH13" s="8"/>
      <c r="AI13" s="8"/>
      <c r="AJ13" s="10">
        <f t="shared" si="16"/>
        <v>0</v>
      </c>
      <c r="AK13" s="10">
        <f t="shared" si="17"/>
        <v>0</v>
      </c>
      <c r="AL13" s="10">
        <f t="shared" si="18"/>
        <v>0</v>
      </c>
      <c r="AM13" s="10">
        <f t="shared" si="19"/>
        <v>0</v>
      </c>
    </row>
    <row r="14" spans="1:39" ht="14.25" customHeight="1" x14ac:dyDescent="0.35">
      <c r="A14" s="8"/>
      <c r="B14" s="81" t="s">
        <v>33</v>
      </c>
      <c r="C14" s="82">
        <f t="shared" ref="C14:D14" si="27">M14+T14+AA14+AH14</f>
        <v>12</v>
      </c>
      <c r="D14" s="19">
        <f t="shared" si="27"/>
        <v>8</v>
      </c>
      <c r="E14" s="10"/>
      <c r="F14" s="17">
        <v>5000</v>
      </c>
      <c r="G14" s="79">
        <f t="shared" si="20"/>
        <v>60000</v>
      </c>
      <c r="H14" s="10">
        <f t="shared" si="0"/>
        <v>480000</v>
      </c>
      <c r="I14" s="10">
        <f t="shared" si="21"/>
        <v>40000</v>
      </c>
      <c r="J14" s="10">
        <f t="shared" si="1"/>
        <v>160000</v>
      </c>
      <c r="K14" s="10">
        <f t="shared" si="2"/>
        <v>0</v>
      </c>
      <c r="L14" s="10">
        <f t="shared" si="3"/>
        <v>0</v>
      </c>
      <c r="M14" s="7">
        <v>8</v>
      </c>
      <c r="N14" s="7">
        <v>6</v>
      </c>
      <c r="O14" s="10">
        <f t="shared" si="4"/>
        <v>40000</v>
      </c>
      <c r="P14" s="10">
        <f t="shared" si="5"/>
        <v>320000</v>
      </c>
      <c r="Q14" s="10">
        <f t="shared" si="6"/>
        <v>30000</v>
      </c>
      <c r="R14" s="10">
        <f t="shared" si="7"/>
        <v>120000</v>
      </c>
      <c r="S14" s="8"/>
      <c r="T14" s="10">
        <v>4</v>
      </c>
      <c r="U14" s="10">
        <v>2</v>
      </c>
      <c r="V14" s="10">
        <f t="shared" si="8"/>
        <v>20000</v>
      </c>
      <c r="W14" s="10">
        <f t="shared" si="9"/>
        <v>160000</v>
      </c>
      <c r="X14" s="10">
        <f t="shared" si="10"/>
        <v>10000</v>
      </c>
      <c r="Y14" s="10">
        <f t="shared" si="11"/>
        <v>40000</v>
      </c>
      <c r="Z14" s="8"/>
      <c r="AA14" s="8"/>
      <c r="AB14" s="8"/>
      <c r="AC14" s="10">
        <f t="shared" si="12"/>
        <v>0</v>
      </c>
      <c r="AD14" s="10">
        <f t="shared" si="13"/>
        <v>0</v>
      </c>
      <c r="AE14" s="10">
        <f t="shared" si="14"/>
        <v>0</v>
      </c>
      <c r="AF14" s="10">
        <f t="shared" si="15"/>
        <v>0</v>
      </c>
      <c r="AG14" s="8"/>
      <c r="AH14" s="8"/>
      <c r="AI14" s="8"/>
      <c r="AJ14" s="10">
        <f t="shared" si="16"/>
        <v>0</v>
      </c>
      <c r="AK14" s="10">
        <f t="shared" si="17"/>
        <v>0</v>
      </c>
      <c r="AL14" s="10">
        <f t="shared" si="18"/>
        <v>0</v>
      </c>
      <c r="AM14" s="10">
        <f t="shared" si="19"/>
        <v>0</v>
      </c>
    </row>
    <row r="15" spans="1:39" ht="14.25" customHeight="1" x14ac:dyDescent="0.35">
      <c r="A15" s="8"/>
      <c r="B15" s="81" t="s">
        <v>34</v>
      </c>
      <c r="C15" s="82">
        <f t="shared" ref="C15:D15" si="28">M15+T15+AA15+AH15</f>
        <v>2</v>
      </c>
      <c r="D15" s="19">
        <f t="shared" si="28"/>
        <v>2</v>
      </c>
      <c r="E15" s="10">
        <v>10000</v>
      </c>
      <c r="F15" s="80">
        <v>9500</v>
      </c>
      <c r="G15" s="79">
        <f t="shared" si="20"/>
        <v>19000</v>
      </c>
      <c r="H15" s="10">
        <f t="shared" si="0"/>
        <v>152000</v>
      </c>
      <c r="I15" s="10">
        <f t="shared" si="21"/>
        <v>19000</v>
      </c>
      <c r="J15" s="10">
        <f t="shared" si="1"/>
        <v>76000</v>
      </c>
      <c r="K15" s="10">
        <f t="shared" si="2"/>
        <v>0</v>
      </c>
      <c r="L15" s="10">
        <f t="shared" si="3"/>
        <v>0</v>
      </c>
      <c r="M15" s="7">
        <v>1</v>
      </c>
      <c r="N15" s="7">
        <v>1</v>
      </c>
      <c r="O15" s="10">
        <f t="shared" si="4"/>
        <v>9500</v>
      </c>
      <c r="P15" s="10">
        <f t="shared" si="5"/>
        <v>76000</v>
      </c>
      <c r="Q15" s="10">
        <f t="shared" si="6"/>
        <v>9500</v>
      </c>
      <c r="R15" s="10">
        <f t="shared" si="7"/>
        <v>38000</v>
      </c>
      <c r="S15" s="8"/>
      <c r="T15" s="10">
        <v>1</v>
      </c>
      <c r="U15" s="10">
        <v>1</v>
      </c>
      <c r="V15" s="10">
        <f t="shared" si="8"/>
        <v>9500</v>
      </c>
      <c r="W15" s="10">
        <f t="shared" si="9"/>
        <v>76000</v>
      </c>
      <c r="X15" s="10">
        <f t="shared" si="10"/>
        <v>9500</v>
      </c>
      <c r="Y15" s="10">
        <f t="shared" si="11"/>
        <v>38000</v>
      </c>
      <c r="Z15" s="8"/>
      <c r="AA15" s="8"/>
      <c r="AB15" s="8"/>
      <c r="AC15" s="10">
        <f t="shared" si="12"/>
        <v>0</v>
      </c>
      <c r="AD15" s="10">
        <f t="shared" si="13"/>
        <v>0</v>
      </c>
      <c r="AE15" s="10">
        <f t="shared" si="14"/>
        <v>0</v>
      </c>
      <c r="AF15" s="10">
        <f t="shared" si="15"/>
        <v>0</v>
      </c>
      <c r="AG15" s="8"/>
      <c r="AH15" s="8"/>
      <c r="AI15" s="8"/>
      <c r="AJ15" s="10">
        <f t="shared" si="16"/>
        <v>0</v>
      </c>
      <c r="AK15" s="10">
        <f t="shared" si="17"/>
        <v>0</v>
      </c>
      <c r="AL15" s="10">
        <f t="shared" si="18"/>
        <v>0</v>
      </c>
      <c r="AM15" s="10">
        <f t="shared" si="19"/>
        <v>0</v>
      </c>
    </row>
    <row r="16" spans="1:39" ht="14.25" customHeight="1" x14ac:dyDescent="0.35">
      <c r="A16" s="8"/>
      <c r="B16" s="81" t="s">
        <v>35</v>
      </c>
      <c r="C16" s="82">
        <f t="shared" ref="C16:D16" si="29">M16+T16+AA16+AH16</f>
        <v>2</v>
      </c>
      <c r="D16" s="19">
        <f t="shared" si="29"/>
        <v>2</v>
      </c>
      <c r="E16" s="10">
        <v>10000</v>
      </c>
      <c r="F16" s="80">
        <v>8500</v>
      </c>
      <c r="G16" s="79">
        <f t="shared" si="20"/>
        <v>17000</v>
      </c>
      <c r="H16" s="10">
        <f t="shared" si="0"/>
        <v>136000</v>
      </c>
      <c r="I16" s="10">
        <f t="shared" si="21"/>
        <v>17000</v>
      </c>
      <c r="J16" s="10">
        <f t="shared" si="1"/>
        <v>68000</v>
      </c>
      <c r="K16" s="10">
        <f t="shared" si="2"/>
        <v>0</v>
      </c>
      <c r="L16" s="10">
        <f t="shared" si="3"/>
        <v>0</v>
      </c>
      <c r="M16" s="7">
        <v>1</v>
      </c>
      <c r="N16" s="7">
        <v>1</v>
      </c>
      <c r="O16" s="10">
        <f t="shared" si="4"/>
        <v>8500</v>
      </c>
      <c r="P16" s="10">
        <f t="shared" si="5"/>
        <v>68000</v>
      </c>
      <c r="Q16" s="10">
        <f t="shared" si="6"/>
        <v>8500</v>
      </c>
      <c r="R16" s="10">
        <f t="shared" si="7"/>
        <v>34000</v>
      </c>
      <c r="S16" s="8"/>
      <c r="T16" s="10">
        <v>1</v>
      </c>
      <c r="U16" s="10">
        <v>1</v>
      </c>
      <c r="V16" s="10">
        <f t="shared" si="8"/>
        <v>8500</v>
      </c>
      <c r="W16" s="10">
        <f t="shared" si="9"/>
        <v>68000</v>
      </c>
      <c r="X16" s="10">
        <f t="shared" si="10"/>
        <v>8500</v>
      </c>
      <c r="Y16" s="10">
        <f t="shared" si="11"/>
        <v>34000</v>
      </c>
      <c r="Z16" s="8"/>
      <c r="AA16" s="8"/>
      <c r="AB16" s="8"/>
      <c r="AC16" s="10">
        <f t="shared" si="12"/>
        <v>0</v>
      </c>
      <c r="AD16" s="10">
        <f t="shared" si="13"/>
        <v>0</v>
      </c>
      <c r="AE16" s="10">
        <f t="shared" si="14"/>
        <v>0</v>
      </c>
      <c r="AF16" s="10">
        <f t="shared" si="15"/>
        <v>0</v>
      </c>
      <c r="AG16" s="8"/>
      <c r="AH16" s="8"/>
      <c r="AI16" s="8"/>
      <c r="AJ16" s="10">
        <f t="shared" si="16"/>
        <v>0</v>
      </c>
      <c r="AK16" s="10">
        <f t="shared" si="17"/>
        <v>0</v>
      </c>
      <c r="AL16" s="10">
        <f t="shared" si="18"/>
        <v>0</v>
      </c>
      <c r="AM16" s="10">
        <f t="shared" si="19"/>
        <v>0</v>
      </c>
    </row>
    <row r="17" spans="1:39" ht="14.25" customHeight="1" x14ac:dyDescent="0.35">
      <c r="A17" s="8"/>
      <c r="B17" s="81" t="s">
        <v>36</v>
      </c>
      <c r="C17" s="82">
        <f t="shared" ref="C17:D17" si="30">M17+T17+AA17+AH17</f>
        <v>6</v>
      </c>
      <c r="D17" s="19">
        <f t="shared" si="30"/>
        <v>6</v>
      </c>
      <c r="E17" s="10">
        <v>10000</v>
      </c>
      <c r="F17" s="80">
        <v>8500</v>
      </c>
      <c r="G17" s="79">
        <f t="shared" si="20"/>
        <v>51000</v>
      </c>
      <c r="H17" s="10">
        <f t="shared" si="0"/>
        <v>408000</v>
      </c>
      <c r="I17" s="10">
        <f t="shared" si="21"/>
        <v>51000</v>
      </c>
      <c r="J17" s="10">
        <f t="shared" si="1"/>
        <v>204000</v>
      </c>
      <c r="K17" s="10">
        <f t="shared" si="2"/>
        <v>0</v>
      </c>
      <c r="L17" s="10">
        <f t="shared" si="3"/>
        <v>0</v>
      </c>
      <c r="M17" s="7">
        <v>4</v>
      </c>
      <c r="N17" s="7">
        <v>4</v>
      </c>
      <c r="O17" s="10">
        <f t="shared" si="4"/>
        <v>34000</v>
      </c>
      <c r="P17" s="10">
        <f t="shared" si="5"/>
        <v>272000</v>
      </c>
      <c r="Q17" s="10">
        <f t="shared" si="6"/>
        <v>34000</v>
      </c>
      <c r="R17" s="10">
        <f t="shared" si="7"/>
        <v>136000</v>
      </c>
      <c r="S17" s="8"/>
      <c r="T17" s="10">
        <v>2</v>
      </c>
      <c r="U17" s="10">
        <v>2</v>
      </c>
      <c r="V17" s="10">
        <f t="shared" si="8"/>
        <v>17000</v>
      </c>
      <c r="W17" s="10">
        <f t="shared" si="9"/>
        <v>136000</v>
      </c>
      <c r="X17" s="10">
        <f t="shared" si="10"/>
        <v>17000</v>
      </c>
      <c r="Y17" s="10">
        <f t="shared" si="11"/>
        <v>68000</v>
      </c>
      <c r="Z17" s="8"/>
      <c r="AA17" s="8"/>
      <c r="AB17" s="8"/>
      <c r="AC17" s="10">
        <f t="shared" si="12"/>
        <v>0</v>
      </c>
      <c r="AD17" s="10">
        <f t="shared" si="13"/>
        <v>0</v>
      </c>
      <c r="AE17" s="10">
        <f t="shared" si="14"/>
        <v>0</v>
      </c>
      <c r="AF17" s="10">
        <f t="shared" si="15"/>
        <v>0</v>
      </c>
      <c r="AG17" s="8"/>
      <c r="AH17" s="8"/>
      <c r="AI17" s="8"/>
      <c r="AJ17" s="10">
        <f t="shared" si="16"/>
        <v>0</v>
      </c>
      <c r="AK17" s="10">
        <f t="shared" si="17"/>
        <v>0</v>
      </c>
      <c r="AL17" s="10">
        <f t="shared" si="18"/>
        <v>0</v>
      </c>
      <c r="AM17" s="10">
        <f t="shared" si="19"/>
        <v>0</v>
      </c>
    </row>
    <row r="18" spans="1:39" ht="14.25" customHeight="1" x14ac:dyDescent="0.35">
      <c r="A18" s="8"/>
      <c r="B18" s="83" t="s">
        <v>37</v>
      </c>
      <c r="C18" s="82">
        <f t="shared" ref="C18:D18" si="31">M18+T18+AA18+AH18</f>
        <v>1</v>
      </c>
      <c r="D18" s="19">
        <f t="shared" si="31"/>
        <v>1</v>
      </c>
      <c r="E18" s="10"/>
      <c r="F18" s="80">
        <v>9500</v>
      </c>
      <c r="G18" s="79">
        <f t="shared" si="20"/>
        <v>9500</v>
      </c>
      <c r="H18" s="10">
        <f t="shared" si="0"/>
        <v>76000</v>
      </c>
      <c r="I18" s="10">
        <f t="shared" si="21"/>
        <v>9500</v>
      </c>
      <c r="J18" s="10">
        <f t="shared" si="1"/>
        <v>38000</v>
      </c>
      <c r="K18" s="10">
        <f t="shared" si="2"/>
        <v>0</v>
      </c>
      <c r="L18" s="10">
        <f t="shared" si="3"/>
        <v>0</v>
      </c>
      <c r="M18" s="7">
        <v>0.75</v>
      </c>
      <c r="N18" s="7">
        <v>0.75</v>
      </c>
      <c r="O18" s="10">
        <f t="shared" si="4"/>
        <v>7125</v>
      </c>
      <c r="P18" s="10">
        <f t="shared" si="5"/>
        <v>57000</v>
      </c>
      <c r="Q18" s="10">
        <f t="shared" si="6"/>
        <v>7125</v>
      </c>
      <c r="R18" s="10">
        <f t="shared" si="7"/>
        <v>28500</v>
      </c>
      <c r="S18" s="8"/>
      <c r="T18" s="10">
        <v>0.25</v>
      </c>
      <c r="U18" s="10">
        <v>0.25</v>
      </c>
      <c r="V18" s="10">
        <f t="shared" si="8"/>
        <v>2375</v>
      </c>
      <c r="W18" s="10">
        <f t="shared" si="9"/>
        <v>19000</v>
      </c>
      <c r="X18" s="10">
        <f t="shared" si="10"/>
        <v>2375</v>
      </c>
      <c r="Y18" s="10">
        <f t="shared" si="11"/>
        <v>9500</v>
      </c>
      <c r="Z18" s="8"/>
      <c r="AA18" s="8"/>
      <c r="AB18" s="8"/>
      <c r="AC18" s="10">
        <f t="shared" si="12"/>
        <v>0</v>
      </c>
      <c r="AD18" s="10">
        <f t="shared" si="13"/>
        <v>0</v>
      </c>
      <c r="AE18" s="10">
        <f t="shared" si="14"/>
        <v>0</v>
      </c>
      <c r="AF18" s="10">
        <f t="shared" si="15"/>
        <v>0</v>
      </c>
      <c r="AG18" s="8"/>
      <c r="AH18" s="8"/>
      <c r="AI18" s="8"/>
      <c r="AJ18" s="10">
        <f t="shared" si="16"/>
        <v>0</v>
      </c>
      <c r="AK18" s="10">
        <f t="shared" si="17"/>
        <v>0</v>
      </c>
      <c r="AL18" s="10">
        <f t="shared" si="18"/>
        <v>0</v>
      </c>
      <c r="AM18" s="10">
        <f t="shared" si="19"/>
        <v>0</v>
      </c>
    </row>
    <row r="19" spans="1:39" ht="14.25" customHeight="1" x14ac:dyDescent="0.35">
      <c r="A19" s="8"/>
      <c r="B19" s="20" t="s">
        <v>38</v>
      </c>
      <c r="C19" s="19">
        <f t="shared" ref="C19:D19" si="32">M19+T19+AA19+AH19</f>
        <v>3.0000000000000004</v>
      </c>
      <c r="D19" s="19">
        <f t="shared" si="32"/>
        <v>2</v>
      </c>
      <c r="E19" s="10"/>
      <c r="F19" s="17">
        <v>8000</v>
      </c>
      <c r="G19" s="79">
        <f t="shared" si="20"/>
        <v>24000.000000000004</v>
      </c>
      <c r="H19" s="10">
        <f t="shared" si="0"/>
        <v>192000.00000000003</v>
      </c>
      <c r="I19" s="10">
        <f t="shared" si="21"/>
        <v>16000</v>
      </c>
      <c r="J19" s="10">
        <f t="shared" si="1"/>
        <v>64000</v>
      </c>
      <c r="K19" s="10">
        <f t="shared" si="2"/>
        <v>0</v>
      </c>
      <c r="L19" s="10">
        <f t="shared" si="3"/>
        <v>0</v>
      </c>
      <c r="M19" s="7">
        <v>2.0000000000000004</v>
      </c>
      <c r="N19" s="7">
        <v>0.99999999999999989</v>
      </c>
      <c r="O19" s="10">
        <f t="shared" si="4"/>
        <v>16000.000000000004</v>
      </c>
      <c r="P19" s="10">
        <f t="shared" si="5"/>
        <v>128000.00000000003</v>
      </c>
      <c r="Q19" s="10">
        <f t="shared" si="6"/>
        <v>7999.9999999999991</v>
      </c>
      <c r="R19" s="10">
        <f t="shared" si="7"/>
        <v>31999.999999999996</v>
      </c>
      <c r="S19" s="8"/>
      <c r="T19" s="10">
        <v>0.99999999999999989</v>
      </c>
      <c r="U19" s="10">
        <v>1</v>
      </c>
      <c r="V19" s="10">
        <f t="shared" si="8"/>
        <v>7999.9999999999991</v>
      </c>
      <c r="W19" s="10">
        <f t="shared" si="9"/>
        <v>63999.999999999993</v>
      </c>
      <c r="X19" s="10">
        <f t="shared" si="10"/>
        <v>8000</v>
      </c>
      <c r="Y19" s="10">
        <f t="shared" si="11"/>
        <v>32000</v>
      </c>
      <c r="Z19" s="8"/>
      <c r="AA19" s="8"/>
      <c r="AB19" s="8"/>
      <c r="AC19" s="10">
        <f t="shared" si="12"/>
        <v>0</v>
      </c>
      <c r="AD19" s="10">
        <f t="shared" si="13"/>
        <v>0</v>
      </c>
      <c r="AE19" s="10">
        <f t="shared" si="14"/>
        <v>0</v>
      </c>
      <c r="AF19" s="10">
        <f t="shared" si="15"/>
        <v>0</v>
      </c>
      <c r="AG19" s="8"/>
      <c r="AH19" s="8"/>
      <c r="AI19" s="8"/>
      <c r="AJ19" s="10">
        <f t="shared" si="16"/>
        <v>0</v>
      </c>
      <c r="AK19" s="10">
        <f t="shared" si="17"/>
        <v>0</v>
      </c>
      <c r="AL19" s="10">
        <f t="shared" si="18"/>
        <v>0</v>
      </c>
      <c r="AM19" s="10">
        <f t="shared" si="19"/>
        <v>0</v>
      </c>
    </row>
    <row r="20" spans="1:39" ht="14.25" customHeight="1" x14ac:dyDescent="0.35">
      <c r="A20" s="8"/>
      <c r="B20" s="20" t="s">
        <v>39</v>
      </c>
      <c r="C20" s="19">
        <f t="shared" ref="C20:D20" si="33">M20+T20+AA20+AH20</f>
        <v>23</v>
      </c>
      <c r="D20" s="19">
        <f t="shared" si="33"/>
        <v>0</v>
      </c>
      <c r="E20" s="10"/>
      <c r="F20" s="17">
        <v>4150</v>
      </c>
      <c r="G20" s="79">
        <f t="shared" si="20"/>
        <v>95450</v>
      </c>
      <c r="H20" s="10">
        <f t="shared" si="0"/>
        <v>763600</v>
      </c>
      <c r="I20" s="10">
        <f t="shared" si="21"/>
        <v>0</v>
      </c>
      <c r="J20" s="10">
        <f t="shared" si="1"/>
        <v>0</v>
      </c>
      <c r="K20" s="10">
        <f t="shared" si="2"/>
        <v>0</v>
      </c>
      <c r="L20" s="10">
        <f t="shared" si="3"/>
        <v>0</v>
      </c>
      <c r="M20" s="7">
        <v>15.999999999999998</v>
      </c>
      <c r="N20" s="7">
        <v>0</v>
      </c>
      <c r="O20" s="10">
        <f t="shared" si="4"/>
        <v>66399.999999999985</v>
      </c>
      <c r="P20" s="10">
        <f t="shared" si="5"/>
        <v>531199.99999999988</v>
      </c>
      <c r="Q20" s="10">
        <f t="shared" si="6"/>
        <v>0</v>
      </c>
      <c r="R20" s="10">
        <f t="shared" si="7"/>
        <v>0</v>
      </c>
      <c r="S20" s="8"/>
      <c r="T20" s="10">
        <v>7</v>
      </c>
      <c r="U20" s="10">
        <v>0</v>
      </c>
      <c r="V20" s="10">
        <f t="shared" si="8"/>
        <v>29050</v>
      </c>
      <c r="W20" s="10">
        <f t="shared" si="9"/>
        <v>232400</v>
      </c>
      <c r="X20" s="10">
        <f t="shared" si="10"/>
        <v>0</v>
      </c>
      <c r="Y20" s="10">
        <f t="shared" si="11"/>
        <v>0</v>
      </c>
      <c r="Z20" s="8"/>
      <c r="AA20" s="8"/>
      <c r="AB20" s="8"/>
      <c r="AC20" s="10">
        <f t="shared" si="12"/>
        <v>0</v>
      </c>
      <c r="AD20" s="10">
        <f t="shared" si="13"/>
        <v>0</v>
      </c>
      <c r="AE20" s="10">
        <f t="shared" si="14"/>
        <v>0</v>
      </c>
      <c r="AF20" s="10">
        <f t="shared" si="15"/>
        <v>0</v>
      </c>
      <c r="AG20" s="8"/>
      <c r="AH20" s="8"/>
      <c r="AI20" s="8"/>
      <c r="AJ20" s="10">
        <f t="shared" si="16"/>
        <v>0</v>
      </c>
      <c r="AK20" s="10">
        <f t="shared" si="17"/>
        <v>0</v>
      </c>
      <c r="AL20" s="10">
        <f t="shared" si="18"/>
        <v>0</v>
      </c>
      <c r="AM20" s="10">
        <f t="shared" si="19"/>
        <v>0</v>
      </c>
    </row>
    <row r="21" spans="1:39" ht="14.25" customHeight="1" x14ac:dyDescent="0.35">
      <c r="A21" s="8"/>
      <c r="B21" s="21" t="s">
        <v>40</v>
      </c>
      <c r="C21" s="22"/>
      <c r="D21" s="22"/>
      <c r="E21" s="23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8"/>
      <c r="T21" s="24"/>
      <c r="U21" s="24"/>
      <c r="V21" s="24"/>
      <c r="W21" s="24"/>
      <c r="X21" s="24"/>
      <c r="Y21" s="24"/>
      <c r="Z21" s="8"/>
      <c r="AA21" s="24"/>
      <c r="AB21" s="24"/>
      <c r="AC21" s="24"/>
      <c r="AD21" s="24"/>
      <c r="AE21" s="24"/>
      <c r="AF21" s="24"/>
      <c r="AG21" s="8"/>
      <c r="AH21" s="24"/>
      <c r="AI21" s="24"/>
      <c r="AJ21" s="24"/>
      <c r="AK21" s="24"/>
      <c r="AL21" s="24"/>
      <c r="AM21" s="24"/>
    </row>
    <row r="22" spans="1:39" ht="14.25" customHeight="1" x14ac:dyDescent="0.35">
      <c r="A22" s="8"/>
      <c r="B22" s="18" t="s">
        <v>40</v>
      </c>
      <c r="C22" s="25">
        <f t="shared" ref="C22:D22" si="34">SUM(C6:C20)</f>
        <v>378</v>
      </c>
      <c r="D22" s="25">
        <f t="shared" si="34"/>
        <v>188</v>
      </c>
      <c r="E22" s="8"/>
      <c r="F22" s="17">
        <v>450</v>
      </c>
      <c r="G22" s="79">
        <f>C22*F22</f>
        <v>170100</v>
      </c>
      <c r="H22" s="10">
        <f>G22*8</f>
        <v>1360800</v>
      </c>
      <c r="I22" s="10">
        <f>D22*F22</f>
        <v>84600</v>
      </c>
      <c r="J22" s="10">
        <f>I22*4</f>
        <v>338400</v>
      </c>
      <c r="K22" s="10">
        <f>(O22+V22+AC22+AJ22)-G22</f>
        <v>0</v>
      </c>
      <c r="L22" s="10">
        <f>(Q22+X22+AE22+AL22)-I22</f>
        <v>0</v>
      </c>
      <c r="M22" s="19">
        <f t="shared" ref="M22:N22" si="35">SUM(M6:M21)</f>
        <v>265.25</v>
      </c>
      <c r="N22" s="19">
        <f t="shared" si="35"/>
        <v>132.25</v>
      </c>
      <c r="O22" s="10">
        <f>F22*M22</f>
        <v>119362.5</v>
      </c>
      <c r="P22" s="10">
        <f>O22*8</f>
        <v>954900</v>
      </c>
      <c r="Q22" s="10">
        <f>N22*F22</f>
        <v>59512.5</v>
      </c>
      <c r="R22" s="10">
        <f>Q22*4</f>
        <v>238050</v>
      </c>
      <c r="S22" s="8"/>
      <c r="T22" s="19">
        <f t="shared" ref="T22:U22" si="36">SUM(T6:T21)</f>
        <v>108.75</v>
      </c>
      <c r="U22" s="19">
        <f t="shared" si="36"/>
        <v>51.75</v>
      </c>
      <c r="V22" s="10">
        <f>T22*F22</f>
        <v>48937.5</v>
      </c>
      <c r="W22" s="10">
        <f>V22*8</f>
        <v>391500</v>
      </c>
      <c r="X22" s="10">
        <f>U22*F22</f>
        <v>23287.5</v>
      </c>
      <c r="Y22" s="10">
        <f>X22*4</f>
        <v>93150</v>
      </c>
      <c r="Z22" s="8"/>
      <c r="AA22" s="19">
        <f t="shared" ref="AA22:AB22" si="37">SUM(AA6:AA21)</f>
        <v>3</v>
      </c>
      <c r="AB22" s="19">
        <f t="shared" si="37"/>
        <v>3</v>
      </c>
      <c r="AC22" s="10">
        <f>AA22*F22</f>
        <v>1350</v>
      </c>
      <c r="AD22" s="10">
        <f>AC22*8</f>
        <v>10800</v>
      </c>
      <c r="AE22" s="10">
        <f>AB22*F22</f>
        <v>1350</v>
      </c>
      <c r="AF22" s="10">
        <f>AE22*4</f>
        <v>5400</v>
      </c>
      <c r="AG22" s="8"/>
      <c r="AH22" s="19">
        <f t="shared" ref="AH22:AI22" si="38">SUM(AH6:AH21)</f>
        <v>1</v>
      </c>
      <c r="AI22" s="19">
        <f t="shared" si="38"/>
        <v>1</v>
      </c>
      <c r="AJ22" s="10">
        <f>AH22*F22</f>
        <v>450</v>
      </c>
      <c r="AK22" s="10">
        <f>AJ22*8</f>
        <v>3600</v>
      </c>
      <c r="AL22" s="10">
        <f>AI22*F22</f>
        <v>450</v>
      </c>
      <c r="AM22" s="10">
        <f>AL22*4</f>
        <v>1800</v>
      </c>
    </row>
    <row r="23" spans="1:39" ht="14.25" customHeight="1" x14ac:dyDescent="0.35">
      <c r="A23" s="8"/>
      <c r="B23" s="21" t="s">
        <v>41</v>
      </c>
      <c r="C23" s="22"/>
      <c r="D23" s="22"/>
      <c r="E23" s="23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8"/>
      <c r="T23" s="24"/>
      <c r="U23" s="24"/>
      <c r="V23" s="24"/>
      <c r="W23" s="24"/>
      <c r="X23" s="24"/>
      <c r="Y23" s="24"/>
      <c r="Z23" s="8"/>
      <c r="AA23" s="24"/>
      <c r="AB23" s="24"/>
      <c r="AC23" s="24"/>
      <c r="AD23" s="24"/>
      <c r="AE23" s="24"/>
      <c r="AF23" s="24"/>
      <c r="AG23" s="8"/>
      <c r="AH23" s="24"/>
      <c r="AI23" s="24"/>
      <c r="AJ23" s="24"/>
      <c r="AK23" s="24"/>
      <c r="AL23" s="24"/>
      <c r="AM23" s="24"/>
    </row>
    <row r="24" spans="1:39" ht="14.25" customHeight="1" x14ac:dyDescent="0.35">
      <c r="A24" s="8"/>
      <c r="B24" s="18" t="s">
        <v>42</v>
      </c>
      <c r="C24" s="7">
        <v>1</v>
      </c>
      <c r="D24" s="7">
        <v>1</v>
      </c>
      <c r="E24" s="10"/>
      <c r="F24" s="17"/>
      <c r="G24" s="79">
        <f t="shared" ref="G24:G26" si="39">O24+V24+AC24+AJ24</f>
        <v>466131.33333333331</v>
      </c>
      <c r="H24" s="10">
        <f t="shared" ref="H24:H26" si="40">G24*8</f>
        <v>3729050.6666666665</v>
      </c>
      <c r="I24" s="10">
        <f t="shared" ref="I24:I26" si="41">Q24+X24+AE24+AL24</f>
        <v>336132</v>
      </c>
      <c r="J24" s="10">
        <v>814666.66666666674</v>
      </c>
      <c r="K24" s="10">
        <f t="shared" ref="K24:K26" si="42">(O24+V24+AC24+AJ24)-G24</f>
        <v>0</v>
      </c>
      <c r="L24" s="10">
        <f t="shared" ref="L24:L26" si="43">(Q24+X24+AE24+AL24)-I24</f>
        <v>0</v>
      </c>
      <c r="M24" s="7"/>
      <c r="N24" s="7"/>
      <c r="O24" s="10">
        <v>288666</v>
      </c>
      <c r="P24" s="10">
        <f t="shared" ref="P24:P26" si="44">O24*8</f>
        <v>2309328</v>
      </c>
      <c r="Q24" s="10">
        <v>203666</v>
      </c>
      <c r="R24" s="10">
        <f t="shared" ref="R24:R26" si="45">Q24*4</f>
        <v>814664</v>
      </c>
      <c r="S24" s="8"/>
      <c r="T24" s="8"/>
      <c r="U24" s="8"/>
      <c r="V24" s="10">
        <v>171416</v>
      </c>
      <c r="W24" s="10">
        <f t="shared" ref="W24:W26" si="46">V24*8</f>
        <v>1371328</v>
      </c>
      <c r="X24" s="10">
        <v>126416</v>
      </c>
      <c r="Y24" s="10">
        <f t="shared" ref="Y24:Y26" si="47">X24*4</f>
        <v>505664</v>
      </c>
      <c r="Z24" s="8"/>
      <c r="AA24" s="8"/>
      <c r="AB24" s="8"/>
      <c r="AC24" s="10">
        <v>3491</v>
      </c>
      <c r="AD24" s="10">
        <f t="shared" ref="AD24:AD26" si="48">AC24*8</f>
        <v>27928</v>
      </c>
      <c r="AE24" s="10">
        <v>3491.6666666666665</v>
      </c>
      <c r="AF24" s="10">
        <f t="shared" ref="AF24:AF26" si="49">AE24*4</f>
        <v>13966.666666666666</v>
      </c>
      <c r="AG24" s="8"/>
      <c r="AH24" s="8"/>
      <c r="AI24" s="8"/>
      <c r="AJ24" s="10">
        <v>2558.333333333333</v>
      </c>
      <c r="AK24" s="10">
        <f t="shared" ref="AK24:AK26" si="50">AJ24*8</f>
        <v>20466.666666666664</v>
      </c>
      <c r="AL24" s="10">
        <v>2558.333333333333</v>
      </c>
      <c r="AM24" s="10">
        <f t="shared" ref="AM24:AM26" si="51">AL24*4</f>
        <v>10233.333333333332</v>
      </c>
    </row>
    <row r="25" spans="1:39" ht="14.25" customHeight="1" x14ac:dyDescent="0.35">
      <c r="A25" s="8"/>
      <c r="B25" s="18" t="s">
        <v>6</v>
      </c>
      <c r="C25" s="7">
        <v>1</v>
      </c>
      <c r="D25" s="7">
        <v>1</v>
      </c>
      <c r="E25" s="10"/>
      <c r="F25" s="17"/>
      <c r="G25" s="79">
        <f t="shared" si="39"/>
        <v>215230.06944444444</v>
      </c>
      <c r="H25" s="10">
        <f t="shared" si="40"/>
        <v>1721840.5555555555</v>
      </c>
      <c r="I25" s="10">
        <f t="shared" si="41"/>
        <v>155080.93055555556</v>
      </c>
      <c r="J25" s="10">
        <v>448983.33333333331</v>
      </c>
      <c r="K25" s="10">
        <f t="shared" si="42"/>
        <v>0</v>
      </c>
      <c r="L25" s="10">
        <f t="shared" si="43"/>
        <v>0</v>
      </c>
      <c r="M25" s="7"/>
      <c r="N25" s="7"/>
      <c r="O25" s="10">
        <v>165200</v>
      </c>
      <c r="P25" s="10">
        <f t="shared" si="44"/>
        <v>1321600</v>
      </c>
      <c r="Q25" s="10">
        <v>112245</v>
      </c>
      <c r="R25" s="10">
        <f t="shared" si="45"/>
        <v>448980</v>
      </c>
      <c r="S25" s="8"/>
      <c r="T25" s="8"/>
      <c r="U25" s="8"/>
      <c r="V25" s="10">
        <v>40443</v>
      </c>
      <c r="W25" s="10">
        <f t="shared" si="46"/>
        <v>323544</v>
      </c>
      <c r="X25" s="10">
        <v>33248</v>
      </c>
      <c r="Y25" s="10">
        <f t="shared" si="47"/>
        <v>132992</v>
      </c>
      <c r="Z25" s="8"/>
      <c r="AA25" s="8"/>
      <c r="AB25" s="8"/>
      <c r="AC25" s="10">
        <v>7247</v>
      </c>
      <c r="AD25" s="10">
        <f t="shared" si="48"/>
        <v>57976</v>
      </c>
      <c r="AE25" s="10">
        <v>7247.8611111111113</v>
      </c>
      <c r="AF25" s="10">
        <f t="shared" si="49"/>
        <v>28991.444444444445</v>
      </c>
      <c r="AG25" s="8"/>
      <c r="AH25" s="8"/>
      <c r="AI25" s="8"/>
      <c r="AJ25" s="10">
        <v>2340.0694444444443</v>
      </c>
      <c r="AK25" s="10">
        <f t="shared" si="50"/>
        <v>18720.555555555555</v>
      </c>
      <c r="AL25" s="10">
        <v>2340.0694444444443</v>
      </c>
      <c r="AM25" s="10">
        <f t="shared" si="51"/>
        <v>9360.2777777777774</v>
      </c>
    </row>
    <row r="26" spans="1:39" ht="14.25" customHeight="1" x14ac:dyDescent="0.35">
      <c r="A26" s="8"/>
      <c r="B26" s="18" t="s">
        <v>43</v>
      </c>
      <c r="C26" s="7">
        <v>1</v>
      </c>
      <c r="D26" s="7">
        <v>1</v>
      </c>
      <c r="E26" s="10"/>
      <c r="F26" s="17"/>
      <c r="G26" s="79">
        <f t="shared" si="39"/>
        <v>834838.30500000005</v>
      </c>
      <c r="H26" s="10">
        <f t="shared" si="40"/>
        <v>6678706.4400000004</v>
      </c>
      <c r="I26" s="10">
        <f t="shared" si="41"/>
        <v>268267.38500000001</v>
      </c>
      <c r="J26" s="10">
        <v>597553.04</v>
      </c>
      <c r="K26" s="10">
        <f t="shared" si="42"/>
        <v>0</v>
      </c>
      <c r="L26" s="10">
        <f t="shared" si="43"/>
        <v>0</v>
      </c>
      <c r="M26" s="7"/>
      <c r="N26" s="7"/>
      <c r="O26" s="10">
        <v>636855</v>
      </c>
      <c r="P26" s="10">
        <f t="shared" si="44"/>
        <v>5094840</v>
      </c>
      <c r="Q26" s="10">
        <v>149388</v>
      </c>
      <c r="R26" s="10">
        <f t="shared" si="45"/>
        <v>597552</v>
      </c>
      <c r="S26" s="8"/>
      <c r="T26" s="8"/>
      <c r="U26" s="8"/>
      <c r="V26" s="10">
        <v>167971</v>
      </c>
      <c r="W26" s="10">
        <f t="shared" si="46"/>
        <v>1343768</v>
      </c>
      <c r="X26" s="10">
        <v>88867</v>
      </c>
      <c r="Y26" s="10">
        <f t="shared" si="47"/>
        <v>355468</v>
      </c>
      <c r="Z26" s="8"/>
      <c r="AA26" s="8"/>
      <c r="AB26" s="8"/>
      <c r="AC26" s="10">
        <v>17838</v>
      </c>
      <c r="AD26" s="10">
        <f t="shared" si="48"/>
        <v>142704</v>
      </c>
      <c r="AE26" s="10">
        <v>17838.080000000002</v>
      </c>
      <c r="AF26" s="10">
        <f t="shared" si="49"/>
        <v>71352.320000000007</v>
      </c>
      <c r="AG26" s="8"/>
      <c r="AH26" s="8"/>
      <c r="AI26" s="8"/>
      <c r="AJ26" s="10">
        <v>12174.305</v>
      </c>
      <c r="AK26" s="10">
        <f t="shared" si="50"/>
        <v>97394.44</v>
      </c>
      <c r="AL26" s="10">
        <v>12174.305</v>
      </c>
      <c r="AM26" s="10">
        <f t="shared" si="51"/>
        <v>48697.22</v>
      </c>
    </row>
    <row r="27" spans="1:39" ht="14.25" customHeight="1" x14ac:dyDescent="0.35">
      <c r="A27" s="8"/>
      <c r="B27" s="21" t="s">
        <v>44</v>
      </c>
      <c r="C27" s="22"/>
      <c r="D27" s="22"/>
      <c r="E27" s="23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8"/>
      <c r="T27" s="24"/>
      <c r="U27" s="24"/>
      <c r="V27" s="24"/>
      <c r="W27" s="24"/>
      <c r="X27" s="24"/>
      <c r="Y27" s="24"/>
      <c r="Z27" s="8"/>
      <c r="AA27" s="24"/>
      <c r="AB27" s="24"/>
      <c r="AC27" s="24"/>
      <c r="AD27" s="24"/>
      <c r="AE27" s="24"/>
      <c r="AF27" s="24"/>
      <c r="AG27" s="8"/>
      <c r="AH27" s="24"/>
      <c r="AI27" s="24"/>
      <c r="AJ27" s="24"/>
      <c r="AK27" s="24"/>
      <c r="AL27" s="24"/>
      <c r="AM27" s="24"/>
    </row>
    <row r="28" spans="1:39" ht="14.25" customHeight="1" x14ac:dyDescent="0.35">
      <c r="A28" s="8"/>
      <c r="B28" s="18" t="s">
        <v>45</v>
      </c>
      <c r="C28" s="7">
        <f t="shared" ref="C28:D28" si="52">M28+T28+AA28+AH28</f>
        <v>10</v>
      </c>
      <c r="D28" s="7">
        <f t="shared" si="52"/>
        <v>5</v>
      </c>
      <c r="E28" s="17">
        <v>36000</v>
      </c>
      <c r="F28" s="17">
        <v>36000</v>
      </c>
      <c r="G28" s="10">
        <f t="shared" ref="G28:G33" si="53">C28*F28</f>
        <v>360000</v>
      </c>
      <c r="H28" s="10">
        <f t="shared" ref="H28:H33" si="54">G28*8</f>
        <v>2880000</v>
      </c>
      <c r="I28" s="10">
        <f t="shared" ref="I28:I29" si="55">D28*F28</f>
        <v>180000</v>
      </c>
      <c r="J28" s="10">
        <v>597553.04</v>
      </c>
      <c r="K28" s="10">
        <f t="shared" ref="K28:K33" si="56">(O28+V28+AC28+AJ28)-G28</f>
        <v>0</v>
      </c>
      <c r="L28" s="10">
        <f t="shared" ref="L28:L33" si="57">(Q28+X28+AE28+AL28)-I28</f>
        <v>0</v>
      </c>
      <c r="M28" s="7">
        <v>8</v>
      </c>
      <c r="N28" s="7">
        <v>3</v>
      </c>
      <c r="O28" s="10">
        <f t="shared" ref="O28:O29" si="58">F28*M28</f>
        <v>288000</v>
      </c>
      <c r="P28" s="10">
        <f t="shared" ref="P28:P33" si="59">O28*8</f>
        <v>2304000</v>
      </c>
      <c r="Q28" s="10">
        <f t="shared" ref="Q28:Q29" si="60">N28*F28</f>
        <v>108000</v>
      </c>
      <c r="R28" s="10">
        <f t="shared" ref="R28:R33" si="61">Q28*4</f>
        <v>432000</v>
      </c>
      <c r="S28" s="8"/>
      <c r="T28" s="8">
        <v>2</v>
      </c>
      <c r="U28" s="8">
        <v>2</v>
      </c>
      <c r="V28" s="10">
        <f t="shared" ref="V28:V29" si="62">T28*F28</f>
        <v>72000</v>
      </c>
      <c r="W28" s="10">
        <f t="shared" ref="W28:W33" si="63">V28*8</f>
        <v>576000</v>
      </c>
      <c r="X28" s="10">
        <f t="shared" ref="X28:X29" si="64">U28*F28</f>
        <v>72000</v>
      </c>
      <c r="Y28" s="10">
        <f t="shared" ref="Y28:Y33" si="65">X28*4</f>
        <v>288000</v>
      </c>
      <c r="Z28" s="8"/>
      <c r="AA28" s="8"/>
      <c r="AB28" s="8"/>
      <c r="AC28" s="10">
        <f>AA28*F28</f>
        <v>0</v>
      </c>
      <c r="AD28" s="10">
        <f t="shared" ref="AD28:AD33" si="66">AC28*8</f>
        <v>0</v>
      </c>
      <c r="AE28" s="10">
        <f>AB28*F28</f>
        <v>0</v>
      </c>
      <c r="AF28" s="10">
        <f t="shared" ref="AF28:AF33" si="67">AE28*4</f>
        <v>0</v>
      </c>
      <c r="AG28" s="8"/>
      <c r="AH28" s="8"/>
      <c r="AI28" s="8"/>
      <c r="AJ28" s="10">
        <f>AH28*F28</f>
        <v>0</v>
      </c>
      <c r="AK28" s="10">
        <f t="shared" ref="AK28:AK33" si="68">AJ28*8</f>
        <v>0</v>
      </c>
      <c r="AL28" s="10">
        <f>AI28*F28</f>
        <v>0</v>
      </c>
      <c r="AM28" s="10">
        <f t="shared" ref="AM28:AM33" si="69">AL28*4</f>
        <v>0</v>
      </c>
    </row>
    <row r="29" spans="1:39" ht="14.25" customHeight="1" x14ac:dyDescent="0.35">
      <c r="A29" s="8"/>
      <c r="B29" s="16" t="s">
        <v>46</v>
      </c>
      <c r="C29" s="7">
        <f t="shared" ref="C29:D29" si="70">M29+T29+AA29+AH29</f>
        <v>0</v>
      </c>
      <c r="D29" s="7">
        <f t="shared" si="70"/>
        <v>0</v>
      </c>
      <c r="E29" s="17">
        <v>21000</v>
      </c>
      <c r="F29" s="17">
        <v>21000</v>
      </c>
      <c r="G29" s="10">
        <f t="shared" si="53"/>
        <v>0</v>
      </c>
      <c r="H29" s="10">
        <f t="shared" si="54"/>
        <v>0</v>
      </c>
      <c r="I29" s="10">
        <f t="shared" si="55"/>
        <v>0</v>
      </c>
      <c r="J29" s="10">
        <v>597553.04</v>
      </c>
      <c r="K29" s="10">
        <f t="shared" si="56"/>
        <v>0</v>
      </c>
      <c r="L29" s="10">
        <f t="shared" si="57"/>
        <v>0</v>
      </c>
      <c r="M29" s="7"/>
      <c r="N29" s="7"/>
      <c r="O29" s="10">
        <f t="shared" si="58"/>
        <v>0</v>
      </c>
      <c r="P29" s="10">
        <f t="shared" si="59"/>
        <v>0</v>
      </c>
      <c r="Q29" s="10">
        <f t="shared" si="60"/>
        <v>0</v>
      </c>
      <c r="R29" s="10">
        <f t="shared" si="61"/>
        <v>0</v>
      </c>
      <c r="S29" s="8"/>
      <c r="T29" s="8"/>
      <c r="U29" s="8"/>
      <c r="V29" s="10">
        <f t="shared" si="62"/>
        <v>0</v>
      </c>
      <c r="W29" s="10">
        <f t="shared" si="63"/>
        <v>0</v>
      </c>
      <c r="X29" s="10">
        <f t="shared" si="64"/>
        <v>0</v>
      </c>
      <c r="Y29" s="10">
        <f t="shared" si="65"/>
        <v>0</v>
      </c>
      <c r="Z29" s="8"/>
      <c r="AA29" s="8"/>
      <c r="AB29" s="8"/>
      <c r="AC29" s="10"/>
      <c r="AD29" s="10">
        <f t="shared" si="66"/>
        <v>0</v>
      </c>
      <c r="AE29" s="10"/>
      <c r="AF29" s="10">
        <f t="shared" si="67"/>
        <v>0</v>
      </c>
      <c r="AG29" s="8"/>
      <c r="AH29" s="8"/>
      <c r="AI29" s="8"/>
      <c r="AJ29" s="10"/>
      <c r="AK29" s="10">
        <f t="shared" si="68"/>
        <v>0</v>
      </c>
      <c r="AL29" s="10"/>
      <c r="AM29" s="10">
        <f t="shared" si="69"/>
        <v>0</v>
      </c>
    </row>
    <row r="30" spans="1:39" ht="14.25" customHeight="1" x14ac:dyDescent="0.35">
      <c r="A30" s="8"/>
      <c r="B30" s="18" t="s">
        <v>47</v>
      </c>
      <c r="C30" s="25">
        <f t="shared" ref="C30:D30" si="71">M30+T30+AA30+AH30</f>
        <v>1</v>
      </c>
      <c r="D30" s="25">
        <f t="shared" si="71"/>
        <v>1</v>
      </c>
      <c r="E30" s="17">
        <v>13000</v>
      </c>
      <c r="F30" s="17">
        <v>13000</v>
      </c>
      <c r="G30" s="10">
        <f>C30*F30</f>
        <v>13000</v>
      </c>
      <c r="H30" s="10">
        <f t="shared" si="54"/>
        <v>104000</v>
      </c>
      <c r="I30" s="10">
        <f t="shared" ref="I30:I33" si="72">Q30+X30+AE30+AL30</f>
        <v>12605</v>
      </c>
      <c r="J30" s="10">
        <v>597553.04</v>
      </c>
      <c r="K30" s="10">
        <f t="shared" si="56"/>
        <v>-395</v>
      </c>
      <c r="L30" s="10">
        <f t="shared" si="57"/>
        <v>0</v>
      </c>
      <c r="M30" s="25">
        <v>0.75</v>
      </c>
      <c r="N30" s="25">
        <v>0.75</v>
      </c>
      <c r="O30" s="10">
        <v>9454</v>
      </c>
      <c r="P30" s="10">
        <f t="shared" si="59"/>
        <v>75632</v>
      </c>
      <c r="Q30" s="10">
        <v>9454</v>
      </c>
      <c r="R30" s="10">
        <f t="shared" si="61"/>
        <v>37816</v>
      </c>
      <c r="S30" s="8"/>
      <c r="T30" s="8">
        <v>0.25</v>
      </c>
      <c r="U30" s="8">
        <v>0.25</v>
      </c>
      <c r="V30" s="10">
        <v>3151</v>
      </c>
      <c r="W30" s="10">
        <f t="shared" si="63"/>
        <v>25208</v>
      </c>
      <c r="X30" s="10">
        <v>3151</v>
      </c>
      <c r="Y30" s="10">
        <f t="shared" si="65"/>
        <v>12604</v>
      </c>
      <c r="Z30" s="8"/>
      <c r="AA30" s="8"/>
      <c r="AB30" s="8"/>
      <c r="AC30" s="10">
        <f t="shared" ref="AC30:AC33" si="73">AA30*F30</f>
        <v>0</v>
      </c>
      <c r="AD30" s="10">
        <f t="shared" si="66"/>
        <v>0</v>
      </c>
      <c r="AE30" s="10">
        <f t="shared" ref="AE30:AE33" si="74">AB30*F30</f>
        <v>0</v>
      </c>
      <c r="AF30" s="10">
        <f t="shared" si="67"/>
        <v>0</v>
      </c>
      <c r="AG30" s="8"/>
      <c r="AH30" s="8"/>
      <c r="AI30" s="8"/>
      <c r="AJ30" s="10">
        <f t="shared" ref="AJ30:AJ33" si="75">AH30*F30</f>
        <v>0</v>
      </c>
      <c r="AK30" s="10">
        <f t="shared" si="68"/>
        <v>0</v>
      </c>
      <c r="AL30" s="10">
        <f t="shared" ref="AL30:AL33" si="76">AI30*F30</f>
        <v>0</v>
      </c>
      <c r="AM30" s="10">
        <f t="shared" si="69"/>
        <v>0</v>
      </c>
    </row>
    <row r="31" spans="1:39" ht="14.25" customHeight="1" x14ac:dyDescent="0.35">
      <c r="A31" s="8"/>
      <c r="B31" s="18" t="s">
        <v>48</v>
      </c>
      <c r="C31" s="25">
        <v>3</v>
      </c>
      <c r="D31" s="25">
        <v>5</v>
      </c>
      <c r="E31" s="17">
        <v>18000</v>
      </c>
      <c r="F31" s="17">
        <v>18000</v>
      </c>
      <c r="G31" s="10">
        <f t="shared" si="53"/>
        <v>54000</v>
      </c>
      <c r="H31" s="10">
        <f t="shared" si="54"/>
        <v>432000</v>
      </c>
      <c r="I31" s="10">
        <f>Q31+X31+AE31+AL31</f>
        <v>87272</v>
      </c>
      <c r="J31" s="10">
        <v>597553.04</v>
      </c>
      <c r="K31" s="10">
        <f t="shared" si="56"/>
        <v>33272</v>
      </c>
      <c r="L31" s="10">
        <f t="shared" si="57"/>
        <v>0</v>
      </c>
      <c r="M31" s="25">
        <v>3</v>
      </c>
      <c r="N31" s="25">
        <v>3</v>
      </c>
      <c r="O31" s="10">
        <v>65454</v>
      </c>
      <c r="P31" s="10">
        <f t="shared" si="59"/>
        <v>523632</v>
      </c>
      <c r="Q31" s="10">
        <v>65454</v>
      </c>
      <c r="R31" s="10">
        <f t="shared" si="61"/>
        <v>261816</v>
      </c>
      <c r="S31" s="8"/>
      <c r="T31" s="8">
        <v>2</v>
      </c>
      <c r="U31" s="8">
        <v>2</v>
      </c>
      <c r="V31" s="10">
        <v>21818</v>
      </c>
      <c r="W31" s="10">
        <f t="shared" si="63"/>
        <v>174544</v>
      </c>
      <c r="X31" s="10">
        <v>21818</v>
      </c>
      <c r="Y31" s="10">
        <f t="shared" si="65"/>
        <v>87272</v>
      </c>
      <c r="Z31" s="8"/>
      <c r="AA31" s="8"/>
      <c r="AB31" s="8"/>
      <c r="AC31" s="10">
        <f t="shared" si="73"/>
        <v>0</v>
      </c>
      <c r="AD31" s="10">
        <f t="shared" si="66"/>
        <v>0</v>
      </c>
      <c r="AE31" s="10">
        <f t="shared" si="74"/>
        <v>0</v>
      </c>
      <c r="AF31" s="10">
        <f t="shared" si="67"/>
        <v>0</v>
      </c>
      <c r="AG31" s="8"/>
      <c r="AH31" s="8"/>
      <c r="AI31" s="8"/>
      <c r="AJ31" s="10">
        <f t="shared" si="75"/>
        <v>0</v>
      </c>
      <c r="AK31" s="10">
        <f t="shared" si="68"/>
        <v>0</v>
      </c>
      <c r="AL31" s="10">
        <f t="shared" si="76"/>
        <v>0</v>
      </c>
      <c r="AM31" s="10">
        <f t="shared" si="69"/>
        <v>0</v>
      </c>
    </row>
    <row r="32" spans="1:39" ht="14.25" customHeight="1" x14ac:dyDescent="0.35">
      <c r="A32" s="8"/>
      <c r="B32" s="16" t="s">
        <v>49</v>
      </c>
      <c r="C32" s="25">
        <f t="shared" ref="C32:D32" si="77">M32+T32+AA32+AH32</f>
        <v>5</v>
      </c>
      <c r="D32" s="7">
        <f t="shared" si="77"/>
        <v>4</v>
      </c>
      <c r="E32" s="17">
        <v>20000</v>
      </c>
      <c r="F32" s="17">
        <v>20000</v>
      </c>
      <c r="G32" s="10">
        <f t="shared" si="53"/>
        <v>100000</v>
      </c>
      <c r="H32" s="10">
        <f t="shared" si="54"/>
        <v>800000</v>
      </c>
      <c r="I32" s="10">
        <f t="shared" si="72"/>
        <v>80000</v>
      </c>
      <c r="J32" s="10">
        <v>597553.04</v>
      </c>
      <c r="K32" s="10">
        <f t="shared" si="56"/>
        <v>-1</v>
      </c>
      <c r="L32" s="10">
        <f t="shared" si="57"/>
        <v>0</v>
      </c>
      <c r="M32" s="26">
        <v>3</v>
      </c>
      <c r="N32" s="7">
        <v>2</v>
      </c>
      <c r="O32" s="10">
        <v>56363</v>
      </c>
      <c r="P32" s="10">
        <f t="shared" si="59"/>
        <v>450904</v>
      </c>
      <c r="Q32" s="10">
        <v>50000</v>
      </c>
      <c r="R32" s="10">
        <f t="shared" si="61"/>
        <v>200000</v>
      </c>
      <c r="S32" s="8"/>
      <c r="T32" s="8">
        <v>2</v>
      </c>
      <c r="U32" s="8">
        <v>2</v>
      </c>
      <c r="V32" s="10">
        <v>43636</v>
      </c>
      <c r="W32" s="10">
        <f t="shared" si="63"/>
        <v>349088</v>
      </c>
      <c r="X32" s="10">
        <v>30000</v>
      </c>
      <c r="Y32" s="10">
        <f t="shared" si="65"/>
        <v>120000</v>
      </c>
      <c r="Z32" s="8"/>
      <c r="AA32" s="8"/>
      <c r="AB32" s="8"/>
      <c r="AC32" s="10">
        <f t="shared" si="73"/>
        <v>0</v>
      </c>
      <c r="AD32" s="10">
        <f t="shared" si="66"/>
        <v>0</v>
      </c>
      <c r="AE32" s="10">
        <f t="shared" si="74"/>
        <v>0</v>
      </c>
      <c r="AF32" s="10">
        <f t="shared" si="67"/>
        <v>0</v>
      </c>
      <c r="AG32" s="8"/>
      <c r="AH32" s="8"/>
      <c r="AI32" s="8"/>
      <c r="AJ32" s="10">
        <f t="shared" si="75"/>
        <v>0</v>
      </c>
      <c r="AK32" s="10">
        <f t="shared" si="68"/>
        <v>0</v>
      </c>
      <c r="AL32" s="10">
        <f t="shared" si="76"/>
        <v>0</v>
      </c>
      <c r="AM32" s="10">
        <f t="shared" si="69"/>
        <v>0</v>
      </c>
    </row>
    <row r="33" spans="1:39" ht="14.25" customHeight="1" x14ac:dyDescent="0.35">
      <c r="A33" s="8"/>
      <c r="B33" s="16" t="s">
        <v>50</v>
      </c>
      <c r="C33" s="25">
        <f t="shared" ref="C33:D33" si="78">M33+T33+AA33+AH33</f>
        <v>1</v>
      </c>
      <c r="D33" s="7">
        <f t="shared" si="78"/>
        <v>1</v>
      </c>
      <c r="E33" s="17">
        <v>12000</v>
      </c>
      <c r="F33" s="17">
        <v>12000</v>
      </c>
      <c r="G33" s="10">
        <f t="shared" si="53"/>
        <v>12000</v>
      </c>
      <c r="H33" s="10">
        <f t="shared" si="54"/>
        <v>96000</v>
      </c>
      <c r="I33" s="10">
        <f t="shared" si="72"/>
        <v>8040</v>
      </c>
      <c r="J33" s="10">
        <v>597553.04</v>
      </c>
      <c r="K33" s="10">
        <f t="shared" si="56"/>
        <v>-1</v>
      </c>
      <c r="L33" s="10">
        <f t="shared" si="57"/>
        <v>0</v>
      </c>
      <c r="M33" s="26">
        <v>0.75</v>
      </c>
      <c r="N33" s="7">
        <v>0.5</v>
      </c>
      <c r="O33" s="10">
        <v>9090</v>
      </c>
      <c r="P33" s="10">
        <f t="shared" si="59"/>
        <v>72720</v>
      </c>
      <c r="Q33" s="10">
        <v>6000</v>
      </c>
      <c r="R33" s="10">
        <f t="shared" si="61"/>
        <v>24000</v>
      </c>
      <c r="S33" s="8"/>
      <c r="T33" s="8">
        <v>0.25</v>
      </c>
      <c r="U33" s="8">
        <v>0.5</v>
      </c>
      <c r="V33" s="10">
        <v>2909</v>
      </c>
      <c r="W33" s="10">
        <f t="shared" si="63"/>
        <v>23272</v>
      </c>
      <c r="X33" s="10">
        <v>2040.0000000000002</v>
      </c>
      <c r="Y33" s="10">
        <f t="shared" si="65"/>
        <v>8160.0000000000009</v>
      </c>
      <c r="Z33" s="8"/>
      <c r="AA33" s="8"/>
      <c r="AB33" s="8"/>
      <c r="AC33" s="10">
        <f t="shared" si="73"/>
        <v>0</v>
      </c>
      <c r="AD33" s="10">
        <f t="shared" si="66"/>
        <v>0</v>
      </c>
      <c r="AE33" s="10">
        <f t="shared" si="74"/>
        <v>0</v>
      </c>
      <c r="AF33" s="10">
        <f t="shared" si="67"/>
        <v>0</v>
      </c>
      <c r="AG33" s="8"/>
      <c r="AH33" s="8"/>
      <c r="AI33" s="8"/>
      <c r="AJ33" s="10">
        <f t="shared" si="75"/>
        <v>0</v>
      </c>
      <c r="AK33" s="10">
        <f t="shared" si="68"/>
        <v>0</v>
      </c>
      <c r="AL33" s="10">
        <f t="shared" si="76"/>
        <v>0</v>
      </c>
      <c r="AM33" s="10">
        <f t="shared" si="69"/>
        <v>0</v>
      </c>
    </row>
    <row r="34" spans="1:39" ht="14.25" customHeight="1" x14ac:dyDescent="0.35">
      <c r="A34" s="8"/>
      <c r="B34" s="21" t="s">
        <v>51</v>
      </c>
      <c r="C34" s="22"/>
      <c r="D34" s="22"/>
      <c r="E34" s="23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8"/>
      <c r="T34" s="24"/>
      <c r="U34" s="24"/>
      <c r="V34" s="24"/>
      <c r="W34" s="24"/>
      <c r="X34" s="24"/>
      <c r="Y34" s="24"/>
      <c r="Z34" s="8"/>
      <c r="AA34" s="24"/>
      <c r="AB34" s="24"/>
      <c r="AC34" s="24"/>
      <c r="AD34" s="24"/>
      <c r="AE34" s="24"/>
      <c r="AF34" s="24"/>
      <c r="AG34" s="8"/>
      <c r="AH34" s="24"/>
      <c r="AI34" s="24"/>
      <c r="AJ34" s="24"/>
      <c r="AK34" s="24"/>
      <c r="AL34" s="24"/>
      <c r="AM34" s="24"/>
    </row>
    <row r="35" spans="1:39" ht="14.25" customHeight="1" x14ac:dyDescent="0.35">
      <c r="A35" s="8"/>
      <c r="B35" s="16" t="s">
        <v>52</v>
      </c>
      <c r="C35" s="25">
        <f t="shared" ref="C35:D35" si="79">M35+T35+AA35+AH35</f>
        <v>54</v>
      </c>
      <c r="D35" s="25">
        <f t="shared" si="79"/>
        <v>40</v>
      </c>
      <c r="E35" s="17">
        <v>350</v>
      </c>
      <c r="F35" s="17">
        <v>350</v>
      </c>
      <c r="G35" s="10">
        <f>O35+V35+AC35+AJ35</f>
        <v>20087</v>
      </c>
      <c r="H35" s="10">
        <f>G35*8</f>
        <v>160696</v>
      </c>
      <c r="I35" s="10">
        <f>Q35+X35+AE35+AL35</f>
        <v>14610</v>
      </c>
      <c r="J35" s="10">
        <v>597553.04</v>
      </c>
      <c r="K35" s="10">
        <f>(O35+V35+AC35+AJ35)-G35</f>
        <v>0</v>
      </c>
      <c r="L35" s="10">
        <f>(Q35+X35+AE35+AL35)-I35</f>
        <v>0</v>
      </c>
      <c r="M35" s="25">
        <f t="shared" ref="M35:N35" si="80">M6+M7+M8+M9+M11+M13+M15+M16+M17+M18</f>
        <v>37.25</v>
      </c>
      <c r="N35" s="25">
        <f t="shared" si="80"/>
        <v>27.25</v>
      </c>
      <c r="O35" s="10">
        <v>15084</v>
      </c>
      <c r="P35" s="10">
        <f>O35*8</f>
        <v>120672</v>
      </c>
      <c r="Q35" s="10">
        <v>11101</v>
      </c>
      <c r="R35" s="10">
        <f>Q35*4</f>
        <v>44404</v>
      </c>
      <c r="S35" s="8"/>
      <c r="T35" s="25">
        <f t="shared" ref="T35:U35" si="81">T6+T7+T8+T9+T11+T13+T15+T16+T17+T18</f>
        <v>16.75</v>
      </c>
      <c r="U35" s="25">
        <f t="shared" si="81"/>
        <v>12.75</v>
      </c>
      <c r="V35" s="10">
        <v>5003</v>
      </c>
      <c r="W35" s="10">
        <f>V35*8</f>
        <v>40024</v>
      </c>
      <c r="X35" s="10">
        <v>3509</v>
      </c>
      <c r="Y35" s="10">
        <f>X35*4</f>
        <v>14036</v>
      </c>
      <c r="Z35" s="8"/>
      <c r="AA35" s="25">
        <f t="shared" ref="AA35:AB35" si="82">AA6+AA7+AA8+AA9+AA11+AA13+AA15+AA16+AA17+AA18</f>
        <v>0</v>
      </c>
      <c r="AB35" s="25">
        <f t="shared" si="82"/>
        <v>0</v>
      </c>
      <c r="AC35" s="10">
        <f>AA35*F35</f>
        <v>0</v>
      </c>
      <c r="AD35" s="10">
        <f>AC35*8</f>
        <v>0</v>
      </c>
      <c r="AE35" s="10">
        <f>AB35*F35</f>
        <v>0</v>
      </c>
      <c r="AF35" s="10">
        <f>AE35*4</f>
        <v>0</v>
      </c>
      <c r="AG35" s="8"/>
      <c r="AH35" s="25">
        <f t="shared" ref="AH35:AI35" si="83">AH6+AH7+AH8+AH9+AH11+AH13+AH15+AH16+AH17+AH18</f>
        <v>0</v>
      </c>
      <c r="AI35" s="25">
        <f t="shared" si="83"/>
        <v>0</v>
      </c>
      <c r="AJ35" s="10">
        <f>AH35*F35</f>
        <v>0</v>
      </c>
      <c r="AK35" s="10">
        <f>AJ35*8</f>
        <v>0</v>
      </c>
      <c r="AL35" s="10">
        <f>AI35*F35</f>
        <v>0</v>
      </c>
      <c r="AM35" s="10">
        <f>AL35*4</f>
        <v>0</v>
      </c>
    </row>
    <row r="36" spans="1:39" ht="14.25" customHeight="1" x14ac:dyDescent="0.35">
      <c r="A36" s="8"/>
      <c r="B36" s="27" t="s">
        <v>53</v>
      </c>
      <c r="C36" s="22"/>
      <c r="D36" s="22"/>
      <c r="E36" s="23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8"/>
      <c r="T36" s="24"/>
      <c r="U36" s="24"/>
      <c r="V36" s="24"/>
      <c r="W36" s="24"/>
      <c r="X36" s="24"/>
      <c r="Y36" s="24"/>
      <c r="Z36" s="8"/>
      <c r="AA36" s="24"/>
      <c r="AB36" s="24"/>
      <c r="AC36" s="24"/>
      <c r="AD36" s="24"/>
      <c r="AE36" s="24"/>
      <c r="AF36" s="24"/>
      <c r="AG36" s="8"/>
      <c r="AH36" s="24"/>
      <c r="AI36" s="24"/>
      <c r="AJ36" s="24"/>
      <c r="AK36" s="24"/>
      <c r="AL36" s="24"/>
      <c r="AM36" s="24"/>
    </row>
    <row r="37" spans="1:39" ht="14.25" customHeight="1" x14ac:dyDescent="0.35">
      <c r="A37" s="8"/>
      <c r="B37" s="28" t="s">
        <v>54</v>
      </c>
      <c r="C37" s="7">
        <f>M37+T37+AA37+AH37</f>
        <v>0</v>
      </c>
      <c r="D37" s="7">
        <v>0</v>
      </c>
      <c r="E37" s="10"/>
      <c r="F37" s="17">
        <f>F31*3</f>
        <v>54000</v>
      </c>
      <c r="G37" s="10">
        <f>O37+V37+AC37+AJ37</f>
        <v>0</v>
      </c>
      <c r="H37" s="10">
        <f>G37*8</f>
        <v>0</v>
      </c>
      <c r="I37" s="10">
        <f>Q37+X37+AE37+AL37</f>
        <v>0</v>
      </c>
      <c r="J37" s="10">
        <v>597555.04</v>
      </c>
      <c r="K37" s="10">
        <f>(O37+V37+AC37+AJ37)-G37</f>
        <v>0</v>
      </c>
      <c r="L37" s="10">
        <f>(Q37+X37+AE37+AL37)-I37</f>
        <v>0</v>
      </c>
      <c r="M37" s="7">
        <v>0</v>
      </c>
      <c r="N37" s="7">
        <v>0</v>
      </c>
      <c r="O37" s="10"/>
      <c r="P37" s="10"/>
      <c r="Q37" s="10"/>
      <c r="R37" s="10"/>
      <c r="S37" s="8"/>
      <c r="T37" s="8"/>
      <c r="U37" s="8"/>
      <c r="V37" s="10"/>
      <c r="W37" s="10"/>
      <c r="X37" s="10"/>
      <c r="Y37" s="10"/>
      <c r="Z37" s="8"/>
      <c r="AA37" s="8"/>
      <c r="AB37" s="8"/>
      <c r="AC37" s="10"/>
      <c r="AD37" s="10"/>
      <c r="AE37" s="10"/>
      <c r="AF37" s="10"/>
      <c r="AG37" s="8"/>
      <c r="AH37" s="8"/>
      <c r="AI37" s="8"/>
      <c r="AJ37" s="10"/>
      <c r="AK37" s="10"/>
      <c r="AL37" s="10"/>
      <c r="AM37" s="10"/>
    </row>
    <row r="38" spans="1:39" ht="14.25" customHeight="1" x14ac:dyDescent="0.35">
      <c r="A38" s="8"/>
      <c r="B38" s="28"/>
      <c r="C38" s="7"/>
      <c r="D38" s="7"/>
      <c r="E38" s="8"/>
      <c r="F38" s="17"/>
      <c r="G38" s="10"/>
      <c r="H38" s="10"/>
      <c r="I38" s="10"/>
      <c r="J38" s="10"/>
      <c r="K38" s="10"/>
      <c r="L38" s="10"/>
      <c r="M38" s="7"/>
      <c r="N38" s="7"/>
      <c r="O38" s="10"/>
      <c r="P38" s="10"/>
      <c r="Q38" s="10"/>
      <c r="R38" s="10"/>
      <c r="S38" s="8"/>
      <c r="T38" s="8"/>
      <c r="U38" s="8"/>
      <c r="V38" s="10"/>
      <c r="W38" s="10"/>
      <c r="X38" s="10"/>
      <c r="Y38" s="10"/>
      <c r="Z38" s="8"/>
      <c r="AA38" s="8"/>
      <c r="AB38" s="8"/>
      <c r="AC38" s="10"/>
      <c r="AD38" s="10"/>
      <c r="AE38" s="10"/>
      <c r="AF38" s="10"/>
      <c r="AG38" s="8"/>
      <c r="AH38" s="8"/>
      <c r="AI38" s="8"/>
      <c r="AJ38" s="10"/>
      <c r="AK38" s="10"/>
      <c r="AL38" s="10"/>
      <c r="AM38" s="10"/>
    </row>
    <row r="39" spans="1:39" ht="14.25" customHeight="1" x14ac:dyDescent="0.35">
      <c r="A39" s="8"/>
      <c r="B39" s="29" t="s">
        <v>55</v>
      </c>
      <c r="C39" s="7"/>
      <c r="D39" s="7"/>
      <c r="E39" s="8"/>
      <c r="F39" s="17"/>
      <c r="G39" s="10">
        <f>SUM(G6:G37)</f>
        <v>4172636.7077777782</v>
      </c>
      <c r="H39" s="10">
        <f t="shared" ref="H39:H41" si="84">G39*8</f>
        <v>33381093.662222225</v>
      </c>
      <c r="I39" s="10">
        <f>SUM(I6:I37)</f>
        <v>2304207.3155555557</v>
      </c>
      <c r="J39" s="10">
        <f t="shared" ref="J39:J41" si="85">I39*4</f>
        <v>9216829.262222223</v>
      </c>
      <c r="K39" s="10">
        <f t="shared" ref="K39:K49" si="86">(O39+V39+AC39+AJ39)-G39</f>
        <v>32874.999999999534</v>
      </c>
      <c r="L39" s="10">
        <f t="shared" ref="L39:L41" si="87">(Q39+X39+AE39+AL39)-I39</f>
        <v>0</v>
      </c>
      <c r="M39" s="7"/>
      <c r="N39" s="7"/>
      <c r="O39" s="10">
        <f>SUM(O6:O37)</f>
        <v>2996028.5</v>
      </c>
      <c r="P39" s="10">
        <f t="shared" ref="P39:P40" si="88">O39*8</f>
        <v>23968228</v>
      </c>
      <c r="Q39" s="10">
        <f>SUM(Q6:Q37)</f>
        <v>1521320.5</v>
      </c>
      <c r="R39" s="10">
        <f t="shared" ref="R39:R40" si="89">Q39*4</f>
        <v>6085282</v>
      </c>
      <c r="S39" s="8"/>
      <c r="T39" s="8"/>
      <c r="U39" s="8"/>
      <c r="V39" s="10">
        <f>SUM(V6:V37)</f>
        <v>1145434.5</v>
      </c>
      <c r="W39" s="10">
        <f t="shared" ref="W39:W40" si="90">V39*8</f>
        <v>9163476</v>
      </c>
      <c r="X39" s="10">
        <f>SUM(X6:X37)</f>
        <v>718836.5</v>
      </c>
      <c r="Y39" s="10">
        <f t="shared" ref="Y39:Y40" si="91">X39*4</f>
        <v>2875346</v>
      </c>
      <c r="Z39" s="8"/>
      <c r="AA39" s="8"/>
      <c r="AB39" s="8"/>
      <c r="AC39" s="10">
        <f>SUM(AC6:AC37)</f>
        <v>42376</v>
      </c>
      <c r="AD39" s="10">
        <f t="shared" ref="AD39:AD40" si="92">AC39*8</f>
        <v>339008</v>
      </c>
      <c r="AE39" s="10">
        <f>SUM(AE6:AE37)</f>
        <v>42377.607777777783</v>
      </c>
      <c r="AF39" s="10">
        <f t="shared" ref="AF39:AF40" si="93">AE39*4</f>
        <v>169510.43111111113</v>
      </c>
      <c r="AG39" s="8"/>
      <c r="AH39" s="8"/>
      <c r="AI39" s="8"/>
      <c r="AJ39" s="10">
        <f>SUM(AJ6:AJ37)</f>
        <v>21672.707777777778</v>
      </c>
      <c r="AK39" s="10">
        <f t="shared" ref="AK39:AK40" si="94">AJ39*8</f>
        <v>173381.66222222222</v>
      </c>
      <c r="AL39" s="10">
        <f>SUM(AL6:AL37)</f>
        <v>21672.707777777778</v>
      </c>
      <c r="AM39" s="10">
        <f t="shared" ref="AM39:AM40" si="95">AL39*4</f>
        <v>86690.831111111111</v>
      </c>
    </row>
    <row r="40" spans="1:39" ht="14.25" customHeight="1" x14ac:dyDescent="0.35">
      <c r="A40" s="8"/>
      <c r="B40" s="29" t="s">
        <v>56</v>
      </c>
      <c r="C40" s="30">
        <f>G40/G39</f>
        <v>-1</v>
      </c>
      <c r="D40" s="30">
        <f>I40/I39</f>
        <v>-1</v>
      </c>
      <c r="E40" s="8"/>
      <c r="F40" s="31"/>
      <c r="G40" s="19">
        <f>G41-G39</f>
        <v>-4172636.7077777782</v>
      </c>
      <c r="H40" s="10">
        <f t="shared" si="84"/>
        <v>-33381093.662222225</v>
      </c>
      <c r="I40" s="19">
        <f>I41-I39</f>
        <v>-2304207.3155555557</v>
      </c>
      <c r="J40" s="10">
        <f t="shared" si="85"/>
        <v>-9216829.262222223</v>
      </c>
      <c r="K40" s="10">
        <f t="shared" si="86"/>
        <v>-32874.999999999534</v>
      </c>
      <c r="L40" s="10">
        <f t="shared" si="87"/>
        <v>0</v>
      </c>
      <c r="M40" s="7"/>
      <c r="N40" s="7"/>
      <c r="O40" s="10">
        <f>O39*C40</f>
        <v>-2996028.5</v>
      </c>
      <c r="P40" s="10">
        <f t="shared" si="88"/>
        <v>-23968228</v>
      </c>
      <c r="Q40" s="10">
        <f>Q39*D40</f>
        <v>-1521320.5</v>
      </c>
      <c r="R40" s="10">
        <f t="shared" si="89"/>
        <v>-6085282</v>
      </c>
      <c r="S40" s="8"/>
      <c r="T40" s="8"/>
      <c r="U40" s="8"/>
      <c r="V40" s="10">
        <f>V39*C40</f>
        <v>-1145434.5</v>
      </c>
      <c r="W40" s="10">
        <f t="shared" si="90"/>
        <v>-9163476</v>
      </c>
      <c r="X40" s="10">
        <f>X39*D40</f>
        <v>-718836.5</v>
      </c>
      <c r="Y40" s="10">
        <f t="shared" si="91"/>
        <v>-2875346</v>
      </c>
      <c r="Z40" s="8"/>
      <c r="AA40" s="8"/>
      <c r="AB40" s="8"/>
      <c r="AC40" s="10">
        <f>AC39*C40</f>
        <v>-42376</v>
      </c>
      <c r="AD40" s="10">
        <f t="shared" si="92"/>
        <v>-339008</v>
      </c>
      <c r="AE40" s="10">
        <f>AE39*D40</f>
        <v>-42377.607777777783</v>
      </c>
      <c r="AF40" s="10">
        <f t="shared" si="93"/>
        <v>-169510.43111111113</v>
      </c>
      <c r="AG40" s="8"/>
      <c r="AH40" s="8"/>
      <c r="AI40" s="8"/>
      <c r="AJ40" s="10">
        <f>AJ39*C40</f>
        <v>-21672.707777777778</v>
      </c>
      <c r="AK40" s="10">
        <f t="shared" si="94"/>
        <v>-173381.66222222222</v>
      </c>
      <c r="AL40" s="10">
        <f>AL39*D40</f>
        <v>-21672.707777777778</v>
      </c>
      <c r="AM40" s="10">
        <f t="shared" si="95"/>
        <v>-86690.831111111111</v>
      </c>
    </row>
    <row r="41" spans="1:39" ht="14.25" customHeight="1" x14ac:dyDescent="0.35">
      <c r="A41" s="32"/>
      <c r="B41" s="29" t="s">
        <v>11</v>
      </c>
      <c r="C41" s="33"/>
      <c r="D41" s="33"/>
      <c r="E41" s="32"/>
      <c r="F41" s="34"/>
      <c r="G41" s="35">
        <f>'[1]Breakdown '!$C$49</f>
        <v>0</v>
      </c>
      <c r="H41" s="35">
        <f t="shared" si="84"/>
        <v>0</v>
      </c>
      <c r="I41" s="35">
        <f>'[1]Breakdown '!$D$49</f>
        <v>0</v>
      </c>
      <c r="J41" s="35">
        <f t="shared" si="85"/>
        <v>0</v>
      </c>
      <c r="K41" s="10">
        <f t="shared" si="86"/>
        <v>0</v>
      </c>
      <c r="L41" s="10">
        <f t="shared" si="87"/>
        <v>0</v>
      </c>
      <c r="M41" s="33"/>
      <c r="N41" s="33"/>
      <c r="O41" s="35">
        <f t="shared" ref="O41:R41" si="96">O39+O40</f>
        <v>0</v>
      </c>
      <c r="P41" s="35">
        <f t="shared" si="96"/>
        <v>0</v>
      </c>
      <c r="Q41" s="35">
        <f t="shared" si="96"/>
        <v>0</v>
      </c>
      <c r="R41" s="35">
        <f t="shared" si="96"/>
        <v>0</v>
      </c>
      <c r="S41" s="8"/>
      <c r="T41" s="8"/>
      <c r="U41" s="8"/>
      <c r="V41" s="35">
        <f t="shared" ref="V41:Y41" si="97">V39+V40</f>
        <v>0</v>
      </c>
      <c r="W41" s="35">
        <f t="shared" si="97"/>
        <v>0</v>
      </c>
      <c r="X41" s="35">
        <f t="shared" si="97"/>
        <v>0</v>
      </c>
      <c r="Y41" s="35">
        <f t="shared" si="97"/>
        <v>0</v>
      </c>
      <c r="Z41" s="8"/>
      <c r="AA41" s="8"/>
      <c r="AB41" s="8"/>
      <c r="AC41" s="35">
        <f t="shared" ref="AC41:AF41" si="98">AC39+AC40</f>
        <v>0</v>
      </c>
      <c r="AD41" s="35">
        <f t="shared" si="98"/>
        <v>0</v>
      </c>
      <c r="AE41" s="35">
        <f t="shared" si="98"/>
        <v>0</v>
      </c>
      <c r="AF41" s="35">
        <f t="shared" si="98"/>
        <v>0</v>
      </c>
      <c r="AG41" s="8"/>
      <c r="AH41" s="8"/>
      <c r="AI41" s="8"/>
      <c r="AJ41" s="35">
        <f t="shared" ref="AJ41:AM41" si="99">AJ39+AJ40</f>
        <v>0</v>
      </c>
      <c r="AK41" s="35">
        <f t="shared" si="99"/>
        <v>0</v>
      </c>
      <c r="AL41" s="35">
        <f t="shared" si="99"/>
        <v>0</v>
      </c>
      <c r="AM41" s="35">
        <f t="shared" si="99"/>
        <v>0</v>
      </c>
    </row>
    <row r="42" spans="1:39" ht="14.25" customHeight="1" x14ac:dyDescent="0.35">
      <c r="A42" s="8"/>
      <c r="B42" s="29" t="s">
        <v>57</v>
      </c>
      <c r="C42" s="7"/>
      <c r="D42" s="7"/>
      <c r="E42" s="8"/>
      <c r="F42" s="17"/>
      <c r="G42" s="10"/>
      <c r="H42" s="8"/>
      <c r="I42" s="8"/>
      <c r="J42" s="8"/>
      <c r="K42" s="10">
        <f t="shared" si="86"/>
        <v>0</v>
      </c>
      <c r="L42" s="10"/>
      <c r="M42" s="33"/>
      <c r="N42" s="33"/>
      <c r="O42" s="10"/>
      <c r="P42" s="10"/>
      <c r="Q42" s="10"/>
      <c r="R42" s="10"/>
      <c r="S42" s="8"/>
      <c r="T42" s="8"/>
      <c r="U42" s="8"/>
      <c r="V42" s="10"/>
      <c r="W42" s="10"/>
      <c r="X42" s="10"/>
      <c r="Y42" s="10"/>
      <c r="Z42" s="8"/>
      <c r="AA42" s="8"/>
      <c r="AB42" s="8"/>
      <c r="AC42" s="10"/>
      <c r="AD42" s="10"/>
      <c r="AE42" s="10"/>
      <c r="AF42" s="10"/>
      <c r="AG42" s="8"/>
      <c r="AH42" s="8"/>
      <c r="AI42" s="8"/>
      <c r="AJ42" s="10"/>
      <c r="AK42" s="10"/>
      <c r="AL42" s="10"/>
      <c r="AM42" s="10"/>
    </row>
    <row r="43" spans="1:39" ht="14.25" customHeight="1" x14ac:dyDescent="0.35">
      <c r="A43" s="8"/>
      <c r="B43" s="8"/>
      <c r="C43" s="7"/>
      <c r="D43" s="7"/>
      <c r="E43" s="8"/>
      <c r="F43" s="8"/>
      <c r="G43" s="8"/>
      <c r="H43" s="8"/>
      <c r="I43" s="8"/>
      <c r="J43" s="8"/>
      <c r="K43" s="10">
        <f t="shared" si="86"/>
        <v>0</v>
      </c>
      <c r="L43" s="10"/>
      <c r="M43" s="33"/>
      <c r="N43" s="33"/>
      <c r="O43" s="10"/>
      <c r="P43" s="10"/>
      <c r="Q43" s="10"/>
      <c r="R43" s="10"/>
      <c r="S43" s="8"/>
      <c r="T43" s="8"/>
      <c r="U43" s="8"/>
      <c r="V43" s="10"/>
      <c r="W43" s="10"/>
      <c r="X43" s="10"/>
      <c r="Y43" s="10"/>
      <c r="Z43" s="8"/>
      <c r="AA43" s="8"/>
      <c r="AB43" s="8"/>
      <c r="AC43" s="10"/>
      <c r="AD43" s="10"/>
      <c r="AE43" s="10"/>
      <c r="AF43" s="10"/>
      <c r="AG43" s="8"/>
      <c r="AH43" s="8"/>
      <c r="AI43" s="8"/>
      <c r="AJ43" s="10"/>
      <c r="AK43" s="10"/>
      <c r="AL43" s="10"/>
      <c r="AM43" s="10"/>
    </row>
    <row r="44" spans="1:39" ht="14.25" customHeight="1" x14ac:dyDescent="0.35">
      <c r="A44" s="8"/>
      <c r="B44" s="8"/>
      <c r="C44" s="7"/>
      <c r="D44" s="7"/>
      <c r="E44" s="8"/>
      <c r="F44" s="8"/>
      <c r="G44" s="10"/>
      <c r="H44" s="10"/>
      <c r="I44" s="10"/>
      <c r="J44" s="10"/>
      <c r="K44" s="10">
        <f t="shared" si="86"/>
        <v>0</v>
      </c>
      <c r="L44" s="10"/>
      <c r="M44" s="33"/>
      <c r="N44" s="33"/>
      <c r="O44" s="10"/>
      <c r="P44" s="10"/>
      <c r="Q44" s="10"/>
      <c r="R44" s="10"/>
      <c r="S44" s="8"/>
      <c r="T44" s="8"/>
      <c r="U44" s="8"/>
      <c r="V44" s="10"/>
      <c r="W44" s="10"/>
      <c r="X44" s="10"/>
      <c r="Y44" s="10"/>
      <c r="Z44" s="8"/>
      <c r="AA44" s="8"/>
      <c r="AB44" s="8"/>
      <c r="AC44" s="10"/>
      <c r="AD44" s="10"/>
      <c r="AE44" s="10"/>
      <c r="AF44" s="10"/>
      <c r="AG44" s="8"/>
      <c r="AH44" s="8"/>
      <c r="AI44" s="8"/>
      <c r="AJ44" s="10"/>
      <c r="AK44" s="10"/>
      <c r="AL44" s="10"/>
      <c r="AM44" s="10"/>
    </row>
    <row r="45" spans="1:39" ht="14.25" customHeight="1" x14ac:dyDescent="0.35">
      <c r="A45" s="8"/>
      <c r="B45" s="8"/>
      <c r="C45" s="7"/>
      <c r="D45" s="7"/>
      <c r="E45" s="8"/>
      <c r="F45" s="8"/>
      <c r="G45" s="10"/>
      <c r="H45" s="10"/>
      <c r="I45" s="10"/>
      <c r="J45" s="10"/>
      <c r="K45" s="10">
        <f t="shared" si="86"/>
        <v>0</v>
      </c>
      <c r="L45" s="10"/>
      <c r="M45" s="33"/>
      <c r="N45" s="33"/>
      <c r="O45" s="10"/>
      <c r="P45" s="10"/>
      <c r="Q45" s="10"/>
      <c r="R45" s="10"/>
      <c r="S45" s="8"/>
      <c r="T45" s="8"/>
      <c r="U45" s="8"/>
      <c r="V45" s="10"/>
      <c r="W45" s="10"/>
      <c r="X45" s="10"/>
      <c r="Y45" s="10"/>
      <c r="Z45" s="8"/>
      <c r="AA45" s="8"/>
      <c r="AB45" s="8"/>
      <c r="AC45" s="10"/>
      <c r="AD45" s="10"/>
      <c r="AE45" s="10"/>
      <c r="AF45" s="10"/>
      <c r="AG45" s="8"/>
      <c r="AH45" s="8"/>
      <c r="AI45" s="8"/>
      <c r="AJ45" s="10"/>
      <c r="AK45" s="10"/>
      <c r="AL45" s="10"/>
      <c r="AM45" s="10"/>
    </row>
    <row r="46" spans="1:39" ht="14.25" customHeight="1" x14ac:dyDescent="0.35">
      <c r="A46" s="32"/>
      <c r="B46" s="77" t="s">
        <v>58</v>
      </c>
      <c r="C46" s="67"/>
      <c r="D46" s="67"/>
      <c r="E46" s="67"/>
      <c r="F46" s="67"/>
      <c r="G46" s="66">
        <f t="shared" ref="G46:G47" si="100">H39+J39</f>
        <v>42597922.924444452</v>
      </c>
      <c r="H46" s="67"/>
      <c r="I46" s="67"/>
      <c r="J46" s="67"/>
      <c r="K46" s="35">
        <f t="shared" si="86"/>
        <v>262999.99999999255</v>
      </c>
      <c r="L46" s="35"/>
      <c r="M46" s="32"/>
      <c r="N46" s="32"/>
      <c r="O46" s="66">
        <f t="shared" ref="O46:O47" si="101">P39+R39</f>
        <v>30053510</v>
      </c>
      <c r="P46" s="67"/>
      <c r="Q46" s="67"/>
      <c r="R46" s="67"/>
      <c r="S46" s="32"/>
      <c r="T46" s="32"/>
      <c r="U46" s="32"/>
      <c r="V46" s="66">
        <f t="shared" ref="V46:V47" si="102">W39+Y39</f>
        <v>12038822</v>
      </c>
      <c r="W46" s="67"/>
      <c r="X46" s="67"/>
      <c r="Y46" s="67"/>
      <c r="Z46" s="32"/>
      <c r="AA46" s="32"/>
      <c r="AB46" s="32"/>
      <c r="AC46" s="66">
        <f t="shared" ref="AC46:AC47" si="103">AD39+AF39</f>
        <v>508518.43111111113</v>
      </c>
      <c r="AD46" s="67"/>
      <c r="AE46" s="67"/>
      <c r="AF46" s="67"/>
      <c r="AG46" s="32"/>
      <c r="AH46" s="32"/>
      <c r="AI46" s="32"/>
      <c r="AJ46" s="66">
        <f t="shared" ref="AJ46:AJ47" si="104">AK39+AM39</f>
        <v>260072.49333333335</v>
      </c>
      <c r="AK46" s="67"/>
      <c r="AL46" s="67"/>
      <c r="AM46" s="67"/>
    </row>
    <row r="47" spans="1:39" ht="14.25" customHeight="1" x14ac:dyDescent="0.35">
      <c r="A47" s="32"/>
      <c r="B47" s="77" t="s">
        <v>59</v>
      </c>
      <c r="C47" s="67"/>
      <c r="D47" s="67"/>
      <c r="E47" s="67"/>
      <c r="F47" s="67"/>
      <c r="G47" s="66">
        <f t="shared" si="100"/>
        <v>-42597922.924444452</v>
      </c>
      <c r="H47" s="67"/>
      <c r="I47" s="67"/>
      <c r="J47" s="67"/>
      <c r="K47" s="35">
        <f t="shared" si="86"/>
        <v>-262999.99999999255</v>
      </c>
      <c r="L47" s="35"/>
      <c r="M47" s="32"/>
      <c r="N47" s="32"/>
      <c r="O47" s="66">
        <f t="shared" si="101"/>
        <v>-30053510</v>
      </c>
      <c r="P47" s="67"/>
      <c r="Q47" s="67"/>
      <c r="R47" s="67"/>
      <c r="S47" s="32"/>
      <c r="T47" s="32"/>
      <c r="U47" s="32"/>
      <c r="V47" s="66">
        <f t="shared" si="102"/>
        <v>-12038822</v>
      </c>
      <c r="W47" s="67"/>
      <c r="X47" s="67"/>
      <c r="Y47" s="67"/>
      <c r="Z47" s="32"/>
      <c r="AA47" s="32"/>
      <c r="AB47" s="32"/>
      <c r="AC47" s="66">
        <f t="shared" si="103"/>
        <v>-508518.43111111113</v>
      </c>
      <c r="AD47" s="67"/>
      <c r="AE47" s="67"/>
      <c r="AF47" s="67"/>
      <c r="AG47" s="32"/>
      <c r="AH47" s="32"/>
      <c r="AI47" s="32"/>
      <c r="AJ47" s="66">
        <f t="shared" si="104"/>
        <v>-260072.49333333335</v>
      </c>
      <c r="AK47" s="67"/>
      <c r="AL47" s="67"/>
      <c r="AM47" s="67"/>
    </row>
    <row r="48" spans="1:39" ht="14.25" customHeight="1" x14ac:dyDescent="0.35">
      <c r="A48" s="32"/>
      <c r="B48" s="77" t="s">
        <v>60</v>
      </c>
      <c r="C48" s="67"/>
      <c r="D48" s="67"/>
      <c r="E48" s="67"/>
      <c r="F48" s="67"/>
      <c r="G48" s="66">
        <f>G46+G47</f>
        <v>0</v>
      </c>
      <c r="H48" s="67"/>
      <c r="I48" s="67"/>
      <c r="J48" s="67"/>
      <c r="K48" s="35">
        <f t="shared" si="86"/>
        <v>0</v>
      </c>
      <c r="L48" s="35"/>
      <c r="M48" s="32"/>
      <c r="N48" s="32"/>
      <c r="O48" s="66">
        <f>O46+O47</f>
        <v>0</v>
      </c>
      <c r="P48" s="67"/>
      <c r="Q48" s="67"/>
      <c r="R48" s="67"/>
      <c r="S48" s="32"/>
      <c r="T48" s="32"/>
      <c r="U48" s="32"/>
      <c r="V48" s="66">
        <f>V46+V47</f>
        <v>0</v>
      </c>
      <c r="W48" s="67"/>
      <c r="X48" s="67"/>
      <c r="Y48" s="67"/>
      <c r="Z48" s="32"/>
      <c r="AA48" s="32"/>
      <c r="AB48" s="32"/>
      <c r="AC48" s="66">
        <f>AC46+AC47</f>
        <v>0</v>
      </c>
      <c r="AD48" s="67"/>
      <c r="AE48" s="67"/>
      <c r="AF48" s="67"/>
      <c r="AG48" s="32"/>
      <c r="AH48" s="32"/>
      <c r="AI48" s="32"/>
      <c r="AJ48" s="66">
        <f>AJ46+AJ47</f>
        <v>0</v>
      </c>
      <c r="AK48" s="67"/>
      <c r="AL48" s="67"/>
      <c r="AM48" s="67"/>
    </row>
    <row r="49" spans="1:39" ht="14.25" customHeight="1" x14ac:dyDescent="0.35">
      <c r="A49" s="32"/>
      <c r="B49" s="77" t="s">
        <v>61</v>
      </c>
      <c r="C49" s="67"/>
      <c r="D49" s="67"/>
      <c r="E49" s="67"/>
      <c r="F49" s="67"/>
      <c r="G49" s="66">
        <f>G48*1.14</f>
        <v>0</v>
      </c>
      <c r="H49" s="67"/>
      <c r="I49" s="67"/>
      <c r="J49" s="67"/>
      <c r="K49" s="35">
        <f t="shared" si="86"/>
        <v>0</v>
      </c>
      <c r="L49" s="35"/>
      <c r="M49" s="32"/>
      <c r="N49" s="32"/>
      <c r="O49" s="66">
        <f>O48*1.14</f>
        <v>0</v>
      </c>
      <c r="P49" s="67"/>
      <c r="Q49" s="67"/>
      <c r="R49" s="67"/>
      <c r="S49" s="32"/>
      <c r="T49" s="32"/>
      <c r="U49" s="32"/>
      <c r="V49" s="66">
        <f>V48*1.14</f>
        <v>0</v>
      </c>
      <c r="W49" s="67"/>
      <c r="X49" s="67"/>
      <c r="Y49" s="67"/>
      <c r="Z49" s="32"/>
      <c r="AA49" s="32"/>
      <c r="AB49" s="32"/>
      <c r="AC49" s="66">
        <f>AC48*1.14</f>
        <v>0</v>
      </c>
      <c r="AD49" s="67"/>
      <c r="AE49" s="67"/>
      <c r="AF49" s="67"/>
      <c r="AG49" s="32"/>
      <c r="AH49" s="32"/>
      <c r="AI49" s="32"/>
      <c r="AJ49" s="66">
        <f>AJ48*1.14</f>
        <v>0</v>
      </c>
      <c r="AK49" s="67"/>
      <c r="AL49" s="67"/>
      <c r="AM49" s="67"/>
    </row>
    <row r="50" spans="1:39" ht="14.25" customHeight="1" x14ac:dyDescent="0.35">
      <c r="A50" s="8"/>
      <c r="B50" s="8"/>
      <c r="C50" s="7"/>
      <c r="D50" s="7"/>
      <c r="E50" s="8"/>
      <c r="F50" s="8"/>
      <c r="G50" s="8"/>
      <c r="H50" s="8"/>
      <c r="I50" s="8"/>
      <c r="J50" s="8"/>
      <c r="K50" s="8"/>
      <c r="L50" s="8"/>
      <c r="M50" s="8"/>
      <c r="N50" s="8"/>
      <c r="O50" s="10"/>
      <c r="P50" s="10"/>
      <c r="Q50" s="10"/>
      <c r="R50" s="10"/>
      <c r="S50" s="8"/>
      <c r="T50" s="8"/>
      <c r="U50" s="8"/>
      <c r="V50" s="10"/>
      <c r="W50" s="10"/>
      <c r="X50" s="10"/>
      <c r="Y50" s="10"/>
      <c r="Z50" s="8"/>
      <c r="AA50" s="8"/>
      <c r="AB50" s="8"/>
      <c r="AC50" s="10"/>
      <c r="AD50" s="10"/>
      <c r="AE50" s="10"/>
      <c r="AF50" s="10"/>
      <c r="AG50" s="8"/>
      <c r="AH50" s="8"/>
      <c r="AI50" s="8"/>
      <c r="AJ50" s="10"/>
      <c r="AK50" s="10"/>
      <c r="AL50" s="10"/>
      <c r="AM50" s="10"/>
    </row>
    <row r="51" spans="1:39" ht="14.25" customHeight="1" x14ac:dyDescent="0.35">
      <c r="A51" s="8"/>
      <c r="B51" s="8"/>
      <c r="C51" s="7"/>
      <c r="D51" s="7"/>
      <c r="E51" s="8"/>
      <c r="F51" s="8"/>
      <c r="G51" s="8"/>
      <c r="H51" s="8"/>
      <c r="I51" s="8"/>
      <c r="J51" s="8"/>
      <c r="K51" s="8"/>
      <c r="L51" s="8"/>
      <c r="M51" s="8"/>
      <c r="N51" s="8"/>
      <c r="O51" s="10"/>
      <c r="P51" s="10"/>
      <c r="Q51" s="10"/>
      <c r="R51" s="10"/>
      <c r="S51" s="8"/>
      <c r="T51" s="8"/>
      <c r="U51" s="8"/>
      <c r="V51" s="10"/>
      <c r="W51" s="10"/>
      <c r="X51" s="10"/>
      <c r="Y51" s="10"/>
      <c r="Z51" s="8"/>
      <c r="AA51" s="8"/>
      <c r="AB51" s="8"/>
      <c r="AC51" s="10"/>
      <c r="AD51" s="10"/>
      <c r="AE51" s="10"/>
      <c r="AF51" s="10"/>
      <c r="AG51" s="8"/>
      <c r="AH51" s="8"/>
      <c r="AI51" s="8"/>
      <c r="AJ51" s="10"/>
      <c r="AK51" s="10"/>
      <c r="AL51" s="10"/>
      <c r="AM51" s="10"/>
    </row>
    <row r="52" spans="1:39" ht="14.25" customHeight="1" x14ac:dyDescent="0.35">
      <c r="A52" s="8"/>
      <c r="B52" s="8"/>
      <c r="C52" s="7"/>
      <c r="D52" s="7"/>
      <c r="E52" s="8"/>
      <c r="F52" s="8"/>
      <c r="G52" s="8"/>
      <c r="H52" s="8"/>
      <c r="I52" s="8"/>
      <c r="J52" s="8"/>
      <c r="K52" s="8"/>
      <c r="L52" s="8"/>
      <c r="M52" s="8"/>
      <c r="N52" s="8"/>
      <c r="O52" s="10"/>
      <c r="P52" s="10"/>
      <c r="Q52" s="10"/>
      <c r="R52" s="10"/>
      <c r="S52" s="8"/>
      <c r="T52" s="8"/>
      <c r="U52" s="8"/>
      <c r="V52" s="10"/>
      <c r="W52" s="10"/>
      <c r="X52" s="10"/>
      <c r="Y52" s="10"/>
      <c r="Z52" s="8"/>
      <c r="AA52" s="8"/>
      <c r="AB52" s="8"/>
      <c r="AC52" s="10"/>
      <c r="AD52" s="10"/>
      <c r="AE52" s="10"/>
      <c r="AF52" s="10"/>
      <c r="AG52" s="8"/>
      <c r="AH52" s="8"/>
      <c r="AI52" s="8"/>
      <c r="AJ52" s="10"/>
      <c r="AK52" s="10"/>
      <c r="AL52" s="10"/>
      <c r="AM52" s="10"/>
    </row>
    <row r="53" spans="1:39" ht="14.25" customHeight="1" x14ac:dyDescent="0.35">
      <c r="A53" s="8"/>
      <c r="B53" s="8"/>
      <c r="C53" s="7"/>
      <c r="D53" s="7"/>
      <c r="E53" s="8"/>
      <c r="F53" s="8"/>
      <c r="G53" s="8"/>
      <c r="H53" s="8"/>
      <c r="I53" s="8"/>
      <c r="J53" s="8"/>
      <c r="K53" s="8"/>
      <c r="L53" s="8"/>
      <c r="M53" s="8"/>
      <c r="N53" s="8"/>
      <c r="O53" s="10"/>
      <c r="P53" s="10"/>
      <c r="Q53" s="10"/>
      <c r="R53" s="10"/>
      <c r="S53" s="8"/>
      <c r="T53" s="8"/>
      <c r="U53" s="8"/>
      <c r="V53" s="10"/>
      <c r="W53" s="10"/>
      <c r="X53" s="10"/>
      <c r="Y53" s="10"/>
      <c r="Z53" s="8"/>
      <c r="AA53" s="8"/>
      <c r="AB53" s="8"/>
      <c r="AC53" s="10"/>
      <c r="AD53" s="10"/>
      <c r="AE53" s="10"/>
      <c r="AF53" s="10"/>
      <c r="AG53" s="8"/>
      <c r="AH53" s="8"/>
      <c r="AI53" s="8"/>
      <c r="AJ53" s="10"/>
      <c r="AK53" s="10"/>
      <c r="AL53" s="10"/>
      <c r="AM53" s="10"/>
    </row>
    <row r="54" spans="1:39" ht="14.25" customHeight="1" x14ac:dyDescent="0.35">
      <c r="A54" s="8"/>
      <c r="B54" s="8"/>
      <c r="C54" s="7"/>
      <c r="D54" s="7"/>
      <c r="E54" s="8"/>
      <c r="F54" s="8"/>
      <c r="G54" s="8"/>
      <c r="H54" s="8"/>
      <c r="I54" s="8"/>
      <c r="J54" s="8"/>
      <c r="K54" s="8"/>
      <c r="L54" s="8"/>
      <c r="M54" s="8"/>
      <c r="N54" s="8"/>
      <c r="O54" s="10"/>
      <c r="P54" s="10"/>
      <c r="Q54" s="10"/>
      <c r="R54" s="10"/>
      <c r="S54" s="8"/>
      <c r="T54" s="8"/>
      <c r="U54" s="8"/>
      <c r="V54" s="10"/>
      <c r="W54" s="10"/>
      <c r="X54" s="10"/>
      <c r="Y54" s="10"/>
      <c r="Z54" s="8"/>
      <c r="AA54" s="8"/>
      <c r="AB54" s="8"/>
      <c r="AC54" s="10"/>
      <c r="AD54" s="10"/>
      <c r="AE54" s="10"/>
      <c r="AF54" s="10"/>
      <c r="AG54" s="8"/>
      <c r="AH54" s="8"/>
      <c r="AI54" s="8"/>
      <c r="AJ54" s="10"/>
      <c r="AK54" s="10"/>
      <c r="AL54" s="10"/>
      <c r="AM54" s="10"/>
    </row>
    <row r="55" spans="1:39" ht="14.25" customHeight="1" x14ac:dyDescent="0.35">
      <c r="A55" s="8"/>
      <c r="B55" s="8"/>
      <c r="C55" s="7"/>
      <c r="D55" s="7"/>
      <c r="E55" s="8"/>
      <c r="F55" s="8"/>
      <c r="G55" s="8"/>
      <c r="H55" s="8"/>
      <c r="I55" s="8"/>
      <c r="J55" s="8"/>
      <c r="K55" s="8"/>
      <c r="L55" s="8"/>
      <c r="M55" s="8"/>
      <c r="N55" s="8"/>
      <c r="O55" s="10"/>
      <c r="P55" s="10"/>
      <c r="Q55" s="10"/>
      <c r="R55" s="10"/>
      <c r="S55" s="8"/>
      <c r="T55" s="8"/>
      <c r="U55" s="8"/>
      <c r="V55" s="10"/>
      <c r="W55" s="10"/>
      <c r="X55" s="10"/>
      <c r="Y55" s="10"/>
      <c r="Z55" s="8"/>
      <c r="AA55" s="8"/>
      <c r="AB55" s="8"/>
      <c r="AC55" s="10"/>
      <c r="AD55" s="10"/>
      <c r="AE55" s="10"/>
      <c r="AF55" s="10"/>
      <c r="AG55" s="8"/>
      <c r="AH55" s="8"/>
      <c r="AI55" s="8"/>
      <c r="AJ55" s="10"/>
      <c r="AK55" s="10"/>
      <c r="AL55" s="10"/>
      <c r="AM55" s="10"/>
    </row>
    <row r="56" spans="1:39" ht="14.25" customHeight="1" x14ac:dyDescent="0.35">
      <c r="A56" s="8"/>
      <c r="B56" s="8"/>
      <c r="C56" s="7"/>
      <c r="D56" s="7"/>
      <c r="E56" s="8"/>
      <c r="F56" s="8"/>
      <c r="G56" s="8"/>
      <c r="H56" s="8"/>
      <c r="I56" s="8"/>
      <c r="J56" s="8"/>
      <c r="K56" s="8"/>
      <c r="L56" s="8"/>
      <c r="M56" s="8"/>
      <c r="N56" s="8"/>
      <c r="O56" s="10"/>
      <c r="P56" s="10"/>
      <c r="Q56" s="10"/>
      <c r="R56" s="10"/>
      <c r="S56" s="8"/>
      <c r="T56" s="8"/>
      <c r="U56" s="8"/>
      <c r="V56" s="10"/>
      <c r="W56" s="10"/>
      <c r="X56" s="10"/>
      <c r="Y56" s="10"/>
      <c r="Z56" s="8"/>
      <c r="AA56" s="8"/>
      <c r="AB56" s="8"/>
      <c r="AC56" s="10"/>
      <c r="AD56" s="10"/>
      <c r="AE56" s="10"/>
      <c r="AF56" s="10"/>
      <c r="AG56" s="8"/>
      <c r="AH56" s="8"/>
      <c r="AI56" s="8"/>
      <c r="AJ56" s="10"/>
      <c r="AK56" s="10"/>
      <c r="AL56" s="10"/>
      <c r="AM56" s="10"/>
    </row>
    <row r="57" spans="1:39" ht="14.25" customHeight="1" x14ac:dyDescent="0.35">
      <c r="A57" s="8"/>
      <c r="B57" s="8"/>
      <c r="C57" s="7"/>
      <c r="D57" s="7"/>
      <c r="E57" s="8"/>
      <c r="F57" s="8"/>
      <c r="G57" s="8"/>
      <c r="H57" s="8"/>
      <c r="I57" s="8"/>
      <c r="J57" s="8"/>
      <c r="K57" s="8"/>
      <c r="L57" s="8"/>
      <c r="M57" s="8"/>
      <c r="N57" s="8"/>
      <c r="O57" s="10"/>
      <c r="P57" s="10"/>
      <c r="Q57" s="10"/>
      <c r="R57" s="10"/>
      <c r="S57" s="8"/>
      <c r="T57" s="8"/>
      <c r="U57" s="8"/>
      <c r="V57" s="10"/>
      <c r="W57" s="10"/>
      <c r="X57" s="10"/>
      <c r="Y57" s="10"/>
      <c r="Z57" s="8"/>
      <c r="AA57" s="8"/>
      <c r="AB57" s="8"/>
      <c r="AC57" s="10"/>
      <c r="AD57" s="10"/>
      <c r="AE57" s="10"/>
      <c r="AF57" s="10"/>
      <c r="AG57" s="8"/>
      <c r="AH57" s="8"/>
      <c r="AI57" s="8"/>
      <c r="AJ57" s="10"/>
      <c r="AK57" s="10"/>
      <c r="AL57" s="10"/>
      <c r="AM57" s="10"/>
    </row>
    <row r="58" spans="1:39" ht="14.25" customHeight="1" x14ac:dyDescent="0.35">
      <c r="A58" s="8"/>
      <c r="B58" s="8"/>
      <c r="C58" s="7"/>
      <c r="D58" s="7"/>
      <c r="E58" s="8"/>
      <c r="F58" s="8"/>
      <c r="G58" s="8"/>
      <c r="H58" s="8"/>
      <c r="I58" s="8"/>
      <c r="J58" s="8"/>
      <c r="K58" s="8"/>
      <c r="L58" s="8"/>
      <c r="M58" s="8"/>
      <c r="N58" s="8"/>
      <c r="O58" s="10"/>
      <c r="P58" s="10"/>
      <c r="Q58" s="10"/>
      <c r="R58" s="10"/>
      <c r="S58" s="8"/>
      <c r="T58" s="8"/>
      <c r="U58" s="8"/>
      <c r="V58" s="10"/>
      <c r="W58" s="10"/>
      <c r="X58" s="10"/>
      <c r="Y58" s="10"/>
      <c r="Z58" s="8"/>
      <c r="AA58" s="8"/>
      <c r="AB58" s="8"/>
      <c r="AC58" s="10"/>
      <c r="AD58" s="10"/>
      <c r="AE58" s="10"/>
      <c r="AF58" s="10"/>
      <c r="AG58" s="8"/>
      <c r="AH58" s="8"/>
      <c r="AI58" s="8"/>
      <c r="AJ58" s="10"/>
      <c r="AK58" s="10"/>
      <c r="AL58" s="10"/>
      <c r="AM58" s="10"/>
    </row>
    <row r="59" spans="1:39" ht="14.25" customHeight="1" x14ac:dyDescent="0.35">
      <c r="A59" s="8"/>
      <c r="B59" s="8"/>
      <c r="C59" s="7"/>
      <c r="D59" s="7"/>
      <c r="E59" s="8"/>
      <c r="F59" s="8"/>
      <c r="G59" s="8"/>
      <c r="H59" s="8"/>
      <c r="I59" s="8"/>
      <c r="J59" s="8"/>
      <c r="K59" s="8"/>
      <c r="L59" s="8"/>
      <c r="M59" s="8"/>
      <c r="N59" s="8"/>
      <c r="O59" s="10"/>
      <c r="P59" s="10"/>
      <c r="Q59" s="10"/>
      <c r="R59" s="10"/>
      <c r="S59" s="8"/>
      <c r="T59" s="8"/>
      <c r="U59" s="8"/>
      <c r="V59" s="10"/>
      <c r="W59" s="10"/>
      <c r="X59" s="10"/>
      <c r="Y59" s="10"/>
      <c r="Z59" s="8"/>
      <c r="AA59" s="8"/>
      <c r="AB59" s="8"/>
      <c r="AC59" s="10"/>
      <c r="AD59" s="10"/>
      <c r="AE59" s="10"/>
      <c r="AF59" s="10"/>
      <c r="AG59" s="8"/>
      <c r="AH59" s="8"/>
      <c r="AI59" s="8"/>
      <c r="AJ59" s="10"/>
      <c r="AK59" s="10"/>
      <c r="AL59" s="10"/>
      <c r="AM59" s="10"/>
    </row>
    <row r="60" spans="1:39" ht="14.25" customHeight="1" x14ac:dyDescent="0.35">
      <c r="A60" s="8"/>
      <c r="B60" s="8"/>
      <c r="C60" s="7"/>
      <c r="D60" s="7"/>
      <c r="E60" s="8"/>
      <c r="F60" s="8"/>
      <c r="G60" s="8"/>
      <c r="H60" s="8"/>
      <c r="I60" s="8"/>
      <c r="J60" s="8"/>
      <c r="K60" s="8"/>
      <c r="L60" s="8"/>
      <c r="M60" s="8"/>
      <c r="N60" s="8"/>
      <c r="O60" s="10"/>
      <c r="P60" s="10"/>
      <c r="Q60" s="10"/>
      <c r="R60" s="10"/>
      <c r="S60" s="8"/>
      <c r="T60" s="8"/>
      <c r="U60" s="8"/>
      <c r="V60" s="10"/>
      <c r="W60" s="10"/>
      <c r="X60" s="10"/>
      <c r="Y60" s="10"/>
      <c r="Z60" s="8"/>
      <c r="AA60" s="8"/>
      <c r="AB60" s="8"/>
      <c r="AC60" s="10"/>
      <c r="AD60" s="10"/>
      <c r="AE60" s="10"/>
      <c r="AF60" s="10"/>
      <c r="AG60" s="8"/>
      <c r="AH60" s="8"/>
      <c r="AI60" s="8"/>
      <c r="AJ60" s="10"/>
      <c r="AK60" s="10"/>
      <c r="AL60" s="10"/>
      <c r="AM60" s="10"/>
    </row>
    <row r="61" spans="1:39" ht="14.25" customHeight="1" x14ac:dyDescent="0.35">
      <c r="A61" s="8"/>
      <c r="B61" s="8"/>
      <c r="C61" s="7"/>
      <c r="D61" s="7"/>
      <c r="E61" s="8"/>
      <c r="F61" s="8"/>
      <c r="G61" s="8"/>
      <c r="H61" s="8"/>
      <c r="I61" s="8"/>
      <c r="J61" s="8"/>
      <c r="K61" s="8"/>
      <c r="L61" s="8"/>
      <c r="M61" s="8"/>
      <c r="N61" s="8"/>
      <c r="O61" s="10"/>
      <c r="P61" s="10"/>
      <c r="Q61" s="10"/>
      <c r="R61" s="10"/>
      <c r="S61" s="8"/>
      <c r="T61" s="8"/>
      <c r="U61" s="8"/>
      <c r="V61" s="10"/>
      <c r="W61" s="10"/>
      <c r="X61" s="10"/>
      <c r="Y61" s="10"/>
      <c r="Z61" s="8"/>
      <c r="AA61" s="8"/>
      <c r="AB61" s="8"/>
      <c r="AC61" s="10"/>
      <c r="AD61" s="10"/>
      <c r="AE61" s="10"/>
      <c r="AF61" s="10"/>
      <c r="AG61" s="8"/>
      <c r="AH61" s="8"/>
      <c r="AI61" s="8"/>
      <c r="AJ61" s="10"/>
      <c r="AK61" s="10"/>
      <c r="AL61" s="10"/>
      <c r="AM61" s="10"/>
    </row>
    <row r="62" spans="1:39" ht="14.25" customHeight="1" x14ac:dyDescent="0.35">
      <c r="A62" s="8"/>
      <c r="B62" s="8"/>
      <c r="C62" s="7"/>
      <c r="D62" s="7"/>
      <c r="E62" s="8"/>
      <c r="F62" s="8"/>
      <c r="G62" s="8"/>
      <c r="H62" s="8"/>
      <c r="I62" s="8"/>
      <c r="J62" s="8"/>
      <c r="K62" s="8"/>
      <c r="L62" s="8"/>
      <c r="M62" s="8"/>
      <c r="N62" s="8"/>
      <c r="O62" s="10"/>
      <c r="P62" s="10"/>
      <c r="Q62" s="10"/>
      <c r="R62" s="10"/>
      <c r="S62" s="8"/>
      <c r="T62" s="8"/>
      <c r="U62" s="8"/>
      <c r="V62" s="10"/>
      <c r="W62" s="10"/>
      <c r="X62" s="10"/>
      <c r="Y62" s="10"/>
      <c r="Z62" s="8"/>
      <c r="AA62" s="8"/>
      <c r="AB62" s="8"/>
      <c r="AC62" s="10"/>
      <c r="AD62" s="10"/>
      <c r="AE62" s="10"/>
      <c r="AF62" s="10"/>
      <c r="AG62" s="8"/>
      <c r="AH62" s="8"/>
      <c r="AI62" s="8"/>
      <c r="AJ62" s="10"/>
      <c r="AK62" s="10"/>
      <c r="AL62" s="10"/>
      <c r="AM62" s="10"/>
    </row>
    <row r="63" spans="1:39" ht="14.25" customHeight="1" x14ac:dyDescent="0.35">
      <c r="A63" s="8"/>
      <c r="B63" s="8"/>
      <c r="C63" s="7"/>
      <c r="D63" s="7"/>
      <c r="E63" s="8"/>
      <c r="F63" s="8"/>
      <c r="G63" s="8"/>
      <c r="H63" s="8"/>
      <c r="I63" s="8"/>
      <c r="J63" s="8"/>
      <c r="K63" s="8"/>
      <c r="L63" s="8"/>
      <c r="M63" s="8"/>
      <c r="N63" s="8"/>
      <c r="O63" s="10"/>
      <c r="P63" s="10"/>
      <c r="Q63" s="10"/>
      <c r="R63" s="10"/>
      <c r="S63" s="8"/>
      <c r="T63" s="8"/>
      <c r="U63" s="8"/>
      <c r="V63" s="10"/>
      <c r="W63" s="10"/>
      <c r="X63" s="10"/>
      <c r="Y63" s="10"/>
      <c r="Z63" s="8"/>
      <c r="AA63" s="8"/>
      <c r="AB63" s="8"/>
      <c r="AC63" s="10"/>
      <c r="AD63" s="10"/>
      <c r="AE63" s="10"/>
      <c r="AF63" s="10"/>
      <c r="AG63" s="8"/>
      <c r="AH63" s="8"/>
      <c r="AI63" s="8"/>
      <c r="AJ63" s="10"/>
      <c r="AK63" s="10"/>
      <c r="AL63" s="10"/>
      <c r="AM63" s="10"/>
    </row>
    <row r="64" spans="1:39" ht="14.25" customHeight="1" x14ac:dyDescent="0.35">
      <c r="A64" s="8"/>
      <c r="B64" s="8"/>
      <c r="C64" s="7"/>
      <c r="D64" s="7"/>
      <c r="E64" s="8"/>
      <c r="F64" s="8"/>
      <c r="G64" s="8"/>
      <c r="H64" s="8"/>
      <c r="I64" s="8"/>
      <c r="J64" s="8"/>
      <c r="K64" s="8"/>
      <c r="L64" s="8"/>
      <c r="M64" s="8"/>
      <c r="N64" s="8"/>
      <c r="O64" s="10"/>
      <c r="P64" s="10"/>
      <c r="Q64" s="10"/>
      <c r="R64" s="10"/>
      <c r="S64" s="8"/>
      <c r="T64" s="8"/>
      <c r="U64" s="8"/>
      <c r="V64" s="10"/>
      <c r="W64" s="10"/>
      <c r="X64" s="10"/>
      <c r="Y64" s="10"/>
      <c r="Z64" s="8"/>
      <c r="AA64" s="8"/>
      <c r="AB64" s="8"/>
      <c r="AC64" s="10"/>
      <c r="AD64" s="10"/>
      <c r="AE64" s="10"/>
      <c r="AF64" s="10"/>
      <c r="AG64" s="8"/>
      <c r="AH64" s="8"/>
      <c r="AI64" s="8"/>
      <c r="AJ64" s="10"/>
      <c r="AK64" s="10"/>
      <c r="AL64" s="10"/>
      <c r="AM64" s="10"/>
    </row>
    <row r="65" spans="1:39" ht="14.25" customHeight="1" x14ac:dyDescent="0.35">
      <c r="A65" s="8"/>
      <c r="B65" s="8"/>
      <c r="C65" s="7"/>
      <c r="D65" s="7"/>
      <c r="E65" s="8"/>
      <c r="F65" s="8"/>
      <c r="G65" s="8"/>
      <c r="H65" s="8"/>
      <c r="I65" s="8"/>
      <c r="J65" s="8"/>
      <c r="K65" s="8"/>
      <c r="L65" s="8"/>
      <c r="M65" s="8"/>
      <c r="N65" s="8"/>
      <c r="O65" s="10"/>
      <c r="P65" s="10"/>
      <c r="Q65" s="10"/>
      <c r="R65" s="10"/>
      <c r="S65" s="8"/>
      <c r="T65" s="8"/>
      <c r="U65" s="8"/>
      <c r="V65" s="10"/>
      <c r="W65" s="10"/>
      <c r="X65" s="10"/>
      <c r="Y65" s="10"/>
      <c r="Z65" s="8"/>
      <c r="AA65" s="8"/>
      <c r="AB65" s="8"/>
      <c r="AC65" s="10"/>
      <c r="AD65" s="10"/>
      <c r="AE65" s="10"/>
      <c r="AF65" s="10"/>
      <c r="AG65" s="8"/>
      <c r="AH65" s="8"/>
      <c r="AI65" s="8"/>
      <c r="AJ65" s="10"/>
      <c r="AK65" s="10"/>
      <c r="AL65" s="10"/>
      <c r="AM65" s="10"/>
    </row>
    <row r="66" spans="1:39" ht="14.25" customHeight="1" x14ac:dyDescent="0.35">
      <c r="A66" s="8"/>
      <c r="B66" s="8"/>
      <c r="C66" s="7"/>
      <c r="D66" s="7"/>
      <c r="E66" s="8"/>
      <c r="F66" s="8"/>
      <c r="G66" s="8"/>
      <c r="H66" s="8"/>
      <c r="I66" s="8"/>
      <c r="J66" s="8"/>
      <c r="K66" s="8"/>
      <c r="L66" s="8"/>
      <c r="M66" s="8"/>
      <c r="N66" s="8"/>
      <c r="O66" s="10"/>
      <c r="P66" s="10"/>
      <c r="Q66" s="10"/>
      <c r="R66" s="10"/>
      <c r="S66" s="8"/>
      <c r="T66" s="8"/>
      <c r="U66" s="8"/>
      <c r="V66" s="10"/>
      <c r="W66" s="10"/>
      <c r="X66" s="10"/>
      <c r="Y66" s="10"/>
      <c r="Z66" s="8"/>
      <c r="AA66" s="8"/>
      <c r="AB66" s="8"/>
      <c r="AC66" s="10"/>
      <c r="AD66" s="10"/>
      <c r="AE66" s="10"/>
      <c r="AF66" s="10"/>
      <c r="AG66" s="8"/>
      <c r="AH66" s="8"/>
      <c r="AI66" s="8"/>
      <c r="AJ66" s="10"/>
      <c r="AK66" s="10"/>
      <c r="AL66" s="10"/>
      <c r="AM66" s="10"/>
    </row>
    <row r="67" spans="1:39" ht="14.25" customHeight="1" x14ac:dyDescent="0.35">
      <c r="A67" s="8"/>
      <c r="B67" s="8"/>
      <c r="C67" s="7"/>
      <c r="D67" s="7"/>
      <c r="E67" s="8"/>
      <c r="F67" s="8"/>
      <c r="G67" s="8"/>
      <c r="H67" s="8"/>
      <c r="I67" s="8"/>
      <c r="J67" s="8"/>
      <c r="K67" s="8"/>
      <c r="L67" s="8"/>
      <c r="M67" s="8"/>
      <c r="N67" s="8"/>
      <c r="O67" s="10"/>
      <c r="P67" s="10"/>
      <c r="Q67" s="10"/>
      <c r="R67" s="10"/>
      <c r="S67" s="8"/>
      <c r="T67" s="8"/>
      <c r="U67" s="8"/>
      <c r="V67" s="10"/>
      <c r="W67" s="10"/>
      <c r="X67" s="10"/>
      <c r="Y67" s="10"/>
      <c r="Z67" s="8"/>
      <c r="AA67" s="8"/>
      <c r="AB67" s="8"/>
      <c r="AC67" s="10"/>
      <c r="AD67" s="10"/>
      <c r="AE67" s="10"/>
      <c r="AF67" s="10"/>
      <c r="AG67" s="8"/>
      <c r="AH67" s="8"/>
      <c r="AI67" s="8"/>
      <c r="AJ67" s="10"/>
      <c r="AK67" s="10"/>
      <c r="AL67" s="10"/>
      <c r="AM67" s="10"/>
    </row>
    <row r="68" spans="1:39" ht="14.25" customHeight="1" x14ac:dyDescent="0.35">
      <c r="A68" s="8"/>
      <c r="B68" s="8"/>
      <c r="C68" s="7"/>
      <c r="D68" s="7"/>
      <c r="E68" s="8"/>
      <c r="F68" s="8"/>
      <c r="G68" s="8"/>
      <c r="H68" s="8"/>
      <c r="I68" s="8"/>
      <c r="J68" s="8"/>
      <c r="K68" s="8"/>
      <c r="L68" s="8"/>
      <c r="M68" s="8"/>
      <c r="N68" s="8"/>
      <c r="O68" s="10"/>
      <c r="P68" s="10"/>
      <c r="Q68" s="10"/>
      <c r="R68" s="10"/>
      <c r="S68" s="8"/>
      <c r="T68" s="8"/>
      <c r="U68" s="8"/>
      <c r="V68" s="10"/>
      <c r="W68" s="10"/>
      <c r="X68" s="10"/>
      <c r="Y68" s="10"/>
      <c r="Z68" s="8"/>
      <c r="AA68" s="8"/>
      <c r="AB68" s="8"/>
      <c r="AC68" s="10"/>
      <c r="AD68" s="10"/>
      <c r="AE68" s="10"/>
      <c r="AF68" s="10"/>
      <c r="AG68" s="8"/>
      <c r="AH68" s="8"/>
      <c r="AI68" s="8"/>
      <c r="AJ68" s="10"/>
      <c r="AK68" s="10"/>
      <c r="AL68" s="10"/>
      <c r="AM68" s="10"/>
    </row>
    <row r="69" spans="1:39" ht="14.25" customHeight="1" x14ac:dyDescent="0.35">
      <c r="A69" s="8"/>
      <c r="B69" s="8"/>
      <c r="C69" s="7"/>
      <c r="D69" s="7"/>
      <c r="E69" s="8"/>
      <c r="F69" s="8"/>
      <c r="G69" s="8"/>
      <c r="H69" s="8"/>
      <c r="I69" s="8"/>
      <c r="J69" s="8"/>
      <c r="K69" s="8"/>
      <c r="L69" s="8"/>
      <c r="M69" s="8"/>
      <c r="N69" s="8"/>
      <c r="O69" s="10"/>
      <c r="P69" s="10"/>
      <c r="Q69" s="10"/>
      <c r="R69" s="10"/>
      <c r="S69" s="8"/>
      <c r="T69" s="8"/>
      <c r="U69" s="8"/>
      <c r="V69" s="10"/>
      <c r="W69" s="10"/>
      <c r="X69" s="10"/>
      <c r="Y69" s="10"/>
      <c r="Z69" s="8"/>
      <c r="AA69" s="8"/>
      <c r="AB69" s="8"/>
      <c r="AC69" s="10"/>
      <c r="AD69" s="10"/>
      <c r="AE69" s="10"/>
      <c r="AF69" s="10"/>
      <c r="AG69" s="8"/>
      <c r="AH69" s="8"/>
      <c r="AI69" s="8"/>
      <c r="AJ69" s="10"/>
      <c r="AK69" s="10"/>
      <c r="AL69" s="10"/>
      <c r="AM69" s="10"/>
    </row>
    <row r="70" spans="1:39" ht="14.25" customHeight="1" x14ac:dyDescent="0.35">
      <c r="A70" s="8"/>
      <c r="B70" s="8"/>
      <c r="C70" s="7"/>
      <c r="D70" s="7"/>
      <c r="E70" s="8"/>
      <c r="F70" s="8"/>
      <c r="G70" s="8"/>
      <c r="H70" s="8"/>
      <c r="I70" s="8"/>
      <c r="J70" s="8"/>
      <c r="K70" s="8"/>
      <c r="L70" s="8"/>
      <c r="M70" s="8"/>
      <c r="N70" s="8"/>
      <c r="O70" s="10"/>
      <c r="P70" s="10"/>
      <c r="Q70" s="10"/>
      <c r="R70" s="10"/>
      <c r="S70" s="8"/>
      <c r="T70" s="8"/>
      <c r="U70" s="8"/>
      <c r="V70" s="10"/>
      <c r="W70" s="10"/>
      <c r="X70" s="10"/>
      <c r="Y70" s="10"/>
      <c r="Z70" s="8"/>
      <c r="AA70" s="8"/>
      <c r="AB70" s="8"/>
      <c r="AC70" s="10"/>
      <c r="AD70" s="10"/>
      <c r="AE70" s="10"/>
      <c r="AF70" s="10"/>
      <c r="AG70" s="8"/>
      <c r="AH70" s="8"/>
      <c r="AI70" s="8"/>
      <c r="AJ70" s="10"/>
      <c r="AK70" s="10"/>
      <c r="AL70" s="10"/>
      <c r="AM70" s="10"/>
    </row>
    <row r="71" spans="1:39" ht="14.25" customHeight="1" x14ac:dyDescent="0.35">
      <c r="A71" s="8"/>
      <c r="B71" s="8"/>
      <c r="C71" s="7"/>
      <c r="D71" s="7"/>
      <c r="E71" s="8"/>
      <c r="F71" s="8"/>
      <c r="G71" s="8"/>
      <c r="H71" s="8"/>
      <c r="I71" s="8"/>
      <c r="J71" s="8"/>
      <c r="K71" s="8"/>
      <c r="L71" s="8"/>
      <c r="M71" s="8"/>
      <c r="N71" s="8"/>
      <c r="O71" s="10"/>
      <c r="P71" s="10"/>
      <c r="Q71" s="10"/>
      <c r="R71" s="10"/>
      <c r="S71" s="8"/>
      <c r="T71" s="8"/>
      <c r="U71" s="8"/>
      <c r="V71" s="10"/>
      <c r="W71" s="10"/>
      <c r="X71" s="10"/>
      <c r="Y71" s="10"/>
      <c r="Z71" s="8"/>
      <c r="AA71" s="8"/>
      <c r="AB71" s="8"/>
      <c r="AC71" s="10"/>
      <c r="AD71" s="10"/>
      <c r="AE71" s="10"/>
      <c r="AF71" s="10"/>
      <c r="AG71" s="8"/>
      <c r="AH71" s="8"/>
      <c r="AI71" s="8"/>
      <c r="AJ71" s="10"/>
      <c r="AK71" s="10"/>
      <c r="AL71" s="10"/>
      <c r="AM71" s="10"/>
    </row>
    <row r="72" spans="1:39" ht="14.25" customHeight="1" x14ac:dyDescent="0.35">
      <c r="A72" s="8"/>
      <c r="B72" s="8"/>
      <c r="C72" s="7"/>
      <c r="D72" s="7"/>
      <c r="E72" s="8"/>
      <c r="F72" s="8"/>
      <c r="G72" s="8"/>
      <c r="H72" s="8"/>
      <c r="I72" s="8"/>
      <c r="J72" s="8"/>
      <c r="K72" s="8"/>
      <c r="L72" s="8"/>
      <c r="M72" s="8"/>
      <c r="N72" s="8"/>
      <c r="O72" s="10"/>
      <c r="P72" s="10"/>
      <c r="Q72" s="10"/>
      <c r="R72" s="10"/>
      <c r="S72" s="8"/>
      <c r="T72" s="8"/>
      <c r="U72" s="8"/>
      <c r="V72" s="10"/>
      <c r="W72" s="10"/>
      <c r="X72" s="10"/>
      <c r="Y72" s="10"/>
      <c r="Z72" s="8"/>
      <c r="AA72" s="8"/>
      <c r="AB72" s="8"/>
      <c r="AC72" s="10"/>
      <c r="AD72" s="10"/>
      <c r="AE72" s="10"/>
      <c r="AF72" s="10"/>
      <c r="AG72" s="8"/>
      <c r="AH72" s="8"/>
      <c r="AI72" s="8"/>
      <c r="AJ72" s="10"/>
      <c r="AK72" s="10"/>
      <c r="AL72" s="10"/>
      <c r="AM72" s="10"/>
    </row>
    <row r="73" spans="1:39" ht="14.25" customHeight="1" x14ac:dyDescent="0.35">
      <c r="A73" s="8"/>
      <c r="B73" s="8"/>
      <c r="C73" s="7"/>
      <c r="D73" s="7"/>
      <c r="E73" s="8"/>
      <c r="F73" s="8"/>
      <c r="G73" s="8"/>
      <c r="H73" s="8"/>
      <c r="I73" s="8"/>
      <c r="J73" s="8"/>
      <c r="K73" s="8"/>
      <c r="L73" s="8"/>
      <c r="M73" s="8"/>
      <c r="N73" s="8"/>
      <c r="O73" s="10"/>
      <c r="P73" s="10"/>
      <c r="Q73" s="10"/>
      <c r="R73" s="10"/>
      <c r="S73" s="8"/>
      <c r="T73" s="8"/>
      <c r="U73" s="8"/>
      <c r="V73" s="10"/>
      <c r="W73" s="10"/>
      <c r="X73" s="10"/>
      <c r="Y73" s="10"/>
      <c r="Z73" s="8"/>
      <c r="AA73" s="8"/>
      <c r="AB73" s="8"/>
      <c r="AC73" s="10"/>
      <c r="AD73" s="10"/>
      <c r="AE73" s="10"/>
      <c r="AF73" s="10"/>
      <c r="AG73" s="8"/>
      <c r="AH73" s="8"/>
      <c r="AI73" s="8"/>
      <c r="AJ73" s="10"/>
      <c r="AK73" s="10"/>
      <c r="AL73" s="10"/>
      <c r="AM73" s="10"/>
    </row>
    <row r="74" spans="1:39" ht="14.25" customHeight="1" x14ac:dyDescent="0.35">
      <c r="A74" s="8"/>
      <c r="B74" s="8"/>
      <c r="C74" s="7"/>
      <c r="D74" s="7"/>
      <c r="E74" s="8"/>
      <c r="F74" s="8"/>
      <c r="G74" s="8"/>
      <c r="H74" s="8"/>
      <c r="I74" s="8"/>
      <c r="J74" s="8"/>
      <c r="K74" s="8"/>
      <c r="L74" s="8"/>
      <c r="M74" s="8"/>
      <c r="N74" s="8"/>
      <c r="O74" s="10"/>
      <c r="P74" s="10"/>
      <c r="Q74" s="10"/>
      <c r="R74" s="10"/>
      <c r="S74" s="8"/>
      <c r="T74" s="8"/>
      <c r="U74" s="8"/>
      <c r="V74" s="10"/>
      <c r="W74" s="10"/>
      <c r="X74" s="10"/>
      <c r="Y74" s="10"/>
      <c r="Z74" s="8"/>
      <c r="AA74" s="8"/>
      <c r="AB74" s="8"/>
      <c r="AC74" s="10"/>
      <c r="AD74" s="10"/>
      <c r="AE74" s="10"/>
      <c r="AF74" s="10"/>
      <c r="AG74" s="8"/>
      <c r="AH74" s="8"/>
      <c r="AI74" s="8"/>
      <c r="AJ74" s="10"/>
      <c r="AK74" s="10"/>
      <c r="AL74" s="10"/>
      <c r="AM74" s="10"/>
    </row>
    <row r="75" spans="1:39" ht="14.25" customHeight="1" x14ac:dyDescent="0.35">
      <c r="A75" s="8"/>
      <c r="B75" s="8"/>
      <c r="C75" s="7"/>
      <c r="D75" s="7"/>
      <c r="E75" s="8"/>
      <c r="F75" s="8"/>
      <c r="G75" s="8"/>
      <c r="H75" s="8"/>
      <c r="I75" s="8"/>
      <c r="J75" s="8"/>
      <c r="K75" s="8"/>
      <c r="L75" s="8"/>
      <c r="M75" s="8"/>
      <c r="N75" s="8"/>
      <c r="O75" s="10"/>
      <c r="P75" s="10"/>
      <c r="Q75" s="10"/>
      <c r="R75" s="10"/>
      <c r="S75" s="8"/>
      <c r="T75" s="8"/>
      <c r="U75" s="8"/>
      <c r="V75" s="10"/>
      <c r="W75" s="10"/>
      <c r="X75" s="10"/>
      <c r="Y75" s="10"/>
      <c r="Z75" s="8"/>
      <c r="AA75" s="8"/>
      <c r="AB75" s="8"/>
      <c r="AC75" s="10"/>
      <c r="AD75" s="10"/>
      <c r="AE75" s="10"/>
      <c r="AF75" s="10"/>
      <c r="AG75" s="8"/>
      <c r="AH75" s="8"/>
      <c r="AI75" s="8"/>
      <c r="AJ75" s="10"/>
      <c r="AK75" s="10"/>
      <c r="AL75" s="10"/>
      <c r="AM75" s="10"/>
    </row>
    <row r="76" spans="1:39" ht="14.25" customHeight="1" x14ac:dyDescent="0.35">
      <c r="A76" s="8"/>
      <c r="B76" s="8"/>
      <c r="C76" s="7"/>
      <c r="D76" s="7"/>
      <c r="E76" s="8"/>
      <c r="F76" s="8"/>
      <c r="G76" s="8"/>
      <c r="H76" s="8"/>
      <c r="I76" s="8"/>
      <c r="J76" s="8"/>
      <c r="K76" s="8"/>
      <c r="L76" s="8"/>
      <c r="M76" s="8"/>
      <c r="N76" s="8"/>
      <c r="O76" s="10"/>
      <c r="P76" s="10"/>
      <c r="Q76" s="10"/>
      <c r="R76" s="10"/>
      <c r="S76" s="8"/>
      <c r="T76" s="8"/>
      <c r="U76" s="8"/>
      <c r="V76" s="10"/>
      <c r="W76" s="10"/>
      <c r="X76" s="10"/>
      <c r="Y76" s="10"/>
      <c r="Z76" s="8"/>
      <c r="AA76" s="8"/>
      <c r="AB76" s="8"/>
      <c r="AC76" s="10"/>
      <c r="AD76" s="10"/>
      <c r="AE76" s="10"/>
      <c r="AF76" s="10"/>
      <c r="AG76" s="8"/>
      <c r="AH76" s="8"/>
      <c r="AI76" s="8"/>
      <c r="AJ76" s="10"/>
      <c r="AK76" s="10"/>
      <c r="AL76" s="10"/>
      <c r="AM76" s="10"/>
    </row>
    <row r="77" spans="1:39" ht="14.25" customHeight="1" x14ac:dyDescent="0.35">
      <c r="A77" s="8"/>
      <c r="B77" s="8"/>
      <c r="C77" s="7"/>
      <c r="D77" s="7"/>
      <c r="E77" s="8"/>
      <c r="F77" s="8"/>
      <c r="G77" s="8"/>
      <c r="H77" s="8"/>
      <c r="I77" s="8"/>
      <c r="J77" s="8"/>
      <c r="K77" s="8"/>
      <c r="L77" s="8"/>
      <c r="M77" s="8"/>
      <c r="N77" s="8"/>
      <c r="O77" s="10"/>
      <c r="P77" s="10"/>
      <c r="Q77" s="10"/>
      <c r="R77" s="10"/>
      <c r="S77" s="8"/>
      <c r="T77" s="8"/>
      <c r="U77" s="8"/>
      <c r="V77" s="10"/>
      <c r="W77" s="10"/>
      <c r="X77" s="10"/>
      <c r="Y77" s="10"/>
      <c r="Z77" s="8"/>
      <c r="AA77" s="8"/>
      <c r="AB77" s="8"/>
      <c r="AC77" s="10"/>
      <c r="AD77" s="10"/>
      <c r="AE77" s="10"/>
      <c r="AF77" s="10"/>
      <c r="AG77" s="8"/>
      <c r="AH77" s="8"/>
      <c r="AI77" s="8"/>
      <c r="AJ77" s="10"/>
      <c r="AK77" s="10"/>
      <c r="AL77" s="10"/>
      <c r="AM77" s="10"/>
    </row>
    <row r="78" spans="1:39" ht="14.25" customHeight="1" x14ac:dyDescent="0.35">
      <c r="A78" s="8"/>
      <c r="B78" s="8"/>
      <c r="C78" s="7"/>
      <c r="D78" s="7"/>
      <c r="E78" s="8"/>
      <c r="F78" s="8"/>
      <c r="G78" s="8"/>
      <c r="H78" s="8"/>
      <c r="I78" s="8"/>
      <c r="J78" s="8"/>
      <c r="K78" s="8"/>
      <c r="L78" s="8"/>
      <c r="M78" s="8"/>
      <c r="N78" s="8"/>
      <c r="O78" s="10"/>
      <c r="P78" s="10"/>
      <c r="Q78" s="10"/>
      <c r="R78" s="10"/>
      <c r="S78" s="8"/>
      <c r="T78" s="8"/>
      <c r="U78" s="8"/>
      <c r="V78" s="10"/>
      <c r="W78" s="10"/>
      <c r="X78" s="10"/>
      <c r="Y78" s="10"/>
      <c r="Z78" s="8"/>
      <c r="AA78" s="8"/>
      <c r="AB78" s="8"/>
      <c r="AC78" s="10"/>
      <c r="AD78" s="10"/>
      <c r="AE78" s="10"/>
      <c r="AF78" s="10"/>
      <c r="AG78" s="8"/>
      <c r="AH78" s="8"/>
      <c r="AI78" s="8"/>
      <c r="AJ78" s="10"/>
      <c r="AK78" s="10"/>
      <c r="AL78" s="10"/>
      <c r="AM78" s="10"/>
    </row>
    <row r="79" spans="1:39" ht="14.25" customHeight="1" x14ac:dyDescent="0.35">
      <c r="A79" s="8"/>
      <c r="B79" s="8"/>
      <c r="C79" s="7"/>
      <c r="D79" s="7"/>
      <c r="E79" s="8"/>
      <c r="F79" s="8"/>
      <c r="G79" s="8"/>
      <c r="H79" s="8"/>
      <c r="I79" s="8"/>
      <c r="J79" s="8"/>
      <c r="K79" s="8"/>
      <c r="L79" s="8"/>
      <c r="M79" s="8"/>
      <c r="N79" s="8"/>
      <c r="O79" s="10"/>
      <c r="P79" s="10"/>
      <c r="Q79" s="10"/>
      <c r="R79" s="10"/>
      <c r="S79" s="8"/>
      <c r="T79" s="8"/>
      <c r="U79" s="8"/>
      <c r="V79" s="10"/>
      <c r="W79" s="10"/>
      <c r="X79" s="10"/>
      <c r="Y79" s="10"/>
      <c r="Z79" s="8"/>
      <c r="AA79" s="8"/>
      <c r="AB79" s="8"/>
      <c r="AC79" s="10"/>
      <c r="AD79" s="10"/>
      <c r="AE79" s="10"/>
      <c r="AF79" s="10"/>
      <c r="AG79" s="8"/>
      <c r="AH79" s="8"/>
      <c r="AI79" s="8"/>
      <c r="AJ79" s="10"/>
      <c r="AK79" s="10"/>
      <c r="AL79" s="10"/>
      <c r="AM79" s="10"/>
    </row>
    <row r="80" spans="1:39" ht="14.25" customHeight="1" x14ac:dyDescent="0.35">
      <c r="A80" s="8"/>
      <c r="B80" s="8"/>
      <c r="C80" s="7"/>
      <c r="D80" s="7"/>
      <c r="E80" s="8"/>
      <c r="F80" s="8"/>
      <c r="G80" s="8"/>
      <c r="H80" s="8"/>
      <c r="I80" s="8"/>
      <c r="J80" s="8"/>
      <c r="K80" s="8"/>
      <c r="L80" s="8"/>
      <c r="M80" s="8"/>
      <c r="N80" s="8"/>
      <c r="O80" s="10"/>
      <c r="P80" s="10"/>
      <c r="Q80" s="10"/>
      <c r="R80" s="10"/>
      <c r="S80" s="8"/>
      <c r="T80" s="8"/>
      <c r="U80" s="8"/>
      <c r="V80" s="10"/>
      <c r="W80" s="10"/>
      <c r="X80" s="10"/>
      <c r="Y80" s="10"/>
      <c r="Z80" s="8"/>
      <c r="AA80" s="8"/>
      <c r="AB80" s="8"/>
      <c r="AC80" s="10"/>
      <c r="AD80" s="10"/>
      <c r="AE80" s="10"/>
      <c r="AF80" s="10"/>
      <c r="AG80" s="8"/>
      <c r="AH80" s="8"/>
      <c r="AI80" s="8"/>
      <c r="AJ80" s="10"/>
      <c r="AK80" s="10"/>
      <c r="AL80" s="10"/>
      <c r="AM80" s="10"/>
    </row>
    <row r="81" spans="1:39" ht="14.25" customHeight="1" x14ac:dyDescent="0.35">
      <c r="A81" s="8"/>
      <c r="B81" s="8"/>
      <c r="C81" s="7"/>
      <c r="D81" s="7"/>
      <c r="E81" s="8"/>
      <c r="F81" s="8"/>
      <c r="G81" s="8"/>
      <c r="H81" s="8"/>
      <c r="I81" s="8"/>
      <c r="J81" s="8"/>
      <c r="K81" s="8"/>
      <c r="L81" s="8"/>
      <c r="M81" s="8"/>
      <c r="N81" s="8"/>
      <c r="O81" s="10"/>
      <c r="P81" s="10"/>
      <c r="Q81" s="10"/>
      <c r="R81" s="10"/>
      <c r="S81" s="8"/>
      <c r="T81" s="8"/>
      <c r="U81" s="8"/>
      <c r="V81" s="10"/>
      <c r="W81" s="10"/>
      <c r="X81" s="10"/>
      <c r="Y81" s="10"/>
      <c r="Z81" s="8"/>
      <c r="AA81" s="8"/>
      <c r="AB81" s="8"/>
      <c r="AC81" s="10"/>
      <c r="AD81" s="10"/>
      <c r="AE81" s="10"/>
      <c r="AF81" s="10"/>
      <c r="AG81" s="8"/>
      <c r="AH81" s="8"/>
      <c r="AI81" s="8"/>
      <c r="AJ81" s="10"/>
      <c r="AK81" s="10"/>
      <c r="AL81" s="10"/>
      <c r="AM81" s="10"/>
    </row>
    <row r="82" spans="1:39" ht="14.25" customHeight="1" x14ac:dyDescent="0.35">
      <c r="A82" s="8"/>
      <c r="B82" s="8"/>
      <c r="C82" s="7"/>
      <c r="D82" s="7"/>
      <c r="E82" s="8"/>
      <c r="F82" s="8"/>
      <c r="G82" s="8"/>
      <c r="H82" s="8"/>
      <c r="I82" s="8"/>
      <c r="J82" s="8"/>
      <c r="K82" s="8"/>
      <c r="L82" s="8"/>
      <c r="M82" s="8"/>
      <c r="N82" s="8"/>
      <c r="O82" s="10"/>
      <c r="P82" s="10"/>
      <c r="Q82" s="10"/>
      <c r="R82" s="10"/>
      <c r="S82" s="8"/>
      <c r="T82" s="8"/>
      <c r="U82" s="8"/>
      <c r="V82" s="10"/>
      <c r="W82" s="10"/>
      <c r="X82" s="10"/>
      <c r="Y82" s="10"/>
      <c r="Z82" s="8"/>
      <c r="AA82" s="8"/>
      <c r="AB82" s="8"/>
      <c r="AC82" s="10"/>
      <c r="AD82" s="10"/>
      <c r="AE82" s="10"/>
      <c r="AF82" s="10"/>
      <c r="AG82" s="8"/>
      <c r="AH82" s="8"/>
      <c r="AI82" s="8"/>
      <c r="AJ82" s="10"/>
      <c r="AK82" s="10"/>
      <c r="AL82" s="10"/>
      <c r="AM82" s="10"/>
    </row>
    <row r="83" spans="1:39" ht="14.25" customHeight="1" x14ac:dyDescent="0.35">
      <c r="A83" s="8"/>
      <c r="B83" s="8"/>
      <c r="C83" s="7"/>
      <c r="D83" s="7"/>
      <c r="E83" s="8"/>
      <c r="F83" s="8"/>
      <c r="G83" s="8"/>
      <c r="H83" s="8"/>
      <c r="I83" s="8"/>
      <c r="J83" s="8"/>
      <c r="K83" s="8"/>
      <c r="L83" s="8"/>
      <c r="M83" s="8"/>
      <c r="N83" s="8"/>
      <c r="O83" s="10"/>
      <c r="P83" s="10"/>
      <c r="Q83" s="10"/>
      <c r="R83" s="10"/>
      <c r="S83" s="8"/>
      <c r="T83" s="8"/>
      <c r="U83" s="8"/>
      <c r="V83" s="10"/>
      <c r="W83" s="10"/>
      <c r="X83" s="10"/>
      <c r="Y83" s="10"/>
      <c r="Z83" s="8"/>
      <c r="AA83" s="8"/>
      <c r="AB83" s="8"/>
      <c r="AC83" s="10"/>
      <c r="AD83" s="10"/>
      <c r="AE83" s="10"/>
      <c r="AF83" s="10"/>
      <c r="AG83" s="8"/>
      <c r="AH83" s="8"/>
      <c r="AI83" s="8"/>
      <c r="AJ83" s="10"/>
      <c r="AK83" s="10"/>
      <c r="AL83" s="10"/>
      <c r="AM83" s="10"/>
    </row>
    <row r="84" spans="1:39" ht="14.25" customHeight="1" x14ac:dyDescent="0.35">
      <c r="A84" s="8"/>
      <c r="B84" s="8"/>
      <c r="C84" s="7"/>
      <c r="D84" s="7"/>
      <c r="E84" s="8"/>
      <c r="F84" s="8"/>
      <c r="G84" s="8"/>
      <c r="H84" s="8"/>
      <c r="I84" s="8"/>
      <c r="J84" s="8"/>
      <c r="K84" s="8"/>
      <c r="L84" s="8"/>
      <c r="M84" s="8"/>
      <c r="N84" s="8"/>
      <c r="O84" s="10"/>
      <c r="P84" s="10"/>
      <c r="Q84" s="10"/>
      <c r="R84" s="10"/>
      <c r="S84" s="8"/>
      <c r="T84" s="8"/>
      <c r="U84" s="8"/>
      <c r="V84" s="10"/>
      <c r="W84" s="10"/>
      <c r="X84" s="10"/>
      <c r="Y84" s="10"/>
      <c r="Z84" s="8"/>
      <c r="AA84" s="8"/>
      <c r="AB84" s="8"/>
      <c r="AC84" s="10"/>
      <c r="AD84" s="10"/>
      <c r="AE84" s="10"/>
      <c r="AF84" s="10"/>
      <c r="AG84" s="8"/>
      <c r="AH84" s="8"/>
      <c r="AI84" s="8"/>
      <c r="AJ84" s="10"/>
      <c r="AK84" s="10"/>
      <c r="AL84" s="10"/>
      <c r="AM84" s="10"/>
    </row>
    <row r="85" spans="1:39" ht="14.25" customHeight="1" x14ac:dyDescent="0.35">
      <c r="A85" s="8"/>
      <c r="B85" s="8"/>
      <c r="C85" s="7"/>
      <c r="D85" s="7"/>
      <c r="E85" s="8"/>
      <c r="F85" s="8"/>
      <c r="G85" s="8"/>
      <c r="H85" s="8"/>
      <c r="I85" s="8"/>
      <c r="J85" s="8"/>
      <c r="K85" s="8"/>
      <c r="L85" s="8"/>
      <c r="M85" s="8"/>
      <c r="N85" s="8"/>
      <c r="O85" s="10"/>
      <c r="P85" s="10"/>
      <c r="Q85" s="10"/>
      <c r="R85" s="10"/>
      <c r="S85" s="8"/>
      <c r="T85" s="8"/>
      <c r="U85" s="8"/>
      <c r="V85" s="10"/>
      <c r="W85" s="10"/>
      <c r="X85" s="10"/>
      <c r="Y85" s="10"/>
      <c r="Z85" s="8"/>
      <c r="AA85" s="8"/>
      <c r="AB85" s="8"/>
      <c r="AC85" s="10"/>
      <c r="AD85" s="10"/>
      <c r="AE85" s="10"/>
      <c r="AF85" s="10"/>
      <c r="AG85" s="8"/>
      <c r="AH85" s="8"/>
      <c r="AI85" s="8"/>
      <c r="AJ85" s="10"/>
      <c r="AK85" s="10"/>
      <c r="AL85" s="10"/>
      <c r="AM85" s="10"/>
    </row>
    <row r="86" spans="1:39" ht="14.25" customHeight="1" x14ac:dyDescent="0.35">
      <c r="A86" s="8"/>
      <c r="B86" s="8"/>
      <c r="C86" s="7"/>
      <c r="D86" s="7"/>
      <c r="E86" s="8"/>
      <c r="F86" s="8"/>
      <c r="G86" s="8"/>
      <c r="H86" s="8"/>
      <c r="I86" s="8"/>
      <c r="J86" s="8"/>
      <c r="K86" s="8"/>
      <c r="L86" s="8"/>
      <c r="M86" s="8"/>
      <c r="N86" s="8"/>
      <c r="O86" s="10"/>
      <c r="P86" s="10"/>
      <c r="Q86" s="10"/>
      <c r="R86" s="10"/>
      <c r="S86" s="8"/>
      <c r="T86" s="8"/>
      <c r="U86" s="8"/>
      <c r="V86" s="10"/>
      <c r="W86" s="10"/>
      <c r="X86" s="10"/>
      <c r="Y86" s="10"/>
      <c r="Z86" s="8"/>
      <c r="AA86" s="8"/>
      <c r="AB86" s="8"/>
      <c r="AC86" s="10"/>
      <c r="AD86" s="10"/>
      <c r="AE86" s="10"/>
      <c r="AF86" s="10"/>
      <c r="AG86" s="8"/>
      <c r="AH86" s="8"/>
      <c r="AI86" s="8"/>
      <c r="AJ86" s="10"/>
      <c r="AK86" s="10"/>
      <c r="AL86" s="10"/>
      <c r="AM86" s="10"/>
    </row>
    <row r="87" spans="1:39" ht="14.25" customHeight="1" x14ac:dyDescent="0.35">
      <c r="A87" s="8"/>
      <c r="B87" s="8"/>
      <c r="C87" s="7"/>
      <c r="D87" s="7"/>
      <c r="E87" s="8"/>
      <c r="F87" s="8"/>
      <c r="G87" s="8"/>
      <c r="H87" s="8"/>
      <c r="I87" s="8"/>
      <c r="J87" s="8"/>
      <c r="K87" s="8"/>
      <c r="L87" s="8"/>
      <c r="M87" s="8"/>
      <c r="N87" s="8"/>
      <c r="O87" s="10"/>
      <c r="P87" s="10"/>
      <c r="Q87" s="10"/>
      <c r="R87" s="10"/>
      <c r="S87" s="8"/>
      <c r="T87" s="8"/>
      <c r="U87" s="8"/>
      <c r="V87" s="10"/>
      <c r="W87" s="10"/>
      <c r="X87" s="10"/>
      <c r="Y87" s="10"/>
      <c r="Z87" s="8"/>
      <c r="AA87" s="8"/>
      <c r="AB87" s="8"/>
      <c r="AC87" s="10"/>
      <c r="AD87" s="10"/>
      <c r="AE87" s="10"/>
      <c r="AF87" s="10"/>
      <c r="AG87" s="8"/>
      <c r="AH87" s="8"/>
      <c r="AI87" s="8"/>
      <c r="AJ87" s="10"/>
      <c r="AK87" s="10"/>
      <c r="AL87" s="10"/>
      <c r="AM87" s="10"/>
    </row>
    <row r="88" spans="1:39" ht="14.25" customHeight="1" x14ac:dyDescent="0.35">
      <c r="A88" s="8"/>
      <c r="B88" s="8"/>
      <c r="C88" s="7"/>
      <c r="D88" s="7"/>
      <c r="E88" s="8"/>
      <c r="F88" s="8"/>
      <c r="G88" s="8"/>
      <c r="H88" s="8"/>
      <c r="I88" s="8"/>
      <c r="J88" s="8"/>
      <c r="K88" s="8"/>
      <c r="L88" s="8"/>
      <c r="M88" s="8"/>
      <c r="N88" s="8"/>
      <c r="O88" s="10"/>
      <c r="P88" s="10"/>
      <c r="Q88" s="10"/>
      <c r="R88" s="10"/>
      <c r="S88" s="8"/>
      <c r="T88" s="8"/>
      <c r="U88" s="8"/>
      <c r="V88" s="10"/>
      <c r="W88" s="10"/>
      <c r="X88" s="10"/>
      <c r="Y88" s="10"/>
      <c r="Z88" s="8"/>
      <c r="AA88" s="8"/>
      <c r="AB88" s="8"/>
      <c r="AC88" s="10"/>
      <c r="AD88" s="10"/>
      <c r="AE88" s="10"/>
      <c r="AF88" s="10"/>
      <c r="AG88" s="8"/>
      <c r="AH88" s="8"/>
      <c r="AI88" s="8"/>
      <c r="AJ88" s="10"/>
      <c r="AK88" s="10"/>
      <c r="AL88" s="10"/>
      <c r="AM88" s="10"/>
    </row>
    <row r="89" spans="1:39" ht="14.25" customHeight="1" x14ac:dyDescent="0.35">
      <c r="A89" s="8"/>
      <c r="B89" s="8"/>
      <c r="C89" s="7"/>
      <c r="D89" s="7"/>
      <c r="E89" s="8"/>
      <c r="F89" s="8"/>
      <c r="G89" s="8"/>
      <c r="H89" s="8"/>
      <c r="I89" s="8"/>
      <c r="J89" s="8"/>
      <c r="K89" s="8"/>
      <c r="L89" s="8"/>
      <c r="M89" s="8"/>
      <c r="N89" s="8"/>
      <c r="O89" s="10"/>
      <c r="P89" s="10"/>
      <c r="Q89" s="10"/>
      <c r="R89" s="10"/>
      <c r="S89" s="8"/>
      <c r="T89" s="8"/>
      <c r="U89" s="8"/>
      <c r="V89" s="10"/>
      <c r="W89" s="10"/>
      <c r="X89" s="10"/>
      <c r="Y89" s="10"/>
      <c r="Z89" s="8"/>
      <c r="AA89" s="8"/>
      <c r="AB89" s="8"/>
      <c r="AC89" s="10"/>
      <c r="AD89" s="10"/>
      <c r="AE89" s="10"/>
      <c r="AF89" s="10"/>
      <c r="AG89" s="8"/>
      <c r="AH89" s="8"/>
      <c r="AI89" s="8"/>
      <c r="AJ89" s="10"/>
      <c r="AK89" s="10"/>
      <c r="AL89" s="10"/>
      <c r="AM89" s="10"/>
    </row>
    <row r="90" spans="1:39" ht="14.25" customHeight="1" x14ac:dyDescent="0.35">
      <c r="A90" s="8"/>
      <c r="B90" s="8"/>
      <c r="C90" s="7"/>
      <c r="D90" s="7"/>
      <c r="E90" s="8"/>
      <c r="F90" s="8"/>
      <c r="G90" s="8"/>
      <c r="H90" s="8"/>
      <c r="I90" s="8"/>
      <c r="J90" s="8"/>
      <c r="K90" s="8"/>
      <c r="L90" s="8"/>
      <c r="M90" s="8"/>
      <c r="N90" s="8"/>
      <c r="O90" s="10"/>
      <c r="P90" s="10"/>
      <c r="Q90" s="10"/>
      <c r="R90" s="10"/>
      <c r="S90" s="8"/>
      <c r="T90" s="8"/>
      <c r="U90" s="8"/>
      <c r="V90" s="10"/>
      <c r="W90" s="10"/>
      <c r="X90" s="10"/>
      <c r="Y90" s="10"/>
      <c r="Z90" s="8"/>
      <c r="AA90" s="8"/>
      <c r="AB90" s="8"/>
      <c r="AC90" s="10"/>
      <c r="AD90" s="10"/>
      <c r="AE90" s="10"/>
      <c r="AF90" s="10"/>
      <c r="AG90" s="8"/>
      <c r="AH90" s="8"/>
      <c r="AI90" s="8"/>
      <c r="AJ90" s="10"/>
      <c r="AK90" s="10"/>
      <c r="AL90" s="10"/>
      <c r="AM90" s="10"/>
    </row>
    <row r="91" spans="1:39" ht="14.25" customHeight="1" x14ac:dyDescent="0.35">
      <c r="A91" s="8"/>
      <c r="B91" s="8"/>
      <c r="C91" s="7"/>
      <c r="D91" s="7"/>
      <c r="E91" s="8"/>
      <c r="F91" s="8"/>
      <c r="G91" s="8"/>
      <c r="H91" s="8"/>
      <c r="I91" s="8"/>
      <c r="J91" s="8"/>
      <c r="K91" s="8"/>
      <c r="L91" s="8"/>
      <c r="M91" s="8"/>
      <c r="N91" s="8"/>
      <c r="O91" s="10"/>
      <c r="P91" s="10"/>
      <c r="Q91" s="10"/>
      <c r="R91" s="10"/>
      <c r="S91" s="8"/>
      <c r="T91" s="8"/>
      <c r="U91" s="8"/>
      <c r="V91" s="10"/>
      <c r="W91" s="10"/>
      <c r="X91" s="10"/>
      <c r="Y91" s="10"/>
      <c r="Z91" s="8"/>
      <c r="AA91" s="8"/>
      <c r="AB91" s="8"/>
      <c r="AC91" s="10"/>
      <c r="AD91" s="10"/>
      <c r="AE91" s="10"/>
      <c r="AF91" s="10"/>
      <c r="AG91" s="8"/>
      <c r="AH91" s="8"/>
      <c r="AI91" s="8"/>
      <c r="AJ91" s="10"/>
      <c r="AK91" s="10"/>
      <c r="AL91" s="10"/>
      <c r="AM91" s="10"/>
    </row>
    <row r="92" spans="1:39" ht="14.25" customHeight="1" x14ac:dyDescent="0.35">
      <c r="A92" s="8"/>
      <c r="B92" s="8"/>
      <c r="C92" s="7"/>
      <c r="D92" s="7"/>
      <c r="E92" s="8"/>
      <c r="F92" s="8"/>
      <c r="G92" s="8"/>
      <c r="H92" s="8"/>
      <c r="I92" s="8"/>
      <c r="J92" s="8"/>
      <c r="K92" s="8"/>
      <c r="L92" s="8"/>
      <c r="M92" s="8"/>
      <c r="N92" s="8"/>
      <c r="O92" s="10"/>
      <c r="P92" s="10"/>
      <c r="Q92" s="10"/>
      <c r="R92" s="10"/>
      <c r="S92" s="8"/>
      <c r="T92" s="8"/>
      <c r="U92" s="8"/>
      <c r="V92" s="10"/>
      <c r="W92" s="10"/>
      <c r="X92" s="10"/>
      <c r="Y92" s="10"/>
      <c r="Z92" s="8"/>
      <c r="AA92" s="8"/>
      <c r="AB92" s="8"/>
      <c r="AC92" s="10"/>
      <c r="AD92" s="10"/>
      <c r="AE92" s="10"/>
      <c r="AF92" s="10"/>
      <c r="AG92" s="8"/>
      <c r="AH92" s="8"/>
      <c r="AI92" s="8"/>
      <c r="AJ92" s="10"/>
      <c r="AK92" s="10"/>
      <c r="AL92" s="10"/>
      <c r="AM92" s="10"/>
    </row>
    <row r="93" spans="1:39" ht="14.25" customHeight="1" x14ac:dyDescent="0.35">
      <c r="A93" s="8"/>
      <c r="B93" s="8"/>
      <c r="C93" s="7"/>
      <c r="D93" s="7"/>
      <c r="E93" s="8"/>
      <c r="F93" s="8"/>
      <c r="G93" s="8"/>
      <c r="H93" s="8"/>
      <c r="I93" s="8"/>
      <c r="J93" s="8"/>
      <c r="K93" s="8"/>
      <c r="L93" s="8"/>
      <c r="M93" s="8"/>
      <c r="N93" s="8"/>
      <c r="O93" s="10"/>
      <c r="P93" s="10"/>
      <c r="Q93" s="10"/>
      <c r="R93" s="10"/>
      <c r="S93" s="8"/>
      <c r="T93" s="8"/>
      <c r="U93" s="8"/>
      <c r="V93" s="10"/>
      <c r="W93" s="10"/>
      <c r="X93" s="10"/>
      <c r="Y93" s="10"/>
      <c r="Z93" s="8"/>
      <c r="AA93" s="8"/>
      <c r="AB93" s="8"/>
      <c r="AC93" s="10"/>
      <c r="AD93" s="10"/>
      <c r="AE93" s="10"/>
      <c r="AF93" s="10"/>
      <c r="AG93" s="8"/>
      <c r="AH93" s="8"/>
      <c r="AI93" s="8"/>
      <c r="AJ93" s="10"/>
      <c r="AK93" s="10"/>
      <c r="AL93" s="10"/>
      <c r="AM93" s="10"/>
    </row>
    <row r="94" spans="1:39" ht="14.25" customHeight="1" x14ac:dyDescent="0.35">
      <c r="A94" s="8"/>
      <c r="B94" s="8"/>
      <c r="C94" s="7"/>
      <c r="D94" s="7"/>
      <c r="E94" s="8"/>
      <c r="F94" s="8"/>
      <c r="G94" s="8"/>
      <c r="H94" s="8"/>
      <c r="I94" s="8"/>
      <c r="J94" s="8"/>
      <c r="K94" s="8"/>
      <c r="L94" s="8"/>
      <c r="M94" s="8"/>
      <c r="N94" s="8"/>
      <c r="O94" s="10"/>
      <c r="P94" s="10"/>
      <c r="Q94" s="10"/>
      <c r="R94" s="10"/>
      <c r="S94" s="8"/>
      <c r="T94" s="8"/>
      <c r="U94" s="8"/>
      <c r="V94" s="10"/>
      <c r="W94" s="10"/>
      <c r="X94" s="10"/>
      <c r="Y94" s="10"/>
      <c r="Z94" s="8"/>
      <c r="AA94" s="8"/>
      <c r="AB94" s="8"/>
      <c r="AC94" s="10"/>
      <c r="AD94" s="10"/>
      <c r="AE94" s="10"/>
      <c r="AF94" s="10"/>
      <c r="AG94" s="8"/>
      <c r="AH94" s="8"/>
      <c r="AI94" s="8"/>
      <c r="AJ94" s="10"/>
      <c r="AK94" s="10"/>
      <c r="AL94" s="10"/>
      <c r="AM94" s="10"/>
    </row>
    <row r="95" spans="1:39" ht="14.25" customHeight="1" x14ac:dyDescent="0.35">
      <c r="A95" s="8"/>
      <c r="B95" s="8"/>
      <c r="C95" s="7"/>
      <c r="D95" s="7"/>
      <c r="E95" s="8"/>
      <c r="F95" s="8"/>
      <c r="G95" s="8"/>
      <c r="H95" s="8"/>
      <c r="I95" s="8"/>
      <c r="J95" s="8"/>
      <c r="K95" s="8"/>
      <c r="L95" s="8"/>
      <c r="M95" s="8"/>
      <c r="N95" s="8"/>
      <c r="O95" s="10"/>
      <c r="P95" s="10"/>
      <c r="Q95" s="10"/>
      <c r="R95" s="10"/>
      <c r="S95" s="8"/>
      <c r="T95" s="8"/>
      <c r="U95" s="8"/>
      <c r="V95" s="10"/>
      <c r="W95" s="10"/>
      <c r="X95" s="10"/>
      <c r="Y95" s="10"/>
      <c r="Z95" s="8"/>
      <c r="AA95" s="8"/>
      <c r="AB95" s="8"/>
      <c r="AC95" s="10"/>
      <c r="AD95" s="10"/>
      <c r="AE95" s="10"/>
      <c r="AF95" s="10"/>
      <c r="AG95" s="8"/>
      <c r="AH95" s="8"/>
      <c r="AI95" s="8"/>
      <c r="AJ95" s="10"/>
      <c r="AK95" s="10"/>
      <c r="AL95" s="10"/>
      <c r="AM95" s="10"/>
    </row>
    <row r="96" spans="1:39" ht="14.25" customHeight="1" x14ac:dyDescent="0.35">
      <c r="A96" s="8"/>
      <c r="B96" s="8"/>
      <c r="C96" s="7"/>
      <c r="D96" s="7"/>
      <c r="E96" s="8"/>
      <c r="F96" s="8"/>
      <c r="G96" s="8"/>
      <c r="H96" s="8"/>
      <c r="I96" s="8"/>
      <c r="J96" s="8"/>
      <c r="K96" s="8"/>
      <c r="L96" s="8"/>
      <c r="M96" s="8"/>
      <c r="N96" s="8"/>
      <c r="O96" s="10"/>
      <c r="P96" s="10"/>
      <c r="Q96" s="10"/>
      <c r="R96" s="10"/>
      <c r="S96" s="8"/>
      <c r="T96" s="8"/>
      <c r="U96" s="8"/>
      <c r="V96" s="10"/>
      <c r="W96" s="10"/>
      <c r="X96" s="10"/>
      <c r="Y96" s="10"/>
      <c r="Z96" s="8"/>
      <c r="AA96" s="8"/>
      <c r="AB96" s="8"/>
      <c r="AC96" s="10"/>
      <c r="AD96" s="10"/>
      <c r="AE96" s="10"/>
      <c r="AF96" s="10"/>
      <c r="AG96" s="8"/>
      <c r="AH96" s="8"/>
      <c r="AI96" s="8"/>
      <c r="AJ96" s="10"/>
      <c r="AK96" s="10"/>
      <c r="AL96" s="10"/>
      <c r="AM96" s="10"/>
    </row>
    <row r="97" spans="1:39" ht="14.25" customHeight="1" x14ac:dyDescent="0.35">
      <c r="A97" s="8"/>
      <c r="B97" s="8"/>
      <c r="C97" s="7"/>
      <c r="D97" s="7"/>
      <c r="E97" s="8"/>
      <c r="F97" s="8"/>
      <c r="G97" s="8"/>
      <c r="H97" s="8"/>
      <c r="I97" s="8"/>
      <c r="J97" s="8"/>
      <c r="K97" s="8"/>
      <c r="L97" s="8"/>
      <c r="M97" s="8"/>
      <c r="N97" s="8"/>
      <c r="O97" s="10"/>
      <c r="P97" s="10"/>
      <c r="Q97" s="10"/>
      <c r="R97" s="10"/>
      <c r="S97" s="8"/>
      <c r="T97" s="8"/>
      <c r="U97" s="8"/>
      <c r="V97" s="10"/>
      <c r="W97" s="10"/>
      <c r="X97" s="10"/>
      <c r="Y97" s="10"/>
      <c r="Z97" s="8"/>
      <c r="AA97" s="8"/>
      <c r="AB97" s="8"/>
      <c r="AC97" s="10"/>
      <c r="AD97" s="10"/>
      <c r="AE97" s="10"/>
      <c r="AF97" s="10"/>
      <c r="AG97" s="8"/>
      <c r="AH97" s="8"/>
      <c r="AI97" s="8"/>
      <c r="AJ97" s="10"/>
      <c r="AK97" s="10"/>
      <c r="AL97" s="10"/>
      <c r="AM97" s="10"/>
    </row>
    <row r="98" spans="1:39" ht="14.25" customHeight="1" x14ac:dyDescent="0.35">
      <c r="A98" s="8"/>
      <c r="B98" s="8"/>
      <c r="C98" s="7"/>
      <c r="D98" s="7"/>
      <c r="E98" s="8"/>
      <c r="F98" s="8"/>
      <c r="G98" s="8"/>
      <c r="H98" s="8"/>
      <c r="I98" s="8"/>
      <c r="J98" s="8"/>
      <c r="K98" s="8"/>
      <c r="L98" s="8"/>
      <c r="M98" s="8"/>
      <c r="N98" s="8"/>
      <c r="O98" s="10"/>
      <c r="P98" s="10"/>
      <c r="Q98" s="10"/>
      <c r="R98" s="10"/>
      <c r="S98" s="8"/>
      <c r="T98" s="8"/>
      <c r="U98" s="8"/>
      <c r="V98" s="10"/>
      <c r="W98" s="10"/>
      <c r="X98" s="10"/>
      <c r="Y98" s="10"/>
      <c r="Z98" s="8"/>
      <c r="AA98" s="8"/>
      <c r="AB98" s="8"/>
      <c r="AC98" s="10"/>
      <c r="AD98" s="10"/>
      <c r="AE98" s="10"/>
      <c r="AF98" s="10"/>
      <c r="AG98" s="8"/>
      <c r="AH98" s="8"/>
      <c r="AI98" s="8"/>
      <c r="AJ98" s="10"/>
      <c r="AK98" s="10"/>
      <c r="AL98" s="10"/>
      <c r="AM98" s="10"/>
    </row>
    <row r="99" spans="1:39" ht="14.25" customHeight="1" x14ac:dyDescent="0.35">
      <c r="A99" s="8"/>
      <c r="B99" s="8"/>
      <c r="C99" s="7"/>
      <c r="D99" s="7"/>
      <c r="E99" s="8"/>
      <c r="F99" s="8"/>
      <c r="G99" s="8"/>
      <c r="H99" s="8"/>
      <c r="I99" s="8"/>
      <c r="J99" s="8"/>
      <c r="K99" s="8"/>
      <c r="L99" s="8"/>
      <c r="M99" s="8"/>
      <c r="N99" s="8"/>
      <c r="O99" s="10"/>
      <c r="P99" s="10"/>
      <c r="Q99" s="10"/>
      <c r="R99" s="10"/>
      <c r="S99" s="8"/>
      <c r="T99" s="8"/>
      <c r="U99" s="8"/>
      <c r="V99" s="10"/>
      <c r="W99" s="10"/>
      <c r="X99" s="10"/>
      <c r="Y99" s="10"/>
      <c r="Z99" s="8"/>
      <c r="AA99" s="8"/>
      <c r="AB99" s="8"/>
      <c r="AC99" s="10"/>
      <c r="AD99" s="10"/>
      <c r="AE99" s="10"/>
      <c r="AF99" s="10"/>
      <c r="AG99" s="8"/>
      <c r="AH99" s="8"/>
      <c r="AI99" s="8"/>
      <c r="AJ99" s="10"/>
      <c r="AK99" s="10"/>
      <c r="AL99" s="10"/>
      <c r="AM99" s="10"/>
    </row>
    <row r="100" spans="1:39" ht="14.25" customHeight="1" x14ac:dyDescent="0.35">
      <c r="A100" s="8"/>
      <c r="B100" s="8"/>
      <c r="C100" s="7"/>
      <c r="D100" s="7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10"/>
      <c r="P100" s="10"/>
      <c r="Q100" s="10"/>
      <c r="R100" s="10"/>
      <c r="S100" s="8"/>
      <c r="T100" s="8"/>
      <c r="U100" s="8"/>
      <c r="V100" s="10"/>
      <c r="W100" s="10"/>
      <c r="X100" s="10"/>
      <c r="Y100" s="10"/>
      <c r="Z100" s="8"/>
      <c r="AA100" s="8"/>
      <c r="AB100" s="8"/>
      <c r="AC100" s="10"/>
      <c r="AD100" s="10"/>
      <c r="AE100" s="10"/>
      <c r="AF100" s="10"/>
      <c r="AG100" s="8"/>
      <c r="AH100" s="8"/>
      <c r="AI100" s="8"/>
      <c r="AJ100" s="10"/>
      <c r="AK100" s="10"/>
      <c r="AL100" s="10"/>
      <c r="AM100" s="10"/>
    </row>
  </sheetData>
  <mergeCells count="41">
    <mergeCell ref="AE4:AF4"/>
    <mergeCell ref="AA3:AF3"/>
    <mergeCell ref="AH3:AM3"/>
    <mergeCell ref="AJ4:AK4"/>
    <mergeCell ref="AL4:AM4"/>
    <mergeCell ref="AC4:AD4"/>
    <mergeCell ref="G48:J48"/>
    <mergeCell ref="G49:J49"/>
    <mergeCell ref="B4:B5"/>
    <mergeCell ref="E4:E5"/>
    <mergeCell ref="F4:F5"/>
    <mergeCell ref="G4:H4"/>
    <mergeCell ref="I4:J4"/>
    <mergeCell ref="B46:F46"/>
    <mergeCell ref="B47:F47"/>
    <mergeCell ref="B48:F48"/>
    <mergeCell ref="B49:F49"/>
    <mergeCell ref="G46:J46"/>
    <mergeCell ref="G47:J47"/>
    <mergeCell ref="T3:Y3"/>
    <mergeCell ref="V4:W4"/>
    <mergeCell ref="X4:Y4"/>
    <mergeCell ref="O48:R48"/>
    <mergeCell ref="O46:R46"/>
    <mergeCell ref="M3:R3"/>
    <mergeCell ref="O4:P4"/>
    <mergeCell ref="Q4:R4"/>
    <mergeCell ref="O47:R47"/>
    <mergeCell ref="V48:Y48"/>
    <mergeCell ref="V49:Y49"/>
    <mergeCell ref="O49:R49"/>
    <mergeCell ref="AC46:AF46"/>
    <mergeCell ref="AJ46:AM46"/>
    <mergeCell ref="AC47:AF47"/>
    <mergeCell ref="AC48:AF48"/>
    <mergeCell ref="AC49:AF49"/>
    <mergeCell ref="AJ49:AM49"/>
    <mergeCell ref="V46:Y46"/>
    <mergeCell ref="V47:Y47"/>
    <mergeCell ref="AJ47:AM47"/>
    <mergeCell ref="AJ48:AM48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00"/>
  <sheetViews>
    <sheetView workbookViewId="0">
      <selection activeCell="C5" sqref="C5"/>
    </sheetView>
  </sheetViews>
  <sheetFormatPr defaultColWidth="14.453125" defaultRowHeight="15" customHeight="1" x14ac:dyDescent="0.35"/>
  <cols>
    <col min="1" max="1" width="3.81640625" customWidth="1"/>
    <col min="2" max="2" width="57.26953125" customWidth="1"/>
    <col min="3" max="4" width="19.26953125" customWidth="1"/>
    <col min="5" max="11" width="8.7265625" customWidth="1"/>
  </cols>
  <sheetData>
    <row r="1" spans="2:4" ht="14.25" customHeight="1" x14ac:dyDescent="0.35"/>
    <row r="2" spans="2:4" ht="14.25" customHeight="1" x14ac:dyDescent="0.35"/>
    <row r="3" spans="2:4" ht="14.25" customHeight="1" x14ac:dyDescent="0.35">
      <c r="B3" s="64" t="s">
        <v>0</v>
      </c>
      <c r="C3" s="62" t="s">
        <v>1</v>
      </c>
      <c r="D3" s="63"/>
    </row>
    <row r="4" spans="2:4" ht="14.25" customHeight="1" x14ac:dyDescent="0.35">
      <c r="B4" s="65"/>
      <c r="C4" s="1" t="s">
        <v>2</v>
      </c>
      <c r="D4" s="1" t="s">
        <v>3</v>
      </c>
    </row>
    <row r="5" spans="2:4" ht="14.25" customHeight="1" x14ac:dyDescent="0.35">
      <c r="B5" s="2" t="s">
        <v>4</v>
      </c>
      <c r="C5" s="3">
        <f>SUM('AUC Grand Total  Budget '!I6:I20)+SUM('AUC Grand Total  Budget '!I28:I33)</f>
        <v>1445517</v>
      </c>
      <c r="D5" s="3">
        <f>SUM('AUC Grand Total  Budget '!G6:G20)+SUM('AUC Grand Total  Budget '!G28:G33)</f>
        <v>2466250</v>
      </c>
    </row>
    <row r="6" spans="2:4" ht="14.25" customHeight="1" x14ac:dyDescent="0.35">
      <c r="B6" s="2" t="s">
        <v>5</v>
      </c>
      <c r="C6" s="3">
        <f>'AUC Grand Total  Budget '!I22</f>
        <v>84600</v>
      </c>
      <c r="D6" s="3">
        <f>'AUC Grand Total  Budget '!G22</f>
        <v>170100</v>
      </c>
    </row>
    <row r="7" spans="2:4" ht="14.25" customHeight="1" x14ac:dyDescent="0.35">
      <c r="B7" s="2" t="s">
        <v>6</v>
      </c>
      <c r="C7" s="3">
        <f>'AUC Grand Total  Budget '!I25</f>
        <v>155080.93055555556</v>
      </c>
      <c r="D7" s="3">
        <f>'AUC Grand Total  Budget '!G25</f>
        <v>215230.06944444444</v>
      </c>
    </row>
    <row r="8" spans="2:4" ht="14.25" customHeight="1" x14ac:dyDescent="0.35">
      <c r="B8" s="2" t="s">
        <v>7</v>
      </c>
      <c r="C8" s="3">
        <f>'AUC Grand Total  Budget '!I24</f>
        <v>336132</v>
      </c>
      <c r="D8" s="3">
        <f>'AUC Grand Total  Budget '!G24</f>
        <v>466131.33333333331</v>
      </c>
    </row>
    <row r="9" spans="2:4" ht="14.25" customHeight="1" x14ac:dyDescent="0.35">
      <c r="B9" s="2" t="s">
        <v>8</v>
      </c>
      <c r="C9" s="3">
        <f>'AUC Grand Total  Budget '!I26</f>
        <v>268267.38500000001</v>
      </c>
      <c r="D9" s="3">
        <f>'AUC Grand Total  Budget '!G26</f>
        <v>834838.30500000005</v>
      </c>
    </row>
    <row r="10" spans="2:4" ht="14.25" customHeight="1" x14ac:dyDescent="0.35">
      <c r="B10" s="2" t="s">
        <v>9</v>
      </c>
      <c r="C10" s="3">
        <f>'AUC Grand Total  Budget '!I35</f>
        <v>14610</v>
      </c>
      <c r="D10" s="3">
        <f>'AUC Grand Total  Budget '!G35</f>
        <v>20087</v>
      </c>
    </row>
    <row r="11" spans="2:4" ht="14.25" customHeight="1" x14ac:dyDescent="0.35">
      <c r="B11" s="4" t="s">
        <v>10</v>
      </c>
      <c r="C11" s="5">
        <f>'AUC Grand Total  Budget '!I40</f>
        <v>-2304207.3155555557</v>
      </c>
      <c r="D11" s="5">
        <f>'AUC Grand Total  Budget '!G40</f>
        <v>-4172636.7077777782</v>
      </c>
    </row>
    <row r="12" spans="2:4" ht="17.25" customHeight="1" x14ac:dyDescent="0.35">
      <c r="B12" s="1" t="s">
        <v>11</v>
      </c>
      <c r="C12" s="6">
        <f t="shared" ref="C12:D12" si="0">SUM(C5:C11)</f>
        <v>0</v>
      </c>
      <c r="D12" s="6">
        <f t="shared" si="0"/>
        <v>0</v>
      </c>
    </row>
    <row r="13" spans="2:4" ht="14.25" customHeight="1" x14ac:dyDescent="0.35">
      <c r="B13" s="7"/>
      <c r="C13" s="7"/>
      <c r="D13" s="7"/>
    </row>
    <row r="14" spans="2:4" ht="14.25" customHeight="1" x14ac:dyDescent="0.35">
      <c r="B14" s="7"/>
      <c r="C14" s="7"/>
      <c r="D14" s="7"/>
    </row>
    <row r="15" spans="2:4" ht="14.25" customHeight="1" x14ac:dyDescent="0.35">
      <c r="B15" s="7"/>
      <c r="C15" s="7"/>
      <c r="D15" s="7"/>
    </row>
    <row r="16" spans="2:4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</sheetData>
  <mergeCells count="2">
    <mergeCell ref="C3:D3"/>
    <mergeCell ref="B3:B4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"/>
  <sheetViews>
    <sheetView workbookViewId="0">
      <selection activeCell="E28" sqref="E28"/>
    </sheetView>
  </sheetViews>
  <sheetFormatPr defaultColWidth="14.453125" defaultRowHeight="15" customHeight="1" x14ac:dyDescent="0.35"/>
  <cols>
    <col min="1" max="1" width="31.7265625" customWidth="1"/>
    <col min="2" max="3" width="15.7265625" customWidth="1"/>
    <col min="4" max="5" width="9.1796875" customWidth="1"/>
    <col min="6" max="7" width="15.7265625" customWidth="1"/>
    <col min="8" max="8" width="6.26953125" customWidth="1"/>
    <col min="9" max="10" width="15.7265625" customWidth="1"/>
    <col min="11" max="11" width="7.54296875" customWidth="1"/>
    <col min="12" max="13" width="15.7265625" customWidth="1"/>
    <col min="14" max="14" width="7" customWidth="1"/>
    <col min="15" max="16" width="15.7265625" customWidth="1"/>
  </cols>
  <sheetData>
    <row r="1" spans="1:16" ht="14.25" customHeight="1" x14ac:dyDescent="0.3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14.25" customHeight="1" x14ac:dyDescent="0.35">
      <c r="A2" s="8"/>
      <c r="B2" s="8"/>
      <c r="C2" s="8"/>
      <c r="D2" s="8"/>
      <c r="E2" s="8"/>
      <c r="F2" s="68" t="s">
        <v>12</v>
      </c>
      <c r="G2" s="69"/>
      <c r="H2" s="8"/>
      <c r="I2" s="68" t="s">
        <v>13</v>
      </c>
      <c r="J2" s="69"/>
      <c r="K2" s="8"/>
      <c r="L2" s="68" t="s">
        <v>14</v>
      </c>
      <c r="M2" s="69"/>
      <c r="N2" s="8"/>
      <c r="O2" s="68" t="s">
        <v>15</v>
      </c>
      <c r="P2" s="69"/>
    </row>
    <row r="3" spans="1:16" ht="16.5" customHeight="1" x14ac:dyDescent="0.35">
      <c r="A3" s="8"/>
      <c r="B3" s="8"/>
      <c r="C3" s="8"/>
      <c r="D3" s="8"/>
      <c r="E3" s="8"/>
      <c r="F3" s="12" t="s">
        <v>17</v>
      </c>
      <c r="G3" s="13" t="s">
        <v>18</v>
      </c>
      <c r="H3" s="8"/>
      <c r="I3" s="12" t="s">
        <v>17</v>
      </c>
      <c r="J3" s="13" t="s">
        <v>18</v>
      </c>
      <c r="K3" s="8"/>
      <c r="L3" s="12" t="s">
        <v>17</v>
      </c>
      <c r="M3" s="13" t="s">
        <v>18</v>
      </c>
      <c r="N3" s="8"/>
      <c r="O3" s="12" t="s">
        <v>17</v>
      </c>
      <c r="P3" s="13" t="s">
        <v>18</v>
      </c>
    </row>
    <row r="4" spans="1:16" ht="30" customHeight="1" x14ac:dyDescent="0.35">
      <c r="A4" s="36" t="s">
        <v>62</v>
      </c>
      <c r="B4" s="37" t="s">
        <v>20</v>
      </c>
      <c r="C4" s="37" t="s">
        <v>2</v>
      </c>
      <c r="D4" s="8"/>
      <c r="E4" s="8"/>
      <c r="F4" s="12" t="s">
        <v>21</v>
      </c>
      <c r="G4" s="12" t="s">
        <v>21</v>
      </c>
      <c r="H4" s="8"/>
      <c r="I4" s="12" t="s">
        <v>21</v>
      </c>
      <c r="J4" s="12" t="s">
        <v>21</v>
      </c>
      <c r="K4" s="8"/>
      <c r="L4" s="12" t="s">
        <v>21</v>
      </c>
      <c r="M4" s="12" t="s">
        <v>21</v>
      </c>
      <c r="N4" s="8"/>
      <c r="O4" s="12" t="s">
        <v>21</v>
      </c>
      <c r="P4" s="12" t="s">
        <v>21</v>
      </c>
    </row>
    <row r="5" spans="1:16" ht="14.25" customHeight="1" x14ac:dyDescent="0.35">
      <c r="A5" s="16" t="s">
        <v>25</v>
      </c>
      <c r="B5" s="38">
        <f t="shared" ref="B5:C5" si="0">F5+I5+L5+O5</f>
        <v>1</v>
      </c>
      <c r="C5" s="38">
        <f t="shared" si="0"/>
        <v>1</v>
      </c>
      <c r="D5" s="10">
        <f t="shared" ref="D5:E5" si="1">(F5+I5+L5+O5)-B5</f>
        <v>0</v>
      </c>
      <c r="E5" s="10">
        <f t="shared" si="1"/>
        <v>0</v>
      </c>
      <c r="F5" s="7">
        <v>0.75</v>
      </c>
      <c r="G5" s="7">
        <v>0.75</v>
      </c>
      <c r="H5" s="8"/>
      <c r="I5" s="10">
        <v>0.25</v>
      </c>
      <c r="J5" s="10">
        <v>0.25</v>
      </c>
      <c r="K5" s="39"/>
      <c r="L5" s="8"/>
      <c r="M5" s="8"/>
      <c r="N5" s="39"/>
      <c r="O5" s="8"/>
      <c r="P5" s="8"/>
    </row>
    <row r="6" spans="1:16" ht="14.25" customHeight="1" x14ac:dyDescent="0.35">
      <c r="A6" s="16" t="s">
        <v>26</v>
      </c>
      <c r="B6" s="38">
        <f t="shared" ref="B6:C6" si="2">F6+I6+L6+O6</f>
        <v>5</v>
      </c>
      <c r="C6" s="38">
        <f t="shared" si="2"/>
        <v>5</v>
      </c>
      <c r="D6" s="10">
        <f t="shared" ref="D6:E6" si="3">(F6+I6+L6+O6)-B6</f>
        <v>0</v>
      </c>
      <c r="E6" s="10">
        <f t="shared" si="3"/>
        <v>0</v>
      </c>
      <c r="F6" s="7">
        <v>3</v>
      </c>
      <c r="G6" s="7">
        <v>3</v>
      </c>
      <c r="H6" s="8"/>
      <c r="I6" s="10">
        <v>2</v>
      </c>
      <c r="J6" s="10">
        <v>2</v>
      </c>
      <c r="K6" s="39"/>
      <c r="L6" s="8"/>
      <c r="M6" s="8"/>
      <c r="N6" s="39"/>
      <c r="O6" s="8"/>
      <c r="P6" s="8"/>
    </row>
    <row r="7" spans="1:16" ht="14.25" customHeight="1" x14ac:dyDescent="0.35">
      <c r="A7" s="16" t="s">
        <v>27</v>
      </c>
      <c r="B7" s="38">
        <f t="shared" ref="B7:C7" si="4">F7+I7+L7+O7</f>
        <v>5</v>
      </c>
      <c r="C7" s="38">
        <f t="shared" si="4"/>
        <v>5</v>
      </c>
      <c r="D7" s="10">
        <f t="shared" ref="D7:E7" si="5">(F7+I7+L7+O7)-B7</f>
        <v>0</v>
      </c>
      <c r="E7" s="10">
        <f t="shared" si="5"/>
        <v>0</v>
      </c>
      <c r="F7" s="7">
        <v>3</v>
      </c>
      <c r="G7" s="7">
        <v>3</v>
      </c>
      <c r="H7" s="8"/>
      <c r="I7" s="10">
        <v>2</v>
      </c>
      <c r="J7" s="10">
        <v>2</v>
      </c>
      <c r="K7" s="39"/>
      <c r="L7" s="8"/>
      <c r="M7" s="8"/>
      <c r="N7" s="39"/>
      <c r="O7" s="8"/>
      <c r="P7" s="8"/>
    </row>
    <row r="8" spans="1:16" ht="14.25" customHeight="1" x14ac:dyDescent="0.35">
      <c r="A8" s="18" t="s">
        <v>28</v>
      </c>
      <c r="B8" s="38">
        <f t="shared" ref="B8:C8" si="6">F8+I8+L8+O8</f>
        <v>28</v>
      </c>
      <c r="C8" s="38">
        <f t="shared" si="6"/>
        <v>14</v>
      </c>
      <c r="D8" s="10">
        <f t="shared" ref="D8:E8" si="7">(F8+I8+L8+O8)-B8</f>
        <v>0</v>
      </c>
      <c r="E8" s="10">
        <f t="shared" si="7"/>
        <v>0</v>
      </c>
      <c r="F8" s="7">
        <v>21</v>
      </c>
      <c r="G8" s="7">
        <v>11</v>
      </c>
      <c r="H8" s="8"/>
      <c r="I8" s="10">
        <v>7</v>
      </c>
      <c r="J8" s="10">
        <v>3</v>
      </c>
      <c r="K8" s="39"/>
      <c r="L8" s="8"/>
      <c r="M8" s="8"/>
      <c r="N8" s="39"/>
      <c r="O8" s="8"/>
      <c r="P8" s="8"/>
    </row>
    <row r="9" spans="1:16" ht="14.25" customHeight="1" x14ac:dyDescent="0.35">
      <c r="A9" s="16" t="s">
        <v>29</v>
      </c>
      <c r="B9" s="38">
        <f t="shared" ref="B9:C9" si="8">F9+I9+L9+O9</f>
        <v>282</v>
      </c>
      <c r="C9" s="38">
        <f t="shared" si="8"/>
        <v>134</v>
      </c>
      <c r="D9" s="10">
        <f t="shared" ref="D9:E9" si="9">(F9+I9+L9+O9)-B9</f>
        <v>0</v>
      </c>
      <c r="E9" s="10">
        <f t="shared" si="9"/>
        <v>0</v>
      </c>
      <c r="F9" s="7">
        <v>199</v>
      </c>
      <c r="G9" s="7">
        <v>95</v>
      </c>
      <c r="H9" s="8"/>
      <c r="I9" s="10">
        <v>79</v>
      </c>
      <c r="J9" s="10">
        <v>35</v>
      </c>
      <c r="K9" s="39"/>
      <c r="L9" s="8">
        <v>3</v>
      </c>
      <c r="M9" s="8">
        <v>3</v>
      </c>
      <c r="N9" s="39"/>
      <c r="O9" s="8">
        <v>1</v>
      </c>
      <c r="P9" s="8">
        <v>1</v>
      </c>
    </row>
    <row r="10" spans="1:16" ht="14.25" customHeight="1" x14ac:dyDescent="0.35">
      <c r="A10" s="16" t="s">
        <v>30</v>
      </c>
      <c r="B10" s="38">
        <f t="shared" ref="B10:C10" si="10">F10+I10+L10+O10</f>
        <v>1</v>
      </c>
      <c r="C10" s="38">
        <f t="shared" si="10"/>
        <v>1</v>
      </c>
      <c r="D10" s="10">
        <f t="shared" ref="D10:E10" si="11">(F10+I10+L10+O10)-B10</f>
        <v>0</v>
      </c>
      <c r="E10" s="10">
        <f t="shared" si="11"/>
        <v>0</v>
      </c>
      <c r="F10" s="7">
        <v>0.75</v>
      </c>
      <c r="G10" s="7">
        <v>0.75</v>
      </c>
      <c r="H10" s="8"/>
      <c r="I10" s="10">
        <v>0.25</v>
      </c>
      <c r="J10" s="10">
        <v>0.25</v>
      </c>
      <c r="K10" s="39"/>
      <c r="L10" s="8"/>
      <c r="M10" s="8"/>
      <c r="N10" s="39"/>
      <c r="O10" s="8"/>
      <c r="P10" s="8"/>
    </row>
    <row r="11" spans="1:16" ht="14.25" customHeight="1" x14ac:dyDescent="0.35">
      <c r="A11" s="16" t="s">
        <v>31</v>
      </c>
      <c r="B11" s="38">
        <f t="shared" ref="B11:C11" si="12">F11+I11+L11+O11</f>
        <v>4</v>
      </c>
      <c r="C11" s="38">
        <f t="shared" si="12"/>
        <v>4</v>
      </c>
      <c r="D11" s="10">
        <f t="shared" ref="D11:E11" si="13">(F11+I11+L11+O11)-B11</f>
        <v>0</v>
      </c>
      <c r="E11" s="10">
        <f t="shared" si="13"/>
        <v>0</v>
      </c>
      <c r="F11" s="7">
        <v>3</v>
      </c>
      <c r="G11" s="7">
        <v>3</v>
      </c>
      <c r="H11" s="8"/>
      <c r="I11" s="10">
        <v>1</v>
      </c>
      <c r="J11" s="10">
        <v>1</v>
      </c>
      <c r="K11" s="39"/>
      <c r="L11" s="8"/>
      <c r="M11" s="8"/>
      <c r="N11" s="39"/>
      <c r="O11" s="8"/>
      <c r="P11" s="8"/>
    </row>
    <row r="12" spans="1:16" ht="14.25" customHeight="1" x14ac:dyDescent="0.35">
      <c r="A12" s="16" t="s">
        <v>32</v>
      </c>
      <c r="B12" s="38">
        <f t="shared" ref="B12:C12" si="14">F12+I12+L12+O12</f>
        <v>3</v>
      </c>
      <c r="C12" s="38">
        <f t="shared" si="14"/>
        <v>3</v>
      </c>
      <c r="D12" s="10">
        <f t="shared" ref="D12:E12" si="15">(F12+I12+L12+O12)-B12</f>
        <v>0</v>
      </c>
      <c r="E12" s="10">
        <f t="shared" si="15"/>
        <v>0</v>
      </c>
      <c r="F12" s="7">
        <v>2</v>
      </c>
      <c r="G12" s="7">
        <v>2</v>
      </c>
      <c r="H12" s="8"/>
      <c r="I12" s="10">
        <v>1</v>
      </c>
      <c r="J12" s="10">
        <v>1</v>
      </c>
      <c r="K12" s="39"/>
      <c r="L12" s="8"/>
      <c r="M12" s="8"/>
      <c r="N12" s="39"/>
      <c r="O12" s="8"/>
      <c r="P12" s="8"/>
    </row>
    <row r="13" spans="1:16" ht="14.25" customHeight="1" x14ac:dyDescent="0.35">
      <c r="A13" s="16" t="s">
        <v>33</v>
      </c>
      <c r="B13" s="38">
        <f t="shared" ref="B13:C13" si="16">F13+I13+L13+O13</f>
        <v>12</v>
      </c>
      <c r="C13" s="38">
        <f t="shared" si="16"/>
        <v>8</v>
      </c>
      <c r="D13" s="10">
        <f t="shared" ref="D13:E13" si="17">(F13+I13+L13+O13)-B13</f>
        <v>0</v>
      </c>
      <c r="E13" s="10">
        <f t="shared" si="17"/>
        <v>0</v>
      </c>
      <c r="F13" s="7">
        <v>8</v>
      </c>
      <c r="G13" s="7">
        <v>6</v>
      </c>
      <c r="H13" s="8"/>
      <c r="I13" s="10">
        <v>4</v>
      </c>
      <c r="J13" s="10">
        <v>2</v>
      </c>
      <c r="K13" s="39"/>
      <c r="L13" s="8"/>
      <c r="M13" s="8"/>
      <c r="N13" s="39"/>
      <c r="O13" s="8"/>
      <c r="P13" s="8"/>
    </row>
    <row r="14" spans="1:16" ht="14.25" customHeight="1" x14ac:dyDescent="0.35">
      <c r="A14" s="16" t="s">
        <v>34</v>
      </c>
      <c r="B14" s="38">
        <f t="shared" ref="B14:C14" si="18">F14+I14+L14+O14</f>
        <v>2</v>
      </c>
      <c r="C14" s="38">
        <f t="shared" si="18"/>
        <v>2</v>
      </c>
      <c r="D14" s="10">
        <f t="shared" ref="D14:E14" si="19">(F14+I14+L14+O14)-B14</f>
        <v>0</v>
      </c>
      <c r="E14" s="10">
        <f t="shared" si="19"/>
        <v>0</v>
      </c>
      <c r="F14" s="7">
        <v>1</v>
      </c>
      <c r="G14" s="7">
        <v>1</v>
      </c>
      <c r="H14" s="8"/>
      <c r="I14" s="10">
        <v>1</v>
      </c>
      <c r="J14" s="10">
        <v>1</v>
      </c>
      <c r="K14" s="39"/>
      <c r="L14" s="8"/>
      <c r="M14" s="8"/>
      <c r="N14" s="39"/>
      <c r="O14" s="8"/>
      <c r="P14" s="8"/>
    </row>
    <row r="15" spans="1:16" ht="14.25" customHeight="1" x14ac:dyDescent="0.35">
      <c r="A15" s="16" t="s">
        <v>35</v>
      </c>
      <c r="B15" s="38">
        <f t="shared" ref="B15:C15" si="20">F15+I15+L15+O15</f>
        <v>2</v>
      </c>
      <c r="C15" s="38">
        <f t="shared" si="20"/>
        <v>2</v>
      </c>
      <c r="D15" s="10">
        <f t="shared" ref="D15:E15" si="21">(F15+I15+L15+O15)-B15</f>
        <v>0</v>
      </c>
      <c r="E15" s="10">
        <f t="shared" si="21"/>
        <v>0</v>
      </c>
      <c r="F15" s="7">
        <v>1</v>
      </c>
      <c r="G15" s="7">
        <v>1</v>
      </c>
      <c r="H15" s="8"/>
      <c r="I15" s="10">
        <v>1</v>
      </c>
      <c r="J15" s="10">
        <v>1</v>
      </c>
      <c r="K15" s="39"/>
      <c r="L15" s="8"/>
      <c r="M15" s="8"/>
      <c r="N15" s="39"/>
      <c r="O15" s="8"/>
      <c r="P15" s="8"/>
    </row>
    <row r="16" spans="1:16" ht="14.25" customHeight="1" x14ac:dyDescent="0.35">
      <c r="A16" s="16" t="s">
        <v>36</v>
      </c>
      <c r="B16" s="38">
        <f t="shared" ref="B16:C16" si="22">F16+I16+L16+O16</f>
        <v>6</v>
      </c>
      <c r="C16" s="38">
        <f t="shared" si="22"/>
        <v>6</v>
      </c>
      <c r="D16" s="10">
        <f t="shared" ref="D16:E16" si="23">(F16+I16+L16+O16)-B16</f>
        <v>0</v>
      </c>
      <c r="E16" s="10">
        <f t="shared" si="23"/>
        <v>0</v>
      </c>
      <c r="F16" s="7">
        <v>4</v>
      </c>
      <c r="G16" s="7">
        <v>4</v>
      </c>
      <c r="H16" s="8"/>
      <c r="I16" s="10">
        <v>2</v>
      </c>
      <c r="J16" s="10">
        <v>2</v>
      </c>
      <c r="K16" s="8"/>
      <c r="L16" s="8"/>
      <c r="M16" s="8"/>
      <c r="N16" s="8"/>
      <c r="O16" s="8"/>
      <c r="P16" s="8"/>
    </row>
    <row r="17" spans="1:16" ht="14.25" customHeight="1" x14ac:dyDescent="0.35">
      <c r="A17" s="18" t="s">
        <v>37</v>
      </c>
      <c r="B17" s="38">
        <f t="shared" ref="B17:C17" si="24">F17+I17+L17+O17</f>
        <v>1</v>
      </c>
      <c r="C17" s="38">
        <f t="shared" si="24"/>
        <v>1</v>
      </c>
      <c r="D17" s="10">
        <f t="shared" ref="D17:E17" si="25">(F17+I17+L17+O17)-B17</f>
        <v>0</v>
      </c>
      <c r="E17" s="10">
        <f t="shared" si="25"/>
        <v>0</v>
      </c>
      <c r="F17" s="7">
        <v>0.75</v>
      </c>
      <c r="G17" s="7">
        <v>0.75</v>
      </c>
      <c r="H17" s="8"/>
      <c r="I17" s="10">
        <v>0.25</v>
      </c>
      <c r="J17" s="10">
        <v>0.25</v>
      </c>
      <c r="K17" s="8"/>
      <c r="L17" s="8"/>
      <c r="M17" s="8"/>
      <c r="N17" s="8"/>
      <c r="O17" s="8"/>
      <c r="P17" s="8"/>
    </row>
    <row r="18" spans="1:16" ht="14.25" customHeight="1" x14ac:dyDescent="0.35">
      <c r="A18" s="20" t="s">
        <v>38</v>
      </c>
      <c r="B18" s="38">
        <f t="shared" ref="B18:C18" si="26">F18+I18+L18+O18</f>
        <v>3.0000000000000004</v>
      </c>
      <c r="C18" s="38">
        <f t="shared" si="26"/>
        <v>2</v>
      </c>
      <c r="D18" s="10">
        <f t="shared" ref="D18:E18" si="27">(F18+I18+L18+O18)-B18</f>
        <v>0</v>
      </c>
      <c r="E18" s="10">
        <f t="shared" si="27"/>
        <v>0</v>
      </c>
      <c r="F18" s="7">
        <v>2.0000000000000004</v>
      </c>
      <c r="G18" s="7">
        <v>0.99999999999999989</v>
      </c>
      <c r="H18" s="8"/>
      <c r="I18" s="10">
        <v>0.99999999999999989</v>
      </c>
      <c r="J18" s="10">
        <v>1</v>
      </c>
      <c r="K18" s="8"/>
      <c r="L18" s="8"/>
      <c r="M18" s="8"/>
      <c r="N18" s="8"/>
      <c r="O18" s="8"/>
      <c r="P18" s="8"/>
    </row>
    <row r="19" spans="1:16" ht="14.25" customHeight="1" x14ac:dyDescent="0.35">
      <c r="A19" s="20" t="s">
        <v>39</v>
      </c>
      <c r="B19" s="38">
        <f t="shared" ref="B19:C19" si="28">F19+I19+L19+O19</f>
        <v>23</v>
      </c>
      <c r="C19" s="38">
        <f t="shared" si="28"/>
        <v>0</v>
      </c>
      <c r="D19" s="10">
        <f t="shared" ref="D19:E19" si="29">(F19+I19+L19+O19)-B19</f>
        <v>0</v>
      </c>
      <c r="E19" s="10">
        <f t="shared" si="29"/>
        <v>0</v>
      </c>
      <c r="F19" s="7">
        <v>15.999999999999998</v>
      </c>
      <c r="G19" s="7">
        <v>0</v>
      </c>
      <c r="H19" s="8"/>
      <c r="I19" s="10">
        <v>7</v>
      </c>
      <c r="J19" s="10">
        <v>0</v>
      </c>
      <c r="K19" s="8"/>
      <c r="L19" s="8"/>
      <c r="M19" s="8"/>
      <c r="N19" s="8"/>
      <c r="O19" s="8"/>
      <c r="P19" s="8"/>
    </row>
    <row r="20" spans="1:16" ht="14.25" customHeight="1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1:16" ht="14.25" customHeight="1" x14ac:dyDescent="0.35">
      <c r="A21" s="8"/>
      <c r="B21" s="9">
        <f t="shared" ref="B21:C21" si="30">SUM(B5:B17)</f>
        <v>352</v>
      </c>
      <c r="C21" s="9">
        <f t="shared" si="30"/>
        <v>186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16" ht="14.25" customHeight="1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16" ht="14.25" customHeight="1" x14ac:dyDescent="0.3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spans="1:16" ht="14.25" customHeight="1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16" ht="14.25" customHeight="1" x14ac:dyDescent="0.3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1:16" ht="14.25" customHeight="1" x14ac:dyDescent="0.3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spans="1:16" ht="14.25" customHeight="1" x14ac:dyDescent="0.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1:16" ht="14.25" customHeight="1" x14ac:dyDescent="0.3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1:16" ht="14.25" customHeight="1" x14ac:dyDescent="0.3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16" ht="14.25" customHeight="1" x14ac:dyDescent="0.3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16" ht="14.25" customHeight="1" x14ac:dyDescent="0.3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16" ht="14.25" customHeight="1" x14ac:dyDescent="0.3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 ht="14.25" customHeight="1" x14ac:dyDescent="0.3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1:16" ht="14.25" customHeight="1" x14ac:dyDescent="0.3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 ht="14.25" customHeight="1" x14ac:dyDescent="0.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 ht="14.25" customHeight="1" x14ac:dyDescent="0.3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1:16" ht="14.25" customHeight="1" x14ac:dyDescent="0.3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1:16" ht="14.25" customHeight="1" x14ac:dyDescent="0.3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 ht="14.25" customHeight="1" x14ac:dyDescent="0.3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 ht="14.25" customHeight="1" x14ac:dyDescent="0.3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 ht="14.25" customHeight="1" x14ac:dyDescent="0.3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1:16" ht="14.25" customHeight="1" x14ac:dyDescent="0.3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spans="1:16" ht="14.25" customHeight="1" x14ac:dyDescent="0.3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 spans="1:16" ht="14.25" customHeight="1" x14ac:dyDescent="0.3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 spans="1:16" ht="14.25" customHeight="1" x14ac:dyDescent="0.3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 spans="1:16" ht="14.25" customHeight="1" x14ac:dyDescent="0.3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 spans="1:16" ht="14.25" customHeight="1" x14ac:dyDescent="0.3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spans="1:16" ht="14.25" customHeight="1" x14ac:dyDescent="0.3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 spans="1:16" ht="14.25" customHeight="1" x14ac:dyDescent="0.3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 spans="1:16" ht="14.25" customHeight="1" x14ac:dyDescent="0.3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 spans="1:16" ht="14.25" customHeight="1" x14ac:dyDescent="0.3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 spans="1:16" ht="14.25" customHeight="1" x14ac:dyDescent="0.3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</row>
    <row r="53" spans="1:16" ht="14.25" customHeight="1" x14ac:dyDescent="0.3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 spans="1:16" ht="14.25" customHeight="1" x14ac:dyDescent="0.3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 spans="1:16" ht="14.25" customHeight="1" x14ac:dyDescent="0.3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 spans="1:16" ht="14.25" customHeight="1" x14ac:dyDescent="0.3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 spans="1:16" ht="14.25" customHeight="1" x14ac:dyDescent="0.3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 ht="14.25" customHeight="1" x14ac:dyDescent="0.3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 spans="1:16" ht="14.25" customHeight="1" x14ac:dyDescent="0.3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 spans="1:16" ht="14.25" customHeight="1" x14ac:dyDescent="0.3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 spans="1:16" ht="14.25" customHeight="1" x14ac:dyDescent="0.3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 spans="1:16" ht="14.25" customHeight="1" x14ac:dyDescent="0.3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 spans="1:16" ht="14.25" customHeight="1" x14ac:dyDescent="0.3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 spans="1:16" ht="14.25" customHeight="1" x14ac:dyDescent="0.3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 spans="1:16" ht="14.25" customHeight="1" x14ac:dyDescent="0.3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 spans="1:16" ht="14.25" customHeight="1" x14ac:dyDescent="0.3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 spans="1:16" ht="14.25" customHeight="1" x14ac:dyDescent="0.3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 spans="1:16" ht="14.25" customHeight="1" x14ac:dyDescent="0.3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 spans="1:16" ht="14.25" customHeight="1" x14ac:dyDescent="0.3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 spans="1:16" ht="14.25" customHeight="1" x14ac:dyDescent="0.3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 spans="1:16" ht="14.25" customHeight="1" x14ac:dyDescent="0.3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 spans="1:16" ht="14.25" customHeight="1" x14ac:dyDescent="0.3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 spans="1:16" ht="14.25" customHeight="1" x14ac:dyDescent="0.3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 spans="1:16" ht="14.25" customHeight="1" x14ac:dyDescent="0.3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 spans="1:16" ht="14.25" customHeight="1" x14ac:dyDescent="0.3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 spans="1:16" ht="14.25" customHeight="1" x14ac:dyDescent="0.3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 spans="1:16" ht="14.25" customHeight="1" x14ac:dyDescent="0.3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 spans="1:16" ht="14.25" customHeight="1" x14ac:dyDescent="0.3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 spans="1:16" ht="14.25" customHeight="1" x14ac:dyDescent="0.3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 spans="1:16" ht="14.25" customHeight="1" x14ac:dyDescent="0.3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 spans="1:16" ht="14.25" customHeight="1" x14ac:dyDescent="0.3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 spans="1:16" ht="14.25" customHeight="1" x14ac:dyDescent="0.3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 spans="1:16" ht="14.25" customHeight="1" x14ac:dyDescent="0.3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 spans="1:16" ht="14.25" customHeight="1" x14ac:dyDescent="0.3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 spans="1:16" ht="14.25" customHeight="1" x14ac:dyDescent="0.3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 spans="1:16" ht="14.25" customHeight="1" x14ac:dyDescent="0.3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 spans="1:16" ht="14.25" customHeight="1" x14ac:dyDescent="0.3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</row>
    <row r="88" spans="1:16" ht="14.25" customHeight="1" x14ac:dyDescent="0.3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 spans="1:16" ht="14.25" customHeight="1" x14ac:dyDescent="0.3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 spans="1:16" ht="14.25" customHeight="1" x14ac:dyDescent="0.3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</row>
    <row r="91" spans="1:16" ht="14.25" customHeight="1" x14ac:dyDescent="0.3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</row>
    <row r="92" spans="1:16" ht="14.25" customHeight="1" x14ac:dyDescent="0.3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 spans="1:16" ht="14.25" customHeight="1" x14ac:dyDescent="0.3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</row>
    <row r="94" spans="1:16" ht="14.25" customHeight="1" x14ac:dyDescent="0.3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</row>
    <row r="95" spans="1:16" ht="14.25" customHeight="1" x14ac:dyDescent="0.3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</row>
    <row r="96" spans="1:16" ht="14.25" customHeight="1" x14ac:dyDescent="0.3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</row>
    <row r="97" spans="1:16" ht="14.25" customHeight="1" x14ac:dyDescent="0.3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 spans="1:16" ht="14.25" customHeight="1" x14ac:dyDescent="0.3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</row>
    <row r="99" spans="1:16" ht="14.25" customHeight="1" x14ac:dyDescent="0.3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</row>
    <row r="100" spans="1:16" ht="14.25" customHeight="1" x14ac:dyDescent="0.3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</row>
  </sheetData>
  <mergeCells count="4">
    <mergeCell ref="F2:G2"/>
    <mergeCell ref="I2:J2"/>
    <mergeCell ref="L2:M2"/>
    <mergeCell ref="O2:P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100"/>
  <sheetViews>
    <sheetView workbookViewId="0">
      <pane ySplit="5" topLeftCell="A6" activePane="bottomLeft" state="frozen"/>
      <selection pane="bottomLeft" activeCell="G26" sqref="G26"/>
    </sheetView>
  </sheetViews>
  <sheetFormatPr defaultColWidth="14.453125" defaultRowHeight="15" customHeight="1" x14ac:dyDescent="0.35"/>
  <cols>
    <col min="1" max="1" width="9.1796875" customWidth="1"/>
    <col min="2" max="2" width="39.54296875" customWidth="1"/>
    <col min="3" max="4" width="9.1796875" customWidth="1"/>
    <col min="5" max="10" width="15.7265625" customWidth="1"/>
    <col min="11" max="12" width="21.1796875" customWidth="1"/>
    <col min="13" max="14" width="9.1796875" customWidth="1"/>
    <col min="15" max="15" width="18.81640625" customWidth="1"/>
    <col min="16" max="16" width="20.26953125" customWidth="1"/>
    <col min="17" max="18" width="18.54296875" customWidth="1"/>
    <col min="19" max="21" width="9.1796875" customWidth="1"/>
    <col min="22" max="22" width="18.1796875" customWidth="1"/>
    <col min="23" max="23" width="18.54296875" customWidth="1"/>
    <col min="24" max="24" width="16" customWidth="1"/>
    <col min="25" max="25" width="18.81640625" customWidth="1"/>
    <col min="26" max="28" width="9.1796875" customWidth="1"/>
    <col min="29" max="32" width="15.7265625" customWidth="1"/>
    <col min="33" max="35" width="9.1796875" customWidth="1"/>
    <col min="36" max="39" width="15.7265625" customWidth="1"/>
  </cols>
  <sheetData>
    <row r="1" spans="1:39" ht="15.5" x14ac:dyDescent="0.35">
      <c r="A1" s="8"/>
      <c r="B1" s="8"/>
      <c r="C1" s="7"/>
      <c r="D1" s="7"/>
      <c r="E1" s="8"/>
      <c r="F1" s="8"/>
      <c r="G1" s="8"/>
      <c r="H1" s="8"/>
      <c r="I1" s="8"/>
      <c r="J1" s="8"/>
      <c r="K1" s="40"/>
      <c r="L1" s="40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</row>
    <row r="2" spans="1:39" ht="15.5" x14ac:dyDescent="0.35">
      <c r="A2" s="8"/>
      <c r="B2" s="8"/>
      <c r="C2" s="7"/>
      <c r="D2" s="7"/>
      <c r="E2" s="8"/>
      <c r="F2" s="8"/>
      <c r="G2" s="8"/>
      <c r="H2" s="8"/>
      <c r="I2" s="8"/>
      <c r="J2" s="8"/>
      <c r="K2" s="40"/>
      <c r="L2" s="40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</row>
    <row r="3" spans="1:39" ht="16.5" customHeight="1" x14ac:dyDescent="0.35">
      <c r="A3" s="8"/>
      <c r="B3" s="8"/>
      <c r="C3" s="7"/>
      <c r="D3" s="7"/>
      <c r="E3" s="8"/>
      <c r="F3" s="8"/>
      <c r="G3" s="8"/>
      <c r="H3" s="8"/>
      <c r="I3" s="8"/>
      <c r="J3" s="8"/>
      <c r="K3" s="40"/>
      <c r="L3" s="40"/>
      <c r="M3" s="68" t="s">
        <v>12</v>
      </c>
      <c r="N3" s="69"/>
      <c r="O3" s="69"/>
      <c r="P3" s="69"/>
      <c r="Q3" s="69"/>
      <c r="R3" s="69"/>
      <c r="S3" s="8"/>
      <c r="T3" s="68" t="s">
        <v>13</v>
      </c>
      <c r="U3" s="69"/>
      <c r="V3" s="69"/>
      <c r="W3" s="69"/>
      <c r="X3" s="69"/>
      <c r="Y3" s="69"/>
      <c r="Z3" s="8"/>
      <c r="AA3" s="68" t="s">
        <v>14</v>
      </c>
      <c r="AB3" s="69"/>
      <c r="AC3" s="69"/>
      <c r="AD3" s="69"/>
      <c r="AE3" s="69"/>
      <c r="AF3" s="69"/>
      <c r="AG3" s="8"/>
      <c r="AH3" s="68" t="s">
        <v>15</v>
      </c>
      <c r="AI3" s="69"/>
      <c r="AJ3" s="69"/>
      <c r="AK3" s="69"/>
      <c r="AL3" s="69"/>
      <c r="AM3" s="69"/>
    </row>
    <row r="4" spans="1:39" ht="30" customHeight="1" x14ac:dyDescent="0.35">
      <c r="A4" s="8"/>
      <c r="B4" s="72" t="s">
        <v>62</v>
      </c>
      <c r="C4" s="12" t="s">
        <v>17</v>
      </c>
      <c r="D4" s="13" t="s">
        <v>18</v>
      </c>
      <c r="E4" s="78" t="s">
        <v>63</v>
      </c>
      <c r="F4" s="76" t="s">
        <v>64</v>
      </c>
      <c r="G4" s="70" t="s">
        <v>20</v>
      </c>
      <c r="H4" s="71"/>
      <c r="I4" s="70" t="s">
        <v>2</v>
      </c>
      <c r="J4" s="71"/>
      <c r="K4" s="41"/>
      <c r="L4" s="41"/>
      <c r="M4" s="12" t="s">
        <v>17</v>
      </c>
      <c r="N4" s="13" t="s">
        <v>18</v>
      </c>
      <c r="O4" s="70" t="s">
        <v>20</v>
      </c>
      <c r="P4" s="71"/>
      <c r="Q4" s="70" t="s">
        <v>2</v>
      </c>
      <c r="R4" s="71"/>
      <c r="S4" s="8"/>
      <c r="T4" s="12" t="s">
        <v>17</v>
      </c>
      <c r="U4" s="13" t="s">
        <v>18</v>
      </c>
      <c r="V4" s="70" t="s">
        <v>20</v>
      </c>
      <c r="W4" s="71"/>
      <c r="X4" s="70" t="s">
        <v>2</v>
      </c>
      <c r="Y4" s="71"/>
      <c r="Z4" s="8"/>
      <c r="AA4" s="12" t="s">
        <v>17</v>
      </c>
      <c r="AB4" s="13" t="s">
        <v>18</v>
      </c>
      <c r="AC4" s="70" t="s">
        <v>20</v>
      </c>
      <c r="AD4" s="71"/>
      <c r="AE4" s="70" t="s">
        <v>2</v>
      </c>
      <c r="AF4" s="71"/>
      <c r="AG4" s="8"/>
      <c r="AH4" s="12" t="s">
        <v>17</v>
      </c>
      <c r="AI4" s="13" t="s">
        <v>18</v>
      </c>
      <c r="AJ4" s="70" t="s">
        <v>20</v>
      </c>
      <c r="AK4" s="71"/>
      <c r="AL4" s="70" t="s">
        <v>2</v>
      </c>
      <c r="AM4" s="71"/>
    </row>
    <row r="5" spans="1:39" ht="29" x14ac:dyDescent="0.35">
      <c r="A5" s="8"/>
      <c r="B5" s="73"/>
      <c r="C5" s="12" t="s">
        <v>65</v>
      </c>
      <c r="D5" s="12" t="s">
        <v>65</v>
      </c>
      <c r="E5" s="75"/>
      <c r="F5" s="73"/>
      <c r="G5" s="14" t="s">
        <v>22</v>
      </c>
      <c r="H5" s="15" t="s">
        <v>23</v>
      </c>
      <c r="I5" s="14" t="s">
        <v>22</v>
      </c>
      <c r="J5" s="15" t="s">
        <v>24</v>
      </c>
      <c r="K5" s="41"/>
      <c r="L5" s="41"/>
      <c r="M5" s="12" t="s">
        <v>65</v>
      </c>
      <c r="N5" s="12" t="s">
        <v>65</v>
      </c>
      <c r="O5" s="14" t="s">
        <v>22</v>
      </c>
      <c r="P5" s="15" t="s">
        <v>23</v>
      </c>
      <c r="Q5" s="14" t="s">
        <v>22</v>
      </c>
      <c r="R5" s="15" t="s">
        <v>24</v>
      </c>
      <c r="S5" s="8"/>
      <c r="T5" s="12" t="s">
        <v>65</v>
      </c>
      <c r="U5" s="12" t="s">
        <v>65</v>
      </c>
      <c r="V5" s="14" t="s">
        <v>22</v>
      </c>
      <c r="W5" s="15" t="s">
        <v>23</v>
      </c>
      <c r="X5" s="14" t="s">
        <v>22</v>
      </c>
      <c r="Y5" s="15" t="s">
        <v>24</v>
      </c>
      <c r="Z5" s="8"/>
      <c r="AA5" s="12" t="s">
        <v>65</v>
      </c>
      <c r="AB5" s="12" t="s">
        <v>65</v>
      </c>
      <c r="AC5" s="14" t="s">
        <v>22</v>
      </c>
      <c r="AD5" s="15" t="s">
        <v>23</v>
      </c>
      <c r="AE5" s="14" t="s">
        <v>22</v>
      </c>
      <c r="AF5" s="15" t="s">
        <v>24</v>
      </c>
      <c r="AG5" s="8"/>
      <c r="AH5" s="12" t="s">
        <v>65</v>
      </c>
      <c r="AI5" s="12" t="s">
        <v>65</v>
      </c>
      <c r="AJ5" s="14" t="s">
        <v>22</v>
      </c>
      <c r="AK5" s="15" t="s">
        <v>23</v>
      </c>
      <c r="AL5" s="14" t="s">
        <v>22</v>
      </c>
      <c r="AM5" s="15" t="s">
        <v>24</v>
      </c>
    </row>
    <row r="6" spans="1:39" ht="15.5" x14ac:dyDescent="0.35">
      <c r="A6" s="8"/>
      <c r="B6" t="s">
        <v>66</v>
      </c>
      <c r="C6">
        <f t="shared" ref="C6:D6" si="0">M6+T6+AA6+AH6</f>
        <v>1.5</v>
      </c>
      <c r="D6">
        <f t="shared" si="0"/>
        <v>1</v>
      </c>
      <c r="E6" s="7">
        <v>1</v>
      </c>
      <c r="F6" s="42">
        <v>100000</v>
      </c>
      <c r="G6" s="10">
        <f>C6*F6/E6</f>
        <v>150000</v>
      </c>
      <c r="H6" s="10">
        <f t="shared" ref="H6:H20" si="1">G6*8</f>
        <v>1200000</v>
      </c>
      <c r="I6" s="10">
        <f t="shared" ref="I6:I19" si="2">D6*F6/E6</f>
        <v>100000</v>
      </c>
      <c r="J6" s="10">
        <f t="shared" ref="J6:J20" si="3">I6*4</f>
        <v>400000</v>
      </c>
      <c r="K6" s="41">
        <f t="shared" ref="K6:K20" si="4">(O6+V6+AC6+AJ6)-G6</f>
        <v>0</v>
      </c>
      <c r="L6" s="41">
        <f t="shared" ref="L6:L20" si="5">(Q6+X6+AE6+AL6)-I6</f>
        <v>0</v>
      </c>
      <c r="M6">
        <v>0.75</v>
      </c>
      <c r="N6">
        <v>0.5</v>
      </c>
      <c r="O6" s="10">
        <f t="shared" ref="O6:O19" si="6">M6*F6/E6</f>
        <v>75000</v>
      </c>
      <c r="P6" s="10">
        <f t="shared" ref="P6:P20" si="7">O6*8</f>
        <v>600000</v>
      </c>
      <c r="Q6" s="10">
        <f t="shared" ref="Q6:Q19" si="8">N6*F6/E6</f>
        <v>50000</v>
      </c>
      <c r="R6" s="10">
        <f t="shared" ref="R6:R20" si="9">Q6*4</f>
        <v>200000</v>
      </c>
      <c r="S6" s="8"/>
      <c r="T6" s="8">
        <v>0.75</v>
      </c>
      <c r="U6" s="8">
        <v>0.5</v>
      </c>
      <c r="V6" s="10">
        <f t="shared" ref="V6:V19" si="10">T6*F6/E6</f>
        <v>75000</v>
      </c>
      <c r="W6" s="10">
        <f t="shared" ref="W6:W20" si="11">V6*8</f>
        <v>600000</v>
      </c>
      <c r="X6" s="10">
        <f t="shared" ref="X6:X19" si="12">U6*F6/E6</f>
        <v>50000</v>
      </c>
      <c r="Y6" s="10">
        <f t="shared" ref="Y6:Y20" si="13">X6*4</f>
        <v>200000</v>
      </c>
      <c r="Z6" s="8"/>
      <c r="AA6" s="8"/>
      <c r="AB6" s="8"/>
      <c r="AC6" s="10">
        <f t="shared" ref="AC6:AC19" si="14">AA6*F6/E6</f>
        <v>0</v>
      </c>
      <c r="AD6" s="10">
        <f t="shared" ref="AD6:AD20" si="15">AC6*8</f>
        <v>0</v>
      </c>
      <c r="AE6" s="10">
        <f t="shared" ref="AE6:AE19" si="16">AB6*F6/E6</f>
        <v>0</v>
      </c>
      <c r="AF6" s="10">
        <f t="shared" ref="AF6:AF20" si="17">AE6*4</f>
        <v>0</v>
      </c>
      <c r="AG6" s="8"/>
      <c r="AH6" s="8"/>
      <c r="AI6" s="8"/>
      <c r="AJ6" s="10">
        <f t="shared" ref="AJ6:AJ19" si="18">AH6*F6/E6</f>
        <v>0</v>
      </c>
      <c r="AK6" s="10">
        <f t="shared" ref="AK6:AK20" si="19">AJ6*8</f>
        <v>0</v>
      </c>
      <c r="AL6" s="10">
        <f t="shared" ref="AL6:AL19" si="20">AI6*F6/E6</f>
        <v>0</v>
      </c>
      <c r="AM6" s="10">
        <f t="shared" ref="AM6:AM20" si="21">AL6*4</f>
        <v>0</v>
      </c>
    </row>
    <row r="7" spans="1:39" ht="15.5" x14ac:dyDescent="0.35">
      <c r="A7" s="8"/>
      <c r="B7" t="s">
        <v>67</v>
      </c>
      <c r="C7">
        <f t="shared" ref="C7:D7" si="22">M7+T7+AA7+AH7</f>
        <v>1</v>
      </c>
      <c r="D7">
        <f t="shared" si="22"/>
        <v>1</v>
      </c>
      <c r="E7" s="7">
        <v>1</v>
      </c>
      <c r="F7" s="42">
        <v>45000</v>
      </c>
      <c r="G7" s="10">
        <f t="shared" ref="G7:G19" si="23">C7*F7/E7</f>
        <v>45000</v>
      </c>
      <c r="H7" s="10">
        <f t="shared" si="1"/>
        <v>360000</v>
      </c>
      <c r="I7" s="10">
        <f t="shared" si="2"/>
        <v>45000</v>
      </c>
      <c r="J7" s="10">
        <f t="shared" si="3"/>
        <v>180000</v>
      </c>
      <c r="K7" s="41">
        <f t="shared" si="4"/>
        <v>0</v>
      </c>
      <c r="L7" s="41">
        <f t="shared" si="5"/>
        <v>0</v>
      </c>
      <c r="M7">
        <v>0</v>
      </c>
      <c r="N7">
        <v>0</v>
      </c>
      <c r="O7" s="10">
        <f t="shared" si="6"/>
        <v>0</v>
      </c>
      <c r="P7" s="10">
        <f t="shared" si="7"/>
        <v>0</v>
      </c>
      <c r="Q7" s="10">
        <f t="shared" si="8"/>
        <v>0</v>
      </c>
      <c r="R7" s="10">
        <f t="shared" si="9"/>
        <v>0</v>
      </c>
      <c r="S7" s="8"/>
      <c r="T7" s="8">
        <v>1</v>
      </c>
      <c r="U7" s="8">
        <v>1</v>
      </c>
      <c r="V7" s="10">
        <f t="shared" si="10"/>
        <v>45000</v>
      </c>
      <c r="W7" s="10">
        <f t="shared" si="11"/>
        <v>360000</v>
      </c>
      <c r="X7" s="10">
        <f t="shared" si="12"/>
        <v>45000</v>
      </c>
      <c r="Y7" s="10">
        <f t="shared" si="13"/>
        <v>180000</v>
      </c>
      <c r="Z7" s="8"/>
      <c r="AA7" s="8"/>
      <c r="AB7" s="8"/>
      <c r="AC7" s="10">
        <f t="shared" si="14"/>
        <v>0</v>
      </c>
      <c r="AD7" s="10">
        <f t="shared" si="15"/>
        <v>0</v>
      </c>
      <c r="AE7" s="10">
        <f t="shared" si="16"/>
        <v>0</v>
      </c>
      <c r="AF7" s="10">
        <f t="shared" si="17"/>
        <v>0</v>
      </c>
      <c r="AG7" s="8"/>
      <c r="AH7" s="8"/>
      <c r="AI7" s="8"/>
      <c r="AJ7" s="10">
        <f t="shared" si="18"/>
        <v>0</v>
      </c>
      <c r="AK7" s="10">
        <f t="shared" si="19"/>
        <v>0</v>
      </c>
      <c r="AL7" s="10">
        <f t="shared" si="20"/>
        <v>0</v>
      </c>
      <c r="AM7" s="10">
        <f t="shared" si="21"/>
        <v>0</v>
      </c>
    </row>
    <row r="8" spans="1:39" ht="15.5" x14ac:dyDescent="0.35">
      <c r="A8" s="8"/>
      <c r="B8" t="s">
        <v>68</v>
      </c>
      <c r="C8">
        <f t="shared" ref="C8:D8" si="24">M8+T8+AA8+AH8</f>
        <v>1</v>
      </c>
      <c r="D8">
        <f t="shared" si="24"/>
        <v>0</v>
      </c>
      <c r="E8" s="7">
        <v>1</v>
      </c>
      <c r="F8" s="42">
        <v>20000</v>
      </c>
      <c r="G8" s="10">
        <f t="shared" si="23"/>
        <v>20000</v>
      </c>
      <c r="H8" s="10">
        <f t="shared" si="1"/>
        <v>160000</v>
      </c>
      <c r="I8" s="10">
        <f t="shared" si="2"/>
        <v>0</v>
      </c>
      <c r="J8" s="10">
        <f t="shared" si="3"/>
        <v>0</v>
      </c>
      <c r="K8" s="41">
        <f t="shared" si="4"/>
        <v>0</v>
      </c>
      <c r="L8" s="41">
        <f t="shared" si="5"/>
        <v>0</v>
      </c>
      <c r="M8">
        <v>0</v>
      </c>
      <c r="N8">
        <v>0</v>
      </c>
      <c r="O8" s="10">
        <f t="shared" si="6"/>
        <v>0</v>
      </c>
      <c r="P8" s="10">
        <f t="shared" si="7"/>
        <v>0</v>
      </c>
      <c r="Q8" s="10">
        <f t="shared" si="8"/>
        <v>0</v>
      </c>
      <c r="R8" s="10">
        <f t="shared" si="9"/>
        <v>0</v>
      </c>
      <c r="S8" s="8"/>
      <c r="T8" s="8">
        <v>1</v>
      </c>
      <c r="U8" s="8"/>
      <c r="V8" s="10">
        <f t="shared" si="10"/>
        <v>20000</v>
      </c>
      <c r="W8" s="10">
        <f t="shared" si="11"/>
        <v>160000</v>
      </c>
      <c r="X8" s="10">
        <f t="shared" si="12"/>
        <v>0</v>
      </c>
      <c r="Y8" s="10">
        <f t="shared" si="13"/>
        <v>0</v>
      </c>
      <c r="Z8" s="8"/>
      <c r="AA8" s="8"/>
      <c r="AB8" s="8"/>
      <c r="AC8" s="10">
        <f t="shared" si="14"/>
        <v>0</v>
      </c>
      <c r="AD8" s="10">
        <f t="shared" si="15"/>
        <v>0</v>
      </c>
      <c r="AE8" s="10">
        <f t="shared" si="16"/>
        <v>0</v>
      </c>
      <c r="AF8" s="10">
        <f t="shared" si="17"/>
        <v>0</v>
      </c>
      <c r="AG8" s="8"/>
      <c r="AH8" s="8"/>
      <c r="AI8" s="8"/>
      <c r="AJ8" s="10">
        <f t="shared" si="18"/>
        <v>0</v>
      </c>
      <c r="AK8" s="10">
        <f t="shared" si="19"/>
        <v>0</v>
      </c>
      <c r="AL8" s="10">
        <f t="shared" si="20"/>
        <v>0</v>
      </c>
      <c r="AM8" s="10">
        <f t="shared" si="21"/>
        <v>0</v>
      </c>
    </row>
    <row r="9" spans="1:39" ht="15.5" x14ac:dyDescent="0.35">
      <c r="A9" s="8"/>
      <c r="B9" t="s">
        <v>69</v>
      </c>
      <c r="C9">
        <f t="shared" ref="C9:D9" si="25">M9+T9+AA9+AH9</f>
        <v>1</v>
      </c>
      <c r="D9">
        <f t="shared" si="25"/>
        <v>0</v>
      </c>
      <c r="E9" s="7">
        <v>1</v>
      </c>
      <c r="F9" s="42">
        <v>60000</v>
      </c>
      <c r="G9" s="10">
        <f t="shared" si="23"/>
        <v>60000</v>
      </c>
      <c r="H9" s="10">
        <f t="shared" si="1"/>
        <v>480000</v>
      </c>
      <c r="I9" s="10">
        <f t="shared" si="2"/>
        <v>0</v>
      </c>
      <c r="J9" s="10">
        <f t="shared" si="3"/>
        <v>0</v>
      </c>
      <c r="K9" s="41">
        <f t="shared" si="4"/>
        <v>0</v>
      </c>
      <c r="L9" s="41">
        <f t="shared" si="5"/>
        <v>0</v>
      </c>
      <c r="M9">
        <v>1</v>
      </c>
      <c r="O9" s="10">
        <f t="shared" si="6"/>
        <v>60000</v>
      </c>
      <c r="P9" s="10">
        <f t="shared" si="7"/>
        <v>480000</v>
      </c>
      <c r="Q9" s="10">
        <f t="shared" si="8"/>
        <v>0</v>
      </c>
      <c r="R9" s="10">
        <f t="shared" si="9"/>
        <v>0</v>
      </c>
      <c r="S9" s="8"/>
      <c r="T9" s="8">
        <v>0</v>
      </c>
      <c r="U9" s="8">
        <v>0</v>
      </c>
      <c r="V9" s="10">
        <f t="shared" si="10"/>
        <v>0</v>
      </c>
      <c r="W9" s="10">
        <f t="shared" si="11"/>
        <v>0</v>
      </c>
      <c r="X9" s="10">
        <f t="shared" si="12"/>
        <v>0</v>
      </c>
      <c r="Y9" s="10">
        <f t="shared" si="13"/>
        <v>0</v>
      </c>
      <c r="Z9" s="8"/>
      <c r="AA9" s="8"/>
      <c r="AB9" s="8"/>
      <c r="AC9" s="10">
        <f t="shared" si="14"/>
        <v>0</v>
      </c>
      <c r="AD9" s="10">
        <f t="shared" si="15"/>
        <v>0</v>
      </c>
      <c r="AE9" s="10">
        <f t="shared" si="16"/>
        <v>0</v>
      </c>
      <c r="AF9" s="10">
        <f t="shared" si="17"/>
        <v>0</v>
      </c>
      <c r="AG9" s="8"/>
      <c r="AH9" s="8"/>
      <c r="AI9" s="8"/>
      <c r="AJ9" s="10">
        <f t="shared" si="18"/>
        <v>0</v>
      </c>
      <c r="AK9" s="10">
        <f t="shared" si="19"/>
        <v>0</v>
      </c>
      <c r="AL9" s="10">
        <f t="shared" si="20"/>
        <v>0</v>
      </c>
      <c r="AM9" s="10">
        <f t="shared" si="21"/>
        <v>0</v>
      </c>
    </row>
    <row r="10" spans="1:39" ht="15.5" x14ac:dyDescent="0.35">
      <c r="A10" s="8"/>
      <c r="B10" t="s">
        <v>70</v>
      </c>
      <c r="C10">
        <f t="shared" ref="C10:D10" si="26">M10+T10+AA10+AH10</f>
        <v>4</v>
      </c>
      <c r="D10">
        <f t="shared" si="26"/>
        <v>4</v>
      </c>
      <c r="E10" s="7">
        <v>60</v>
      </c>
      <c r="F10" s="42">
        <v>900000</v>
      </c>
      <c r="G10" s="10">
        <f t="shared" si="23"/>
        <v>60000</v>
      </c>
      <c r="H10" s="10">
        <f t="shared" si="1"/>
        <v>480000</v>
      </c>
      <c r="I10" s="10">
        <f t="shared" si="2"/>
        <v>60000</v>
      </c>
      <c r="J10" s="10">
        <f t="shared" si="3"/>
        <v>240000</v>
      </c>
      <c r="K10" s="41">
        <f t="shared" si="4"/>
        <v>0</v>
      </c>
      <c r="L10" s="41">
        <f t="shared" si="5"/>
        <v>0</v>
      </c>
      <c r="M10">
        <v>4</v>
      </c>
      <c r="N10">
        <v>4</v>
      </c>
      <c r="O10" s="10">
        <f t="shared" si="6"/>
        <v>60000</v>
      </c>
      <c r="P10" s="10">
        <f t="shared" si="7"/>
        <v>480000</v>
      </c>
      <c r="Q10" s="10">
        <f t="shared" si="8"/>
        <v>60000</v>
      </c>
      <c r="R10" s="10">
        <f t="shared" si="9"/>
        <v>240000</v>
      </c>
      <c r="S10" s="8"/>
      <c r="T10" s="8"/>
      <c r="U10" s="8"/>
      <c r="V10" s="10">
        <f t="shared" si="10"/>
        <v>0</v>
      </c>
      <c r="W10" s="10">
        <f t="shared" si="11"/>
        <v>0</v>
      </c>
      <c r="X10" s="10">
        <f t="shared" si="12"/>
        <v>0</v>
      </c>
      <c r="Y10" s="10">
        <f t="shared" si="13"/>
        <v>0</v>
      </c>
      <c r="Z10" s="8"/>
      <c r="AA10" s="8"/>
      <c r="AB10" s="8"/>
      <c r="AC10" s="10">
        <f t="shared" si="14"/>
        <v>0</v>
      </c>
      <c r="AD10" s="10">
        <f t="shared" si="15"/>
        <v>0</v>
      </c>
      <c r="AE10" s="10">
        <f t="shared" si="16"/>
        <v>0</v>
      </c>
      <c r="AF10" s="10">
        <f t="shared" si="17"/>
        <v>0</v>
      </c>
      <c r="AG10" s="8"/>
      <c r="AH10" s="8"/>
      <c r="AI10" s="8"/>
      <c r="AJ10" s="10">
        <f t="shared" si="18"/>
        <v>0</v>
      </c>
      <c r="AK10" s="10">
        <f t="shared" si="19"/>
        <v>0</v>
      </c>
      <c r="AL10" s="10">
        <f t="shared" si="20"/>
        <v>0</v>
      </c>
      <c r="AM10" s="10">
        <f t="shared" si="21"/>
        <v>0</v>
      </c>
    </row>
    <row r="11" spans="1:39" ht="15.5" x14ac:dyDescent="0.35">
      <c r="A11" s="8"/>
      <c r="B11" s="20" t="s">
        <v>71</v>
      </c>
      <c r="C11">
        <f t="shared" ref="C11:D11" si="27">M11+T11+AA11+AH11</f>
        <v>20</v>
      </c>
      <c r="D11">
        <f t="shared" si="27"/>
        <v>20</v>
      </c>
      <c r="E11" s="43">
        <v>36</v>
      </c>
      <c r="F11" s="44">
        <v>33000</v>
      </c>
      <c r="G11" s="10">
        <f>C11*F11/E11</f>
        <v>18333.333333333332</v>
      </c>
      <c r="H11" s="10">
        <f t="shared" si="1"/>
        <v>146666.66666666666</v>
      </c>
      <c r="I11" s="10">
        <f t="shared" si="2"/>
        <v>18333.333333333332</v>
      </c>
      <c r="J11" s="10">
        <f t="shared" si="3"/>
        <v>73333.333333333328</v>
      </c>
      <c r="K11" s="41">
        <f t="shared" si="4"/>
        <v>0</v>
      </c>
      <c r="L11" s="41">
        <f t="shared" si="5"/>
        <v>0</v>
      </c>
      <c r="M11">
        <v>15</v>
      </c>
      <c r="N11">
        <v>15</v>
      </c>
      <c r="O11" s="10">
        <f t="shared" si="6"/>
        <v>13750</v>
      </c>
      <c r="P11" s="10">
        <f t="shared" si="7"/>
        <v>110000</v>
      </c>
      <c r="Q11" s="10">
        <f t="shared" si="8"/>
        <v>13750</v>
      </c>
      <c r="R11" s="10">
        <f t="shared" si="9"/>
        <v>55000</v>
      </c>
      <c r="S11" s="8"/>
      <c r="T11" s="8">
        <v>5</v>
      </c>
      <c r="U11" s="8">
        <v>5</v>
      </c>
      <c r="V11" s="10">
        <f t="shared" si="10"/>
        <v>4583.333333333333</v>
      </c>
      <c r="W11" s="10">
        <f t="shared" si="11"/>
        <v>36666.666666666664</v>
      </c>
      <c r="X11" s="10">
        <f t="shared" si="12"/>
        <v>4583.333333333333</v>
      </c>
      <c r="Y11" s="10">
        <f t="shared" si="13"/>
        <v>18333.333333333332</v>
      </c>
      <c r="Z11" s="8"/>
      <c r="AA11" s="8"/>
      <c r="AB11" s="8"/>
      <c r="AC11" s="10">
        <f t="shared" si="14"/>
        <v>0</v>
      </c>
      <c r="AD11" s="10">
        <f t="shared" si="15"/>
        <v>0</v>
      </c>
      <c r="AE11" s="10">
        <f t="shared" si="16"/>
        <v>0</v>
      </c>
      <c r="AF11" s="10">
        <f t="shared" si="17"/>
        <v>0</v>
      </c>
      <c r="AG11" s="8"/>
      <c r="AH11" s="8"/>
      <c r="AI11" s="8"/>
      <c r="AJ11" s="10">
        <f t="shared" si="18"/>
        <v>0</v>
      </c>
      <c r="AK11" s="10">
        <f t="shared" si="19"/>
        <v>0</v>
      </c>
      <c r="AL11" s="10">
        <f t="shared" si="20"/>
        <v>0</v>
      </c>
      <c r="AM11" s="10">
        <f t="shared" si="21"/>
        <v>0</v>
      </c>
    </row>
    <row r="12" spans="1:39" ht="15.5" x14ac:dyDescent="0.35">
      <c r="A12" s="8"/>
      <c r="B12" s="20" t="s">
        <v>72</v>
      </c>
      <c r="C12">
        <f t="shared" ref="C12:D12" si="28">M12+T12+AA12+AH12</f>
        <v>1</v>
      </c>
      <c r="D12">
        <f t="shared" si="28"/>
        <v>1</v>
      </c>
      <c r="E12" s="43">
        <v>60</v>
      </c>
      <c r="F12" s="44">
        <v>220000</v>
      </c>
      <c r="G12" s="10">
        <f t="shared" si="23"/>
        <v>3666.6666666666665</v>
      </c>
      <c r="H12" s="10">
        <f t="shared" si="1"/>
        <v>29333.333333333332</v>
      </c>
      <c r="I12" s="10">
        <f t="shared" si="2"/>
        <v>3666.6666666666665</v>
      </c>
      <c r="J12" s="10">
        <f t="shared" si="3"/>
        <v>14666.666666666666</v>
      </c>
      <c r="K12" s="41">
        <f t="shared" si="4"/>
        <v>0</v>
      </c>
      <c r="L12" s="41">
        <f t="shared" si="5"/>
        <v>0</v>
      </c>
      <c r="M12">
        <v>1</v>
      </c>
      <c r="N12">
        <v>1</v>
      </c>
      <c r="O12" s="10">
        <f t="shared" si="6"/>
        <v>3666.6666666666665</v>
      </c>
      <c r="P12" s="10">
        <f t="shared" si="7"/>
        <v>29333.333333333332</v>
      </c>
      <c r="Q12" s="10">
        <f t="shared" si="8"/>
        <v>3666.6666666666665</v>
      </c>
      <c r="R12" s="10">
        <f t="shared" si="9"/>
        <v>14666.666666666666</v>
      </c>
      <c r="S12" s="8"/>
      <c r="T12" s="8"/>
      <c r="U12" s="8"/>
      <c r="V12" s="10">
        <f t="shared" si="10"/>
        <v>0</v>
      </c>
      <c r="W12" s="10">
        <f t="shared" si="11"/>
        <v>0</v>
      </c>
      <c r="X12" s="10">
        <f t="shared" si="12"/>
        <v>0</v>
      </c>
      <c r="Y12" s="10">
        <f t="shared" si="13"/>
        <v>0</v>
      </c>
      <c r="Z12" s="8"/>
      <c r="AA12" s="8"/>
      <c r="AB12" s="8"/>
      <c r="AC12" s="10">
        <f t="shared" si="14"/>
        <v>0</v>
      </c>
      <c r="AD12" s="10">
        <f t="shared" si="15"/>
        <v>0</v>
      </c>
      <c r="AE12" s="10">
        <f t="shared" si="16"/>
        <v>0</v>
      </c>
      <c r="AF12" s="10">
        <f t="shared" si="17"/>
        <v>0</v>
      </c>
      <c r="AG12" s="8"/>
      <c r="AH12" s="8"/>
      <c r="AI12" s="8"/>
      <c r="AJ12" s="10">
        <f t="shared" si="18"/>
        <v>0</v>
      </c>
      <c r="AK12" s="10">
        <f t="shared" si="19"/>
        <v>0</v>
      </c>
      <c r="AL12" s="10">
        <f t="shared" si="20"/>
        <v>0</v>
      </c>
      <c r="AM12" s="10">
        <f t="shared" si="21"/>
        <v>0</v>
      </c>
    </row>
    <row r="13" spans="1:39" ht="15.5" x14ac:dyDescent="0.35">
      <c r="A13" s="8"/>
      <c r="B13" s="20" t="s">
        <v>73</v>
      </c>
      <c r="C13">
        <f t="shared" ref="C13:D13" si="29">M13+T13+AA13+AH13</f>
        <v>8</v>
      </c>
      <c r="D13">
        <f t="shared" si="29"/>
        <v>8</v>
      </c>
      <c r="E13" s="43">
        <v>60</v>
      </c>
      <c r="F13" s="44">
        <v>45000</v>
      </c>
      <c r="G13" s="10">
        <f t="shared" si="23"/>
        <v>6000</v>
      </c>
      <c r="H13" s="10">
        <f t="shared" si="1"/>
        <v>48000</v>
      </c>
      <c r="I13" s="10">
        <f t="shared" si="2"/>
        <v>6000</v>
      </c>
      <c r="J13" s="10">
        <f t="shared" si="3"/>
        <v>24000</v>
      </c>
      <c r="K13" s="41">
        <f t="shared" si="4"/>
        <v>0</v>
      </c>
      <c r="L13" s="41">
        <f t="shared" si="5"/>
        <v>0</v>
      </c>
      <c r="M13">
        <v>6</v>
      </c>
      <c r="N13">
        <v>6</v>
      </c>
      <c r="O13" s="10">
        <f t="shared" si="6"/>
        <v>4500</v>
      </c>
      <c r="P13" s="10">
        <f t="shared" si="7"/>
        <v>36000</v>
      </c>
      <c r="Q13" s="10">
        <f t="shared" si="8"/>
        <v>4500</v>
      </c>
      <c r="R13" s="10">
        <f t="shared" si="9"/>
        <v>18000</v>
      </c>
      <c r="S13" s="8"/>
      <c r="T13" s="8"/>
      <c r="U13" s="8"/>
      <c r="V13" s="10">
        <f t="shared" si="10"/>
        <v>0</v>
      </c>
      <c r="W13" s="10">
        <f t="shared" si="11"/>
        <v>0</v>
      </c>
      <c r="X13" s="10">
        <f t="shared" si="12"/>
        <v>0</v>
      </c>
      <c r="Y13" s="10">
        <f t="shared" si="13"/>
        <v>0</v>
      </c>
      <c r="Z13" s="8"/>
      <c r="AA13" s="8">
        <v>1</v>
      </c>
      <c r="AB13" s="8">
        <v>1</v>
      </c>
      <c r="AC13" s="10">
        <f t="shared" si="14"/>
        <v>750</v>
      </c>
      <c r="AD13" s="10">
        <f t="shared" si="15"/>
        <v>6000</v>
      </c>
      <c r="AE13" s="10">
        <f t="shared" si="16"/>
        <v>750</v>
      </c>
      <c r="AF13" s="10">
        <f t="shared" si="17"/>
        <v>3000</v>
      </c>
      <c r="AG13" s="8"/>
      <c r="AH13" s="8">
        <v>1</v>
      </c>
      <c r="AI13" s="8">
        <v>1</v>
      </c>
      <c r="AJ13" s="10">
        <f t="shared" si="18"/>
        <v>750</v>
      </c>
      <c r="AK13" s="10">
        <f t="shared" si="19"/>
        <v>6000</v>
      </c>
      <c r="AL13" s="10">
        <f t="shared" si="20"/>
        <v>750</v>
      </c>
      <c r="AM13" s="10">
        <f t="shared" si="21"/>
        <v>3000</v>
      </c>
    </row>
    <row r="14" spans="1:39" ht="15.5" x14ac:dyDescent="0.35">
      <c r="A14" s="8"/>
      <c r="B14" s="20" t="s">
        <v>74</v>
      </c>
      <c r="C14">
        <f t="shared" ref="C14:D14" si="30">M14+T14+AA14+AH14</f>
        <v>8</v>
      </c>
      <c r="D14">
        <f t="shared" si="30"/>
        <v>8</v>
      </c>
      <c r="E14" s="43">
        <v>60</v>
      </c>
      <c r="F14" s="44">
        <v>155000</v>
      </c>
      <c r="G14" s="10">
        <f t="shared" si="23"/>
        <v>20666.666666666668</v>
      </c>
      <c r="H14" s="10">
        <f t="shared" si="1"/>
        <v>165333.33333333334</v>
      </c>
      <c r="I14" s="10">
        <f t="shared" si="2"/>
        <v>20666.666666666668</v>
      </c>
      <c r="J14" s="10">
        <f t="shared" si="3"/>
        <v>82666.666666666672</v>
      </c>
      <c r="K14" s="41">
        <f t="shared" si="4"/>
        <v>0</v>
      </c>
      <c r="L14" s="41">
        <f t="shared" si="5"/>
        <v>0</v>
      </c>
      <c r="M14">
        <v>8</v>
      </c>
      <c r="N14">
        <v>8</v>
      </c>
      <c r="O14" s="10">
        <f t="shared" si="6"/>
        <v>20666.666666666668</v>
      </c>
      <c r="P14" s="10">
        <f t="shared" si="7"/>
        <v>165333.33333333334</v>
      </c>
      <c r="Q14" s="10">
        <f t="shared" si="8"/>
        <v>20666.666666666668</v>
      </c>
      <c r="R14" s="10">
        <f t="shared" si="9"/>
        <v>82666.666666666672</v>
      </c>
      <c r="S14" s="8"/>
      <c r="T14" s="8"/>
      <c r="U14" s="8"/>
      <c r="V14" s="10">
        <f t="shared" si="10"/>
        <v>0</v>
      </c>
      <c r="W14" s="10">
        <f t="shared" si="11"/>
        <v>0</v>
      </c>
      <c r="X14" s="10">
        <f t="shared" si="12"/>
        <v>0</v>
      </c>
      <c r="Y14" s="10">
        <f t="shared" si="13"/>
        <v>0</v>
      </c>
      <c r="Z14" s="8"/>
      <c r="AA14" s="8"/>
      <c r="AB14" s="8"/>
      <c r="AC14" s="10">
        <f t="shared" si="14"/>
        <v>0</v>
      </c>
      <c r="AD14" s="10">
        <f t="shared" si="15"/>
        <v>0</v>
      </c>
      <c r="AE14" s="10">
        <f t="shared" si="16"/>
        <v>0</v>
      </c>
      <c r="AF14" s="10">
        <f t="shared" si="17"/>
        <v>0</v>
      </c>
      <c r="AG14" s="8"/>
      <c r="AH14" s="8"/>
      <c r="AI14" s="8"/>
      <c r="AJ14" s="10">
        <f t="shared" si="18"/>
        <v>0</v>
      </c>
      <c r="AK14" s="10">
        <f t="shared" si="19"/>
        <v>0</v>
      </c>
      <c r="AL14" s="10">
        <f t="shared" si="20"/>
        <v>0</v>
      </c>
      <c r="AM14" s="10">
        <f t="shared" si="21"/>
        <v>0</v>
      </c>
    </row>
    <row r="15" spans="1:39" ht="15.5" x14ac:dyDescent="0.35">
      <c r="A15" s="8"/>
      <c r="B15" s="20" t="s">
        <v>75</v>
      </c>
      <c r="C15">
        <f t="shared" ref="C15:D15" si="31">M15+T15+AA15+AH15</f>
        <v>27</v>
      </c>
      <c r="D15">
        <f t="shared" si="31"/>
        <v>27</v>
      </c>
      <c r="E15" s="43">
        <v>60</v>
      </c>
      <c r="F15" s="44">
        <v>45000</v>
      </c>
      <c r="G15" s="10">
        <f t="shared" si="23"/>
        <v>20250</v>
      </c>
      <c r="H15" s="10">
        <f t="shared" si="1"/>
        <v>162000</v>
      </c>
      <c r="I15" s="10">
        <f t="shared" si="2"/>
        <v>20250</v>
      </c>
      <c r="J15" s="10">
        <f t="shared" si="3"/>
        <v>81000</v>
      </c>
      <c r="K15" s="41">
        <f t="shared" si="4"/>
        <v>0</v>
      </c>
      <c r="L15" s="41">
        <f t="shared" si="5"/>
        <v>0</v>
      </c>
      <c r="M15">
        <v>20</v>
      </c>
      <c r="N15">
        <v>20</v>
      </c>
      <c r="O15" s="10">
        <f t="shared" si="6"/>
        <v>15000</v>
      </c>
      <c r="P15" s="10">
        <f t="shared" si="7"/>
        <v>120000</v>
      </c>
      <c r="Q15" s="10">
        <f t="shared" si="8"/>
        <v>15000</v>
      </c>
      <c r="R15" s="10">
        <f t="shared" si="9"/>
        <v>60000</v>
      </c>
      <c r="S15" s="8"/>
      <c r="T15" s="8">
        <v>5</v>
      </c>
      <c r="U15" s="8">
        <v>5</v>
      </c>
      <c r="V15" s="10">
        <f t="shared" si="10"/>
        <v>3750</v>
      </c>
      <c r="W15" s="10">
        <f t="shared" si="11"/>
        <v>30000</v>
      </c>
      <c r="X15" s="10">
        <f t="shared" si="12"/>
        <v>3750</v>
      </c>
      <c r="Y15" s="10">
        <f t="shared" si="13"/>
        <v>15000</v>
      </c>
      <c r="Z15" s="8"/>
      <c r="AA15" s="8">
        <v>1</v>
      </c>
      <c r="AB15" s="8">
        <v>1</v>
      </c>
      <c r="AC15" s="10">
        <f t="shared" si="14"/>
        <v>750</v>
      </c>
      <c r="AD15" s="10">
        <f t="shared" si="15"/>
        <v>6000</v>
      </c>
      <c r="AE15" s="10">
        <f t="shared" si="16"/>
        <v>750</v>
      </c>
      <c r="AF15" s="10">
        <f t="shared" si="17"/>
        <v>3000</v>
      </c>
      <c r="AG15" s="8"/>
      <c r="AH15" s="8">
        <v>1</v>
      </c>
      <c r="AI15" s="8">
        <v>1</v>
      </c>
      <c r="AJ15" s="10">
        <f t="shared" si="18"/>
        <v>750</v>
      </c>
      <c r="AK15" s="10">
        <f t="shared" si="19"/>
        <v>6000</v>
      </c>
      <c r="AL15" s="10">
        <f t="shared" si="20"/>
        <v>750</v>
      </c>
      <c r="AM15" s="10">
        <f t="shared" si="21"/>
        <v>3000</v>
      </c>
    </row>
    <row r="16" spans="1:39" ht="15.5" x14ac:dyDescent="0.35">
      <c r="A16" s="8"/>
      <c r="B16" s="20" t="s">
        <v>76</v>
      </c>
      <c r="C16">
        <f t="shared" ref="C16:D16" si="32">M16+T16+AA16+AH16</f>
        <v>27</v>
      </c>
      <c r="D16">
        <f t="shared" si="32"/>
        <v>27</v>
      </c>
      <c r="E16" s="43">
        <v>60</v>
      </c>
      <c r="F16" s="44">
        <v>30000</v>
      </c>
      <c r="G16" s="10">
        <f t="shared" si="23"/>
        <v>13500</v>
      </c>
      <c r="H16" s="10">
        <f t="shared" si="1"/>
        <v>108000</v>
      </c>
      <c r="I16" s="10">
        <f t="shared" si="2"/>
        <v>13500</v>
      </c>
      <c r="J16" s="10">
        <f t="shared" si="3"/>
        <v>54000</v>
      </c>
      <c r="K16" s="41">
        <f t="shared" si="4"/>
        <v>0</v>
      </c>
      <c r="L16" s="41">
        <f t="shared" si="5"/>
        <v>0</v>
      </c>
      <c r="M16">
        <v>20</v>
      </c>
      <c r="N16">
        <v>20</v>
      </c>
      <c r="O16" s="10">
        <f t="shared" si="6"/>
        <v>10000</v>
      </c>
      <c r="P16" s="10">
        <f t="shared" si="7"/>
        <v>80000</v>
      </c>
      <c r="Q16" s="10">
        <f t="shared" si="8"/>
        <v>10000</v>
      </c>
      <c r="R16" s="10">
        <f t="shared" si="9"/>
        <v>40000</v>
      </c>
      <c r="S16" s="8"/>
      <c r="T16" s="8">
        <v>5</v>
      </c>
      <c r="U16" s="8">
        <v>5</v>
      </c>
      <c r="V16" s="10">
        <f t="shared" si="10"/>
        <v>2500</v>
      </c>
      <c r="W16" s="10">
        <f t="shared" si="11"/>
        <v>20000</v>
      </c>
      <c r="X16" s="10">
        <f t="shared" si="12"/>
        <v>2500</v>
      </c>
      <c r="Y16" s="10">
        <f t="shared" si="13"/>
        <v>10000</v>
      </c>
      <c r="Z16" s="8"/>
      <c r="AA16" s="8">
        <v>1</v>
      </c>
      <c r="AB16" s="8">
        <v>1</v>
      </c>
      <c r="AC16" s="10">
        <f t="shared" si="14"/>
        <v>500</v>
      </c>
      <c r="AD16" s="10">
        <f t="shared" si="15"/>
        <v>4000</v>
      </c>
      <c r="AE16" s="10">
        <f t="shared" si="16"/>
        <v>500</v>
      </c>
      <c r="AF16" s="10">
        <f t="shared" si="17"/>
        <v>2000</v>
      </c>
      <c r="AG16" s="8"/>
      <c r="AH16" s="8">
        <v>1</v>
      </c>
      <c r="AI16" s="8">
        <v>1</v>
      </c>
      <c r="AJ16" s="10">
        <f t="shared" si="18"/>
        <v>500</v>
      </c>
      <c r="AK16" s="10">
        <f t="shared" si="19"/>
        <v>4000</v>
      </c>
      <c r="AL16" s="10">
        <f t="shared" si="20"/>
        <v>500</v>
      </c>
      <c r="AM16" s="10">
        <f t="shared" si="21"/>
        <v>2000</v>
      </c>
    </row>
    <row r="17" spans="1:39" ht="15.5" x14ac:dyDescent="0.35">
      <c r="A17" s="8"/>
      <c r="B17" s="20" t="s">
        <v>77</v>
      </c>
      <c r="C17">
        <f t="shared" ref="C17:D17" si="33">M17+T17+AA17+AH17</f>
        <v>27</v>
      </c>
      <c r="D17">
        <f t="shared" si="33"/>
        <v>27</v>
      </c>
      <c r="E17" s="43">
        <v>60</v>
      </c>
      <c r="F17" s="45">
        <v>22000</v>
      </c>
      <c r="G17" s="10">
        <f t="shared" si="23"/>
        <v>9900</v>
      </c>
      <c r="H17" s="10">
        <f t="shared" si="1"/>
        <v>79200</v>
      </c>
      <c r="I17" s="10">
        <f t="shared" si="2"/>
        <v>9900</v>
      </c>
      <c r="J17" s="10">
        <f t="shared" si="3"/>
        <v>39600</v>
      </c>
      <c r="K17" s="41">
        <f t="shared" si="4"/>
        <v>0</v>
      </c>
      <c r="L17" s="41">
        <f t="shared" si="5"/>
        <v>0</v>
      </c>
      <c r="M17">
        <v>20</v>
      </c>
      <c r="N17">
        <v>20</v>
      </c>
      <c r="O17" s="10">
        <f t="shared" si="6"/>
        <v>7333.333333333333</v>
      </c>
      <c r="P17" s="10">
        <f t="shared" si="7"/>
        <v>58666.666666666664</v>
      </c>
      <c r="Q17" s="10">
        <f t="shared" si="8"/>
        <v>7333.333333333333</v>
      </c>
      <c r="R17" s="10">
        <f t="shared" si="9"/>
        <v>29333.333333333332</v>
      </c>
      <c r="S17" s="8"/>
      <c r="T17" s="8">
        <v>5</v>
      </c>
      <c r="U17" s="8">
        <v>5</v>
      </c>
      <c r="V17" s="10">
        <f t="shared" si="10"/>
        <v>1833.3333333333333</v>
      </c>
      <c r="W17" s="10">
        <f t="shared" si="11"/>
        <v>14666.666666666666</v>
      </c>
      <c r="X17" s="10">
        <f t="shared" si="12"/>
        <v>1833.3333333333333</v>
      </c>
      <c r="Y17" s="10">
        <f t="shared" si="13"/>
        <v>7333.333333333333</v>
      </c>
      <c r="Z17" s="8"/>
      <c r="AA17" s="8">
        <v>1</v>
      </c>
      <c r="AB17" s="8">
        <v>1</v>
      </c>
      <c r="AC17" s="10">
        <f t="shared" si="14"/>
        <v>366.66666666666669</v>
      </c>
      <c r="AD17" s="10">
        <f t="shared" si="15"/>
        <v>2933.3333333333335</v>
      </c>
      <c r="AE17" s="10">
        <f t="shared" si="16"/>
        <v>366.66666666666669</v>
      </c>
      <c r="AF17" s="10">
        <f t="shared" si="17"/>
        <v>1466.6666666666667</v>
      </c>
      <c r="AG17" s="8"/>
      <c r="AH17" s="8">
        <v>1</v>
      </c>
      <c r="AI17" s="8">
        <v>1</v>
      </c>
      <c r="AJ17" s="10">
        <f t="shared" si="18"/>
        <v>366.66666666666669</v>
      </c>
      <c r="AK17" s="10">
        <f t="shared" si="19"/>
        <v>2933.3333333333335</v>
      </c>
      <c r="AL17" s="10">
        <f t="shared" si="20"/>
        <v>366.66666666666669</v>
      </c>
      <c r="AM17" s="10">
        <f t="shared" si="21"/>
        <v>1466.6666666666667</v>
      </c>
    </row>
    <row r="18" spans="1:39" ht="15.5" x14ac:dyDescent="0.35">
      <c r="A18" s="8"/>
      <c r="B18" s="20" t="s">
        <v>78</v>
      </c>
      <c r="C18">
        <f t="shared" ref="C18:D18" si="34">M18+T18+AA18+AH18</f>
        <v>6</v>
      </c>
      <c r="D18">
        <f t="shared" si="34"/>
        <v>6</v>
      </c>
      <c r="E18" s="43">
        <v>60</v>
      </c>
      <c r="F18" s="44">
        <v>75000</v>
      </c>
      <c r="G18" s="10">
        <f t="shared" si="23"/>
        <v>7500</v>
      </c>
      <c r="H18" s="10">
        <f t="shared" si="1"/>
        <v>60000</v>
      </c>
      <c r="I18" s="10">
        <f t="shared" si="2"/>
        <v>7500</v>
      </c>
      <c r="J18" s="10">
        <f t="shared" si="3"/>
        <v>30000</v>
      </c>
      <c r="K18" s="41">
        <f t="shared" si="4"/>
        <v>0</v>
      </c>
      <c r="L18" s="41">
        <f t="shared" si="5"/>
        <v>0</v>
      </c>
      <c r="M18">
        <v>3</v>
      </c>
      <c r="N18">
        <v>3</v>
      </c>
      <c r="O18" s="10">
        <f t="shared" si="6"/>
        <v>3750</v>
      </c>
      <c r="P18" s="10">
        <f t="shared" si="7"/>
        <v>30000</v>
      </c>
      <c r="Q18" s="10">
        <f t="shared" si="8"/>
        <v>3750</v>
      </c>
      <c r="R18" s="10">
        <f t="shared" si="9"/>
        <v>15000</v>
      </c>
      <c r="S18" s="8"/>
      <c r="T18" s="8">
        <v>3</v>
      </c>
      <c r="U18" s="8">
        <v>3</v>
      </c>
      <c r="V18" s="10">
        <f t="shared" si="10"/>
        <v>3750</v>
      </c>
      <c r="W18" s="10">
        <f t="shared" si="11"/>
        <v>30000</v>
      </c>
      <c r="X18" s="10">
        <f t="shared" si="12"/>
        <v>3750</v>
      </c>
      <c r="Y18" s="10">
        <f t="shared" si="13"/>
        <v>15000</v>
      </c>
      <c r="Z18" s="8"/>
      <c r="AA18" s="8"/>
      <c r="AB18" s="8"/>
      <c r="AC18" s="10">
        <f t="shared" si="14"/>
        <v>0</v>
      </c>
      <c r="AD18" s="10">
        <f t="shared" si="15"/>
        <v>0</v>
      </c>
      <c r="AE18" s="10">
        <f t="shared" si="16"/>
        <v>0</v>
      </c>
      <c r="AF18" s="10">
        <f t="shared" si="17"/>
        <v>0</v>
      </c>
      <c r="AG18" s="8"/>
      <c r="AH18" s="8"/>
      <c r="AI18" s="8"/>
      <c r="AJ18" s="10">
        <f t="shared" si="18"/>
        <v>0</v>
      </c>
      <c r="AK18" s="10">
        <f t="shared" si="19"/>
        <v>0</v>
      </c>
      <c r="AL18" s="10">
        <f t="shared" si="20"/>
        <v>0</v>
      </c>
      <c r="AM18" s="10">
        <f t="shared" si="21"/>
        <v>0</v>
      </c>
    </row>
    <row r="19" spans="1:39" ht="15.5" x14ac:dyDescent="0.35">
      <c r="A19" s="8"/>
      <c r="B19" s="46" t="s">
        <v>79</v>
      </c>
      <c r="C19">
        <f t="shared" ref="C19:D19" si="35">M19+T19+AA19+AH19</f>
        <v>2.0699999999999998</v>
      </c>
      <c r="D19">
        <f t="shared" si="35"/>
        <v>2.0699999999999998</v>
      </c>
      <c r="E19" s="43">
        <v>1</v>
      </c>
      <c r="F19" s="45">
        <v>15000</v>
      </c>
      <c r="G19" s="10">
        <f t="shared" si="23"/>
        <v>31049.999999999996</v>
      </c>
      <c r="H19" s="10">
        <f t="shared" si="1"/>
        <v>248399.99999999997</v>
      </c>
      <c r="I19" s="10">
        <f t="shared" si="2"/>
        <v>31049.999999999996</v>
      </c>
      <c r="J19" s="10">
        <f t="shared" si="3"/>
        <v>124199.99999999999</v>
      </c>
      <c r="K19" s="41">
        <f t="shared" si="4"/>
        <v>0</v>
      </c>
      <c r="L19" s="41">
        <f t="shared" si="5"/>
        <v>0</v>
      </c>
      <c r="M19">
        <v>1</v>
      </c>
      <c r="N19">
        <v>1</v>
      </c>
      <c r="O19" s="10">
        <f t="shared" si="6"/>
        <v>15000</v>
      </c>
      <c r="P19" s="10">
        <f t="shared" si="7"/>
        <v>120000</v>
      </c>
      <c r="Q19" s="10">
        <f t="shared" si="8"/>
        <v>15000</v>
      </c>
      <c r="R19" s="10">
        <f t="shared" si="9"/>
        <v>60000</v>
      </c>
      <c r="S19" s="8"/>
      <c r="T19" s="8">
        <v>1</v>
      </c>
      <c r="U19" s="8">
        <v>1</v>
      </c>
      <c r="V19" s="10">
        <f t="shared" si="10"/>
        <v>15000</v>
      </c>
      <c r="W19" s="10">
        <f t="shared" si="11"/>
        <v>120000</v>
      </c>
      <c r="X19" s="10">
        <f t="shared" si="12"/>
        <v>15000</v>
      </c>
      <c r="Y19" s="10">
        <f t="shared" si="13"/>
        <v>60000</v>
      </c>
      <c r="Z19" s="8"/>
      <c r="AA19" s="8">
        <v>7.0000000000000007E-2</v>
      </c>
      <c r="AB19" s="8">
        <v>7.0000000000000007E-2</v>
      </c>
      <c r="AC19" s="10">
        <f t="shared" si="14"/>
        <v>1050</v>
      </c>
      <c r="AD19" s="10">
        <f t="shared" si="15"/>
        <v>8400</v>
      </c>
      <c r="AE19" s="10">
        <f t="shared" si="16"/>
        <v>1050</v>
      </c>
      <c r="AF19" s="10">
        <f t="shared" si="17"/>
        <v>4200</v>
      </c>
      <c r="AG19" s="8"/>
      <c r="AH19" s="8"/>
      <c r="AI19" s="8"/>
      <c r="AJ19" s="10">
        <f t="shared" si="18"/>
        <v>0</v>
      </c>
      <c r="AK19" s="10">
        <f t="shared" si="19"/>
        <v>0</v>
      </c>
      <c r="AL19" s="10">
        <f t="shared" si="20"/>
        <v>0</v>
      </c>
      <c r="AM19" s="10">
        <f t="shared" si="21"/>
        <v>0</v>
      </c>
    </row>
    <row r="20" spans="1:39" ht="15.5" x14ac:dyDescent="0.35">
      <c r="A20" s="40"/>
      <c r="B20" s="40"/>
      <c r="C20" s="47"/>
      <c r="D20" s="47"/>
      <c r="E20" s="40"/>
      <c r="F20" s="40"/>
      <c r="G20" s="48">
        <f>SUM(G6:G19)</f>
        <v>465866.66666666669</v>
      </c>
      <c r="H20" s="35">
        <f t="shared" si="1"/>
        <v>3726933.3333333335</v>
      </c>
      <c r="I20" s="48">
        <f>SUM(I6:I19)</f>
        <v>335866.66666666663</v>
      </c>
      <c r="J20" s="35">
        <f t="shared" si="3"/>
        <v>1343466.6666666665</v>
      </c>
      <c r="K20" s="41">
        <f t="shared" si="4"/>
        <v>0</v>
      </c>
      <c r="L20" s="41">
        <f t="shared" si="5"/>
        <v>0</v>
      </c>
      <c r="M20" s="40"/>
      <c r="N20" s="40"/>
      <c r="O20" s="48">
        <f>SUM(O6:O19)</f>
        <v>288666.66666666663</v>
      </c>
      <c r="P20" s="35">
        <f t="shared" si="7"/>
        <v>2309333.333333333</v>
      </c>
      <c r="Q20" s="48">
        <f>SUM(Q6:Q19)</f>
        <v>203666.66666666669</v>
      </c>
      <c r="R20" s="35">
        <f t="shared" si="9"/>
        <v>814666.66666666674</v>
      </c>
      <c r="S20" s="40"/>
      <c r="T20" s="40"/>
      <c r="U20" s="40"/>
      <c r="V20" s="48">
        <f>SUM(V6:V19)</f>
        <v>171416.66666666669</v>
      </c>
      <c r="W20" s="35">
        <f t="shared" si="11"/>
        <v>1371333.3333333335</v>
      </c>
      <c r="X20" s="48">
        <f>SUM(X6:X19)</f>
        <v>126416.66666666666</v>
      </c>
      <c r="Y20" s="35">
        <f t="shared" si="13"/>
        <v>505666.66666666663</v>
      </c>
      <c r="Z20" s="40"/>
      <c r="AA20" s="40"/>
      <c r="AB20" s="40"/>
      <c r="AC20" s="48">
        <f>SUM(AC6:AC19)</f>
        <v>3416.6666666666665</v>
      </c>
      <c r="AD20" s="35">
        <f t="shared" si="15"/>
        <v>27333.333333333332</v>
      </c>
      <c r="AE20" s="48">
        <f>SUM(AE6:AE19)</f>
        <v>3416.6666666666665</v>
      </c>
      <c r="AF20" s="35">
        <f t="shared" si="17"/>
        <v>13666.666666666666</v>
      </c>
      <c r="AG20" s="40"/>
      <c r="AH20" s="40"/>
      <c r="AI20" s="40"/>
      <c r="AJ20" s="48">
        <f>SUM(AJ6:AJ19)</f>
        <v>2366.6666666666665</v>
      </c>
      <c r="AK20" s="35">
        <f t="shared" si="19"/>
        <v>18933.333333333332</v>
      </c>
      <c r="AL20" s="48">
        <f>SUM(AL6:AL19)</f>
        <v>2366.6666666666665</v>
      </c>
      <c r="AM20" s="35">
        <f t="shared" si="21"/>
        <v>9466.6666666666661</v>
      </c>
    </row>
    <row r="21" spans="1:39" ht="15.5" x14ac:dyDescent="0.35">
      <c r="A21" s="8"/>
      <c r="B21" s="8"/>
      <c r="C21" s="7"/>
      <c r="D21" s="7"/>
      <c r="E21" s="8"/>
      <c r="F21" s="8"/>
      <c r="G21" s="8"/>
      <c r="H21" s="8"/>
      <c r="I21" s="8"/>
      <c r="J21" s="8"/>
      <c r="K21" s="41"/>
      <c r="L21" s="41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</row>
    <row r="22" spans="1:39" ht="15.5" x14ac:dyDescent="0.35">
      <c r="A22" s="8"/>
      <c r="B22" s="8"/>
      <c r="C22" s="7"/>
      <c r="D22" s="7"/>
      <c r="E22" s="8"/>
      <c r="F22" s="8"/>
      <c r="G22" s="8"/>
      <c r="H22" s="8"/>
      <c r="I22" s="8"/>
      <c r="J22" s="8"/>
      <c r="K22" s="40"/>
      <c r="L22" s="40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</row>
    <row r="23" spans="1:39" ht="15.5" x14ac:dyDescent="0.35">
      <c r="A23" s="8"/>
      <c r="B23" s="8"/>
      <c r="C23" s="7"/>
      <c r="D23" s="7"/>
      <c r="E23" s="8"/>
      <c r="F23" s="8"/>
      <c r="G23" s="8"/>
      <c r="H23" s="8"/>
      <c r="I23" s="8"/>
      <c r="J23" s="8"/>
      <c r="K23" s="40"/>
      <c r="L23" s="40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</row>
    <row r="24" spans="1:39" ht="15.5" x14ac:dyDescent="0.35">
      <c r="A24" s="8"/>
      <c r="B24" s="8"/>
      <c r="C24" s="7"/>
      <c r="D24" s="7"/>
      <c r="E24" s="8"/>
      <c r="F24" s="8"/>
      <c r="G24" s="8"/>
      <c r="H24" s="8"/>
      <c r="I24" s="8"/>
      <c r="J24" s="8"/>
      <c r="K24" s="40"/>
      <c r="L24" s="40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</row>
    <row r="25" spans="1:39" ht="15.5" x14ac:dyDescent="0.35">
      <c r="A25" s="8"/>
      <c r="B25" s="8"/>
      <c r="C25" s="7"/>
      <c r="D25" s="7"/>
      <c r="E25" s="8"/>
      <c r="F25" s="8"/>
      <c r="G25" s="8"/>
      <c r="H25" s="8"/>
      <c r="I25" s="8"/>
      <c r="J25" s="8"/>
      <c r="K25" s="40"/>
      <c r="L25" s="40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</row>
    <row r="26" spans="1:39" ht="15.5" x14ac:dyDescent="0.35">
      <c r="A26" s="8"/>
      <c r="B26" s="8"/>
      <c r="C26" s="7"/>
      <c r="D26" s="7"/>
      <c r="E26" s="8"/>
      <c r="F26" s="8"/>
      <c r="G26" s="8"/>
      <c r="H26" s="8"/>
      <c r="I26" s="8"/>
      <c r="J26" s="8"/>
      <c r="K26" s="40"/>
      <c r="L26" s="40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</row>
    <row r="27" spans="1:39" ht="15.5" x14ac:dyDescent="0.35">
      <c r="A27" s="8"/>
      <c r="B27" s="8"/>
      <c r="C27" s="7"/>
      <c r="D27" s="7"/>
      <c r="E27" s="8"/>
      <c r="F27" s="8"/>
      <c r="G27" s="8"/>
      <c r="H27" s="8"/>
      <c r="I27" s="8"/>
      <c r="J27" s="8"/>
      <c r="K27" s="40"/>
      <c r="L27" s="40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</row>
    <row r="28" spans="1:39" ht="15.5" x14ac:dyDescent="0.35">
      <c r="A28" s="8"/>
      <c r="B28" s="8"/>
      <c r="C28" s="7"/>
      <c r="D28" s="7"/>
      <c r="E28" s="8"/>
      <c r="F28" s="8"/>
      <c r="G28" s="8"/>
      <c r="H28" s="8"/>
      <c r="I28" s="8"/>
      <c r="J28" s="8"/>
      <c r="K28" s="40"/>
      <c r="L28" s="40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</row>
    <row r="29" spans="1:39" ht="15.5" x14ac:dyDescent="0.35">
      <c r="A29" s="8"/>
      <c r="B29" s="8"/>
      <c r="C29" s="7"/>
      <c r="D29" s="7"/>
      <c r="E29" s="8"/>
      <c r="F29" s="8"/>
      <c r="G29" s="8"/>
      <c r="H29" s="8"/>
      <c r="I29" s="8"/>
      <c r="J29" s="8"/>
      <c r="K29" s="40"/>
      <c r="L29" s="40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</row>
    <row r="30" spans="1:39" ht="15.5" x14ac:dyDescent="0.35">
      <c r="A30" s="8"/>
      <c r="B30" s="8"/>
      <c r="C30" s="7"/>
      <c r="D30" s="7"/>
      <c r="E30" s="8"/>
      <c r="F30" s="8"/>
      <c r="G30" s="8"/>
      <c r="H30" s="8"/>
      <c r="I30" s="8"/>
      <c r="J30" s="8"/>
      <c r="K30" s="40"/>
      <c r="L30" s="40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</row>
    <row r="31" spans="1:39" ht="15.5" x14ac:dyDescent="0.35">
      <c r="A31" s="8"/>
      <c r="B31" s="8"/>
      <c r="C31" s="7"/>
      <c r="D31" s="7"/>
      <c r="E31" s="8"/>
      <c r="F31" s="8"/>
      <c r="G31" s="8"/>
      <c r="H31" s="8"/>
      <c r="I31" s="8"/>
      <c r="J31" s="8"/>
      <c r="K31" s="40"/>
      <c r="L31" s="40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</row>
    <row r="32" spans="1:39" ht="15.5" x14ac:dyDescent="0.35">
      <c r="A32" s="8"/>
      <c r="B32" s="8"/>
      <c r="C32" s="7"/>
      <c r="D32" s="7"/>
      <c r="E32" s="8"/>
      <c r="F32" s="8"/>
      <c r="G32" s="8"/>
      <c r="H32" s="8"/>
      <c r="I32" s="8"/>
      <c r="J32" s="8"/>
      <c r="K32" s="40"/>
      <c r="L32" s="40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</row>
    <row r="33" spans="1:39" ht="15.5" x14ac:dyDescent="0.35">
      <c r="A33" s="8"/>
      <c r="B33" s="8"/>
      <c r="C33" s="7"/>
      <c r="D33" s="7"/>
      <c r="E33" s="8"/>
      <c r="F33" s="8"/>
      <c r="G33" s="8"/>
      <c r="H33" s="8"/>
      <c r="I33" s="8"/>
      <c r="J33" s="8"/>
      <c r="K33" s="40"/>
      <c r="L33" s="40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</row>
    <row r="34" spans="1:39" ht="15.5" x14ac:dyDescent="0.35">
      <c r="A34" s="8"/>
      <c r="B34" s="8"/>
      <c r="C34" s="7"/>
      <c r="D34" s="7"/>
      <c r="E34" s="8"/>
      <c r="F34" s="8"/>
      <c r="G34" s="8"/>
      <c r="H34" s="8"/>
      <c r="I34" s="8"/>
      <c r="J34" s="8"/>
      <c r="K34" s="40"/>
      <c r="L34" s="40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</row>
    <row r="35" spans="1:39" ht="15.5" x14ac:dyDescent="0.35">
      <c r="A35" s="8"/>
      <c r="B35" s="8"/>
      <c r="C35" s="7"/>
      <c r="D35" s="7"/>
      <c r="E35" s="8"/>
      <c r="F35" s="8"/>
      <c r="G35" s="8"/>
      <c r="H35" s="8"/>
      <c r="I35" s="8"/>
      <c r="J35" s="8"/>
      <c r="K35" s="40"/>
      <c r="L35" s="40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</row>
    <row r="36" spans="1:39" ht="15.5" x14ac:dyDescent="0.35">
      <c r="A36" s="8"/>
      <c r="B36" s="8"/>
      <c r="C36" s="7"/>
      <c r="D36" s="7"/>
      <c r="E36" s="8"/>
      <c r="F36" s="8"/>
      <c r="G36" s="8"/>
      <c r="H36" s="8"/>
      <c r="I36" s="8"/>
      <c r="J36" s="8"/>
      <c r="K36" s="40"/>
      <c r="L36" s="40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</row>
    <row r="37" spans="1:39" ht="15.5" x14ac:dyDescent="0.35">
      <c r="A37" s="8"/>
      <c r="B37" s="8"/>
      <c r="C37" s="7"/>
      <c r="D37" s="7"/>
      <c r="E37" s="8"/>
      <c r="F37" s="8"/>
      <c r="G37" s="8"/>
      <c r="H37" s="8"/>
      <c r="I37" s="8"/>
      <c r="J37" s="8"/>
      <c r="K37" s="40"/>
      <c r="L37" s="40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</row>
    <row r="38" spans="1:39" ht="15.5" x14ac:dyDescent="0.35">
      <c r="A38" s="8"/>
      <c r="B38" s="8"/>
      <c r="C38" s="7"/>
      <c r="D38" s="7"/>
      <c r="E38" s="8"/>
      <c r="F38" s="8"/>
      <c r="G38" s="8"/>
      <c r="H38" s="8"/>
      <c r="I38" s="8"/>
      <c r="J38" s="8"/>
      <c r="K38" s="40"/>
      <c r="L38" s="40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</row>
    <row r="39" spans="1:39" ht="15.5" x14ac:dyDescent="0.35">
      <c r="A39" s="8"/>
      <c r="B39" s="8"/>
      <c r="C39" s="7"/>
      <c r="D39" s="7"/>
      <c r="E39" s="8"/>
      <c r="F39" s="8"/>
      <c r="G39" s="8"/>
      <c r="H39" s="8"/>
      <c r="I39" s="8"/>
      <c r="J39" s="8"/>
      <c r="K39" s="40"/>
      <c r="L39" s="40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</row>
    <row r="40" spans="1:39" ht="15.5" x14ac:dyDescent="0.35">
      <c r="A40" s="8"/>
      <c r="B40" s="8"/>
      <c r="C40" s="7"/>
      <c r="D40" s="7"/>
      <c r="E40" s="8"/>
      <c r="F40" s="8"/>
      <c r="G40" s="8"/>
      <c r="H40" s="8"/>
      <c r="I40" s="8"/>
      <c r="J40" s="8"/>
      <c r="K40" s="40"/>
      <c r="L40" s="40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</row>
    <row r="41" spans="1:39" ht="15.5" x14ac:dyDescent="0.35">
      <c r="A41" s="8"/>
      <c r="B41" s="8"/>
      <c r="C41" s="7"/>
      <c r="D41" s="7"/>
      <c r="E41" s="8"/>
      <c r="F41" s="8"/>
      <c r="G41" s="8"/>
      <c r="H41" s="8"/>
      <c r="I41" s="8"/>
      <c r="J41" s="8"/>
      <c r="K41" s="40"/>
      <c r="L41" s="40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</row>
    <row r="42" spans="1:39" ht="15.5" x14ac:dyDescent="0.35">
      <c r="A42" s="8"/>
      <c r="B42" s="8"/>
      <c r="C42" s="7"/>
      <c r="D42" s="7"/>
      <c r="E42" s="8"/>
      <c r="F42" s="8"/>
      <c r="G42" s="8"/>
      <c r="H42" s="8"/>
      <c r="I42" s="8"/>
      <c r="J42" s="8"/>
      <c r="K42" s="40"/>
      <c r="L42" s="40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</row>
    <row r="43" spans="1:39" ht="15.5" x14ac:dyDescent="0.35">
      <c r="A43" s="8"/>
      <c r="B43" s="8"/>
      <c r="C43" s="7"/>
      <c r="D43" s="7"/>
      <c r="E43" s="8"/>
      <c r="F43" s="8"/>
      <c r="G43" s="8"/>
      <c r="H43" s="8"/>
      <c r="I43" s="8"/>
      <c r="J43" s="8"/>
      <c r="K43" s="40"/>
      <c r="L43" s="40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</row>
    <row r="44" spans="1:39" ht="15.5" x14ac:dyDescent="0.35">
      <c r="A44" s="8"/>
      <c r="B44" s="8"/>
      <c r="C44" s="7"/>
      <c r="D44" s="7"/>
      <c r="E44" s="8"/>
      <c r="F44" s="8"/>
      <c r="G44" s="8"/>
      <c r="H44" s="8"/>
      <c r="I44" s="8"/>
      <c r="J44" s="8"/>
      <c r="K44" s="40"/>
      <c r="L44" s="40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</row>
    <row r="45" spans="1:39" ht="15.5" x14ac:dyDescent="0.35">
      <c r="A45" s="8"/>
      <c r="B45" s="8"/>
      <c r="C45" s="7"/>
      <c r="D45" s="7"/>
      <c r="E45" s="8"/>
      <c r="F45" s="8"/>
      <c r="G45" s="8"/>
      <c r="H45" s="8"/>
      <c r="I45" s="8"/>
      <c r="J45" s="8"/>
      <c r="K45" s="40"/>
      <c r="L45" s="40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</row>
    <row r="46" spans="1:39" ht="15.5" x14ac:dyDescent="0.35">
      <c r="A46" s="8"/>
      <c r="B46" s="8"/>
      <c r="C46" s="7"/>
      <c r="D46" s="7"/>
      <c r="E46" s="8"/>
      <c r="F46" s="8"/>
      <c r="G46" s="8"/>
      <c r="H46" s="8"/>
      <c r="I46" s="8"/>
      <c r="J46" s="8"/>
      <c r="K46" s="40"/>
      <c r="L46" s="40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</row>
    <row r="47" spans="1:39" ht="15.5" x14ac:dyDescent="0.35">
      <c r="A47" s="8"/>
      <c r="B47" s="8"/>
      <c r="C47" s="7"/>
      <c r="D47" s="7"/>
      <c r="E47" s="8"/>
      <c r="F47" s="8"/>
      <c r="G47" s="8"/>
      <c r="H47" s="8"/>
      <c r="I47" s="8"/>
      <c r="J47" s="8"/>
      <c r="K47" s="40"/>
      <c r="L47" s="40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</row>
    <row r="48" spans="1:39" ht="15.5" x14ac:dyDescent="0.35">
      <c r="A48" s="8"/>
      <c r="B48" s="8"/>
      <c r="C48" s="7"/>
      <c r="D48" s="7"/>
      <c r="E48" s="8"/>
      <c r="F48" s="8"/>
      <c r="G48" s="8"/>
      <c r="H48" s="8"/>
      <c r="I48" s="8"/>
      <c r="J48" s="8"/>
      <c r="K48" s="40"/>
      <c r="L48" s="40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</row>
    <row r="49" spans="1:39" ht="15.5" x14ac:dyDescent="0.35">
      <c r="A49" s="8"/>
      <c r="B49" s="8"/>
      <c r="C49" s="7"/>
      <c r="D49" s="7"/>
      <c r="E49" s="8"/>
      <c r="F49" s="8"/>
      <c r="G49" s="8"/>
      <c r="H49" s="8"/>
      <c r="I49" s="8"/>
      <c r="J49" s="8"/>
      <c r="K49" s="40"/>
      <c r="L49" s="40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</row>
    <row r="50" spans="1:39" ht="15.5" x14ac:dyDescent="0.35">
      <c r="A50" s="8"/>
      <c r="B50" s="8"/>
      <c r="C50" s="7"/>
      <c r="D50" s="7"/>
      <c r="E50" s="8"/>
      <c r="F50" s="8"/>
      <c r="G50" s="8"/>
      <c r="H50" s="8"/>
      <c r="I50" s="8"/>
      <c r="J50" s="8"/>
      <c r="K50" s="40"/>
      <c r="L50" s="40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</row>
    <row r="51" spans="1:39" ht="15.5" x14ac:dyDescent="0.35">
      <c r="A51" s="8"/>
      <c r="B51" s="8"/>
      <c r="C51" s="7"/>
      <c r="D51" s="7"/>
      <c r="E51" s="8"/>
      <c r="F51" s="8"/>
      <c r="G51" s="8"/>
      <c r="H51" s="8"/>
      <c r="I51" s="8"/>
      <c r="J51" s="8"/>
      <c r="K51" s="40"/>
      <c r="L51" s="40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</row>
    <row r="52" spans="1:39" ht="15.5" x14ac:dyDescent="0.35">
      <c r="A52" s="8"/>
      <c r="B52" s="8"/>
      <c r="C52" s="7"/>
      <c r="D52" s="7"/>
      <c r="E52" s="8"/>
      <c r="F52" s="8"/>
      <c r="G52" s="8"/>
      <c r="H52" s="8"/>
      <c r="I52" s="8"/>
      <c r="J52" s="8"/>
      <c r="K52" s="40"/>
      <c r="L52" s="40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</row>
    <row r="53" spans="1:39" ht="15.5" x14ac:dyDescent="0.35">
      <c r="A53" s="8"/>
      <c r="B53" s="8"/>
      <c r="C53" s="7"/>
      <c r="D53" s="7"/>
      <c r="E53" s="8"/>
      <c r="F53" s="8"/>
      <c r="G53" s="8"/>
      <c r="H53" s="8"/>
      <c r="I53" s="8"/>
      <c r="J53" s="8"/>
      <c r="K53" s="40"/>
      <c r="L53" s="40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</row>
    <row r="54" spans="1:39" ht="15.5" x14ac:dyDescent="0.35">
      <c r="A54" s="8"/>
      <c r="B54" s="8"/>
      <c r="C54" s="7"/>
      <c r="D54" s="7"/>
      <c r="E54" s="8"/>
      <c r="F54" s="8"/>
      <c r="G54" s="8"/>
      <c r="H54" s="8"/>
      <c r="I54" s="8"/>
      <c r="J54" s="8"/>
      <c r="K54" s="40"/>
      <c r="L54" s="40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</row>
    <row r="55" spans="1:39" ht="15.5" x14ac:dyDescent="0.35">
      <c r="A55" s="8"/>
      <c r="B55" s="8"/>
      <c r="C55" s="7"/>
      <c r="D55" s="7"/>
      <c r="E55" s="8"/>
      <c r="F55" s="8"/>
      <c r="G55" s="8"/>
      <c r="H55" s="8"/>
      <c r="I55" s="8"/>
      <c r="J55" s="8"/>
      <c r="K55" s="40"/>
      <c r="L55" s="40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</row>
    <row r="56" spans="1:39" ht="15.5" x14ac:dyDescent="0.35">
      <c r="A56" s="8"/>
      <c r="B56" s="8"/>
      <c r="C56" s="7"/>
      <c r="D56" s="7"/>
      <c r="E56" s="8"/>
      <c r="F56" s="8"/>
      <c r="G56" s="8"/>
      <c r="H56" s="8"/>
      <c r="I56" s="8"/>
      <c r="J56" s="8"/>
      <c r="K56" s="40"/>
      <c r="L56" s="40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</row>
    <row r="57" spans="1:39" ht="15.5" x14ac:dyDescent="0.35">
      <c r="A57" s="8"/>
      <c r="B57" s="8"/>
      <c r="C57" s="7"/>
      <c r="D57" s="7"/>
      <c r="E57" s="8"/>
      <c r="F57" s="8"/>
      <c r="G57" s="8"/>
      <c r="H57" s="8"/>
      <c r="I57" s="8"/>
      <c r="J57" s="8"/>
      <c r="K57" s="40"/>
      <c r="L57" s="40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</row>
    <row r="58" spans="1:39" ht="15.5" x14ac:dyDescent="0.35">
      <c r="A58" s="8"/>
      <c r="B58" s="8"/>
      <c r="C58" s="7"/>
      <c r="D58" s="7"/>
      <c r="E58" s="8"/>
      <c r="F58" s="8"/>
      <c r="G58" s="8"/>
      <c r="H58" s="8"/>
      <c r="I58" s="8"/>
      <c r="J58" s="8"/>
      <c r="K58" s="40"/>
      <c r="L58" s="40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</row>
    <row r="59" spans="1:39" ht="15.5" x14ac:dyDescent="0.35">
      <c r="A59" s="8"/>
      <c r="B59" s="8"/>
      <c r="C59" s="7"/>
      <c r="D59" s="7"/>
      <c r="E59" s="8"/>
      <c r="F59" s="8"/>
      <c r="G59" s="8"/>
      <c r="H59" s="8"/>
      <c r="I59" s="8"/>
      <c r="J59" s="8"/>
      <c r="K59" s="40"/>
      <c r="L59" s="40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</row>
    <row r="60" spans="1:39" ht="15.5" x14ac:dyDescent="0.35">
      <c r="A60" s="8"/>
      <c r="B60" s="8"/>
      <c r="C60" s="7"/>
      <c r="D60" s="7"/>
      <c r="E60" s="8"/>
      <c r="F60" s="8"/>
      <c r="G60" s="8"/>
      <c r="H60" s="8"/>
      <c r="I60" s="8"/>
      <c r="J60" s="8"/>
      <c r="K60" s="40"/>
      <c r="L60" s="40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</row>
    <row r="61" spans="1:39" ht="15.5" x14ac:dyDescent="0.35">
      <c r="A61" s="8"/>
      <c r="B61" s="8"/>
      <c r="C61" s="7"/>
      <c r="D61" s="7"/>
      <c r="E61" s="8"/>
      <c r="F61" s="8"/>
      <c r="G61" s="8"/>
      <c r="H61" s="8"/>
      <c r="I61" s="8"/>
      <c r="J61" s="8"/>
      <c r="K61" s="40"/>
      <c r="L61" s="40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</row>
    <row r="62" spans="1:39" ht="15.5" x14ac:dyDescent="0.35">
      <c r="A62" s="8"/>
      <c r="B62" s="8"/>
      <c r="C62" s="7"/>
      <c r="D62" s="7"/>
      <c r="E62" s="8"/>
      <c r="F62" s="8"/>
      <c r="G62" s="8"/>
      <c r="H62" s="8"/>
      <c r="I62" s="8"/>
      <c r="J62" s="8"/>
      <c r="K62" s="40"/>
      <c r="L62" s="40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</row>
    <row r="63" spans="1:39" ht="15.5" x14ac:dyDescent="0.35">
      <c r="A63" s="8"/>
      <c r="B63" s="8"/>
      <c r="C63" s="7"/>
      <c r="D63" s="7"/>
      <c r="E63" s="8"/>
      <c r="F63" s="8"/>
      <c r="G63" s="8"/>
      <c r="H63" s="8"/>
      <c r="I63" s="8"/>
      <c r="J63" s="8"/>
      <c r="K63" s="40"/>
      <c r="L63" s="40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</row>
    <row r="64" spans="1:39" ht="15.5" x14ac:dyDescent="0.35">
      <c r="A64" s="8"/>
      <c r="B64" s="8"/>
      <c r="C64" s="7"/>
      <c r="D64" s="7"/>
      <c r="E64" s="8"/>
      <c r="F64" s="8"/>
      <c r="G64" s="8"/>
      <c r="H64" s="8"/>
      <c r="I64" s="8"/>
      <c r="J64" s="8"/>
      <c r="K64" s="40"/>
      <c r="L64" s="40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</row>
    <row r="65" spans="1:39" ht="15.5" x14ac:dyDescent="0.35">
      <c r="A65" s="8"/>
      <c r="B65" s="8"/>
      <c r="C65" s="7"/>
      <c r="D65" s="7"/>
      <c r="E65" s="8"/>
      <c r="F65" s="8"/>
      <c r="G65" s="8"/>
      <c r="H65" s="8"/>
      <c r="I65" s="8"/>
      <c r="J65" s="8"/>
      <c r="K65" s="40"/>
      <c r="L65" s="40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</row>
    <row r="66" spans="1:39" ht="15.5" x14ac:dyDescent="0.35">
      <c r="A66" s="8"/>
      <c r="B66" s="8"/>
      <c r="C66" s="7"/>
      <c r="D66" s="7"/>
      <c r="E66" s="8"/>
      <c r="F66" s="8"/>
      <c r="G66" s="8"/>
      <c r="H66" s="8"/>
      <c r="I66" s="8"/>
      <c r="J66" s="8"/>
      <c r="K66" s="40"/>
      <c r="L66" s="40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</row>
    <row r="67" spans="1:39" ht="15.5" x14ac:dyDescent="0.35">
      <c r="A67" s="8"/>
      <c r="B67" s="8"/>
      <c r="C67" s="7"/>
      <c r="D67" s="7"/>
      <c r="E67" s="8"/>
      <c r="F67" s="8"/>
      <c r="G67" s="8"/>
      <c r="H67" s="8"/>
      <c r="I67" s="8"/>
      <c r="J67" s="8"/>
      <c r="K67" s="40"/>
      <c r="L67" s="40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</row>
    <row r="68" spans="1:39" ht="15.5" x14ac:dyDescent="0.35">
      <c r="A68" s="8"/>
      <c r="B68" s="8"/>
      <c r="C68" s="7"/>
      <c r="D68" s="7"/>
      <c r="E68" s="8"/>
      <c r="F68" s="8"/>
      <c r="G68" s="8"/>
      <c r="H68" s="8"/>
      <c r="I68" s="8"/>
      <c r="J68" s="8"/>
      <c r="K68" s="40"/>
      <c r="L68" s="40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</row>
    <row r="69" spans="1:39" ht="15.5" x14ac:dyDescent="0.35">
      <c r="A69" s="8"/>
      <c r="B69" s="8"/>
      <c r="C69" s="7"/>
      <c r="D69" s="7"/>
      <c r="E69" s="8"/>
      <c r="F69" s="8"/>
      <c r="G69" s="8"/>
      <c r="H69" s="8"/>
      <c r="I69" s="8"/>
      <c r="J69" s="8"/>
      <c r="K69" s="40"/>
      <c r="L69" s="40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</row>
    <row r="70" spans="1:39" ht="15.5" x14ac:dyDescent="0.35">
      <c r="A70" s="8"/>
      <c r="B70" s="8"/>
      <c r="C70" s="7"/>
      <c r="D70" s="7"/>
      <c r="E70" s="8"/>
      <c r="F70" s="8"/>
      <c r="G70" s="8"/>
      <c r="H70" s="8"/>
      <c r="I70" s="8"/>
      <c r="J70" s="8"/>
      <c r="K70" s="40"/>
      <c r="L70" s="40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</row>
    <row r="71" spans="1:39" ht="15.5" x14ac:dyDescent="0.35">
      <c r="A71" s="8"/>
      <c r="B71" s="8"/>
      <c r="C71" s="7"/>
      <c r="D71" s="7"/>
      <c r="E71" s="8"/>
      <c r="F71" s="8"/>
      <c r="G71" s="8"/>
      <c r="H71" s="8"/>
      <c r="I71" s="8"/>
      <c r="J71" s="8"/>
      <c r="K71" s="40"/>
      <c r="L71" s="40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</row>
    <row r="72" spans="1:39" ht="15.5" x14ac:dyDescent="0.35">
      <c r="A72" s="8"/>
      <c r="B72" s="8"/>
      <c r="C72" s="7"/>
      <c r="D72" s="7"/>
      <c r="E72" s="8"/>
      <c r="F72" s="8"/>
      <c r="G72" s="8"/>
      <c r="H72" s="8"/>
      <c r="I72" s="8"/>
      <c r="J72" s="8"/>
      <c r="K72" s="40"/>
      <c r="L72" s="40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</row>
    <row r="73" spans="1:39" ht="15.5" x14ac:dyDescent="0.35">
      <c r="A73" s="8"/>
      <c r="B73" s="8"/>
      <c r="C73" s="7"/>
      <c r="D73" s="7"/>
      <c r="E73" s="8"/>
      <c r="F73" s="8"/>
      <c r="G73" s="8"/>
      <c r="H73" s="8"/>
      <c r="I73" s="8"/>
      <c r="J73" s="8"/>
      <c r="K73" s="40"/>
      <c r="L73" s="40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</row>
    <row r="74" spans="1:39" ht="15.5" x14ac:dyDescent="0.35">
      <c r="A74" s="8"/>
      <c r="B74" s="8"/>
      <c r="C74" s="7"/>
      <c r="D74" s="7"/>
      <c r="E74" s="8"/>
      <c r="F74" s="8"/>
      <c r="G74" s="8"/>
      <c r="H74" s="8"/>
      <c r="I74" s="8"/>
      <c r="J74" s="8"/>
      <c r="K74" s="40"/>
      <c r="L74" s="40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</row>
    <row r="75" spans="1:39" ht="15.5" x14ac:dyDescent="0.35">
      <c r="A75" s="8"/>
      <c r="B75" s="8"/>
      <c r="C75" s="7"/>
      <c r="D75" s="7"/>
      <c r="E75" s="8"/>
      <c r="F75" s="8"/>
      <c r="G75" s="8"/>
      <c r="H75" s="8"/>
      <c r="I75" s="8"/>
      <c r="J75" s="8"/>
      <c r="K75" s="40"/>
      <c r="L75" s="40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</row>
    <row r="76" spans="1:39" ht="15.5" x14ac:dyDescent="0.35">
      <c r="A76" s="8"/>
      <c r="B76" s="8"/>
      <c r="C76" s="7"/>
      <c r="D76" s="7"/>
      <c r="E76" s="8"/>
      <c r="F76" s="8"/>
      <c r="G76" s="8"/>
      <c r="H76" s="8"/>
      <c r="I76" s="8"/>
      <c r="J76" s="8"/>
      <c r="K76" s="40"/>
      <c r="L76" s="40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</row>
    <row r="77" spans="1:39" ht="15.5" x14ac:dyDescent="0.35">
      <c r="A77" s="8"/>
      <c r="B77" s="8"/>
      <c r="C77" s="7"/>
      <c r="D77" s="7"/>
      <c r="E77" s="8"/>
      <c r="F77" s="8"/>
      <c r="G77" s="8"/>
      <c r="H77" s="8"/>
      <c r="I77" s="8"/>
      <c r="J77" s="8"/>
      <c r="K77" s="40"/>
      <c r="L77" s="40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</row>
    <row r="78" spans="1:39" ht="15.5" x14ac:dyDescent="0.35">
      <c r="A78" s="8"/>
      <c r="B78" s="8"/>
      <c r="C78" s="7"/>
      <c r="D78" s="7"/>
      <c r="E78" s="8"/>
      <c r="F78" s="8"/>
      <c r="G78" s="8"/>
      <c r="H78" s="8"/>
      <c r="I78" s="8"/>
      <c r="J78" s="8"/>
      <c r="K78" s="40"/>
      <c r="L78" s="40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</row>
    <row r="79" spans="1:39" ht="15.5" x14ac:dyDescent="0.35">
      <c r="A79" s="8"/>
      <c r="B79" s="8"/>
      <c r="C79" s="7"/>
      <c r="D79" s="7"/>
      <c r="E79" s="8"/>
      <c r="F79" s="8"/>
      <c r="G79" s="8"/>
      <c r="H79" s="8"/>
      <c r="I79" s="8"/>
      <c r="J79" s="8"/>
      <c r="K79" s="40"/>
      <c r="L79" s="40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</row>
    <row r="80" spans="1:39" ht="15.5" x14ac:dyDescent="0.35">
      <c r="A80" s="8"/>
      <c r="B80" s="8"/>
      <c r="C80" s="7"/>
      <c r="D80" s="7"/>
      <c r="E80" s="8"/>
      <c r="F80" s="8"/>
      <c r="G80" s="8"/>
      <c r="H80" s="8"/>
      <c r="I80" s="8"/>
      <c r="J80" s="8"/>
      <c r="K80" s="40"/>
      <c r="L80" s="40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</row>
    <row r="81" spans="1:39" ht="15.5" x14ac:dyDescent="0.35">
      <c r="A81" s="8"/>
      <c r="B81" s="8"/>
      <c r="C81" s="7"/>
      <c r="D81" s="7"/>
      <c r="E81" s="8"/>
      <c r="F81" s="8"/>
      <c r="G81" s="8"/>
      <c r="H81" s="8"/>
      <c r="I81" s="8"/>
      <c r="J81" s="8"/>
      <c r="K81" s="40"/>
      <c r="L81" s="40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</row>
    <row r="82" spans="1:39" ht="15.5" x14ac:dyDescent="0.35">
      <c r="A82" s="8"/>
      <c r="B82" s="8"/>
      <c r="C82" s="7"/>
      <c r="D82" s="7"/>
      <c r="E82" s="8"/>
      <c r="F82" s="8"/>
      <c r="G82" s="8"/>
      <c r="H82" s="8"/>
      <c r="I82" s="8"/>
      <c r="J82" s="8"/>
      <c r="K82" s="40"/>
      <c r="L82" s="40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</row>
    <row r="83" spans="1:39" ht="15.5" x14ac:dyDescent="0.35">
      <c r="A83" s="8"/>
      <c r="B83" s="8"/>
      <c r="C83" s="7"/>
      <c r="D83" s="7"/>
      <c r="E83" s="8"/>
      <c r="F83" s="8"/>
      <c r="G83" s="8"/>
      <c r="H83" s="8"/>
      <c r="I83" s="8"/>
      <c r="J83" s="8"/>
      <c r="K83" s="40"/>
      <c r="L83" s="40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</row>
    <row r="84" spans="1:39" ht="15.5" x14ac:dyDescent="0.35">
      <c r="A84" s="8"/>
      <c r="B84" s="8"/>
      <c r="C84" s="7"/>
      <c r="D84" s="7"/>
      <c r="E84" s="8"/>
      <c r="F84" s="8"/>
      <c r="G84" s="8"/>
      <c r="H84" s="8"/>
      <c r="I84" s="8"/>
      <c r="J84" s="8"/>
      <c r="K84" s="40"/>
      <c r="L84" s="40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</row>
    <row r="85" spans="1:39" ht="15.5" x14ac:dyDescent="0.35">
      <c r="A85" s="8"/>
      <c r="B85" s="8"/>
      <c r="C85" s="7"/>
      <c r="D85" s="7"/>
      <c r="E85" s="8"/>
      <c r="F85" s="8"/>
      <c r="G85" s="8"/>
      <c r="H85" s="8"/>
      <c r="I85" s="8"/>
      <c r="J85" s="8"/>
      <c r="K85" s="40"/>
      <c r="L85" s="40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</row>
    <row r="86" spans="1:39" ht="15.5" x14ac:dyDescent="0.35">
      <c r="A86" s="8"/>
      <c r="B86" s="8"/>
      <c r="C86" s="7"/>
      <c r="D86" s="7"/>
      <c r="E86" s="8"/>
      <c r="F86" s="8"/>
      <c r="G86" s="8"/>
      <c r="H86" s="8"/>
      <c r="I86" s="8"/>
      <c r="J86" s="8"/>
      <c r="K86" s="40"/>
      <c r="L86" s="40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</row>
    <row r="87" spans="1:39" ht="15.5" x14ac:dyDescent="0.35">
      <c r="A87" s="8"/>
      <c r="B87" s="8"/>
      <c r="C87" s="7"/>
      <c r="D87" s="7"/>
      <c r="E87" s="8"/>
      <c r="F87" s="8"/>
      <c r="G87" s="8"/>
      <c r="H87" s="8"/>
      <c r="I87" s="8"/>
      <c r="J87" s="8"/>
      <c r="K87" s="40"/>
      <c r="L87" s="40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</row>
    <row r="88" spans="1:39" ht="15.5" x14ac:dyDescent="0.35">
      <c r="A88" s="8"/>
      <c r="B88" s="8"/>
      <c r="C88" s="7"/>
      <c r="D88" s="7"/>
      <c r="E88" s="8"/>
      <c r="F88" s="8"/>
      <c r="G88" s="8"/>
      <c r="H88" s="8"/>
      <c r="I88" s="8"/>
      <c r="J88" s="8"/>
      <c r="K88" s="40"/>
      <c r="L88" s="40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</row>
    <row r="89" spans="1:39" ht="15.5" x14ac:dyDescent="0.35">
      <c r="A89" s="8"/>
      <c r="B89" s="8"/>
      <c r="C89" s="7"/>
      <c r="D89" s="7"/>
      <c r="E89" s="8"/>
      <c r="F89" s="8"/>
      <c r="G89" s="8"/>
      <c r="H89" s="8"/>
      <c r="I89" s="8"/>
      <c r="J89" s="8"/>
      <c r="K89" s="40"/>
      <c r="L89" s="40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</row>
    <row r="90" spans="1:39" ht="15.5" x14ac:dyDescent="0.35">
      <c r="A90" s="8"/>
      <c r="B90" s="8"/>
      <c r="C90" s="7"/>
      <c r="D90" s="7"/>
      <c r="E90" s="8"/>
      <c r="F90" s="8"/>
      <c r="G90" s="8"/>
      <c r="H90" s="8"/>
      <c r="I90" s="8"/>
      <c r="J90" s="8"/>
      <c r="K90" s="40"/>
      <c r="L90" s="40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</row>
    <row r="91" spans="1:39" ht="15.5" x14ac:dyDescent="0.35">
      <c r="A91" s="8"/>
      <c r="B91" s="8"/>
      <c r="C91" s="7"/>
      <c r="D91" s="7"/>
      <c r="E91" s="8"/>
      <c r="F91" s="8"/>
      <c r="G91" s="8"/>
      <c r="H91" s="8"/>
      <c r="I91" s="8"/>
      <c r="J91" s="8"/>
      <c r="K91" s="40"/>
      <c r="L91" s="40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</row>
    <row r="92" spans="1:39" ht="15.5" x14ac:dyDescent="0.35">
      <c r="A92" s="8"/>
      <c r="B92" s="8"/>
      <c r="C92" s="7"/>
      <c r="D92" s="7"/>
      <c r="E92" s="8"/>
      <c r="F92" s="8"/>
      <c r="G92" s="8"/>
      <c r="H92" s="8"/>
      <c r="I92" s="8"/>
      <c r="J92" s="8"/>
      <c r="K92" s="40"/>
      <c r="L92" s="40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</row>
    <row r="93" spans="1:39" ht="15.5" x14ac:dyDescent="0.35">
      <c r="A93" s="8"/>
      <c r="B93" s="8"/>
      <c r="C93" s="7"/>
      <c r="D93" s="7"/>
      <c r="E93" s="8"/>
      <c r="F93" s="8"/>
      <c r="G93" s="8"/>
      <c r="H93" s="8"/>
      <c r="I93" s="8"/>
      <c r="J93" s="8"/>
      <c r="K93" s="40"/>
      <c r="L93" s="40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</row>
    <row r="94" spans="1:39" ht="15.5" x14ac:dyDescent="0.35">
      <c r="A94" s="8"/>
      <c r="B94" s="8"/>
      <c r="C94" s="7"/>
      <c r="D94" s="7"/>
      <c r="E94" s="8"/>
      <c r="F94" s="8"/>
      <c r="G94" s="8"/>
      <c r="H94" s="8"/>
      <c r="I94" s="8"/>
      <c r="J94" s="8"/>
      <c r="K94" s="40"/>
      <c r="L94" s="40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</row>
    <row r="95" spans="1:39" ht="15.5" x14ac:dyDescent="0.35">
      <c r="A95" s="8"/>
      <c r="B95" s="8"/>
      <c r="C95" s="7"/>
      <c r="D95" s="7"/>
      <c r="E95" s="8"/>
      <c r="F95" s="8"/>
      <c r="G95" s="8"/>
      <c r="H95" s="8"/>
      <c r="I95" s="8"/>
      <c r="J95" s="8"/>
      <c r="K95" s="40"/>
      <c r="L95" s="40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</row>
    <row r="96" spans="1:39" ht="15.5" x14ac:dyDescent="0.35">
      <c r="A96" s="8"/>
      <c r="B96" s="8"/>
      <c r="C96" s="7"/>
      <c r="D96" s="7"/>
      <c r="E96" s="8"/>
      <c r="F96" s="8"/>
      <c r="G96" s="8"/>
      <c r="H96" s="8"/>
      <c r="I96" s="8"/>
      <c r="J96" s="8"/>
      <c r="K96" s="40"/>
      <c r="L96" s="40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</row>
    <row r="97" spans="1:39" ht="15.5" x14ac:dyDescent="0.35">
      <c r="A97" s="8"/>
      <c r="B97" s="8"/>
      <c r="C97" s="7"/>
      <c r="D97" s="7"/>
      <c r="E97" s="8"/>
      <c r="F97" s="8"/>
      <c r="G97" s="8"/>
      <c r="H97" s="8"/>
      <c r="I97" s="8"/>
      <c r="J97" s="8"/>
      <c r="K97" s="40"/>
      <c r="L97" s="40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</row>
    <row r="98" spans="1:39" ht="15.5" x14ac:dyDescent="0.35">
      <c r="A98" s="8"/>
      <c r="B98" s="8"/>
      <c r="C98" s="7"/>
      <c r="D98" s="7"/>
      <c r="E98" s="8"/>
      <c r="F98" s="8"/>
      <c r="G98" s="8"/>
      <c r="H98" s="8"/>
      <c r="I98" s="8"/>
      <c r="J98" s="8"/>
      <c r="K98" s="40"/>
      <c r="L98" s="40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</row>
    <row r="99" spans="1:39" ht="15.5" x14ac:dyDescent="0.35">
      <c r="A99" s="8"/>
      <c r="B99" s="8"/>
      <c r="C99" s="7"/>
      <c r="D99" s="7"/>
      <c r="E99" s="8"/>
      <c r="F99" s="8"/>
      <c r="G99" s="8"/>
      <c r="H99" s="8"/>
      <c r="I99" s="8"/>
      <c r="J99" s="8"/>
      <c r="K99" s="40"/>
      <c r="L99" s="40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</row>
    <row r="100" spans="1:39" ht="15.5" x14ac:dyDescent="0.35">
      <c r="A100" s="8"/>
      <c r="B100" s="8"/>
      <c r="C100" s="7"/>
      <c r="D100" s="7"/>
      <c r="E100" s="8"/>
      <c r="F100" s="8"/>
      <c r="G100" s="8"/>
      <c r="H100" s="8"/>
      <c r="I100" s="8"/>
      <c r="J100" s="8"/>
      <c r="K100" s="40"/>
      <c r="L100" s="40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</row>
  </sheetData>
  <mergeCells count="17">
    <mergeCell ref="M3:R3"/>
    <mergeCell ref="O4:P4"/>
    <mergeCell ref="Q4:R4"/>
    <mergeCell ref="T3:Y3"/>
    <mergeCell ref="AA3:AF3"/>
    <mergeCell ref="B4:B5"/>
    <mergeCell ref="E4:E5"/>
    <mergeCell ref="F4:F5"/>
    <mergeCell ref="G4:H4"/>
    <mergeCell ref="I4:J4"/>
    <mergeCell ref="AH3:AM3"/>
    <mergeCell ref="V4:W4"/>
    <mergeCell ref="AJ4:AK4"/>
    <mergeCell ref="AL4:AM4"/>
    <mergeCell ref="AE4:AF4"/>
    <mergeCell ref="X4:Y4"/>
    <mergeCell ref="AC4:AD4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100"/>
  <sheetViews>
    <sheetView workbookViewId="0">
      <pane ySplit="5" topLeftCell="A20" activePane="bottomLeft" state="frozen"/>
      <selection pane="bottomLeft" activeCell="B7" sqref="B7"/>
    </sheetView>
  </sheetViews>
  <sheetFormatPr defaultColWidth="14.453125" defaultRowHeight="15" customHeight="1" x14ac:dyDescent="0.35"/>
  <cols>
    <col min="1" max="1" width="9.1796875" customWidth="1"/>
    <col min="2" max="2" width="31.7265625" customWidth="1"/>
    <col min="3" max="4" width="9.1796875" customWidth="1"/>
    <col min="5" max="10" width="15.7265625" customWidth="1"/>
    <col min="11" max="14" width="9.1796875" customWidth="1"/>
    <col min="15" max="15" width="18.81640625" customWidth="1"/>
    <col min="16" max="16" width="20.26953125" customWidth="1"/>
    <col min="17" max="18" width="18.54296875" customWidth="1"/>
    <col min="19" max="21" width="9.1796875" customWidth="1"/>
    <col min="22" max="22" width="18.1796875" customWidth="1"/>
    <col min="23" max="23" width="18.54296875" customWidth="1"/>
    <col min="24" max="24" width="16" customWidth="1"/>
    <col min="25" max="25" width="18.81640625" customWidth="1"/>
    <col min="26" max="28" width="9.1796875" customWidth="1"/>
    <col min="29" max="32" width="15.7265625" customWidth="1"/>
    <col min="33" max="35" width="9.1796875" customWidth="1"/>
    <col min="36" max="39" width="15.7265625" customWidth="1"/>
  </cols>
  <sheetData>
    <row r="1" spans="1:39" ht="14.25" customHeight="1" x14ac:dyDescent="0.35">
      <c r="A1" s="8"/>
      <c r="B1" s="8"/>
      <c r="C1" s="7"/>
      <c r="D1" s="7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</row>
    <row r="2" spans="1:39" ht="14.25" customHeight="1" x14ac:dyDescent="0.35">
      <c r="A2" s="8"/>
      <c r="B2" s="8"/>
      <c r="C2" s="7"/>
      <c r="D2" s="7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</row>
    <row r="3" spans="1:39" ht="16.5" customHeight="1" x14ac:dyDescent="0.35">
      <c r="A3" s="8"/>
      <c r="B3" s="8"/>
      <c r="C3" s="7"/>
      <c r="D3" s="7"/>
      <c r="E3" s="8"/>
      <c r="F3" s="8"/>
      <c r="G3" s="8"/>
      <c r="H3" s="8"/>
      <c r="I3" s="8"/>
      <c r="J3" s="8"/>
      <c r="K3" s="8"/>
      <c r="L3" s="8"/>
      <c r="M3" s="68" t="s">
        <v>12</v>
      </c>
      <c r="N3" s="69"/>
      <c r="O3" s="69"/>
      <c r="P3" s="69"/>
      <c r="Q3" s="69"/>
      <c r="R3" s="69"/>
      <c r="S3" s="8"/>
      <c r="T3" s="68" t="s">
        <v>13</v>
      </c>
      <c r="U3" s="69"/>
      <c r="V3" s="69"/>
      <c r="W3" s="69"/>
      <c r="X3" s="69"/>
      <c r="Y3" s="69"/>
      <c r="Z3" s="8"/>
      <c r="AA3" s="68" t="s">
        <v>14</v>
      </c>
      <c r="AB3" s="69"/>
      <c r="AC3" s="69"/>
      <c r="AD3" s="69"/>
      <c r="AE3" s="69"/>
      <c r="AF3" s="69"/>
      <c r="AG3" s="8"/>
      <c r="AH3" s="68" t="s">
        <v>15</v>
      </c>
      <c r="AI3" s="69"/>
      <c r="AJ3" s="69"/>
      <c r="AK3" s="69"/>
      <c r="AL3" s="69"/>
      <c r="AM3" s="69"/>
    </row>
    <row r="4" spans="1:39" ht="30" customHeight="1" x14ac:dyDescent="0.35">
      <c r="A4" s="8"/>
      <c r="B4" s="72" t="s">
        <v>62</v>
      </c>
      <c r="C4" s="12" t="s">
        <v>17</v>
      </c>
      <c r="D4" s="13" t="s">
        <v>18</v>
      </c>
      <c r="E4" s="78" t="s">
        <v>63</v>
      </c>
      <c r="F4" s="76" t="s">
        <v>64</v>
      </c>
      <c r="G4" s="70" t="s">
        <v>20</v>
      </c>
      <c r="H4" s="71"/>
      <c r="I4" s="70" t="s">
        <v>2</v>
      </c>
      <c r="J4" s="71"/>
      <c r="K4" s="8"/>
      <c r="L4" s="8"/>
      <c r="M4" s="12" t="s">
        <v>17</v>
      </c>
      <c r="N4" s="13" t="s">
        <v>18</v>
      </c>
      <c r="O4" s="70" t="s">
        <v>20</v>
      </c>
      <c r="P4" s="71"/>
      <c r="Q4" s="70" t="s">
        <v>2</v>
      </c>
      <c r="R4" s="71"/>
      <c r="S4" s="8"/>
      <c r="T4" s="12" t="s">
        <v>17</v>
      </c>
      <c r="U4" s="13" t="s">
        <v>18</v>
      </c>
      <c r="V4" s="70" t="s">
        <v>20</v>
      </c>
      <c r="W4" s="71"/>
      <c r="X4" s="70" t="s">
        <v>2</v>
      </c>
      <c r="Y4" s="71"/>
      <c r="Z4" s="8"/>
      <c r="AA4" s="12" t="s">
        <v>17</v>
      </c>
      <c r="AB4" s="13" t="s">
        <v>18</v>
      </c>
      <c r="AC4" s="70" t="s">
        <v>20</v>
      </c>
      <c r="AD4" s="71"/>
      <c r="AE4" s="70" t="s">
        <v>2</v>
      </c>
      <c r="AF4" s="71"/>
      <c r="AG4" s="8"/>
      <c r="AH4" s="12" t="s">
        <v>17</v>
      </c>
      <c r="AI4" s="13" t="s">
        <v>18</v>
      </c>
      <c r="AJ4" s="70" t="s">
        <v>20</v>
      </c>
      <c r="AK4" s="71"/>
      <c r="AL4" s="70" t="s">
        <v>2</v>
      </c>
      <c r="AM4" s="71"/>
    </row>
    <row r="5" spans="1:39" ht="14.25" customHeight="1" x14ac:dyDescent="0.35">
      <c r="A5" s="8"/>
      <c r="B5" s="73"/>
      <c r="C5" s="12" t="s">
        <v>65</v>
      </c>
      <c r="D5" s="12" t="s">
        <v>65</v>
      </c>
      <c r="E5" s="75"/>
      <c r="F5" s="73"/>
      <c r="G5" s="14" t="s">
        <v>22</v>
      </c>
      <c r="H5" s="15" t="s">
        <v>23</v>
      </c>
      <c r="I5" s="14" t="s">
        <v>22</v>
      </c>
      <c r="J5" s="15" t="s">
        <v>24</v>
      </c>
      <c r="K5" s="8"/>
      <c r="L5" s="8"/>
      <c r="M5" s="12" t="s">
        <v>65</v>
      </c>
      <c r="N5" s="12" t="s">
        <v>65</v>
      </c>
      <c r="O5" s="14" t="s">
        <v>22</v>
      </c>
      <c r="P5" s="15" t="s">
        <v>23</v>
      </c>
      <c r="Q5" s="14" t="s">
        <v>22</v>
      </c>
      <c r="R5" s="15" t="s">
        <v>24</v>
      </c>
      <c r="S5" s="8"/>
      <c r="T5" s="12" t="s">
        <v>65</v>
      </c>
      <c r="U5" s="12" t="s">
        <v>65</v>
      </c>
      <c r="V5" s="14" t="s">
        <v>22</v>
      </c>
      <c r="W5" s="15" t="s">
        <v>23</v>
      </c>
      <c r="X5" s="14" t="s">
        <v>22</v>
      </c>
      <c r="Y5" s="15" t="s">
        <v>24</v>
      </c>
      <c r="Z5" s="8"/>
      <c r="AA5" s="12" t="s">
        <v>65</v>
      </c>
      <c r="AB5" s="12" t="s">
        <v>65</v>
      </c>
      <c r="AC5" s="14" t="s">
        <v>22</v>
      </c>
      <c r="AD5" s="15" t="s">
        <v>23</v>
      </c>
      <c r="AE5" s="14" t="s">
        <v>22</v>
      </c>
      <c r="AF5" s="15" t="s">
        <v>24</v>
      </c>
      <c r="AG5" s="8"/>
      <c r="AH5" s="12" t="s">
        <v>65</v>
      </c>
      <c r="AI5" s="12" t="s">
        <v>65</v>
      </c>
      <c r="AJ5" s="14" t="s">
        <v>22</v>
      </c>
      <c r="AK5" s="15" t="s">
        <v>23</v>
      </c>
      <c r="AL5" s="14" t="s">
        <v>22</v>
      </c>
      <c r="AM5" s="15" t="s">
        <v>24</v>
      </c>
    </row>
    <row r="6" spans="1:39" ht="14.25" customHeight="1" x14ac:dyDescent="0.35">
      <c r="A6" s="8"/>
      <c r="B6" s="20" t="s">
        <v>80</v>
      </c>
      <c r="C6">
        <f t="shared" ref="C6:D6" si="0">M6+T6+AA6+AH6</f>
        <v>27</v>
      </c>
      <c r="D6">
        <f t="shared" si="0"/>
        <v>27</v>
      </c>
      <c r="E6" s="43">
        <v>36</v>
      </c>
      <c r="F6" s="44">
        <v>2800</v>
      </c>
      <c r="G6" s="10">
        <f t="shared" ref="G6:G48" si="1">C6*F6/E6</f>
        <v>2100</v>
      </c>
      <c r="H6" s="10">
        <f t="shared" ref="H6:H49" si="2">G6*8</f>
        <v>16800</v>
      </c>
      <c r="I6" s="10">
        <f t="shared" ref="I6:I48" si="3">D6*F6/E6</f>
        <v>2100</v>
      </c>
      <c r="J6" s="10">
        <f t="shared" ref="J6:J49" si="4">I6*4</f>
        <v>8400</v>
      </c>
      <c r="K6" s="41">
        <f t="shared" ref="K6:K49" si="5">(O6+V6+AC6+AJ6)-G6</f>
        <v>0</v>
      </c>
      <c r="L6" s="41">
        <f t="shared" ref="L6:L49" si="6">(Q6+X6+AE6+AL6)-I6</f>
        <v>0</v>
      </c>
      <c r="M6">
        <v>20</v>
      </c>
      <c r="N6">
        <v>20</v>
      </c>
      <c r="O6" s="10">
        <f t="shared" ref="O6:O48" si="7">M6*F6/E6</f>
        <v>1555.5555555555557</v>
      </c>
      <c r="P6" s="10">
        <f t="shared" ref="P6:P49" si="8">O6*8</f>
        <v>12444.444444444445</v>
      </c>
      <c r="Q6" s="10">
        <f t="shared" ref="Q6:Q48" si="9">N6*F6/E6</f>
        <v>1555.5555555555557</v>
      </c>
      <c r="R6" s="10">
        <f t="shared" ref="R6:R49" si="10">Q6*4</f>
        <v>6222.2222222222226</v>
      </c>
      <c r="S6" s="8"/>
      <c r="T6" s="8">
        <v>6</v>
      </c>
      <c r="U6" s="8">
        <v>6</v>
      </c>
      <c r="V6" s="10">
        <f t="shared" ref="V6:V48" si="11">T6*F6/E6</f>
        <v>466.66666666666669</v>
      </c>
      <c r="W6" s="10">
        <f t="shared" ref="W6:W49" si="12">V6*8</f>
        <v>3733.3333333333335</v>
      </c>
      <c r="X6" s="10">
        <f t="shared" ref="X6:X48" si="13">U6*F6/E6</f>
        <v>466.66666666666669</v>
      </c>
      <c r="Y6" s="10">
        <f t="shared" ref="Y6:Y49" si="14">X6*4</f>
        <v>1866.6666666666667</v>
      </c>
      <c r="Z6" s="8"/>
      <c r="AA6" s="8">
        <v>0.5</v>
      </c>
      <c r="AB6" s="8">
        <v>0.5</v>
      </c>
      <c r="AC6" s="10">
        <f t="shared" ref="AC6:AC48" si="15">AA6*F6/E6</f>
        <v>38.888888888888886</v>
      </c>
      <c r="AD6" s="10">
        <f t="shared" ref="AD6:AD49" si="16">AC6*8</f>
        <v>311.11111111111109</v>
      </c>
      <c r="AE6" s="10">
        <f t="shared" ref="AE6:AE48" si="17">AB6*F6/E6</f>
        <v>38.888888888888886</v>
      </c>
      <c r="AF6" s="10">
        <f t="shared" ref="AF6:AF49" si="18">AE6*4</f>
        <v>155.55555555555554</v>
      </c>
      <c r="AG6" s="8"/>
      <c r="AH6" s="8">
        <v>0.5</v>
      </c>
      <c r="AI6" s="8">
        <v>0.5</v>
      </c>
      <c r="AJ6" s="10">
        <f t="shared" ref="AJ6:AJ48" si="19">AH6*F6/E6</f>
        <v>38.888888888888886</v>
      </c>
      <c r="AK6" s="10">
        <f t="shared" ref="AK6:AK49" si="20">AJ6*8</f>
        <v>311.11111111111109</v>
      </c>
      <c r="AL6" s="10">
        <f t="shared" ref="AL6:AL48" si="21">AI6*F6/E6</f>
        <v>38.888888888888886</v>
      </c>
      <c r="AM6" s="10">
        <f t="shared" ref="AM6:AM49" si="22">AL6*4</f>
        <v>155.55555555555554</v>
      </c>
    </row>
    <row r="7" spans="1:39" ht="14.25" customHeight="1" x14ac:dyDescent="0.35">
      <c r="A7" s="8"/>
      <c r="B7" s="20" t="s">
        <v>81</v>
      </c>
      <c r="C7">
        <f t="shared" ref="C7:D7" si="23">M7+T7+AA7+AH7</f>
        <v>14</v>
      </c>
      <c r="D7">
        <f t="shared" si="23"/>
        <v>14</v>
      </c>
      <c r="E7" s="43">
        <v>36</v>
      </c>
      <c r="F7" s="44">
        <v>4000</v>
      </c>
      <c r="G7" s="10">
        <f t="shared" si="1"/>
        <v>1555.5555555555557</v>
      </c>
      <c r="H7" s="10">
        <f t="shared" si="2"/>
        <v>12444.444444444445</v>
      </c>
      <c r="I7" s="10">
        <f t="shared" si="3"/>
        <v>1555.5555555555557</v>
      </c>
      <c r="J7" s="10">
        <f t="shared" si="4"/>
        <v>6222.2222222222226</v>
      </c>
      <c r="K7" s="41">
        <f t="shared" si="5"/>
        <v>0</v>
      </c>
      <c r="L7" s="41">
        <f t="shared" si="6"/>
        <v>0</v>
      </c>
      <c r="M7">
        <v>10</v>
      </c>
      <c r="N7">
        <v>10</v>
      </c>
      <c r="O7" s="10">
        <f t="shared" si="7"/>
        <v>1111.1111111111111</v>
      </c>
      <c r="P7" s="10">
        <f t="shared" si="8"/>
        <v>8888.8888888888887</v>
      </c>
      <c r="Q7" s="10">
        <f t="shared" si="9"/>
        <v>1111.1111111111111</v>
      </c>
      <c r="R7" s="10">
        <f t="shared" si="10"/>
        <v>4444.4444444444443</v>
      </c>
      <c r="S7" s="8"/>
      <c r="T7" s="8">
        <v>3</v>
      </c>
      <c r="U7" s="8">
        <v>3</v>
      </c>
      <c r="V7" s="10">
        <f t="shared" si="11"/>
        <v>333.33333333333331</v>
      </c>
      <c r="W7" s="10">
        <f t="shared" si="12"/>
        <v>2666.6666666666665</v>
      </c>
      <c r="X7" s="10">
        <f t="shared" si="13"/>
        <v>333.33333333333331</v>
      </c>
      <c r="Y7" s="10">
        <f t="shared" si="14"/>
        <v>1333.3333333333333</v>
      </c>
      <c r="Z7" s="8"/>
      <c r="AA7" s="8">
        <v>0.5</v>
      </c>
      <c r="AB7" s="8">
        <v>0.5</v>
      </c>
      <c r="AC7" s="10">
        <f t="shared" si="15"/>
        <v>55.555555555555557</v>
      </c>
      <c r="AD7" s="10">
        <f t="shared" si="16"/>
        <v>444.44444444444446</v>
      </c>
      <c r="AE7" s="10">
        <f t="shared" si="17"/>
        <v>55.555555555555557</v>
      </c>
      <c r="AF7" s="10">
        <f t="shared" si="18"/>
        <v>222.22222222222223</v>
      </c>
      <c r="AG7" s="8"/>
      <c r="AH7" s="8">
        <v>0.5</v>
      </c>
      <c r="AI7" s="8">
        <v>0.5</v>
      </c>
      <c r="AJ7" s="10">
        <f t="shared" si="19"/>
        <v>55.555555555555557</v>
      </c>
      <c r="AK7" s="10">
        <f t="shared" si="20"/>
        <v>444.44444444444446</v>
      </c>
      <c r="AL7" s="10">
        <f t="shared" si="21"/>
        <v>55.555555555555557</v>
      </c>
      <c r="AM7" s="10">
        <f t="shared" si="22"/>
        <v>222.22222222222223</v>
      </c>
    </row>
    <row r="8" spans="1:39" ht="14.25" customHeight="1" x14ac:dyDescent="0.35">
      <c r="A8" s="8"/>
      <c r="B8" s="20" t="s">
        <v>82</v>
      </c>
      <c r="C8">
        <f t="shared" ref="C8:D8" si="24">M8+T8+AA8+AH8</f>
        <v>6</v>
      </c>
      <c r="D8">
        <f t="shared" si="24"/>
        <v>6</v>
      </c>
      <c r="E8" s="43">
        <v>36</v>
      </c>
      <c r="F8" s="44">
        <v>6500</v>
      </c>
      <c r="G8" s="10">
        <f t="shared" si="1"/>
        <v>1083.3333333333333</v>
      </c>
      <c r="H8" s="10">
        <f t="shared" si="2"/>
        <v>8666.6666666666661</v>
      </c>
      <c r="I8" s="10">
        <f t="shared" si="3"/>
        <v>1083.3333333333333</v>
      </c>
      <c r="J8" s="10">
        <f t="shared" si="4"/>
        <v>4333.333333333333</v>
      </c>
      <c r="K8" s="41">
        <f t="shared" si="5"/>
        <v>0</v>
      </c>
      <c r="L8" s="41">
        <f t="shared" si="6"/>
        <v>0</v>
      </c>
      <c r="M8">
        <v>4</v>
      </c>
      <c r="N8">
        <v>4</v>
      </c>
      <c r="O8" s="10">
        <f t="shared" si="7"/>
        <v>722.22222222222217</v>
      </c>
      <c r="P8" s="10">
        <f t="shared" si="8"/>
        <v>5777.7777777777774</v>
      </c>
      <c r="Q8" s="10">
        <f t="shared" si="9"/>
        <v>722.22222222222217</v>
      </c>
      <c r="R8" s="10">
        <f t="shared" si="10"/>
        <v>2888.8888888888887</v>
      </c>
      <c r="S8" s="8"/>
      <c r="T8" s="8">
        <v>2</v>
      </c>
      <c r="U8" s="8">
        <v>2</v>
      </c>
      <c r="V8" s="10">
        <f t="shared" si="11"/>
        <v>361.11111111111109</v>
      </c>
      <c r="W8" s="10">
        <f t="shared" si="12"/>
        <v>2888.8888888888887</v>
      </c>
      <c r="X8" s="10">
        <f t="shared" si="13"/>
        <v>361.11111111111109</v>
      </c>
      <c r="Y8" s="10">
        <f t="shared" si="14"/>
        <v>1444.4444444444443</v>
      </c>
      <c r="Z8" s="8"/>
      <c r="AA8" s="8"/>
      <c r="AB8" s="8"/>
      <c r="AC8" s="10">
        <f t="shared" si="15"/>
        <v>0</v>
      </c>
      <c r="AD8" s="10">
        <f t="shared" si="16"/>
        <v>0</v>
      </c>
      <c r="AE8" s="10">
        <f t="shared" si="17"/>
        <v>0</v>
      </c>
      <c r="AF8" s="10">
        <f t="shared" si="18"/>
        <v>0</v>
      </c>
      <c r="AG8" s="8"/>
      <c r="AH8" s="8"/>
      <c r="AI8" s="8"/>
      <c r="AJ8" s="10">
        <f t="shared" si="19"/>
        <v>0</v>
      </c>
      <c r="AK8" s="10">
        <f t="shared" si="20"/>
        <v>0</v>
      </c>
      <c r="AL8" s="10">
        <f t="shared" si="21"/>
        <v>0</v>
      </c>
      <c r="AM8" s="10">
        <f t="shared" si="22"/>
        <v>0</v>
      </c>
    </row>
    <row r="9" spans="1:39" ht="14.25" customHeight="1" x14ac:dyDescent="0.35">
      <c r="A9" s="8"/>
      <c r="B9" s="20" t="s">
        <v>83</v>
      </c>
      <c r="C9">
        <f t="shared" ref="C9:D9" si="25">M9+T9+AA9+AH9</f>
        <v>21</v>
      </c>
      <c r="D9">
        <f t="shared" si="25"/>
        <v>21</v>
      </c>
      <c r="E9" s="43">
        <v>12</v>
      </c>
      <c r="F9" s="44">
        <v>1500</v>
      </c>
      <c r="G9" s="10">
        <f t="shared" si="1"/>
        <v>2625</v>
      </c>
      <c r="H9" s="10">
        <f t="shared" si="2"/>
        <v>21000</v>
      </c>
      <c r="I9" s="10">
        <f t="shared" si="3"/>
        <v>2625</v>
      </c>
      <c r="J9" s="10">
        <f t="shared" si="4"/>
        <v>10500</v>
      </c>
      <c r="K9" s="41">
        <f t="shared" si="5"/>
        <v>0</v>
      </c>
      <c r="L9" s="41">
        <f t="shared" si="6"/>
        <v>0</v>
      </c>
      <c r="M9">
        <v>15</v>
      </c>
      <c r="N9">
        <v>15</v>
      </c>
      <c r="O9" s="10">
        <f t="shared" si="7"/>
        <v>1875</v>
      </c>
      <c r="P9" s="10">
        <f t="shared" si="8"/>
        <v>15000</v>
      </c>
      <c r="Q9" s="10">
        <f t="shared" si="9"/>
        <v>1875</v>
      </c>
      <c r="R9" s="10">
        <f t="shared" si="10"/>
        <v>7500</v>
      </c>
      <c r="S9" s="8"/>
      <c r="T9" s="8">
        <v>5</v>
      </c>
      <c r="U9" s="8">
        <v>5</v>
      </c>
      <c r="V9" s="10">
        <f t="shared" si="11"/>
        <v>625</v>
      </c>
      <c r="W9" s="10">
        <f t="shared" si="12"/>
        <v>5000</v>
      </c>
      <c r="X9" s="10">
        <f t="shared" si="13"/>
        <v>625</v>
      </c>
      <c r="Y9" s="10">
        <f t="shared" si="14"/>
        <v>2500</v>
      </c>
      <c r="Z9" s="8"/>
      <c r="AA9" s="8">
        <v>0.5</v>
      </c>
      <c r="AB9" s="8">
        <v>0.5</v>
      </c>
      <c r="AC9" s="10">
        <f t="shared" si="15"/>
        <v>62.5</v>
      </c>
      <c r="AD9" s="10">
        <f t="shared" si="16"/>
        <v>500</v>
      </c>
      <c r="AE9" s="10">
        <f t="shared" si="17"/>
        <v>62.5</v>
      </c>
      <c r="AF9" s="10">
        <f t="shared" si="18"/>
        <v>250</v>
      </c>
      <c r="AG9" s="8"/>
      <c r="AH9" s="8">
        <v>0.5</v>
      </c>
      <c r="AI9" s="8">
        <v>0.5</v>
      </c>
      <c r="AJ9" s="10">
        <f t="shared" si="19"/>
        <v>62.5</v>
      </c>
      <c r="AK9" s="10">
        <f t="shared" si="20"/>
        <v>500</v>
      </c>
      <c r="AL9" s="10">
        <f t="shared" si="21"/>
        <v>62.5</v>
      </c>
      <c r="AM9" s="10">
        <f t="shared" si="22"/>
        <v>250</v>
      </c>
    </row>
    <row r="10" spans="1:39" ht="14.25" customHeight="1" x14ac:dyDescent="0.35">
      <c r="A10" s="8"/>
      <c r="B10" s="20" t="s">
        <v>84</v>
      </c>
      <c r="C10">
        <f t="shared" ref="C10:D10" si="26">M10+T10+AA10+AH10</f>
        <v>41.5</v>
      </c>
      <c r="D10">
        <f t="shared" si="26"/>
        <v>41.5</v>
      </c>
      <c r="E10" s="43">
        <v>36</v>
      </c>
      <c r="F10" s="49">
        <v>4500</v>
      </c>
      <c r="G10" s="10">
        <f t="shared" si="1"/>
        <v>5187.5</v>
      </c>
      <c r="H10" s="10">
        <f t="shared" si="2"/>
        <v>41500</v>
      </c>
      <c r="I10" s="10">
        <f t="shared" si="3"/>
        <v>5187.5</v>
      </c>
      <c r="J10" s="10">
        <f t="shared" si="4"/>
        <v>20750</v>
      </c>
      <c r="K10" s="41">
        <f t="shared" si="5"/>
        <v>0</v>
      </c>
      <c r="L10" s="41">
        <f t="shared" si="6"/>
        <v>0</v>
      </c>
      <c r="M10">
        <v>40</v>
      </c>
      <c r="N10">
        <v>40</v>
      </c>
      <c r="O10" s="10">
        <f t="shared" si="7"/>
        <v>5000</v>
      </c>
      <c r="P10" s="10">
        <f t="shared" si="8"/>
        <v>40000</v>
      </c>
      <c r="Q10" s="10">
        <f t="shared" si="9"/>
        <v>5000</v>
      </c>
      <c r="R10" s="10">
        <f t="shared" si="10"/>
        <v>20000</v>
      </c>
      <c r="S10" s="8"/>
      <c r="T10" s="8"/>
      <c r="U10" s="8"/>
      <c r="V10" s="10">
        <f t="shared" si="11"/>
        <v>0</v>
      </c>
      <c r="W10" s="10">
        <f t="shared" si="12"/>
        <v>0</v>
      </c>
      <c r="X10" s="10">
        <f t="shared" si="13"/>
        <v>0</v>
      </c>
      <c r="Y10" s="10">
        <f t="shared" si="14"/>
        <v>0</v>
      </c>
      <c r="Z10" s="8"/>
      <c r="AA10" s="8">
        <v>1</v>
      </c>
      <c r="AB10" s="8">
        <v>1</v>
      </c>
      <c r="AC10" s="10">
        <f t="shared" si="15"/>
        <v>125</v>
      </c>
      <c r="AD10" s="10">
        <f t="shared" si="16"/>
        <v>1000</v>
      </c>
      <c r="AE10" s="10">
        <f t="shared" si="17"/>
        <v>125</v>
      </c>
      <c r="AF10" s="10">
        <f t="shared" si="18"/>
        <v>500</v>
      </c>
      <c r="AG10" s="8"/>
      <c r="AH10" s="8">
        <v>0.5</v>
      </c>
      <c r="AI10" s="8">
        <v>0.5</v>
      </c>
      <c r="AJ10" s="10">
        <f t="shared" si="19"/>
        <v>62.5</v>
      </c>
      <c r="AK10" s="10">
        <f t="shared" si="20"/>
        <v>500</v>
      </c>
      <c r="AL10" s="10">
        <f t="shared" si="21"/>
        <v>62.5</v>
      </c>
      <c r="AM10" s="10">
        <f t="shared" si="22"/>
        <v>250</v>
      </c>
    </row>
    <row r="11" spans="1:39" ht="14.25" customHeight="1" x14ac:dyDescent="0.35">
      <c r="A11" s="8"/>
      <c r="B11" s="50" t="s">
        <v>85</v>
      </c>
      <c r="C11">
        <f t="shared" ref="C11:D11" si="27">M11+T11+AA11+AH11</f>
        <v>40</v>
      </c>
      <c r="D11">
        <f t="shared" si="27"/>
        <v>40</v>
      </c>
      <c r="E11" s="43">
        <v>36</v>
      </c>
      <c r="F11" s="49">
        <v>8500</v>
      </c>
      <c r="G11" s="10">
        <f t="shared" si="1"/>
        <v>9444.4444444444453</v>
      </c>
      <c r="H11" s="10">
        <f t="shared" si="2"/>
        <v>75555.555555555562</v>
      </c>
      <c r="I11" s="10">
        <f t="shared" si="3"/>
        <v>9444.4444444444453</v>
      </c>
      <c r="J11" s="10">
        <f t="shared" si="4"/>
        <v>37777.777777777781</v>
      </c>
      <c r="K11" s="41">
        <f t="shared" si="5"/>
        <v>0</v>
      </c>
      <c r="L11" s="41">
        <f t="shared" si="6"/>
        <v>0</v>
      </c>
      <c r="M11">
        <v>25</v>
      </c>
      <c r="N11">
        <v>25</v>
      </c>
      <c r="O11" s="10">
        <f t="shared" si="7"/>
        <v>5902.7777777777774</v>
      </c>
      <c r="P11" s="10">
        <f t="shared" si="8"/>
        <v>47222.222222222219</v>
      </c>
      <c r="Q11" s="10">
        <f t="shared" si="9"/>
        <v>5902.7777777777774</v>
      </c>
      <c r="R11" s="10">
        <f t="shared" si="10"/>
        <v>23611.111111111109</v>
      </c>
      <c r="S11" s="8"/>
      <c r="T11" s="8">
        <v>15</v>
      </c>
      <c r="U11" s="8">
        <v>15</v>
      </c>
      <c r="V11" s="10">
        <f t="shared" si="11"/>
        <v>3541.6666666666665</v>
      </c>
      <c r="W11" s="10">
        <f t="shared" si="12"/>
        <v>28333.333333333332</v>
      </c>
      <c r="X11" s="10">
        <f t="shared" si="13"/>
        <v>3541.6666666666665</v>
      </c>
      <c r="Y11" s="10">
        <f t="shared" si="14"/>
        <v>14166.666666666666</v>
      </c>
      <c r="Z11" s="8"/>
      <c r="AA11" s="8"/>
      <c r="AB11" s="8"/>
      <c r="AC11" s="10">
        <f t="shared" si="15"/>
        <v>0</v>
      </c>
      <c r="AD11" s="10">
        <f t="shared" si="16"/>
        <v>0</v>
      </c>
      <c r="AE11" s="10">
        <f t="shared" si="17"/>
        <v>0</v>
      </c>
      <c r="AF11" s="10">
        <f t="shared" si="18"/>
        <v>0</v>
      </c>
      <c r="AG11" s="8"/>
      <c r="AH11" s="8"/>
      <c r="AI11" s="8"/>
      <c r="AJ11" s="10">
        <f t="shared" si="19"/>
        <v>0</v>
      </c>
      <c r="AK11" s="10">
        <f t="shared" si="20"/>
        <v>0</v>
      </c>
      <c r="AL11" s="10">
        <f t="shared" si="21"/>
        <v>0</v>
      </c>
      <c r="AM11" s="10">
        <f t="shared" si="22"/>
        <v>0</v>
      </c>
    </row>
    <row r="12" spans="1:39" ht="14.25" customHeight="1" x14ac:dyDescent="0.35">
      <c r="A12" s="8"/>
      <c r="B12" s="20" t="s">
        <v>86</v>
      </c>
      <c r="C12">
        <f t="shared" ref="C12:D12" si="28">M12+T12+AA12+AH12</f>
        <v>153</v>
      </c>
      <c r="D12">
        <f t="shared" si="28"/>
        <v>153</v>
      </c>
      <c r="E12" s="43">
        <v>12</v>
      </c>
      <c r="F12" s="44">
        <v>160</v>
      </c>
      <c r="G12" s="10">
        <f t="shared" si="1"/>
        <v>2040</v>
      </c>
      <c r="H12" s="10">
        <f t="shared" si="2"/>
        <v>16320</v>
      </c>
      <c r="I12" s="10">
        <f t="shared" si="3"/>
        <v>2040</v>
      </c>
      <c r="J12" s="10">
        <f t="shared" si="4"/>
        <v>8160</v>
      </c>
      <c r="K12" s="41">
        <f t="shared" si="5"/>
        <v>0</v>
      </c>
      <c r="L12" s="41">
        <f t="shared" si="6"/>
        <v>0</v>
      </c>
      <c r="M12">
        <v>100</v>
      </c>
      <c r="N12">
        <v>100</v>
      </c>
      <c r="O12" s="10">
        <f t="shared" si="7"/>
        <v>1333.3333333333333</v>
      </c>
      <c r="P12" s="10">
        <f t="shared" si="8"/>
        <v>10666.666666666666</v>
      </c>
      <c r="Q12" s="10">
        <f t="shared" si="9"/>
        <v>1333.3333333333333</v>
      </c>
      <c r="R12" s="10">
        <f t="shared" si="10"/>
        <v>5333.333333333333</v>
      </c>
      <c r="S12" s="8"/>
      <c r="T12" s="8">
        <v>50</v>
      </c>
      <c r="U12" s="8">
        <v>50</v>
      </c>
      <c r="V12" s="10">
        <f t="shared" si="11"/>
        <v>666.66666666666663</v>
      </c>
      <c r="W12" s="10">
        <f t="shared" si="12"/>
        <v>5333.333333333333</v>
      </c>
      <c r="X12" s="10">
        <f t="shared" si="13"/>
        <v>666.66666666666663</v>
      </c>
      <c r="Y12" s="10">
        <f t="shared" si="14"/>
        <v>2666.6666666666665</v>
      </c>
      <c r="Z12" s="8"/>
      <c r="AA12" s="8">
        <v>2</v>
      </c>
      <c r="AB12" s="8">
        <v>2</v>
      </c>
      <c r="AC12" s="10">
        <f t="shared" si="15"/>
        <v>26.666666666666668</v>
      </c>
      <c r="AD12" s="10">
        <f t="shared" si="16"/>
        <v>213.33333333333334</v>
      </c>
      <c r="AE12" s="10">
        <f t="shared" si="17"/>
        <v>26.666666666666668</v>
      </c>
      <c r="AF12" s="10">
        <f t="shared" si="18"/>
        <v>106.66666666666667</v>
      </c>
      <c r="AG12" s="8"/>
      <c r="AH12" s="8">
        <v>1</v>
      </c>
      <c r="AI12" s="8">
        <v>1</v>
      </c>
      <c r="AJ12" s="10">
        <f t="shared" si="19"/>
        <v>13.333333333333334</v>
      </c>
      <c r="AK12" s="10">
        <f t="shared" si="20"/>
        <v>106.66666666666667</v>
      </c>
      <c r="AL12" s="10">
        <f t="shared" si="21"/>
        <v>13.333333333333334</v>
      </c>
      <c r="AM12" s="10">
        <f t="shared" si="22"/>
        <v>53.333333333333336</v>
      </c>
    </row>
    <row r="13" spans="1:39" ht="14.25" customHeight="1" x14ac:dyDescent="0.35">
      <c r="A13" s="8"/>
      <c r="B13" s="20" t="s">
        <v>87</v>
      </c>
      <c r="C13">
        <f t="shared" ref="C13:D13" si="29">M13+T13+AA13+AH13</f>
        <v>20</v>
      </c>
      <c r="D13">
        <f t="shared" si="29"/>
        <v>20</v>
      </c>
      <c r="E13" s="43">
        <v>12</v>
      </c>
      <c r="F13" s="44">
        <v>1200</v>
      </c>
      <c r="G13" s="10">
        <f t="shared" si="1"/>
        <v>2000</v>
      </c>
      <c r="H13" s="10">
        <f t="shared" si="2"/>
        <v>16000</v>
      </c>
      <c r="I13" s="10">
        <f t="shared" si="3"/>
        <v>2000</v>
      </c>
      <c r="J13" s="10">
        <f t="shared" si="4"/>
        <v>8000</v>
      </c>
      <c r="K13" s="41">
        <f t="shared" si="5"/>
        <v>0</v>
      </c>
      <c r="L13" s="41">
        <f t="shared" si="6"/>
        <v>0</v>
      </c>
      <c r="M13">
        <v>15</v>
      </c>
      <c r="N13">
        <v>15</v>
      </c>
      <c r="O13" s="10">
        <f t="shared" si="7"/>
        <v>1500</v>
      </c>
      <c r="P13" s="10">
        <f t="shared" si="8"/>
        <v>12000</v>
      </c>
      <c r="Q13" s="10">
        <f t="shared" si="9"/>
        <v>1500</v>
      </c>
      <c r="R13" s="10">
        <f t="shared" si="10"/>
        <v>6000</v>
      </c>
      <c r="S13" s="8"/>
      <c r="T13" s="8">
        <v>5</v>
      </c>
      <c r="U13" s="8">
        <v>5</v>
      </c>
      <c r="V13" s="10">
        <f t="shared" si="11"/>
        <v>500</v>
      </c>
      <c r="W13" s="10">
        <f t="shared" si="12"/>
        <v>4000</v>
      </c>
      <c r="X13" s="10">
        <f t="shared" si="13"/>
        <v>500</v>
      </c>
      <c r="Y13" s="10">
        <f t="shared" si="14"/>
        <v>2000</v>
      </c>
      <c r="Z13" s="8"/>
      <c r="AA13" s="8"/>
      <c r="AB13" s="8"/>
      <c r="AC13" s="10">
        <f t="shared" si="15"/>
        <v>0</v>
      </c>
      <c r="AD13" s="10">
        <f t="shared" si="16"/>
        <v>0</v>
      </c>
      <c r="AE13" s="10">
        <f t="shared" si="17"/>
        <v>0</v>
      </c>
      <c r="AF13" s="10">
        <f t="shared" si="18"/>
        <v>0</v>
      </c>
      <c r="AG13" s="8"/>
      <c r="AH13" s="8"/>
      <c r="AI13" s="8"/>
      <c r="AJ13" s="10">
        <f t="shared" si="19"/>
        <v>0</v>
      </c>
      <c r="AK13" s="10">
        <f t="shared" si="20"/>
        <v>0</v>
      </c>
      <c r="AL13" s="10">
        <f t="shared" si="21"/>
        <v>0</v>
      </c>
      <c r="AM13" s="10">
        <f t="shared" si="22"/>
        <v>0</v>
      </c>
    </row>
    <row r="14" spans="1:39" ht="14.25" customHeight="1" x14ac:dyDescent="0.35">
      <c r="A14" s="8"/>
      <c r="B14" s="20" t="s">
        <v>88</v>
      </c>
      <c r="C14">
        <f t="shared" ref="C14:D14" si="30">M14+T14+AA14+AH14</f>
        <v>163</v>
      </c>
      <c r="D14">
        <f t="shared" si="30"/>
        <v>163</v>
      </c>
      <c r="E14" s="43">
        <v>12</v>
      </c>
      <c r="F14" s="44">
        <v>150</v>
      </c>
      <c r="G14" s="10">
        <f t="shared" si="1"/>
        <v>2037.5</v>
      </c>
      <c r="H14" s="10">
        <f t="shared" si="2"/>
        <v>16300</v>
      </c>
      <c r="I14" s="10">
        <f t="shared" si="3"/>
        <v>2037.5</v>
      </c>
      <c r="J14" s="10">
        <f t="shared" si="4"/>
        <v>8150</v>
      </c>
      <c r="K14" s="41">
        <f t="shared" si="5"/>
        <v>0</v>
      </c>
      <c r="L14" s="41">
        <f t="shared" si="6"/>
        <v>0</v>
      </c>
      <c r="M14">
        <v>100</v>
      </c>
      <c r="N14">
        <v>100</v>
      </c>
      <c r="O14" s="10">
        <f t="shared" si="7"/>
        <v>1250</v>
      </c>
      <c r="P14" s="10">
        <f t="shared" si="8"/>
        <v>10000</v>
      </c>
      <c r="Q14" s="10">
        <f t="shared" si="9"/>
        <v>1250</v>
      </c>
      <c r="R14" s="10">
        <f t="shared" si="10"/>
        <v>5000</v>
      </c>
      <c r="S14" s="8"/>
      <c r="T14" s="8">
        <v>60</v>
      </c>
      <c r="U14" s="8">
        <v>60</v>
      </c>
      <c r="V14" s="10">
        <f t="shared" si="11"/>
        <v>750</v>
      </c>
      <c r="W14" s="10">
        <f t="shared" si="12"/>
        <v>6000</v>
      </c>
      <c r="X14" s="10">
        <f t="shared" si="13"/>
        <v>750</v>
      </c>
      <c r="Y14" s="10">
        <f t="shared" si="14"/>
        <v>3000</v>
      </c>
      <c r="Z14" s="8"/>
      <c r="AA14" s="8">
        <v>2</v>
      </c>
      <c r="AB14" s="8">
        <v>2</v>
      </c>
      <c r="AC14" s="10">
        <f t="shared" si="15"/>
        <v>25</v>
      </c>
      <c r="AD14" s="10">
        <f t="shared" si="16"/>
        <v>200</v>
      </c>
      <c r="AE14" s="10">
        <f t="shared" si="17"/>
        <v>25</v>
      </c>
      <c r="AF14" s="10">
        <f t="shared" si="18"/>
        <v>100</v>
      </c>
      <c r="AG14" s="8"/>
      <c r="AH14" s="8">
        <v>1</v>
      </c>
      <c r="AI14" s="8">
        <v>1</v>
      </c>
      <c r="AJ14" s="10">
        <f t="shared" si="19"/>
        <v>12.5</v>
      </c>
      <c r="AK14" s="10">
        <f t="shared" si="20"/>
        <v>100</v>
      </c>
      <c r="AL14" s="10">
        <f t="shared" si="21"/>
        <v>12.5</v>
      </c>
      <c r="AM14" s="10">
        <f t="shared" si="22"/>
        <v>50</v>
      </c>
    </row>
    <row r="15" spans="1:39" ht="14.25" customHeight="1" x14ac:dyDescent="0.35">
      <c r="A15" s="8"/>
      <c r="B15" s="20" t="s">
        <v>89</v>
      </c>
      <c r="C15">
        <f t="shared" ref="C15:D15" si="31">M15+T15+AA15+AH15</f>
        <v>73</v>
      </c>
      <c r="D15">
        <f t="shared" si="31"/>
        <v>73</v>
      </c>
      <c r="E15" s="43">
        <v>24</v>
      </c>
      <c r="F15" s="49">
        <v>1750</v>
      </c>
      <c r="G15" s="10">
        <f t="shared" si="1"/>
        <v>5322.916666666667</v>
      </c>
      <c r="H15" s="10">
        <f t="shared" si="2"/>
        <v>42583.333333333336</v>
      </c>
      <c r="I15" s="10">
        <f t="shared" si="3"/>
        <v>5322.916666666667</v>
      </c>
      <c r="J15" s="10">
        <f t="shared" si="4"/>
        <v>21291.666666666668</v>
      </c>
      <c r="K15" s="41">
        <f t="shared" si="5"/>
        <v>0</v>
      </c>
      <c r="L15" s="41">
        <f t="shared" si="6"/>
        <v>0</v>
      </c>
      <c r="M15">
        <v>60</v>
      </c>
      <c r="N15">
        <v>60</v>
      </c>
      <c r="O15" s="10">
        <f t="shared" si="7"/>
        <v>4375</v>
      </c>
      <c r="P15" s="10">
        <f t="shared" si="8"/>
        <v>35000</v>
      </c>
      <c r="Q15" s="10">
        <f t="shared" si="9"/>
        <v>4375</v>
      </c>
      <c r="R15" s="10">
        <f t="shared" si="10"/>
        <v>17500</v>
      </c>
      <c r="S15" s="8"/>
      <c r="T15" s="8">
        <v>10</v>
      </c>
      <c r="U15" s="8">
        <v>10</v>
      </c>
      <c r="V15" s="10">
        <f t="shared" si="11"/>
        <v>729.16666666666663</v>
      </c>
      <c r="W15" s="10">
        <f t="shared" si="12"/>
        <v>5833.333333333333</v>
      </c>
      <c r="X15" s="10">
        <f t="shared" si="13"/>
        <v>729.16666666666663</v>
      </c>
      <c r="Y15" s="10">
        <f t="shared" si="14"/>
        <v>2916.6666666666665</v>
      </c>
      <c r="Z15" s="8"/>
      <c r="AA15" s="8">
        <v>2</v>
      </c>
      <c r="AB15" s="8">
        <v>2</v>
      </c>
      <c r="AC15" s="10">
        <f t="shared" si="15"/>
        <v>145.83333333333334</v>
      </c>
      <c r="AD15" s="10">
        <f t="shared" si="16"/>
        <v>1166.6666666666667</v>
      </c>
      <c r="AE15" s="10">
        <f t="shared" si="17"/>
        <v>145.83333333333334</v>
      </c>
      <c r="AF15" s="10">
        <f t="shared" si="18"/>
        <v>583.33333333333337</v>
      </c>
      <c r="AG15" s="8"/>
      <c r="AH15" s="8">
        <v>1</v>
      </c>
      <c r="AI15" s="8">
        <v>1</v>
      </c>
      <c r="AJ15" s="10">
        <f t="shared" si="19"/>
        <v>72.916666666666671</v>
      </c>
      <c r="AK15" s="10">
        <f t="shared" si="20"/>
        <v>583.33333333333337</v>
      </c>
      <c r="AL15" s="10">
        <f t="shared" si="21"/>
        <v>72.916666666666671</v>
      </c>
      <c r="AM15" s="10">
        <f t="shared" si="22"/>
        <v>291.66666666666669</v>
      </c>
    </row>
    <row r="16" spans="1:39" ht="14.25" customHeight="1" x14ac:dyDescent="0.35">
      <c r="A16" s="8"/>
      <c r="B16" s="20" t="s">
        <v>90</v>
      </c>
      <c r="C16">
        <f t="shared" ref="C16:D16" si="32">M16+T16+AA16+AH16</f>
        <v>73</v>
      </c>
      <c r="D16">
        <f t="shared" si="32"/>
        <v>53</v>
      </c>
      <c r="E16" s="43">
        <v>1</v>
      </c>
      <c r="F16" s="49">
        <v>145</v>
      </c>
      <c r="G16" s="10">
        <f t="shared" si="1"/>
        <v>10585</v>
      </c>
      <c r="H16" s="10">
        <f t="shared" si="2"/>
        <v>84680</v>
      </c>
      <c r="I16" s="10">
        <f t="shared" si="3"/>
        <v>7685</v>
      </c>
      <c r="J16" s="10">
        <f t="shared" si="4"/>
        <v>30740</v>
      </c>
      <c r="K16" s="41">
        <f t="shared" si="5"/>
        <v>0</v>
      </c>
      <c r="L16" s="41">
        <f t="shared" si="6"/>
        <v>0</v>
      </c>
      <c r="M16">
        <v>60</v>
      </c>
      <c r="N16">
        <v>40</v>
      </c>
      <c r="O16" s="10">
        <f t="shared" si="7"/>
        <v>8700</v>
      </c>
      <c r="P16" s="10">
        <f t="shared" si="8"/>
        <v>69600</v>
      </c>
      <c r="Q16" s="10">
        <f t="shared" si="9"/>
        <v>5800</v>
      </c>
      <c r="R16" s="10">
        <f t="shared" si="10"/>
        <v>23200</v>
      </c>
      <c r="S16" s="8"/>
      <c r="T16" s="8">
        <v>10</v>
      </c>
      <c r="U16" s="8">
        <v>10</v>
      </c>
      <c r="V16" s="10">
        <f t="shared" si="11"/>
        <v>1450</v>
      </c>
      <c r="W16" s="10">
        <f t="shared" si="12"/>
        <v>11600</v>
      </c>
      <c r="X16" s="10">
        <f t="shared" si="13"/>
        <v>1450</v>
      </c>
      <c r="Y16" s="10">
        <f t="shared" si="14"/>
        <v>5800</v>
      </c>
      <c r="Z16" s="8"/>
      <c r="AA16" s="8">
        <v>2</v>
      </c>
      <c r="AB16" s="8">
        <v>2</v>
      </c>
      <c r="AC16" s="10">
        <f t="shared" si="15"/>
        <v>290</v>
      </c>
      <c r="AD16" s="10">
        <f t="shared" si="16"/>
        <v>2320</v>
      </c>
      <c r="AE16" s="10">
        <f t="shared" si="17"/>
        <v>290</v>
      </c>
      <c r="AF16" s="10">
        <f t="shared" si="18"/>
        <v>1160</v>
      </c>
      <c r="AG16" s="8"/>
      <c r="AH16" s="8">
        <v>1</v>
      </c>
      <c r="AI16" s="8">
        <v>1</v>
      </c>
      <c r="AJ16" s="10">
        <f t="shared" si="19"/>
        <v>145</v>
      </c>
      <c r="AK16" s="10">
        <f t="shared" si="20"/>
        <v>1160</v>
      </c>
      <c r="AL16" s="10">
        <f t="shared" si="21"/>
        <v>145</v>
      </c>
      <c r="AM16" s="10">
        <f t="shared" si="22"/>
        <v>580</v>
      </c>
    </row>
    <row r="17" spans="1:39" ht="14.25" customHeight="1" x14ac:dyDescent="0.35">
      <c r="A17" s="8"/>
      <c r="B17" s="20" t="s">
        <v>91</v>
      </c>
      <c r="C17">
        <f t="shared" ref="C17:D17" si="33">M17+T17+AA17+AH17</f>
        <v>73</v>
      </c>
      <c r="D17">
        <f t="shared" si="33"/>
        <v>73</v>
      </c>
      <c r="E17" s="43">
        <v>24</v>
      </c>
      <c r="F17" s="44">
        <v>245</v>
      </c>
      <c r="G17" s="10">
        <f t="shared" si="1"/>
        <v>745.20833333333337</v>
      </c>
      <c r="H17" s="10">
        <f t="shared" si="2"/>
        <v>5961.666666666667</v>
      </c>
      <c r="I17" s="10">
        <f t="shared" si="3"/>
        <v>745.20833333333337</v>
      </c>
      <c r="J17" s="10">
        <f t="shared" si="4"/>
        <v>2980.8333333333335</v>
      </c>
      <c r="K17" s="41">
        <f t="shared" si="5"/>
        <v>0</v>
      </c>
      <c r="L17" s="41">
        <f t="shared" si="6"/>
        <v>0</v>
      </c>
      <c r="M17">
        <v>60</v>
      </c>
      <c r="N17">
        <v>60</v>
      </c>
      <c r="O17" s="10">
        <f t="shared" si="7"/>
        <v>612.5</v>
      </c>
      <c r="P17" s="10">
        <f t="shared" si="8"/>
        <v>4900</v>
      </c>
      <c r="Q17" s="10">
        <f t="shared" si="9"/>
        <v>612.5</v>
      </c>
      <c r="R17" s="10">
        <f t="shared" si="10"/>
        <v>2450</v>
      </c>
      <c r="S17" s="8"/>
      <c r="T17" s="8">
        <v>10</v>
      </c>
      <c r="U17" s="8">
        <v>10</v>
      </c>
      <c r="V17" s="10">
        <f t="shared" si="11"/>
        <v>102.08333333333333</v>
      </c>
      <c r="W17" s="10">
        <f t="shared" si="12"/>
        <v>816.66666666666663</v>
      </c>
      <c r="X17" s="10">
        <f t="shared" si="13"/>
        <v>102.08333333333333</v>
      </c>
      <c r="Y17" s="10">
        <f t="shared" si="14"/>
        <v>408.33333333333331</v>
      </c>
      <c r="Z17" s="8"/>
      <c r="AA17" s="8">
        <v>2</v>
      </c>
      <c r="AB17" s="8">
        <v>2</v>
      </c>
      <c r="AC17" s="10">
        <f t="shared" si="15"/>
        <v>20.416666666666668</v>
      </c>
      <c r="AD17" s="10">
        <f t="shared" si="16"/>
        <v>163.33333333333334</v>
      </c>
      <c r="AE17" s="10">
        <f t="shared" si="17"/>
        <v>20.416666666666668</v>
      </c>
      <c r="AF17" s="10">
        <f t="shared" si="18"/>
        <v>81.666666666666671</v>
      </c>
      <c r="AG17" s="8"/>
      <c r="AH17" s="8">
        <v>1</v>
      </c>
      <c r="AI17" s="8">
        <v>1</v>
      </c>
      <c r="AJ17" s="10">
        <f t="shared" si="19"/>
        <v>10.208333333333334</v>
      </c>
      <c r="AK17" s="10">
        <f t="shared" si="20"/>
        <v>81.666666666666671</v>
      </c>
      <c r="AL17" s="10">
        <f t="shared" si="21"/>
        <v>10.208333333333334</v>
      </c>
      <c r="AM17" s="10">
        <f t="shared" si="22"/>
        <v>40.833333333333336</v>
      </c>
    </row>
    <row r="18" spans="1:39" ht="14.25" customHeight="1" x14ac:dyDescent="0.35">
      <c r="A18" s="8"/>
      <c r="B18" s="20" t="s">
        <v>92</v>
      </c>
      <c r="C18">
        <f t="shared" ref="C18:D18" si="34">M18+T18+AA18+AH18</f>
        <v>75</v>
      </c>
      <c r="D18">
        <f t="shared" si="34"/>
        <v>55</v>
      </c>
      <c r="E18" s="43">
        <v>1</v>
      </c>
      <c r="F18" s="44">
        <v>125</v>
      </c>
      <c r="G18" s="10">
        <f t="shared" si="1"/>
        <v>9375</v>
      </c>
      <c r="H18" s="10">
        <f t="shared" si="2"/>
        <v>75000</v>
      </c>
      <c r="I18" s="10">
        <f t="shared" si="3"/>
        <v>6875</v>
      </c>
      <c r="J18" s="10">
        <f t="shared" si="4"/>
        <v>27500</v>
      </c>
      <c r="K18" s="41">
        <f t="shared" si="5"/>
        <v>0</v>
      </c>
      <c r="L18" s="41">
        <f t="shared" si="6"/>
        <v>0</v>
      </c>
      <c r="M18">
        <v>60</v>
      </c>
      <c r="N18">
        <v>40</v>
      </c>
      <c r="O18" s="10">
        <f t="shared" si="7"/>
        <v>7500</v>
      </c>
      <c r="P18" s="10">
        <f t="shared" si="8"/>
        <v>60000</v>
      </c>
      <c r="Q18" s="10">
        <f t="shared" si="9"/>
        <v>5000</v>
      </c>
      <c r="R18" s="10">
        <f t="shared" si="10"/>
        <v>20000</v>
      </c>
      <c r="S18" s="8"/>
      <c r="T18" s="8">
        <v>10</v>
      </c>
      <c r="U18" s="8">
        <v>10</v>
      </c>
      <c r="V18" s="10">
        <f t="shared" si="11"/>
        <v>1250</v>
      </c>
      <c r="W18" s="10">
        <f t="shared" si="12"/>
        <v>10000</v>
      </c>
      <c r="X18" s="10">
        <f t="shared" si="13"/>
        <v>1250</v>
      </c>
      <c r="Y18" s="10">
        <f t="shared" si="14"/>
        <v>5000</v>
      </c>
      <c r="Z18" s="8"/>
      <c r="AA18" s="8">
        <v>4</v>
      </c>
      <c r="AB18" s="8">
        <v>4</v>
      </c>
      <c r="AC18" s="10">
        <f t="shared" si="15"/>
        <v>500</v>
      </c>
      <c r="AD18" s="10">
        <f t="shared" si="16"/>
        <v>4000</v>
      </c>
      <c r="AE18" s="10">
        <f t="shared" si="17"/>
        <v>500</v>
      </c>
      <c r="AF18" s="10">
        <f t="shared" si="18"/>
        <v>2000</v>
      </c>
      <c r="AG18" s="8"/>
      <c r="AH18" s="8">
        <v>1</v>
      </c>
      <c r="AI18" s="8">
        <v>1</v>
      </c>
      <c r="AJ18" s="10">
        <f t="shared" si="19"/>
        <v>125</v>
      </c>
      <c r="AK18" s="10">
        <f t="shared" si="20"/>
        <v>1000</v>
      </c>
      <c r="AL18" s="10">
        <f t="shared" si="21"/>
        <v>125</v>
      </c>
      <c r="AM18" s="10">
        <f t="shared" si="22"/>
        <v>500</v>
      </c>
    </row>
    <row r="19" spans="1:39" ht="14.25" customHeight="1" x14ac:dyDescent="0.35">
      <c r="A19" s="8"/>
      <c r="B19" s="20" t="s">
        <v>93</v>
      </c>
      <c r="C19">
        <f t="shared" ref="C19:D19" si="35">M19+T19+AA19+AH19</f>
        <v>20</v>
      </c>
      <c r="D19">
        <f t="shared" si="35"/>
        <v>20</v>
      </c>
      <c r="E19" s="43">
        <v>6</v>
      </c>
      <c r="F19" s="49">
        <v>400</v>
      </c>
      <c r="G19" s="10">
        <f t="shared" si="1"/>
        <v>1333.3333333333333</v>
      </c>
      <c r="H19" s="10">
        <f t="shared" si="2"/>
        <v>10666.666666666666</v>
      </c>
      <c r="I19" s="10">
        <f t="shared" si="3"/>
        <v>1333.3333333333333</v>
      </c>
      <c r="J19" s="10">
        <f t="shared" si="4"/>
        <v>5333.333333333333</v>
      </c>
      <c r="K19" s="41">
        <f t="shared" si="5"/>
        <v>0</v>
      </c>
      <c r="L19" s="41">
        <f t="shared" si="6"/>
        <v>0</v>
      </c>
      <c r="M19">
        <v>20</v>
      </c>
      <c r="N19">
        <v>20</v>
      </c>
      <c r="O19" s="10">
        <f t="shared" si="7"/>
        <v>1333.3333333333333</v>
      </c>
      <c r="P19" s="10">
        <f t="shared" si="8"/>
        <v>10666.666666666666</v>
      </c>
      <c r="Q19" s="10">
        <f t="shared" si="9"/>
        <v>1333.3333333333333</v>
      </c>
      <c r="R19" s="10">
        <f t="shared" si="10"/>
        <v>5333.333333333333</v>
      </c>
      <c r="S19" s="8"/>
      <c r="T19" s="8"/>
      <c r="U19" s="8"/>
      <c r="V19" s="10">
        <f t="shared" si="11"/>
        <v>0</v>
      </c>
      <c r="W19" s="10">
        <f t="shared" si="12"/>
        <v>0</v>
      </c>
      <c r="X19" s="10">
        <f t="shared" si="13"/>
        <v>0</v>
      </c>
      <c r="Y19" s="10">
        <f t="shared" si="14"/>
        <v>0</v>
      </c>
      <c r="Z19" s="8"/>
      <c r="AA19" s="8"/>
      <c r="AB19" s="8"/>
      <c r="AC19" s="10">
        <f t="shared" si="15"/>
        <v>0</v>
      </c>
      <c r="AD19" s="10">
        <f t="shared" si="16"/>
        <v>0</v>
      </c>
      <c r="AE19" s="10">
        <f t="shared" si="17"/>
        <v>0</v>
      </c>
      <c r="AF19" s="10">
        <f t="shared" si="18"/>
        <v>0</v>
      </c>
      <c r="AG19" s="8"/>
      <c r="AH19" s="8"/>
      <c r="AI19" s="8"/>
      <c r="AJ19" s="10">
        <f t="shared" si="19"/>
        <v>0</v>
      </c>
      <c r="AK19" s="10">
        <f t="shared" si="20"/>
        <v>0</v>
      </c>
      <c r="AL19" s="10">
        <f t="shared" si="21"/>
        <v>0</v>
      </c>
      <c r="AM19" s="10">
        <f t="shared" si="22"/>
        <v>0</v>
      </c>
    </row>
    <row r="20" spans="1:39" ht="14.25" customHeight="1" x14ac:dyDescent="0.35">
      <c r="A20" s="40"/>
      <c r="B20" s="20" t="s">
        <v>94</v>
      </c>
      <c r="C20">
        <f t="shared" ref="C20:D20" si="36">M20+T20+AA20+AH20</f>
        <v>20</v>
      </c>
      <c r="D20">
        <f t="shared" si="36"/>
        <v>10</v>
      </c>
      <c r="E20" s="43">
        <v>1</v>
      </c>
      <c r="F20" s="49">
        <v>150</v>
      </c>
      <c r="G20" s="10">
        <f t="shared" si="1"/>
        <v>3000</v>
      </c>
      <c r="H20" s="10">
        <f t="shared" si="2"/>
        <v>24000</v>
      </c>
      <c r="I20" s="10">
        <f t="shared" si="3"/>
        <v>1500</v>
      </c>
      <c r="J20" s="10">
        <f t="shared" si="4"/>
        <v>6000</v>
      </c>
      <c r="K20" s="41">
        <f t="shared" si="5"/>
        <v>0</v>
      </c>
      <c r="L20" s="41">
        <f t="shared" si="6"/>
        <v>0</v>
      </c>
      <c r="M20">
        <v>20</v>
      </c>
      <c r="N20">
        <v>10</v>
      </c>
      <c r="O20" s="10">
        <f t="shared" si="7"/>
        <v>3000</v>
      </c>
      <c r="P20" s="10">
        <f t="shared" si="8"/>
        <v>24000</v>
      </c>
      <c r="Q20" s="10">
        <f t="shared" si="9"/>
        <v>1500</v>
      </c>
      <c r="R20" s="10">
        <f t="shared" si="10"/>
        <v>6000</v>
      </c>
      <c r="S20" s="40"/>
      <c r="T20" s="40"/>
      <c r="U20" s="40"/>
      <c r="V20" s="10">
        <f t="shared" si="11"/>
        <v>0</v>
      </c>
      <c r="W20" s="10">
        <f t="shared" si="12"/>
        <v>0</v>
      </c>
      <c r="X20" s="10">
        <f t="shared" si="13"/>
        <v>0</v>
      </c>
      <c r="Y20" s="10">
        <f t="shared" si="14"/>
        <v>0</v>
      </c>
      <c r="Z20" s="40"/>
      <c r="AA20" s="40"/>
      <c r="AB20" s="40"/>
      <c r="AC20" s="10">
        <f t="shared" si="15"/>
        <v>0</v>
      </c>
      <c r="AD20" s="10">
        <f t="shared" si="16"/>
        <v>0</v>
      </c>
      <c r="AE20" s="10">
        <f t="shared" si="17"/>
        <v>0</v>
      </c>
      <c r="AF20" s="10">
        <f t="shared" si="18"/>
        <v>0</v>
      </c>
      <c r="AG20" s="40"/>
      <c r="AH20" s="40"/>
      <c r="AI20" s="40"/>
      <c r="AJ20" s="10">
        <f t="shared" si="19"/>
        <v>0</v>
      </c>
      <c r="AK20" s="10">
        <f t="shared" si="20"/>
        <v>0</v>
      </c>
      <c r="AL20" s="10">
        <f t="shared" si="21"/>
        <v>0</v>
      </c>
      <c r="AM20" s="10">
        <f t="shared" si="22"/>
        <v>0</v>
      </c>
    </row>
    <row r="21" spans="1:39" ht="14.25" customHeight="1" x14ac:dyDescent="0.35">
      <c r="A21" s="8"/>
      <c r="B21" s="20" t="s">
        <v>95</v>
      </c>
      <c r="C21">
        <f t="shared" ref="C21:D21" si="37">M21+T21+AA21+AH21</f>
        <v>34</v>
      </c>
      <c r="D21">
        <f t="shared" si="37"/>
        <v>19</v>
      </c>
      <c r="E21" s="43">
        <v>6</v>
      </c>
      <c r="F21" s="44">
        <v>750</v>
      </c>
      <c r="G21" s="10">
        <f t="shared" si="1"/>
        <v>4250</v>
      </c>
      <c r="H21" s="10">
        <f t="shared" si="2"/>
        <v>34000</v>
      </c>
      <c r="I21" s="10">
        <f t="shared" si="3"/>
        <v>2375</v>
      </c>
      <c r="J21" s="10">
        <f t="shared" si="4"/>
        <v>9500</v>
      </c>
      <c r="K21" s="41">
        <f t="shared" si="5"/>
        <v>0</v>
      </c>
      <c r="L21" s="41">
        <f t="shared" si="6"/>
        <v>0</v>
      </c>
      <c r="M21">
        <v>30</v>
      </c>
      <c r="N21">
        <v>15</v>
      </c>
      <c r="O21" s="10">
        <f t="shared" si="7"/>
        <v>3750</v>
      </c>
      <c r="P21" s="10">
        <f t="shared" si="8"/>
        <v>30000</v>
      </c>
      <c r="Q21" s="10">
        <f t="shared" si="9"/>
        <v>1875</v>
      </c>
      <c r="R21" s="10">
        <f t="shared" si="10"/>
        <v>7500</v>
      </c>
      <c r="S21" s="8"/>
      <c r="T21" s="8"/>
      <c r="U21" s="8"/>
      <c r="V21" s="10">
        <f t="shared" si="11"/>
        <v>0</v>
      </c>
      <c r="W21" s="10">
        <f t="shared" si="12"/>
        <v>0</v>
      </c>
      <c r="X21" s="10">
        <f t="shared" si="13"/>
        <v>0</v>
      </c>
      <c r="Y21" s="10">
        <f t="shared" si="14"/>
        <v>0</v>
      </c>
      <c r="Z21" s="8"/>
      <c r="AA21" s="8">
        <v>3</v>
      </c>
      <c r="AB21" s="8">
        <v>3</v>
      </c>
      <c r="AC21" s="10">
        <f t="shared" si="15"/>
        <v>375</v>
      </c>
      <c r="AD21" s="10">
        <f t="shared" si="16"/>
        <v>3000</v>
      </c>
      <c r="AE21" s="10">
        <f t="shared" si="17"/>
        <v>375</v>
      </c>
      <c r="AF21" s="10">
        <f t="shared" si="18"/>
        <v>1500</v>
      </c>
      <c r="AG21" s="8"/>
      <c r="AH21" s="8">
        <v>1</v>
      </c>
      <c r="AI21" s="8">
        <v>1</v>
      </c>
      <c r="AJ21" s="10">
        <f t="shared" si="19"/>
        <v>125</v>
      </c>
      <c r="AK21" s="10">
        <f t="shared" si="20"/>
        <v>1000</v>
      </c>
      <c r="AL21" s="10">
        <f t="shared" si="21"/>
        <v>125</v>
      </c>
      <c r="AM21" s="10">
        <f t="shared" si="22"/>
        <v>500</v>
      </c>
    </row>
    <row r="22" spans="1:39" ht="14.25" customHeight="1" x14ac:dyDescent="0.35">
      <c r="A22" s="8"/>
      <c r="B22" s="20" t="s">
        <v>96</v>
      </c>
      <c r="C22">
        <f t="shared" ref="C22:D22" si="38">M22+T22+AA22+AH22</f>
        <v>50</v>
      </c>
      <c r="D22">
        <f t="shared" si="38"/>
        <v>20</v>
      </c>
      <c r="E22" s="43">
        <v>1</v>
      </c>
      <c r="F22" s="44">
        <v>150</v>
      </c>
      <c r="G22" s="10">
        <f t="shared" si="1"/>
        <v>7500</v>
      </c>
      <c r="H22" s="10">
        <f t="shared" si="2"/>
        <v>60000</v>
      </c>
      <c r="I22" s="10">
        <f t="shared" si="3"/>
        <v>3000</v>
      </c>
      <c r="J22" s="10">
        <f t="shared" si="4"/>
        <v>12000</v>
      </c>
      <c r="K22" s="41">
        <f t="shared" si="5"/>
        <v>0</v>
      </c>
      <c r="L22" s="41">
        <f t="shared" si="6"/>
        <v>0</v>
      </c>
      <c r="M22">
        <v>45</v>
      </c>
      <c r="N22">
        <v>15</v>
      </c>
      <c r="O22" s="10">
        <f t="shared" si="7"/>
        <v>6750</v>
      </c>
      <c r="P22" s="10">
        <f t="shared" si="8"/>
        <v>54000</v>
      </c>
      <c r="Q22" s="10">
        <f t="shared" si="9"/>
        <v>2250</v>
      </c>
      <c r="R22" s="10">
        <f t="shared" si="10"/>
        <v>9000</v>
      </c>
      <c r="S22" s="8"/>
      <c r="T22" s="8"/>
      <c r="U22" s="8"/>
      <c r="V22" s="10">
        <f t="shared" si="11"/>
        <v>0</v>
      </c>
      <c r="W22" s="10">
        <f t="shared" si="12"/>
        <v>0</v>
      </c>
      <c r="X22" s="10">
        <f t="shared" si="13"/>
        <v>0</v>
      </c>
      <c r="Y22" s="10">
        <f t="shared" si="14"/>
        <v>0</v>
      </c>
      <c r="Z22" s="8"/>
      <c r="AA22" s="8">
        <v>3</v>
      </c>
      <c r="AB22" s="8">
        <v>3</v>
      </c>
      <c r="AC22" s="10">
        <f t="shared" si="15"/>
        <v>450</v>
      </c>
      <c r="AD22" s="10">
        <f t="shared" si="16"/>
        <v>3600</v>
      </c>
      <c r="AE22" s="10">
        <f t="shared" si="17"/>
        <v>450</v>
      </c>
      <c r="AF22" s="10">
        <f t="shared" si="18"/>
        <v>1800</v>
      </c>
      <c r="AG22" s="8"/>
      <c r="AH22" s="8">
        <v>2</v>
      </c>
      <c r="AI22" s="8">
        <v>2</v>
      </c>
      <c r="AJ22" s="10">
        <f t="shared" si="19"/>
        <v>300</v>
      </c>
      <c r="AK22" s="10">
        <f t="shared" si="20"/>
        <v>2400</v>
      </c>
      <c r="AL22" s="10">
        <f t="shared" si="21"/>
        <v>300</v>
      </c>
      <c r="AM22" s="10">
        <f t="shared" si="22"/>
        <v>1200</v>
      </c>
    </row>
    <row r="23" spans="1:39" ht="14.25" customHeight="1" x14ac:dyDescent="0.35">
      <c r="A23" s="8"/>
      <c r="B23" s="20" t="s">
        <v>97</v>
      </c>
      <c r="C23">
        <f t="shared" ref="C23:D23" si="39">M23+T23+AA23+AH23</f>
        <v>24</v>
      </c>
      <c r="D23">
        <f t="shared" si="39"/>
        <v>14</v>
      </c>
      <c r="E23" s="43">
        <v>1</v>
      </c>
      <c r="F23" s="44">
        <v>150</v>
      </c>
      <c r="G23" s="10">
        <f t="shared" si="1"/>
        <v>3600</v>
      </c>
      <c r="H23" s="10">
        <f t="shared" si="2"/>
        <v>28800</v>
      </c>
      <c r="I23" s="10">
        <f t="shared" si="3"/>
        <v>2100</v>
      </c>
      <c r="J23" s="10">
        <f t="shared" si="4"/>
        <v>8400</v>
      </c>
      <c r="K23" s="41">
        <f t="shared" si="5"/>
        <v>0</v>
      </c>
      <c r="L23" s="41">
        <f t="shared" si="6"/>
        <v>0</v>
      </c>
      <c r="M23">
        <v>20</v>
      </c>
      <c r="N23">
        <v>10</v>
      </c>
      <c r="O23" s="10">
        <f t="shared" si="7"/>
        <v>3000</v>
      </c>
      <c r="P23" s="10">
        <f t="shared" si="8"/>
        <v>24000</v>
      </c>
      <c r="Q23" s="10">
        <f t="shared" si="9"/>
        <v>1500</v>
      </c>
      <c r="R23" s="10">
        <f t="shared" si="10"/>
        <v>6000</v>
      </c>
      <c r="S23" s="8"/>
      <c r="T23" s="8"/>
      <c r="U23" s="8"/>
      <c r="V23" s="10">
        <f t="shared" si="11"/>
        <v>0</v>
      </c>
      <c r="W23" s="10">
        <f t="shared" si="12"/>
        <v>0</v>
      </c>
      <c r="X23" s="10">
        <f t="shared" si="13"/>
        <v>0</v>
      </c>
      <c r="Y23" s="10">
        <f t="shared" si="14"/>
        <v>0</v>
      </c>
      <c r="Z23" s="8"/>
      <c r="AA23" s="8">
        <v>3</v>
      </c>
      <c r="AB23" s="8">
        <v>3</v>
      </c>
      <c r="AC23" s="10">
        <f t="shared" si="15"/>
        <v>450</v>
      </c>
      <c r="AD23" s="10">
        <f t="shared" si="16"/>
        <v>3600</v>
      </c>
      <c r="AE23" s="10">
        <f t="shared" si="17"/>
        <v>450</v>
      </c>
      <c r="AF23" s="10">
        <f t="shared" si="18"/>
        <v>1800</v>
      </c>
      <c r="AG23" s="8"/>
      <c r="AH23" s="8">
        <v>1</v>
      </c>
      <c r="AI23" s="8">
        <v>1</v>
      </c>
      <c r="AJ23" s="10">
        <f t="shared" si="19"/>
        <v>150</v>
      </c>
      <c r="AK23" s="10">
        <f t="shared" si="20"/>
        <v>1200</v>
      </c>
      <c r="AL23" s="10">
        <f t="shared" si="21"/>
        <v>150</v>
      </c>
      <c r="AM23" s="10">
        <f t="shared" si="22"/>
        <v>600</v>
      </c>
    </row>
    <row r="24" spans="1:39" ht="14.25" customHeight="1" x14ac:dyDescent="0.35">
      <c r="A24" s="8"/>
      <c r="B24" s="50" t="s">
        <v>98</v>
      </c>
      <c r="C24">
        <f t="shared" ref="C24:D24" si="40">M24+T24+AA24+AH24</f>
        <v>80</v>
      </c>
      <c r="D24">
        <f t="shared" si="40"/>
        <v>60</v>
      </c>
      <c r="E24" s="43">
        <v>6</v>
      </c>
      <c r="F24" s="49">
        <v>550</v>
      </c>
      <c r="G24" s="10">
        <f t="shared" si="1"/>
        <v>7333.333333333333</v>
      </c>
      <c r="H24" s="10">
        <f t="shared" si="2"/>
        <v>58666.666666666664</v>
      </c>
      <c r="I24" s="10">
        <f t="shared" si="3"/>
        <v>5500</v>
      </c>
      <c r="J24" s="10">
        <f t="shared" si="4"/>
        <v>22000</v>
      </c>
      <c r="K24" s="41">
        <f t="shared" si="5"/>
        <v>0</v>
      </c>
      <c r="L24" s="41">
        <f t="shared" si="6"/>
        <v>0</v>
      </c>
      <c r="M24">
        <v>60</v>
      </c>
      <c r="N24">
        <v>40</v>
      </c>
      <c r="O24" s="10">
        <f t="shared" si="7"/>
        <v>5500</v>
      </c>
      <c r="P24" s="10">
        <f t="shared" si="8"/>
        <v>44000</v>
      </c>
      <c r="Q24" s="10">
        <f t="shared" si="9"/>
        <v>3666.6666666666665</v>
      </c>
      <c r="R24" s="10">
        <f t="shared" si="10"/>
        <v>14666.666666666666</v>
      </c>
      <c r="S24" s="8"/>
      <c r="T24" s="8">
        <v>20</v>
      </c>
      <c r="U24" s="8">
        <v>20</v>
      </c>
      <c r="V24" s="10">
        <f t="shared" si="11"/>
        <v>1833.3333333333333</v>
      </c>
      <c r="W24" s="10">
        <f t="shared" si="12"/>
        <v>14666.666666666666</v>
      </c>
      <c r="X24" s="10">
        <f t="shared" si="13"/>
        <v>1833.3333333333333</v>
      </c>
      <c r="Y24" s="10">
        <f t="shared" si="14"/>
        <v>7333.333333333333</v>
      </c>
      <c r="Z24" s="8"/>
      <c r="AA24" s="8"/>
      <c r="AB24" s="8"/>
      <c r="AC24" s="10">
        <f t="shared" si="15"/>
        <v>0</v>
      </c>
      <c r="AD24" s="10">
        <f t="shared" si="16"/>
        <v>0</v>
      </c>
      <c r="AE24" s="10">
        <f t="shared" si="17"/>
        <v>0</v>
      </c>
      <c r="AF24" s="10">
        <f t="shared" si="18"/>
        <v>0</v>
      </c>
      <c r="AG24" s="8"/>
      <c r="AH24" s="8"/>
      <c r="AI24" s="8"/>
      <c r="AJ24" s="10">
        <f t="shared" si="19"/>
        <v>0</v>
      </c>
      <c r="AK24" s="10">
        <f t="shared" si="20"/>
        <v>0</v>
      </c>
      <c r="AL24" s="10">
        <f t="shared" si="21"/>
        <v>0</v>
      </c>
      <c r="AM24" s="10">
        <f t="shared" si="22"/>
        <v>0</v>
      </c>
    </row>
    <row r="25" spans="1:39" ht="14.25" customHeight="1" x14ac:dyDescent="0.35">
      <c r="A25" s="8"/>
      <c r="B25" s="20" t="s">
        <v>99</v>
      </c>
      <c r="C25">
        <f t="shared" ref="C25:D25" si="41">M25+T25+AA25+AH25</f>
        <v>20</v>
      </c>
      <c r="D25">
        <f t="shared" si="41"/>
        <v>20</v>
      </c>
      <c r="E25" s="43">
        <v>4</v>
      </c>
      <c r="F25" s="44">
        <v>180</v>
      </c>
      <c r="G25" s="10">
        <f t="shared" si="1"/>
        <v>900</v>
      </c>
      <c r="H25" s="10">
        <f t="shared" si="2"/>
        <v>7200</v>
      </c>
      <c r="I25" s="10">
        <f t="shared" si="3"/>
        <v>900</v>
      </c>
      <c r="J25" s="10">
        <f t="shared" si="4"/>
        <v>3600</v>
      </c>
      <c r="K25" s="41">
        <f t="shared" si="5"/>
        <v>0</v>
      </c>
      <c r="L25" s="41">
        <f t="shared" si="6"/>
        <v>0</v>
      </c>
      <c r="O25" s="10">
        <f t="shared" si="7"/>
        <v>0</v>
      </c>
      <c r="P25" s="10">
        <f t="shared" si="8"/>
        <v>0</v>
      </c>
      <c r="Q25" s="10">
        <f t="shared" si="9"/>
        <v>0</v>
      </c>
      <c r="R25" s="10">
        <f t="shared" si="10"/>
        <v>0</v>
      </c>
      <c r="S25" s="8"/>
      <c r="T25" s="8">
        <v>20</v>
      </c>
      <c r="U25" s="8">
        <v>20</v>
      </c>
      <c r="V25" s="10">
        <f t="shared" si="11"/>
        <v>900</v>
      </c>
      <c r="W25" s="10">
        <f t="shared" si="12"/>
        <v>7200</v>
      </c>
      <c r="X25" s="10">
        <f t="shared" si="13"/>
        <v>900</v>
      </c>
      <c r="Y25" s="10">
        <f t="shared" si="14"/>
        <v>3600</v>
      </c>
      <c r="Z25" s="8"/>
      <c r="AA25" s="8"/>
      <c r="AB25" s="8"/>
      <c r="AC25" s="10">
        <f t="shared" si="15"/>
        <v>0</v>
      </c>
      <c r="AD25" s="10">
        <f t="shared" si="16"/>
        <v>0</v>
      </c>
      <c r="AE25" s="10">
        <f t="shared" si="17"/>
        <v>0</v>
      </c>
      <c r="AF25" s="10">
        <f t="shared" si="18"/>
        <v>0</v>
      </c>
      <c r="AG25" s="8"/>
      <c r="AH25" s="8"/>
      <c r="AI25" s="8"/>
      <c r="AJ25" s="10">
        <f t="shared" si="19"/>
        <v>0</v>
      </c>
      <c r="AK25" s="10">
        <f t="shared" si="20"/>
        <v>0</v>
      </c>
      <c r="AL25" s="10">
        <f t="shared" si="21"/>
        <v>0</v>
      </c>
      <c r="AM25" s="10">
        <f t="shared" si="22"/>
        <v>0</v>
      </c>
    </row>
    <row r="26" spans="1:39" ht="14.25" customHeight="1" x14ac:dyDescent="0.35">
      <c r="A26" s="8"/>
      <c r="B26" s="20" t="s">
        <v>100</v>
      </c>
      <c r="C26">
        <f t="shared" ref="C26:D26" si="42">M26+T26+AA26+AH26</f>
        <v>190</v>
      </c>
      <c r="D26">
        <f t="shared" si="42"/>
        <v>110</v>
      </c>
      <c r="E26" s="43">
        <v>1</v>
      </c>
      <c r="F26" s="44">
        <v>38</v>
      </c>
      <c r="G26" s="10">
        <f t="shared" si="1"/>
        <v>7220</v>
      </c>
      <c r="H26" s="10">
        <f t="shared" si="2"/>
        <v>57760</v>
      </c>
      <c r="I26" s="10">
        <f t="shared" si="3"/>
        <v>4180</v>
      </c>
      <c r="J26" s="10">
        <f t="shared" si="4"/>
        <v>16720</v>
      </c>
      <c r="K26" s="41">
        <f t="shared" si="5"/>
        <v>0</v>
      </c>
      <c r="L26" s="41">
        <f t="shared" si="6"/>
        <v>0</v>
      </c>
      <c r="M26">
        <v>150</v>
      </c>
      <c r="N26">
        <v>80</v>
      </c>
      <c r="O26" s="10">
        <f t="shared" si="7"/>
        <v>5700</v>
      </c>
      <c r="P26" s="10">
        <f t="shared" si="8"/>
        <v>45600</v>
      </c>
      <c r="Q26" s="10">
        <f t="shared" si="9"/>
        <v>3040</v>
      </c>
      <c r="R26" s="10">
        <f t="shared" si="10"/>
        <v>12160</v>
      </c>
      <c r="S26" s="8"/>
      <c r="T26" s="8">
        <v>40</v>
      </c>
      <c r="U26" s="8">
        <v>30</v>
      </c>
      <c r="V26" s="10">
        <f t="shared" si="11"/>
        <v>1520</v>
      </c>
      <c r="W26" s="10">
        <f t="shared" si="12"/>
        <v>12160</v>
      </c>
      <c r="X26" s="10">
        <f t="shared" si="13"/>
        <v>1140</v>
      </c>
      <c r="Y26" s="10">
        <f t="shared" si="14"/>
        <v>4560</v>
      </c>
      <c r="Z26" s="8"/>
      <c r="AA26" s="8"/>
      <c r="AB26" s="8"/>
      <c r="AC26" s="10">
        <f t="shared" si="15"/>
        <v>0</v>
      </c>
      <c r="AD26" s="10">
        <f t="shared" si="16"/>
        <v>0</v>
      </c>
      <c r="AE26" s="10">
        <f t="shared" si="17"/>
        <v>0</v>
      </c>
      <c r="AF26" s="10">
        <f t="shared" si="18"/>
        <v>0</v>
      </c>
      <c r="AG26" s="8"/>
      <c r="AH26" s="8"/>
      <c r="AI26" s="8"/>
      <c r="AJ26" s="10">
        <f t="shared" si="19"/>
        <v>0</v>
      </c>
      <c r="AK26" s="10">
        <f t="shared" si="20"/>
        <v>0</v>
      </c>
      <c r="AL26" s="10">
        <f t="shared" si="21"/>
        <v>0</v>
      </c>
      <c r="AM26" s="10">
        <f t="shared" si="22"/>
        <v>0</v>
      </c>
    </row>
    <row r="27" spans="1:39" ht="14.25" customHeight="1" x14ac:dyDescent="0.35">
      <c r="A27" s="8"/>
      <c r="B27" s="20" t="s">
        <v>101</v>
      </c>
      <c r="C27">
        <f t="shared" ref="C27:D27" si="43">M27+T27+AA27+AH27</f>
        <v>197</v>
      </c>
      <c r="D27">
        <f t="shared" si="43"/>
        <v>117</v>
      </c>
      <c r="E27" s="43">
        <v>1</v>
      </c>
      <c r="F27" s="44">
        <v>38</v>
      </c>
      <c r="G27" s="10">
        <f t="shared" si="1"/>
        <v>7486</v>
      </c>
      <c r="H27" s="10">
        <f t="shared" si="2"/>
        <v>59888</v>
      </c>
      <c r="I27" s="10">
        <f t="shared" si="3"/>
        <v>4446</v>
      </c>
      <c r="J27" s="10">
        <f t="shared" si="4"/>
        <v>17784</v>
      </c>
      <c r="K27" s="41">
        <f t="shared" si="5"/>
        <v>0</v>
      </c>
      <c r="L27" s="41">
        <f t="shared" si="6"/>
        <v>0</v>
      </c>
      <c r="M27">
        <v>150</v>
      </c>
      <c r="N27">
        <v>80</v>
      </c>
      <c r="O27" s="10">
        <f t="shared" si="7"/>
        <v>5700</v>
      </c>
      <c r="P27" s="10">
        <f t="shared" si="8"/>
        <v>45600</v>
      </c>
      <c r="Q27" s="10">
        <f t="shared" si="9"/>
        <v>3040</v>
      </c>
      <c r="R27" s="10">
        <f t="shared" si="10"/>
        <v>12160</v>
      </c>
      <c r="S27" s="8"/>
      <c r="T27" s="8">
        <v>40</v>
      </c>
      <c r="U27" s="8">
        <v>30</v>
      </c>
      <c r="V27" s="10">
        <f t="shared" si="11"/>
        <v>1520</v>
      </c>
      <c r="W27" s="10">
        <f t="shared" si="12"/>
        <v>12160</v>
      </c>
      <c r="X27" s="10">
        <f t="shared" si="13"/>
        <v>1140</v>
      </c>
      <c r="Y27" s="10">
        <f t="shared" si="14"/>
        <v>4560</v>
      </c>
      <c r="Z27" s="8"/>
      <c r="AA27" s="8">
        <v>4</v>
      </c>
      <c r="AB27" s="8">
        <v>4</v>
      </c>
      <c r="AC27" s="10">
        <f t="shared" si="15"/>
        <v>152</v>
      </c>
      <c r="AD27" s="10">
        <f t="shared" si="16"/>
        <v>1216</v>
      </c>
      <c r="AE27" s="10">
        <f t="shared" si="17"/>
        <v>152</v>
      </c>
      <c r="AF27" s="10">
        <f t="shared" si="18"/>
        <v>608</v>
      </c>
      <c r="AG27" s="8"/>
      <c r="AH27" s="8">
        <v>3</v>
      </c>
      <c r="AI27" s="8">
        <v>3</v>
      </c>
      <c r="AJ27" s="10">
        <f t="shared" si="19"/>
        <v>114</v>
      </c>
      <c r="AK27" s="10">
        <f t="shared" si="20"/>
        <v>912</v>
      </c>
      <c r="AL27" s="10">
        <f t="shared" si="21"/>
        <v>114</v>
      </c>
      <c r="AM27" s="10">
        <f t="shared" si="22"/>
        <v>456</v>
      </c>
    </row>
    <row r="28" spans="1:39" ht="14.25" customHeight="1" x14ac:dyDescent="0.35">
      <c r="A28" s="8"/>
      <c r="B28" s="20" t="s">
        <v>102</v>
      </c>
      <c r="C28">
        <f t="shared" ref="C28:D28" si="44">M28+T28+AA28+AH28</f>
        <v>187</v>
      </c>
      <c r="D28">
        <f t="shared" si="44"/>
        <v>107</v>
      </c>
      <c r="E28" s="43">
        <v>1</v>
      </c>
      <c r="F28" s="44">
        <v>38</v>
      </c>
      <c r="G28" s="10">
        <f t="shared" si="1"/>
        <v>7106</v>
      </c>
      <c r="H28" s="10">
        <f t="shared" si="2"/>
        <v>56848</v>
      </c>
      <c r="I28" s="10">
        <f t="shared" si="3"/>
        <v>4066</v>
      </c>
      <c r="J28" s="10">
        <f t="shared" si="4"/>
        <v>16264</v>
      </c>
      <c r="K28" s="41">
        <f t="shared" si="5"/>
        <v>0</v>
      </c>
      <c r="L28" s="41">
        <f t="shared" si="6"/>
        <v>0</v>
      </c>
      <c r="M28">
        <v>150</v>
      </c>
      <c r="N28">
        <v>80</v>
      </c>
      <c r="O28" s="10">
        <f t="shared" si="7"/>
        <v>5700</v>
      </c>
      <c r="P28" s="10">
        <f t="shared" si="8"/>
        <v>45600</v>
      </c>
      <c r="Q28" s="10">
        <f t="shared" si="9"/>
        <v>3040</v>
      </c>
      <c r="R28" s="10">
        <f t="shared" si="10"/>
        <v>12160</v>
      </c>
      <c r="S28" s="8"/>
      <c r="T28" s="8">
        <v>30</v>
      </c>
      <c r="U28" s="8">
        <v>20</v>
      </c>
      <c r="V28" s="10">
        <f t="shared" si="11"/>
        <v>1140</v>
      </c>
      <c r="W28" s="10">
        <f t="shared" si="12"/>
        <v>9120</v>
      </c>
      <c r="X28" s="10">
        <f t="shared" si="13"/>
        <v>760</v>
      </c>
      <c r="Y28" s="10">
        <f t="shared" si="14"/>
        <v>3040</v>
      </c>
      <c r="Z28" s="8"/>
      <c r="AA28" s="8">
        <v>4</v>
      </c>
      <c r="AB28" s="8">
        <v>4</v>
      </c>
      <c r="AC28" s="10">
        <f t="shared" si="15"/>
        <v>152</v>
      </c>
      <c r="AD28" s="10">
        <f t="shared" si="16"/>
        <v>1216</v>
      </c>
      <c r="AE28" s="10">
        <f t="shared" si="17"/>
        <v>152</v>
      </c>
      <c r="AF28" s="10">
        <f t="shared" si="18"/>
        <v>608</v>
      </c>
      <c r="AG28" s="8"/>
      <c r="AH28" s="8">
        <v>3</v>
      </c>
      <c r="AI28" s="8">
        <v>3</v>
      </c>
      <c r="AJ28" s="10">
        <f t="shared" si="19"/>
        <v>114</v>
      </c>
      <c r="AK28" s="10">
        <f t="shared" si="20"/>
        <v>912</v>
      </c>
      <c r="AL28" s="10">
        <f t="shared" si="21"/>
        <v>114</v>
      </c>
      <c r="AM28" s="10">
        <f t="shared" si="22"/>
        <v>456</v>
      </c>
    </row>
    <row r="29" spans="1:39" ht="14.25" customHeight="1" x14ac:dyDescent="0.35">
      <c r="A29" s="8"/>
      <c r="B29" s="20" t="s">
        <v>103</v>
      </c>
      <c r="C29">
        <f t="shared" ref="C29:D29" si="45">M29+T29+AA29+AH29</f>
        <v>110</v>
      </c>
      <c r="D29">
        <f t="shared" si="45"/>
        <v>70</v>
      </c>
      <c r="E29" s="43">
        <v>3</v>
      </c>
      <c r="F29" s="49">
        <v>135</v>
      </c>
      <c r="G29" s="10">
        <f t="shared" si="1"/>
        <v>4950</v>
      </c>
      <c r="H29" s="10">
        <f t="shared" si="2"/>
        <v>39600</v>
      </c>
      <c r="I29" s="10">
        <f t="shared" si="3"/>
        <v>3150</v>
      </c>
      <c r="J29" s="10">
        <f t="shared" si="4"/>
        <v>12600</v>
      </c>
      <c r="K29" s="41">
        <f t="shared" si="5"/>
        <v>0</v>
      </c>
      <c r="L29" s="41">
        <f t="shared" si="6"/>
        <v>0</v>
      </c>
      <c r="M29">
        <v>80</v>
      </c>
      <c r="N29">
        <v>50</v>
      </c>
      <c r="O29" s="10">
        <f t="shared" si="7"/>
        <v>3600</v>
      </c>
      <c r="P29" s="10">
        <f t="shared" si="8"/>
        <v>28800</v>
      </c>
      <c r="Q29" s="10">
        <f t="shared" si="9"/>
        <v>2250</v>
      </c>
      <c r="R29" s="10">
        <f t="shared" si="10"/>
        <v>9000</v>
      </c>
      <c r="S29" s="8"/>
      <c r="T29" s="8">
        <v>30</v>
      </c>
      <c r="U29" s="8">
        <v>20</v>
      </c>
      <c r="V29" s="10">
        <f t="shared" si="11"/>
        <v>1350</v>
      </c>
      <c r="W29" s="10">
        <f t="shared" si="12"/>
        <v>10800</v>
      </c>
      <c r="X29" s="10">
        <f t="shared" si="13"/>
        <v>900</v>
      </c>
      <c r="Y29" s="10">
        <f t="shared" si="14"/>
        <v>3600</v>
      </c>
      <c r="Z29" s="8"/>
      <c r="AA29" s="8"/>
      <c r="AB29" s="8"/>
      <c r="AC29" s="10">
        <f t="shared" si="15"/>
        <v>0</v>
      </c>
      <c r="AD29" s="10">
        <f t="shared" si="16"/>
        <v>0</v>
      </c>
      <c r="AE29" s="10">
        <f t="shared" si="17"/>
        <v>0</v>
      </c>
      <c r="AF29" s="10">
        <f t="shared" si="18"/>
        <v>0</v>
      </c>
      <c r="AG29" s="8"/>
      <c r="AH29" s="8"/>
      <c r="AI29" s="8"/>
      <c r="AJ29" s="10">
        <f t="shared" si="19"/>
        <v>0</v>
      </c>
      <c r="AK29" s="10">
        <f t="shared" si="20"/>
        <v>0</v>
      </c>
      <c r="AL29" s="10">
        <f t="shared" si="21"/>
        <v>0</v>
      </c>
      <c r="AM29" s="10">
        <f t="shared" si="22"/>
        <v>0</v>
      </c>
    </row>
    <row r="30" spans="1:39" ht="14.25" customHeight="1" x14ac:dyDescent="0.35">
      <c r="A30" s="8"/>
      <c r="B30" s="20" t="s">
        <v>104</v>
      </c>
      <c r="C30">
        <f t="shared" ref="C30:D30" si="46">M30+T30+AA30+AH30</f>
        <v>74</v>
      </c>
      <c r="D30">
        <f t="shared" si="46"/>
        <v>39</v>
      </c>
      <c r="E30" s="43">
        <v>1</v>
      </c>
      <c r="F30" s="49">
        <v>45</v>
      </c>
      <c r="G30" s="10">
        <f t="shared" si="1"/>
        <v>3330</v>
      </c>
      <c r="H30" s="10">
        <f t="shared" si="2"/>
        <v>26640</v>
      </c>
      <c r="I30" s="10">
        <f t="shared" si="3"/>
        <v>1755</v>
      </c>
      <c r="J30" s="10">
        <f t="shared" si="4"/>
        <v>7020</v>
      </c>
      <c r="K30" s="41">
        <f t="shared" si="5"/>
        <v>0</v>
      </c>
      <c r="L30" s="41">
        <f t="shared" si="6"/>
        <v>0</v>
      </c>
      <c r="M30">
        <v>60</v>
      </c>
      <c r="N30">
        <v>30</v>
      </c>
      <c r="O30" s="10">
        <f t="shared" si="7"/>
        <v>2700</v>
      </c>
      <c r="P30" s="10">
        <f t="shared" si="8"/>
        <v>21600</v>
      </c>
      <c r="Q30" s="10">
        <f t="shared" si="9"/>
        <v>1350</v>
      </c>
      <c r="R30" s="10">
        <f t="shared" si="10"/>
        <v>5400</v>
      </c>
      <c r="S30" s="8"/>
      <c r="T30" s="8">
        <v>10</v>
      </c>
      <c r="U30" s="8">
        <v>5</v>
      </c>
      <c r="V30" s="10">
        <f t="shared" si="11"/>
        <v>450</v>
      </c>
      <c r="W30" s="10">
        <f t="shared" si="12"/>
        <v>3600</v>
      </c>
      <c r="X30" s="10">
        <f t="shared" si="13"/>
        <v>225</v>
      </c>
      <c r="Y30" s="10">
        <f t="shared" si="14"/>
        <v>900</v>
      </c>
      <c r="Z30" s="8"/>
      <c r="AA30" s="8">
        <v>3</v>
      </c>
      <c r="AB30" s="8">
        <v>3</v>
      </c>
      <c r="AC30" s="10">
        <f t="shared" si="15"/>
        <v>135</v>
      </c>
      <c r="AD30" s="10">
        <f t="shared" si="16"/>
        <v>1080</v>
      </c>
      <c r="AE30" s="10">
        <f t="shared" si="17"/>
        <v>135</v>
      </c>
      <c r="AF30" s="10">
        <f t="shared" si="18"/>
        <v>540</v>
      </c>
      <c r="AG30" s="8"/>
      <c r="AH30" s="8">
        <v>1</v>
      </c>
      <c r="AI30" s="8">
        <v>1</v>
      </c>
      <c r="AJ30" s="10">
        <f t="shared" si="19"/>
        <v>45</v>
      </c>
      <c r="AK30" s="10">
        <f t="shared" si="20"/>
        <v>360</v>
      </c>
      <c r="AL30" s="10">
        <f t="shared" si="21"/>
        <v>45</v>
      </c>
      <c r="AM30" s="10">
        <f t="shared" si="22"/>
        <v>180</v>
      </c>
    </row>
    <row r="31" spans="1:39" ht="14.25" customHeight="1" x14ac:dyDescent="0.35">
      <c r="A31" s="8"/>
      <c r="B31" s="51" t="s">
        <v>105</v>
      </c>
      <c r="C31">
        <f t="shared" ref="C31:D31" si="47">M31+T31+AA31+AH31</f>
        <v>212</v>
      </c>
      <c r="D31">
        <f t="shared" si="47"/>
        <v>122</v>
      </c>
      <c r="E31" s="43">
        <v>1</v>
      </c>
      <c r="F31" s="49">
        <v>25</v>
      </c>
      <c r="G31" s="10">
        <f t="shared" si="1"/>
        <v>5300</v>
      </c>
      <c r="H31" s="10">
        <f t="shared" si="2"/>
        <v>42400</v>
      </c>
      <c r="I31" s="10">
        <f t="shared" si="3"/>
        <v>3050</v>
      </c>
      <c r="J31" s="10">
        <f t="shared" si="4"/>
        <v>12200</v>
      </c>
      <c r="K31" s="41">
        <f t="shared" si="5"/>
        <v>0</v>
      </c>
      <c r="L31" s="41">
        <f t="shared" si="6"/>
        <v>0</v>
      </c>
      <c r="M31">
        <v>150</v>
      </c>
      <c r="N31">
        <v>80</v>
      </c>
      <c r="O31" s="10">
        <f t="shared" si="7"/>
        <v>3750</v>
      </c>
      <c r="P31" s="10">
        <f t="shared" si="8"/>
        <v>30000</v>
      </c>
      <c r="Q31" s="10">
        <f t="shared" si="9"/>
        <v>2000</v>
      </c>
      <c r="R31" s="10">
        <f t="shared" si="10"/>
        <v>8000</v>
      </c>
      <c r="S31" s="8"/>
      <c r="T31" s="8">
        <v>50</v>
      </c>
      <c r="U31" s="8">
        <v>30</v>
      </c>
      <c r="V31" s="10">
        <f t="shared" si="11"/>
        <v>1250</v>
      </c>
      <c r="W31" s="10">
        <f t="shared" si="12"/>
        <v>10000</v>
      </c>
      <c r="X31" s="10">
        <f t="shared" si="13"/>
        <v>750</v>
      </c>
      <c r="Y31" s="10">
        <f t="shared" si="14"/>
        <v>3000</v>
      </c>
      <c r="Z31" s="8"/>
      <c r="AA31" s="8">
        <v>10</v>
      </c>
      <c r="AB31" s="8">
        <v>10</v>
      </c>
      <c r="AC31" s="10">
        <f t="shared" si="15"/>
        <v>250</v>
      </c>
      <c r="AD31" s="10">
        <f t="shared" si="16"/>
        <v>2000</v>
      </c>
      <c r="AE31" s="10">
        <f t="shared" si="17"/>
        <v>250</v>
      </c>
      <c r="AF31" s="10">
        <f t="shared" si="18"/>
        <v>1000</v>
      </c>
      <c r="AG31" s="8"/>
      <c r="AH31" s="8">
        <v>2</v>
      </c>
      <c r="AI31" s="8">
        <v>2</v>
      </c>
      <c r="AJ31" s="10">
        <f t="shared" si="19"/>
        <v>50</v>
      </c>
      <c r="AK31" s="10">
        <f t="shared" si="20"/>
        <v>400</v>
      </c>
      <c r="AL31" s="10">
        <f t="shared" si="21"/>
        <v>50</v>
      </c>
      <c r="AM31" s="10">
        <f t="shared" si="22"/>
        <v>200</v>
      </c>
    </row>
    <row r="32" spans="1:39" ht="14.25" customHeight="1" x14ac:dyDescent="0.35">
      <c r="A32" s="8"/>
      <c r="B32" s="20" t="s">
        <v>106</v>
      </c>
      <c r="C32">
        <f t="shared" ref="C32:D32" si="48">M32+T32+AA32+AH32</f>
        <v>88</v>
      </c>
      <c r="D32">
        <f t="shared" si="48"/>
        <v>58</v>
      </c>
      <c r="E32" s="43">
        <v>2</v>
      </c>
      <c r="F32" s="49">
        <v>30</v>
      </c>
      <c r="G32" s="10">
        <f t="shared" si="1"/>
        <v>1320</v>
      </c>
      <c r="H32" s="10">
        <f t="shared" si="2"/>
        <v>10560</v>
      </c>
      <c r="I32" s="10">
        <f t="shared" si="3"/>
        <v>870</v>
      </c>
      <c r="J32" s="10">
        <f t="shared" si="4"/>
        <v>3480</v>
      </c>
      <c r="K32" s="41">
        <f t="shared" si="5"/>
        <v>0</v>
      </c>
      <c r="L32" s="41">
        <f t="shared" si="6"/>
        <v>0</v>
      </c>
      <c r="M32">
        <v>60</v>
      </c>
      <c r="N32">
        <v>40</v>
      </c>
      <c r="O32" s="10">
        <f t="shared" si="7"/>
        <v>900</v>
      </c>
      <c r="P32" s="10">
        <f t="shared" si="8"/>
        <v>7200</v>
      </c>
      <c r="Q32" s="10">
        <f t="shared" si="9"/>
        <v>600</v>
      </c>
      <c r="R32" s="10">
        <f t="shared" si="10"/>
        <v>2400</v>
      </c>
      <c r="S32" s="8"/>
      <c r="T32" s="8">
        <v>20</v>
      </c>
      <c r="U32" s="8">
        <v>10</v>
      </c>
      <c r="V32" s="10">
        <f t="shared" si="11"/>
        <v>300</v>
      </c>
      <c r="W32" s="10">
        <f t="shared" si="12"/>
        <v>2400</v>
      </c>
      <c r="X32" s="10">
        <f t="shared" si="13"/>
        <v>150</v>
      </c>
      <c r="Y32" s="10">
        <f t="shared" si="14"/>
        <v>600</v>
      </c>
      <c r="Z32" s="8"/>
      <c r="AA32" s="8">
        <v>6</v>
      </c>
      <c r="AB32" s="8">
        <v>6</v>
      </c>
      <c r="AC32" s="10">
        <f t="shared" si="15"/>
        <v>90</v>
      </c>
      <c r="AD32" s="10">
        <f t="shared" si="16"/>
        <v>720</v>
      </c>
      <c r="AE32" s="10">
        <f t="shared" si="17"/>
        <v>90</v>
      </c>
      <c r="AF32" s="10">
        <f t="shared" si="18"/>
        <v>360</v>
      </c>
      <c r="AG32" s="8"/>
      <c r="AH32" s="8">
        <v>2</v>
      </c>
      <c r="AI32" s="8">
        <v>2</v>
      </c>
      <c r="AJ32" s="10">
        <f t="shared" si="19"/>
        <v>30</v>
      </c>
      <c r="AK32" s="10">
        <f t="shared" si="20"/>
        <v>240</v>
      </c>
      <c r="AL32" s="10">
        <f t="shared" si="21"/>
        <v>30</v>
      </c>
      <c r="AM32" s="10">
        <f t="shared" si="22"/>
        <v>120</v>
      </c>
    </row>
    <row r="33" spans="1:39" ht="14.25" customHeight="1" x14ac:dyDescent="0.35">
      <c r="A33" s="8"/>
      <c r="B33" s="20" t="s">
        <v>107</v>
      </c>
      <c r="C33">
        <f t="shared" ref="C33:D33" si="49">M33+T33+AA33+AH33</f>
        <v>80</v>
      </c>
      <c r="D33">
        <f t="shared" si="49"/>
        <v>60</v>
      </c>
      <c r="E33" s="43">
        <v>3</v>
      </c>
      <c r="F33" s="49">
        <v>33</v>
      </c>
      <c r="G33" s="10">
        <f t="shared" si="1"/>
        <v>880</v>
      </c>
      <c r="H33" s="10">
        <f t="shared" si="2"/>
        <v>7040</v>
      </c>
      <c r="I33" s="10">
        <f t="shared" si="3"/>
        <v>660</v>
      </c>
      <c r="J33" s="10">
        <f t="shared" si="4"/>
        <v>2640</v>
      </c>
      <c r="K33" s="41">
        <f t="shared" si="5"/>
        <v>0</v>
      </c>
      <c r="L33" s="41">
        <f t="shared" si="6"/>
        <v>0</v>
      </c>
      <c r="M33">
        <v>60</v>
      </c>
      <c r="N33">
        <v>40</v>
      </c>
      <c r="O33" s="10">
        <f t="shared" si="7"/>
        <v>660</v>
      </c>
      <c r="P33" s="10">
        <f t="shared" si="8"/>
        <v>5280</v>
      </c>
      <c r="Q33" s="10">
        <f t="shared" si="9"/>
        <v>440</v>
      </c>
      <c r="R33" s="10">
        <f t="shared" si="10"/>
        <v>1760</v>
      </c>
      <c r="S33" s="8"/>
      <c r="T33" s="8">
        <v>15</v>
      </c>
      <c r="U33" s="8">
        <v>15</v>
      </c>
      <c r="V33" s="10">
        <f t="shared" si="11"/>
        <v>165</v>
      </c>
      <c r="W33" s="10">
        <f t="shared" si="12"/>
        <v>1320</v>
      </c>
      <c r="X33" s="10">
        <f t="shared" si="13"/>
        <v>165</v>
      </c>
      <c r="Y33" s="10">
        <f t="shared" si="14"/>
        <v>660</v>
      </c>
      <c r="Z33" s="8"/>
      <c r="AA33" s="8">
        <v>3</v>
      </c>
      <c r="AB33" s="8">
        <v>3</v>
      </c>
      <c r="AC33" s="10">
        <f t="shared" si="15"/>
        <v>33</v>
      </c>
      <c r="AD33" s="10">
        <f t="shared" si="16"/>
        <v>264</v>
      </c>
      <c r="AE33" s="10">
        <f t="shared" si="17"/>
        <v>33</v>
      </c>
      <c r="AF33" s="10">
        <f t="shared" si="18"/>
        <v>132</v>
      </c>
      <c r="AG33" s="8"/>
      <c r="AH33" s="8">
        <v>2</v>
      </c>
      <c r="AI33" s="8">
        <v>2</v>
      </c>
      <c r="AJ33" s="10">
        <f t="shared" si="19"/>
        <v>22</v>
      </c>
      <c r="AK33" s="10">
        <f t="shared" si="20"/>
        <v>176</v>
      </c>
      <c r="AL33" s="10">
        <f t="shared" si="21"/>
        <v>22</v>
      </c>
      <c r="AM33" s="10">
        <f t="shared" si="22"/>
        <v>88</v>
      </c>
    </row>
    <row r="34" spans="1:39" ht="14.25" customHeight="1" x14ac:dyDescent="0.35">
      <c r="A34" s="8"/>
      <c r="B34" s="20" t="s">
        <v>108</v>
      </c>
      <c r="C34">
        <f t="shared" ref="C34:D34" si="50">M34+T34+AA34+AH34</f>
        <v>175</v>
      </c>
      <c r="D34">
        <f t="shared" si="50"/>
        <v>105</v>
      </c>
      <c r="E34" s="43">
        <v>3</v>
      </c>
      <c r="F34" s="49">
        <v>48</v>
      </c>
      <c r="G34" s="10">
        <f t="shared" si="1"/>
        <v>2800</v>
      </c>
      <c r="H34" s="10">
        <f t="shared" si="2"/>
        <v>22400</v>
      </c>
      <c r="I34" s="10">
        <f t="shared" si="3"/>
        <v>1680</v>
      </c>
      <c r="J34" s="10">
        <f t="shared" si="4"/>
        <v>6720</v>
      </c>
      <c r="K34" s="41">
        <f t="shared" si="5"/>
        <v>0</v>
      </c>
      <c r="L34" s="41">
        <f t="shared" si="6"/>
        <v>0</v>
      </c>
      <c r="M34">
        <v>100</v>
      </c>
      <c r="N34">
        <v>60</v>
      </c>
      <c r="O34" s="10">
        <f t="shared" si="7"/>
        <v>1600</v>
      </c>
      <c r="P34" s="10">
        <f t="shared" si="8"/>
        <v>12800</v>
      </c>
      <c r="Q34" s="10">
        <f t="shared" si="9"/>
        <v>960</v>
      </c>
      <c r="R34" s="10">
        <f t="shared" si="10"/>
        <v>3840</v>
      </c>
      <c r="S34" s="8"/>
      <c r="T34" s="8">
        <v>70</v>
      </c>
      <c r="U34" s="8">
        <v>40</v>
      </c>
      <c r="V34" s="10">
        <f t="shared" si="11"/>
        <v>1120</v>
      </c>
      <c r="W34" s="10">
        <f t="shared" si="12"/>
        <v>8960</v>
      </c>
      <c r="X34" s="10">
        <f t="shared" si="13"/>
        <v>640</v>
      </c>
      <c r="Y34" s="10">
        <f t="shared" si="14"/>
        <v>2560</v>
      </c>
      <c r="Z34" s="8"/>
      <c r="AA34" s="8">
        <v>3</v>
      </c>
      <c r="AB34" s="8">
        <v>3</v>
      </c>
      <c r="AC34" s="10">
        <f t="shared" si="15"/>
        <v>48</v>
      </c>
      <c r="AD34" s="10">
        <f t="shared" si="16"/>
        <v>384</v>
      </c>
      <c r="AE34" s="10">
        <f t="shared" si="17"/>
        <v>48</v>
      </c>
      <c r="AF34" s="10">
        <f t="shared" si="18"/>
        <v>192</v>
      </c>
      <c r="AG34" s="8"/>
      <c r="AH34" s="8">
        <v>2</v>
      </c>
      <c r="AI34" s="8">
        <v>2</v>
      </c>
      <c r="AJ34" s="10">
        <f t="shared" si="19"/>
        <v>32</v>
      </c>
      <c r="AK34" s="10">
        <f t="shared" si="20"/>
        <v>256</v>
      </c>
      <c r="AL34" s="10">
        <f t="shared" si="21"/>
        <v>32</v>
      </c>
      <c r="AM34" s="10">
        <f t="shared" si="22"/>
        <v>128</v>
      </c>
    </row>
    <row r="35" spans="1:39" ht="14.25" customHeight="1" x14ac:dyDescent="0.35">
      <c r="A35" s="8"/>
      <c r="B35" s="20" t="s">
        <v>109</v>
      </c>
      <c r="C35">
        <f t="shared" ref="C35:D35" si="51">M35+T35+AA35+AH35</f>
        <v>125</v>
      </c>
      <c r="D35">
        <f t="shared" si="51"/>
        <v>90</v>
      </c>
      <c r="E35" s="43">
        <v>6</v>
      </c>
      <c r="F35" s="49">
        <v>650</v>
      </c>
      <c r="G35" s="10">
        <f t="shared" si="1"/>
        <v>13541.666666666666</v>
      </c>
      <c r="H35" s="10">
        <f t="shared" si="2"/>
        <v>108333.33333333333</v>
      </c>
      <c r="I35" s="10">
        <f t="shared" si="3"/>
        <v>9750</v>
      </c>
      <c r="J35" s="10">
        <f t="shared" si="4"/>
        <v>39000</v>
      </c>
      <c r="K35" s="41">
        <f t="shared" si="5"/>
        <v>0</v>
      </c>
      <c r="L35" s="41">
        <f t="shared" si="6"/>
        <v>0</v>
      </c>
      <c r="M35">
        <v>80</v>
      </c>
      <c r="N35">
        <v>60</v>
      </c>
      <c r="O35" s="10">
        <f t="shared" si="7"/>
        <v>8666.6666666666661</v>
      </c>
      <c r="P35" s="10">
        <f t="shared" si="8"/>
        <v>69333.333333333328</v>
      </c>
      <c r="Q35" s="10">
        <f t="shared" si="9"/>
        <v>6500</v>
      </c>
      <c r="R35" s="10">
        <f t="shared" si="10"/>
        <v>26000</v>
      </c>
      <c r="S35" s="8"/>
      <c r="T35" s="8">
        <v>40</v>
      </c>
      <c r="U35" s="8">
        <v>25</v>
      </c>
      <c r="V35" s="10">
        <f t="shared" si="11"/>
        <v>4333.333333333333</v>
      </c>
      <c r="W35" s="10">
        <f t="shared" si="12"/>
        <v>34666.666666666664</v>
      </c>
      <c r="X35" s="10">
        <f t="shared" si="13"/>
        <v>2708.3333333333335</v>
      </c>
      <c r="Y35" s="10">
        <f t="shared" si="14"/>
        <v>10833.333333333334</v>
      </c>
      <c r="Z35" s="8"/>
      <c r="AA35" s="8">
        <v>3</v>
      </c>
      <c r="AB35" s="8">
        <v>3</v>
      </c>
      <c r="AC35" s="10">
        <f t="shared" si="15"/>
        <v>325</v>
      </c>
      <c r="AD35" s="10">
        <f t="shared" si="16"/>
        <v>2600</v>
      </c>
      <c r="AE35" s="10">
        <f t="shared" si="17"/>
        <v>325</v>
      </c>
      <c r="AF35" s="10">
        <f t="shared" si="18"/>
        <v>1300</v>
      </c>
      <c r="AG35" s="8"/>
      <c r="AH35" s="8">
        <v>2</v>
      </c>
      <c r="AI35" s="8">
        <v>2</v>
      </c>
      <c r="AJ35" s="10">
        <f t="shared" si="19"/>
        <v>216.66666666666666</v>
      </c>
      <c r="AK35" s="10">
        <f t="shared" si="20"/>
        <v>1733.3333333333333</v>
      </c>
      <c r="AL35" s="10">
        <f t="shared" si="21"/>
        <v>216.66666666666666</v>
      </c>
      <c r="AM35" s="10">
        <f t="shared" si="22"/>
        <v>866.66666666666663</v>
      </c>
    </row>
    <row r="36" spans="1:39" ht="14.25" customHeight="1" x14ac:dyDescent="0.35">
      <c r="A36" s="8"/>
      <c r="B36" s="20" t="s">
        <v>110</v>
      </c>
      <c r="C36">
        <f t="shared" ref="C36:D36" si="52">M36+T36+AA36+AH36</f>
        <v>125</v>
      </c>
      <c r="D36">
        <f t="shared" si="52"/>
        <v>90</v>
      </c>
      <c r="E36" s="43">
        <v>3</v>
      </c>
      <c r="F36" s="49">
        <v>60</v>
      </c>
      <c r="G36" s="10">
        <f t="shared" si="1"/>
        <v>2500</v>
      </c>
      <c r="H36" s="10">
        <f t="shared" si="2"/>
        <v>20000</v>
      </c>
      <c r="I36" s="10">
        <f t="shared" si="3"/>
        <v>1800</v>
      </c>
      <c r="J36" s="10">
        <f t="shared" si="4"/>
        <v>7200</v>
      </c>
      <c r="K36" s="41">
        <f t="shared" si="5"/>
        <v>0</v>
      </c>
      <c r="L36" s="41">
        <f t="shared" si="6"/>
        <v>0</v>
      </c>
      <c r="M36">
        <v>100</v>
      </c>
      <c r="N36">
        <v>70</v>
      </c>
      <c r="O36" s="10">
        <f t="shared" si="7"/>
        <v>2000</v>
      </c>
      <c r="P36" s="10">
        <f t="shared" si="8"/>
        <v>16000</v>
      </c>
      <c r="Q36" s="10">
        <f t="shared" si="9"/>
        <v>1400</v>
      </c>
      <c r="R36" s="10">
        <f t="shared" si="10"/>
        <v>5600</v>
      </c>
      <c r="S36" s="8"/>
      <c r="T36" s="8">
        <v>20</v>
      </c>
      <c r="U36" s="8">
        <v>15</v>
      </c>
      <c r="V36" s="10">
        <f t="shared" si="11"/>
        <v>400</v>
      </c>
      <c r="W36" s="10">
        <f t="shared" si="12"/>
        <v>3200</v>
      </c>
      <c r="X36" s="10">
        <f t="shared" si="13"/>
        <v>300</v>
      </c>
      <c r="Y36" s="10">
        <f t="shared" si="14"/>
        <v>1200</v>
      </c>
      <c r="Z36" s="8"/>
      <c r="AA36" s="8">
        <v>3</v>
      </c>
      <c r="AB36" s="8">
        <v>3</v>
      </c>
      <c r="AC36" s="10">
        <f t="shared" si="15"/>
        <v>60</v>
      </c>
      <c r="AD36" s="10">
        <f t="shared" si="16"/>
        <v>480</v>
      </c>
      <c r="AE36" s="10">
        <f t="shared" si="17"/>
        <v>60</v>
      </c>
      <c r="AF36" s="10">
        <f t="shared" si="18"/>
        <v>240</v>
      </c>
      <c r="AG36" s="8"/>
      <c r="AH36" s="8">
        <v>2</v>
      </c>
      <c r="AI36" s="8">
        <v>2</v>
      </c>
      <c r="AJ36" s="10">
        <f t="shared" si="19"/>
        <v>40</v>
      </c>
      <c r="AK36" s="10">
        <f t="shared" si="20"/>
        <v>320</v>
      </c>
      <c r="AL36" s="10">
        <f t="shared" si="21"/>
        <v>40</v>
      </c>
      <c r="AM36" s="10">
        <f t="shared" si="22"/>
        <v>160</v>
      </c>
    </row>
    <row r="37" spans="1:39" ht="14.25" customHeight="1" x14ac:dyDescent="0.35">
      <c r="A37" s="8"/>
      <c r="B37" s="20" t="s">
        <v>111</v>
      </c>
      <c r="C37">
        <f t="shared" ref="C37:D37" si="53">M37+T37+AA37+AH37</f>
        <v>65</v>
      </c>
      <c r="D37">
        <f t="shared" si="53"/>
        <v>50</v>
      </c>
      <c r="E37" s="43">
        <v>1</v>
      </c>
      <c r="F37" s="49">
        <v>28</v>
      </c>
      <c r="G37" s="10">
        <f t="shared" si="1"/>
        <v>1820</v>
      </c>
      <c r="H37" s="10">
        <f t="shared" si="2"/>
        <v>14560</v>
      </c>
      <c r="I37" s="10">
        <f t="shared" si="3"/>
        <v>1400</v>
      </c>
      <c r="J37" s="10">
        <f t="shared" si="4"/>
        <v>5600</v>
      </c>
      <c r="K37" s="41">
        <f t="shared" si="5"/>
        <v>0</v>
      </c>
      <c r="L37" s="41">
        <f t="shared" si="6"/>
        <v>0</v>
      </c>
      <c r="M37">
        <v>40</v>
      </c>
      <c r="N37">
        <v>30</v>
      </c>
      <c r="O37" s="10">
        <f t="shared" si="7"/>
        <v>1120</v>
      </c>
      <c r="P37" s="10">
        <f t="shared" si="8"/>
        <v>8960</v>
      </c>
      <c r="Q37" s="10">
        <f t="shared" si="9"/>
        <v>840</v>
      </c>
      <c r="R37" s="10">
        <f t="shared" si="10"/>
        <v>3360</v>
      </c>
      <c r="S37" s="8"/>
      <c r="T37" s="8">
        <v>20</v>
      </c>
      <c r="U37" s="8">
        <v>15</v>
      </c>
      <c r="V37" s="10">
        <f t="shared" si="11"/>
        <v>560</v>
      </c>
      <c r="W37" s="10">
        <f t="shared" si="12"/>
        <v>4480</v>
      </c>
      <c r="X37" s="10">
        <f t="shared" si="13"/>
        <v>420</v>
      </c>
      <c r="Y37" s="10">
        <f t="shared" si="14"/>
        <v>1680</v>
      </c>
      <c r="Z37" s="8"/>
      <c r="AA37" s="8">
        <v>3</v>
      </c>
      <c r="AB37" s="8">
        <v>3</v>
      </c>
      <c r="AC37" s="10">
        <f t="shared" si="15"/>
        <v>84</v>
      </c>
      <c r="AD37" s="10">
        <f t="shared" si="16"/>
        <v>672</v>
      </c>
      <c r="AE37" s="10">
        <f t="shared" si="17"/>
        <v>84</v>
      </c>
      <c r="AF37" s="10">
        <f t="shared" si="18"/>
        <v>336</v>
      </c>
      <c r="AG37" s="8"/>
      <c r="AH37" s="8">
        <v>2</v>
      </c>
      <c r="AI37" s="8">
        <v>2</v>
      </c>
      <c r="AJ37" s="10">
        <f t="shared" si="19"/>
        <v>56</v>
      </c>
      <c r="AK37" s="10">
        <f t="shared" si="20"/>
        <v>448</v>
      </c>
      <c r="AL37" s="10">
        <f t="shared" si="21"/>
        <v>56</v>
      </c>
      <c r="AM37" s="10">
        <f t="shared" si="22"/>
        <v>224</v>
      </c>
    </row>
    <row r="38" spans="1:39" ht="14.25" customHeight="1" x14ac:dyDescent="0.35">
      <c r="A38" s="8"/>
      <c r="B38" s="20" t="s">
        <v>112</v>
      </c>
      <c r="C38">
        <f t="shared" ref="C38:D38" si="54">M38+T38+AA38+AH38</f>
        <v>85</v>
      </c>
      <c r="D38">
        <f t="shared" si="54"/>
        <v>50</v>
      </c>
      <c r="E38" s="43">
        <v>1</v>
      </c>
      <c r="F38" s="49">
        <v>37</v>
      </c>
      <c r="G38" s="10">
        <f t="shared" si="1"/>
        <v>3145</v>
      </c>
      <c r="H38" s="10">
        <f t="shared" si="2"/>
        <v>25160</v>
      </c>
      <c r="I38" s="10">
        <f t="shared" si="3"/>
        <v>1850</v>
      </c>
      <c r="J38" s="10">
        <f t="shared" si="4"/>
        <v>7400</v>
      </c>
      <c r="K38" s="41">
        <f t="shared" si="5"/>
        <v>0</v>
      </c>
      <c r="L38" s="41">
        <f t="shared" si="6"/>
        <v>0</v>
      </c>
      <c r="M38">
        <v>60</v>
      </c>
      <c r="N38">
        <v>30</v>
      </c>
      <c r="O38" s="10">
        <f t="shared" si="7"/>
        <v>2220</v>
      </c>
      <c r="P38" s="10">
        <f t="shared" si="8"/>
        <v>17760</v>
      </c>
      <c r="Q38" s="10">
        <f t="shared" si="9"/>
        <v>1110</v>
      </c>
      <c r="R38" s="10">
        <f t="shared" si="10"/>
        <v>4440</v>
      </c>
      <c r="S38" s="8"/>
      <c r="T38" s="8">
        <v>20</v>
      </c>
      <c r="U38" s="8">
        <v>15</v>
      </c>
      <c r="V38" s="10">
        <f t="shared" si="11"/>
        <v>740</v>
      </c>
      <c r="W38" s="10">
        <f t="shared" si="12"/>
        <v>5920</v>
      </c>
      <c r="X38" s="10">
        <f t="shared" si="13"/>
        <v>555</v>
      </c>
      <c r="Y38" s="10">
        <f t="shared" si="14"/>
        <v>2220</v>
      </c>
      <c r="Z38" s="8"/>
      <c r="AA38" s="8">
        <v>3</v>
      </c>
      <c r="AB38" s="8">
        <v>3</v>
      </c>
      <c r="AC38" s="10">
        <f t="shared" si="15"/>
        <v>111</v>
      </c>
      <c r="AD38" s="10">
        <f t="shared" si="16"/>
        <v>888</v>
      </c>
      <c r="AE38" s="10">
        <f t="shared" si="17"/>
        <v>111</v>
      </c>
      <c r="AF38" s="10">
        <f t="shared" si="18"/>
        <v>444</v>
      </c>
      <c r="AG38" s="8"/>
      <c r="AH38" s="8">
        <v>2</v>
      </c>
      <c r="AI38" s="8">
        <v>2</v>
      </c>
      <c r="AJ38" s="10">
        <f t="shared" si="19"/>
        <v>74</v>
      </c>
      <c r="AK38" s="10">
        <f t="shared" si="20"/>
        <v>592</v>
      </c>
      <c r="AL38" s="10">
        <f t="shared" si="21"/>
        <v>74</v>
      </c>
      <c r="AM38" s="10">
        <f t="shared" si="22"/>
        <v>296</v>
      </c>
    </row>
    <row r="39" spans="1:39" ht="14.25" customHeight="1" x14ac:dyDescent="0.35">
      <c r="A39" s="8"/>
      <c r="B39" s="20" t="s">
        <v>113</v>
      </c>
      <c r="C39">
        <f t="shared" ref="C39:D39" si="55">M39+T39+AA39+AH39</f>
        <v>17</v>
      </c>
      <c r="D39">
        <f t="shared" si="55"/>
        <v>17</v>
      </c>
      <c r="E39" s="43">
        <v>1</v>
      </c>
      <c r="F39" s="49">
        <v>33</v>
      </c>
      <c r="G39" s="10">
        <f t="shared" si="1"/>
        <v>561</v>
      </c>
      <c r="H39" s="10">
        <f t="shared" si="2"/>
        <v>4488</v>
      </c>
      <c r="I39" s="10">
        <f t="shared" si="3"/>
        <v>561</v>
      </c>
      <c r="J39" s="10">
        <f t="shared" si="4"/>
        <v>2244</v>
      </c>
      <c r="K39" s="41">
        <f t="shared" si="5"/>
        <v>0</v>
      </c>
      <c r="L39" s="41">
        <f t="shared" si="6"/>
        <v>0</v>
      </c>
      <c r="M39">
        <v>10</v>
      </c>
      <c r="N39">
        <v>10</v>
      </c>
      <c r="O39" s="10">
        <f t="shared" si="7"/>
        <v>330</v>
      </c>
      <c r="P39" s="10">
        <f t="shared" si="8"/>
        <v>2640</v>
      </c>
      <c r="Q39" s="10">
        <f t="shared" si="9"/>
        <v>330</v>
      </c>
      <c r="R39" s="10">
        <f t="shared" si="10"/>
        <v>1320</v>
      </c>
      <c r="S39" s="8"/>
      <c r="T39" s="8">
        <v>5</v>
      </c>
      <c r="U39" s="8">
        <v>5</v>
      </c>
      <c r="V39" s="10">
        <f t="shared" si="11"/>
        <v>165</v>
      </c>
      <c r="W39" s="10">
        <f t="shared" si="12"/>
        <v>1320</v>
      </c>
      <c r="X39" s="10">
        <f t="shared" si="13"/>
        <v>165</v>
      </c>
      <c r="Y39" s="10">
        <f t="shared" si="14"/>
        <v>660</v>
      </c>
      <c r="Z39" s="8"/>
      <c r="AA39" s="8">
        <v>1</v>
      </c>
      <c r="AB39" s="8">
        <v>1</v>
      </c>
      <c r="AC39" s="10">
        <f t="shared" si="15"/>
        <v>33</v>
      </c>
      <c r="AD39" s="10">
        <f t="shared" si="16"/>
        <v>264</v>
      </c>
      <c r="AE39" s="10">
        <f t="shared" si="17"/>
        <v>33</v>
      </c>
      <c r="AF39" s="10">
        <f t="shared" si="18"/>
        <v>132</v>
      </c>
      <c r="AG39" s="8"/>
      <c r="AH39" s="8">
        <v>1</v>
      </c>
      <c r="AI39" s="8">
        <v>1</v>
      </c>
      <c r="AJ39" s="10">
        <f t="shared" si="19"/>
        <v>33</v>
      </c>
      <c r="AK39" s="10">
        <f t="shared" si="20"/>
        <v>264</v>
      </c>
      <c r="AL39" s="10">
        <f t="shared" si="21"/>
        <v>33</v>
      </c>
      <c r="AM39" s="10">
        <f t="shared" si="22"/>
        <v>132</v>
      </c>
    </row>
    <row r="40" spans="1:39" ht="14.25" customHeight="1" x14ac:dyDescent="0.35">
      <c r="A40" s="8"/>
      <c r="B40" s="20" t="s">
        <v>114</v>
      </c>
      <c r="C40">
        <f t="shared" ref="C40:D40" si="56">M40+T40+AA40+AH40</f>
        <v>85</v>
      </c>
      <c r="D40">
        <f t="shared" si="56"/>
        <v>50</v>
      </c>
      <c r="E40" s="43">
        <v>3</v>
      </c>
      <c r="F40" s="44">
        <v>125</v>
      </c>
      <c r="G40" s="10">
        <f t="shared" si="1"/>
        <v>3541.6666666666665</v>
      </c>
      <c r="H40" s="10">
        <f t="shared" si="2"/>
        <v>28333.333333333332</v>
      </c>
      <c r="I40" s="10">
        <f t="shared" si="3"/>
        <v>2083.3333333333335</v>
      </c>
      <c r="J40" s="10">
        <f t="shared" si="4"/>
        <v>8333.3333333333339</v>
      </c>
      <c r="K40" s="41">
        <f t="shared" si="5"/>
        <v>0</v>
      </c>
      <c r="L40" s="41">
        <f t="shared" si="6"/>
        <v>0</v>
      </c>
      <c r="M40">
        <v>60</v>
      </c>
      <c r="N40">
        <v>30</v>
      </c>
      <c r="O40" s="10">
        <f t="shared" si="7"/>
        <v>2500</v>
      </c>
      <c r="P40" s="10">
        <f t="shared" si="8"/>
        <v>20000</v>
      </c>
      <c r="Q40" s="10">
        <f t="shared" si="9"/>
        <v>1250</v>
      </c>
      <c r="R40" s="10">
        <f t="shared" si="10"/>
        <v>5000</v>
      </c>
      <c r="S40" s="8"/>
      <c r="T40" s="8">
        <v>20</v>
      </c>
      <c r="U40" s="8">
        <v>15</v>
      </c>
      <c r="V40" s="10">
        <f t="shared" si="11"/>
        <v>833.33333333333337</v>
      </c>
      <c r="W40" s="10">
        <f t="shared" si="12"/>
        <v>6666.666666666667</v>
      </c>
      <c r="X40" s="10">
        <f t="shared" si="13"/>
        <v>625</v>
      </c>
      <c r="Y40" s="10">
        <f t="shared" si="14"/>
        <v>2500</v>
      </c>
      <c r="Z40" s="8"/>
      <c r="AA40" s="8">
        <v>3</v>
      </c>
      <c r="AB40" s="8">
        <v>3</v>
      </c>
      <c r="AC40" s="10">
        <f t="shared" si="15"/>
        <v>125</v>
      </c>
      <c r="AD40" s="10">
        <f t="shared" si="16"/>
        <v>1000</v>
      </c>
      <c r="AE40" s="10">
        <f t="shared" si="17"/>
        <v>125</v>
      </c>
      <c r="AF40" s="10">
        <f t="shared" si="18"/>
        <v>500</v>
      </c>
      <c r="AG40" s="8"/>
      <c r="AH40" s="8">
        <v>2</v>
      </c>
      <c r="AI40" s="8">
        <v>2</v>
      </c>
      <c r="AJ40" s="10">
        <f t="shared" si="19"/>
        <v>83.333333333333329</v>
      </c>
      <c r="AK40" s="10">
        <f t="shared" si="20"/>
        <v>666.66666666666663</v>
      </c>
      <c r="AL40" s="10">
        <f t="shared" si="21"/>
        <v>83.333333333333329</v>
      </c>
      <c r="AM40" s="10">
        <f t="shared" si="22"/>
        <v>333.33333333333331</v>
      </c>
    </row>
    <row r="41" spans="1:39" ht="14.25" customHeight="1" x14ac:dyDescent="0.35">
      <c r="A41" s="8"/>
      <c r="B41" s="20" t="s">
        <v>115</v>
      </c>
      <c r="C41">
        <f t="shared" ref="C41:D41" si="57">M41+T41+AA41+AH41</f>
        <v>85</v>
      </c>
      <c r="D41">
        <f t="shared" si="57"/>
        <v>50</v>
      </c>
      <c r="E41" s="43">
        <v>3</v>
      </c>
      <c r="F41" s="44">
        <v>145</v>
      </c>
      <c r="G41" s="10">
        <f t="shared" si="1"/>
        <v>4108.333333333333</v>
      </c>
      <c r="H41" s="10">
        <f t="shared" si="2"/>
        <v>32866.666666666664</v>
      </c>
      <c r="I41" s="10">
        <f t="shared" si="3"/>
        <v>2416.6666666666665</v>
      </c>
      <c r="J41" s="10">
        <f t="shared" si="4"/>
        <v>9666.6666666666661</v>
      </c>
      <c r="K41" s="41">
        <f t="shared" si="5"/>
        <v>0</v>
      </c>
      <c r="L41" s="41">
        <f t="shared" si="6"/>
        <v>0</v>
      </c>
      <c r="M41">
        <v>60</v>
      </c>
      <c r="N41">
        <v>30</v>
      </c>
      <c r="O41" s="10">
        <f t="shared" si="7"/>
        <v>2900</v>
      </c>
      <c r="P41" s="10">
        <f t="shared" si="8"/>
        <v>23200</v>
      </c>
      <c r="Q41" s="10">
        <f t="shared" si="9"/>
        <v>1450</v>
      </c>
      <c r="R41" s="10">
        <f t="shared" si="10"/>
        <v>5800</v>
      </c>
      <c r="S41" s="8"/>
      <c r="T41" s="8">
        <v>20</v>
      </c>
      <c r="U41" s="8">
        <v>15</v>
      </c>
      <c r="V41" s="10">
        <f t="shared" si="11"/>
        <v>966.66666666666663</v>
      </c>
      <c r="W41" s="10">
        <f t="shared" si="12"/>
        <v>7733.333333333333</v>
      </c>
      <c r="X41" s="10">
        <f t="shared" si="13"/>
        <v>725</v>
      </c>
      <c r="Y41" s="10">
        <f t="shared" si="14"/>
        <v>2900</v>
      </c>
      <c r="Z41" s="8"/>
      <c r="AA41" s="8">
        <v>3</v>
      </c>
      <c r="AB41" s="8">
        <v>3</v>
      </c>
      <c r="AC41" s="10">
        <f t="shared" si="15"/>
        <v>145</v>
      </c>
      <c r="AD41" s="10">
        <f t="shared" si="16"/>
        <v>1160</v>
      </c>
      <c r="AE41" s="10">
        <f t="shared" si="17"/>
        <v>145</v>
      </c>
      <c r="AF41" s="10">
        <f t="shared" si="18"/>
        <v>580</v>
      </c>
      <c r="AG41" s="8"/>
      <c r="AH41" s="8">
        <v>2</v>
      </c>
      <c r="AI41" s="8">
        <v>2</v>
      </c>
      <c r="AJ41" s="10">
        <f t="shared" si="19"/>
        <v>96.666666666666671</v>
      </c>
      <c r="AK41" s="10">
        <f t="shared" si="20"/>
        <v>773.33333333333337</v>
      </c>
      <c r="AL41" s="10">
        <f t="shared" si="21"/>
        <v>96.666666666666671</v>
      </c>
      <c r="AM41" s="10">
        <f t="shared" si="22"/>
        <v>386.66666666666669</v>
      </c>
    </row>
    <row r="42" spans="1:39" ht="14.25" customHeight="1" x14ac:dyDescent="0.35">
      <c r="A42" s="8"/>
      <c r="B42" s="20" t="s">
        <v>116</v>
      </c>
      <c r="C42">
        <f t="shared" ref="C42:D42" si="58">M42+T42+AA42+AH42</f>
        <v>85</v>
      </c>
      <c r="D42">
        <f t="shared" si="58"/>
        <v>50</v>
      </c>
      <c r="E42" s="43">
        <v>1</v>
      </c>
      <c r="F42" s="44">
        <v>35</v>
      </c>
      <c r="G42" s="10">
        <f t="shared" si="1"/>
        <v>2975</v>
      </c>
      <c r="H42" s="10">
        <f t="shared" si="2"/>
        <v>23800</v>
      </c>
      <c r="I42" s="10">
        <f t="shared" si="3"/>
        <v>1750</v>
      </c>
      <c r="J42" s="10">
        <f t="shared" si="4"/>
        <v>7000</v>
      </c>
      <c r="K42" s="41">
        <f t="shared" si="5"/>
        <v>0</v>
      </c>
      <c r="L42" s="41">
        <f t="shared" si="6"/>
        <v>0</v>
      </c>
      <c r="M42">
        <v>60</v>
      </c>
      <c r="N42">
        <v>30</v>
      </c>
      <c r="O42" s="10">
        <f t="shared" si="7"/>
        <v>2100</v>
      </c>
      <c r="P42" s="10">
        <f t="shared" si="8"/>
        <v>16800</v>
      </c>
      <c r="Q42" s="10">
        <f t="shared" si="9"/>
        <v>1050</v>
      </c>
      <c r="R42" s="10">
        <f t="shared" si="10"/>
        <v>4200</v>
      </c>
      <c r="S42" s="8"/>
      <c r="T42" s="8">
        <v>20</v>
      </c>
      <c r="U42" s="8">
        <v>15</v>
      </c>
      <c r="V42" s="10">
        <f t="shared" si="11"/>
        <v>700</v>
      </c>
      <c r="W42" s="10">
        <f t="shared" si="12"/>
        <v>5600</v>
      </c>
      <c r="X42" s="10">
        <f t="shared" si="13"/>
        <v>525</v>
      </c>
      <c r="Y42" s="10">
        <f t="shared" si="14"/>
        <v>2100</v>
      </c>
      <c r="Z42" s="8"/>
      <c r="AA42" s="8">
        <v>3</v>
      </c>
      <c r="AB42" s="8">
        <v>3</v>
      </c>
      <c r="AC42" s="10">
        <f t="shared" si="15"/>
        <v>105</v>
      </c>
      <c r="AD42" s="10">
        <f t="shared" si="16"/>
        <v>840</v>
      </c>
      <c r="AE42" s="10">
        <f t="shared" si="17"/>
        <v>105</v>
      </c>
      <c r="AF42" s="10">
        <f t="shared" si="18"/>
        <v>420</v>
      </c>
      <c r="AG42" s="8"/>
      <c r="AH42" s="8">
        <v>2</v>
      </c>
      <c r="AI42" s="8">
        <v>2</v>
      </c>
      <c r="AJ42" s="10">
        <f t="shared" si="19"/>
        <v>70</v>
      </c>
      <c r="AK42" s="10">
        <f t="shared" si="20"/>
        <v>560</v>
      </c>
      <c r="AL42" s="10">
        <f t="shared" si="21"/>
        <v>70</v>
      </c>
      <c r="AM42" s="10">
        <f t="shared" si="22"/>
        <v>280</v>
      </c>
    </row>
    <row r="43" spans="1:39" ht="14.25" customHeight="1" x14ac:dyDescent="0.35">
      <c r="A43" s="8"/>
      <c r="B43" s="20" t="s">
        <v>117</v>
      </c>
      <c r="C43">
        <f t="shared" ref="C43:D43" si="59">M43+T43+AA43+AH43</f>
        <v>85</v>
      </c>
      <c r="D43">
        <f t="shared" si="59"/>
        <v>50</v>
      </c>
      <c r="E43" s="43">
        <v>1</v>
      </c>
      <c r="F43" s="44">
        <v>45</v>
      </c>
      <c r="G43" s="10">
        <f t="shared" si="1"/>
        <v>3825</v>
      </c>
      <c r="H43" s="10">
        <f t="shared" si="2"/>
        <v>30600</v>
      </c>
      <c r="I43" s="10">
        <f t="shared" si="3"/>
        <v>2250</v>
      </c>
      <c r="J43" s="10">
        <f t="shared" si="4"/>
        <v>9000</v>
      </c>
      <c r="K43" s="41">
        <f t="shared" si="5"/>
        <v>0</v>
      </c>
      <c r="L43" s="41">
        <f t="shared" si="6"/>
        <v>0</v>
      </c>
      <c r="M43">
        <v>60</v>
      </c>
      <c r="N43">
        <v>30</v>
      </c>
      <c r="O43" s="10">
        <f t="shared" si="7"/>
        <v>2700</v>
      </c>
      <c r="P43" s="10">
        <f t="shared" si="8"/>
        <v>21600</v>
      </c>
      <c r="Q43" s="10">
        <f t="shared" si="9"/>
        <v>1350</v>
      </c>
      <c r="R43" s="10">
        <f t="shared" si="10"/>
        <v>5400</v>
      </c>
      <c r="S43" s="8"/>
      <c r="T43" s="8">
        <v>20</v>
      </c>
      <c r="U43" s="8">
        <v>15</v>
      </c>
      <c r="V43" s="10">
        <f t="shared" si="11"/>
        <v>900</v>
      </c>
      <c r="W43" s="10">
        <f t="shared" si="12"/>
        <v>7200</v>
      </c>
      <c r="X43" s="10">
        <f t="shared" si="13"/>
        <v>675</v>
      </c>
      <c r="Y43" s="10">
        <f t="shared" si="14"/>
        <v>2700</v>
      </c>
      <c r="Z43" s="8"/>
      <c r="AA43" s="8">
        <v>3</v>
      </c>
      <c r="AB43" s="8">
        <v>3</v>
      </c>
      <c r="AC43" s="10">
        <f t="shared" si="15"/>
        <v>135</v>
      </c>
      <c r="AD43" s="10">
        <f t="shared" si="16"/>
        <v>1080</v>
      </c>
      <c r="AE43" s="10">
        <f t="shared" si="17"/>
        <v>135</v>
      </c>
      <c r="AF43" s="10">
        <f t="shared" si="18"/>
        <v>540</v>
      </c>
      <c r="AG43" s="8"/>
      <c r="AH43" s="8">
        <v>2</v>
      </c>
      <c r="AI43" s="8">
        <v>2</v>
      </c>
      <c r="AJ43" s="10">
        <f t="shared" si="19"/>
        <v>90</v>
      </c>
      <c r="AK43" s="10">
        <f t="shared" si="20"/>
        <v>720</v>
      </c>
      <c r="AL43" s="10">
        <f t="shared" si="21"/>
        <v>90</v>
      </c>
      <c r="AM43" s="10">
        <f t="shared" si="22"/>
        <v>360</v>
      </c>
    </row>
    <row r="44" spans="1:39" ht="14.25" customHeight="1" x14ac:dyDescent="0.35">
      <c r="A44" s="8"/>
      <c r="B44" s="20" t="s">
        <v>118</v>
      </c>
      <c r="C44">
        <f t="shared" ref="C44:D44" si="60">M44+T44+AA44+AH44</f>
        <v>38</v>
      </c>
      <c r="D44">
        <f t="shared" si="60"/>
        <v>27</v>
      </c>
      <c r="E44" s="43">
        <v>1</v>
      </c>
      <c r="F44" s="44">
        <v>450</v>
      </c>
      <c r="G44" s="10">
        <f t="shared" si="1"/>
        <v>17100</v>
      </c>
      <c r="H44" s="10">
        <f t="shared" si="2"/>
        <v>136800</v>
      </c>
      <c r="I44" s="10">
        <f t="shared" si="3"/>
        <v>12150</v>
      </c>
      <c r="J44" s="10">
        <f t="shared" si="4"/>
        <v>48600</v>
      </c>
      <c r="K44" s="41">
        <f t="shared" si="5"/>
        <v>0</v>
      </c>
      <c r="L44" s="41">
        <f t="shared" si="6"/>
        <v>0</v>
      </c>
      <c r="M44">
        <v>30</v>
      </c>
      <c r="N44">
        <v>20</v>
      </c>
      <c r="O44" s="10">
        <f t="shared" si="7"/>
        <v>13500</v>
      </c>
      <c r="P44" s="10">
        <f t="shared" si="8"/>
        <v>108000</v>
      </c>
      <c r="Q44" s="10">
        <f t="shared" si="9"/>
        <v>9000</v>
      </c>
      <c r="R44" s="10">
        <f t="shared" si="10"/>
        <v>36000</v>
      </c>
      <c r="S44" s="8"/>
      <c r="T44" s="8">
        <v>5</v>
      </c>
      <c r="U44" s="8">
        <v>4</v>
      </c>
      <c r="V44" s="10">
        <f t="shared" si="11"/>
        <v>2250</v>
      </c>
      <c r="W44" s="10">
        <f t="shared" si="12"/>
        <v>18000</v>
      </c>
      <c r="X44" s="10">
        <f t="shared" si="13"/>
        <v>1800</v>
      </c>
      <c r="Y44" s="10">
        <f t="shared" si="14"/>
        <v>7200</v>
      </c>
      <c r="Z44" s="8"/>
      <c r="AA44" s="8">
        <v>3</v>
      </c>
      <c r="AB44" s="8">
        <v>3</v>
      </c>
      <c r="AC44" s="10">
        <f t="shared" si="15"/>
        <v>1350</v>
      </c>
      <c r="AD44" s="10">
        <f t="shared" si="16"/>
        <v>10800</v>
      </c>
      <c r="AE44" s="10">
        <f t="shared" si="17"/>
        <v>1350</v>
      </c>
      <c r="AF44" s="10">
        <f t="shared" si="18"/>
        <v>5400</v>
      </c>
      <c r="AG44" s="8"/>
      <c r="AH44" s="8">
        <v>0</v>
      </c>
      <c r="AI44" s="8">
        <v>0</v>
      </c>
      <c r="AJ44" s="10">
        <f t="shared" si="19"/>
        <v>0</v>
      </c>
      <c r="AK44" s="10">
        <f t="shared" si="20"/>
        <v>0</v>
      </c>
      <c r="AL44" s="10">
        <f t="shared" si="21"/>
        <v>0</v>
      </c>
      <c r="AM44" s="10">
        <f t="shared" si="22"/>
        <v>0</v>
      </c>
    </row>
    <row r="45" spans="1:39" ht="14.25" customHeight="1" x14ac:dyDescent="0.35">
      <c r="A45" s="8"/>
      <c r="B45" s="20" t="s">
        <v>119</v>
      </c>
      <c r="C45">
        <f t="shared" ref="C45:D45" si="61">M45+T45+AA45+AH45</f>
        <v>38</v>
      </c>
      <c r="D45">
        <f t="shared" si="61"/>
        <v>27</v>
      </c>
      <c r="E45" s="43">
        <v>1</v>
      </c>
      <c r="F45" s="44">
        <v>450</v>
      </c>
      <c r="G45" s="10">
        <f t="shared" si="1"/>
        <v>17100</v>
      </c>
      <c r="H45" s="10">
        <f t="shared" si="2"/>
        <v>136800</v>
      </c>
      <c r="I45" s="10">
        <f t="shared" si="3"/>
        <v>12150</v>
      </c>
      <c r="J45" s="10">
        <f t="shared" si="4"/>
        <v>48600</v>
      </c>
      <c r="K45" s="41">
        <f t="shared" si="5"/>
        <v>0</v>
      </c>
      <c r="L45" s="41">
        <f t="shared" si="6"/>
        <v>0</v>
      </c>
      <c r="M45">
        <v>30</v>
      </c>
      <c r="N45">
        <v>20</v>
      </c>
      <c r="O45" s="10">
        <f t="shared" si="7"/>
        <v>13500</v>
      </c>
      <c r="P45" s="10">
        <f t="shared" si="8"/>
        <v>108000</v>
      </c>
      <c r="Q45" s="10">
        <f t="shared" si="9"/>
        <v>9000</v>
      </c>
      <c r="R45" s="10">
        <f t="shared" si="10"/>
        <v>36000</v>
      </c>
      <c r="S45" s="8"/>
      <c r="T45" s="8">
        <v>5</v>
      </c>
      <c r="U45" s="8">
        <v>4</v>
      </c>
      <c r="V45" s="10">
        <f t="shared" si="11"/>
        <v>2250</v>
      </c>
      <c r="W45" s="10">
        <f t="shared" si="12"/>
        <v>18000</v>
      </c>
      <c r="X45" s="10">
        <f t="shared" si="13"/>
        <v>1800</v>
      </c>
      <c r="Y45" s="10">
        <f t="shared" si="14"/>
        <v>7200</v>
      </c>
      <c r="Z45" s="8"/>
      <c r="AA45" s="8">
        <v>3</v>
      </c>
      <c r="AB45" s="8">
        <v>3</v>
      </c>
      <c r="AC45" s="10">
        <f t="shared" si="15"/>
        <v>1350</v>
      </c>
      <c r="AD45" s="10">
        <f t="shared" si="16"/>
        <v>10800</v>
      </c>
      <c r="AE45" s="10">
        <f t="shared" si="17"/>
        <v>1350</v>
      </c>
      <c r="AF45" s="10">
        <f t="shared" si="18"/>
        <v>5400</v>
      </c>
      <c r="AG45" s="8"/>
      <c r="AH45" s="8">
        <v>0</v>
      </c>
      <c r="AI45" s="8">
        <v>0</v>
      </c>
      <c r="AJ45" s="10">
        <f t="shared" si="19"/>
        <v>0</v>
      </c>
      <c r="AK45" s="10">
        <f t="shared" si="20"/>
        <v>0</v>
      </c>
      <c r="AL45" s="10">
        <f t="shared" si="21"/>
        <v>0</v>
      </c>
      <c r="AM45" s="10">
        <f t="shared" si="22"/>
        <v>0</v>
      </c>
    </row>
    <row r="46" spans="1:39" ht="14.25" customHeight="1" x14ac:dyDescent="0.35">
      <c r="A46" s="8"/>
      <c r="B46" s="20" t="s">
        <v>120</v>
      </c>
      <c r="C46">
        <f t="shared" ref="C46:D46" si="62">M46+T46+AA46+AH46</f>
        <v>35</v>
      </c>
      <c r="D46">
        <f t="shared" si="62"/>
        <v>24</v>
      </c>
      <c r="E46" s="43">
        <v>1</v>
      </c>
      <c r="F46" s="44">
        <v>450</v>
      </c>
      <c r="G46" s="10">
        <f t="shared" si="1"/>
        <v>15750</v>
      </c>
      <c r="H46" s="10">
        <f t="shared" si="2"/>
        <v>126000</v>
      </c>
      <c r="I46" s="10">
        <f t="shared" si="3"/>
        <v>10800</v>
      </c>
      <c r="J46" s="10">
        <f t="shared" si="4"/>
        <v>43200</v>
      </c>
      <c r="K46" s="41">
        <f t="shared" si="5"/>
        <v>0</v>
      </c>
      <c r="L46" s="41">
        <f t="shared" si="6"/>
        <v>0</v>
      </c>
      <c r="M46">
        <v>30</v>
      </c>
      <c r="N46">
        <v>20</v>
      </c>
      <c r="O46" s="10">
        <f t="shared" si="7"/>
        <v>13500</v>
      </c>
      <c r="P46" s="10">
        <f t="shared" si="8"/>
        <v>108000</v>
      </c>
      <c r="Q46" s="10">
        <f t="shared" si="9"/>
        <v>9000</v>
      </c>
      <c r="R46" s="10">
        <f t="shared" si="10"/>
        <v>36000</v>
      </c>
      <c r="S46" s="8"/>
      <c r="T46" s="8">
        <v>5</v>
      </c>
      <c r="U46" s="8">
        <v>4</v>
      </c>
      <c r="V46" s="10">
        <f t="shared" si="11"/>
        <v>2250</v>
      </c>
      <c r="W46" s="10">
        <f t="shared" si="12"/>
        <v>18000</v>
      </c>
      <c r="X46" s="10">
        <f t="shared" si="13"/>
        <v>1800</v>
      </c>
      <c r="Y46" s="10">
        <f t="shared" si="14"/>
        <v>7200</v>
      </c>
      <c r="Z46" s="8"/>
      <c r="AA46" s="8"/>
      <c r="AB46" s="8"/>
      <c r="AC46" s="10">
        <f t="shared" si="15"/>
        <v>0</v>
      </c>
      <c r="AD46" s="10">
        <f t="shared" si="16"/>
        <v>0</v>
      </c>
      <c r="AE46" s="10">
        <f t="shared" si="17"/>
        <v>0</v>
      </c>
      <c r="AF46" s="10">
        <f t="shared" si="18"/>
        <v>0</v>
      </c>
      <c r="AG46" s="8"/>
      <c r="AH46" s="8"/>
      <c r="AI46" s="8"/>
      <c r="AJ46" s="10">
        <f t="shared" si="19"/>
        <v>0</v>
      </c>
      <c r="AK46" s="10">
        <f t="shared" si="20"/>
        <v>0</v>
      </c>
      <c r="AL46" s="10">
        <f t="shared" si="21"/>
        <v>0</v>
      </c>
      <c r="AM46" s="10">
        <f t="shared" si="22"/>
        <v>0</v>
      </c>
    </row>
    <row r="47" spans="1:39" ht="14.25" customHeight="1" x14ac:dyDescent="0.35">
      <c r="A47" s="8"/>
      <c r="B47" s="20" t="s">
        <v>121</v>
      </c>
      <c r="C47">
        <f t="shared" ref="C47:D47" si="63">M47+T47+AA47+AH47</f>
        <v>25</v>
      </c>
      <c r="D47">
        <f t="shared" si="63"/>
        <v>25</v>
      </c>
      <c r="E47" s="43">
        <v>12</v>
      </c>
      <c r="F47" s="44">
        <v>1850</v>
      </c>
      <c r="G47" s="10">
        <f t="shared" si="1"/>
        <v>3854.1666666666665</v>
      </c>
      <c r="H47" s="10">
        <f t="shared" si="2"/>
        <v>30833.333333333332</v>
      </c>
      <c r="I47" s="10">
        <f t="shared" si="3"/>
        <v>3854.1666666666665</v>
      </c>
      <c r="J47" s="10">
        <f t="shared" si="4"/>
        <v>15416.666666666666</v>
      </c>
      <c r="K47" s="41">
        <f t="shared" si="5"/>
        <v>0</v>
      </c>
      <c r="L47" s="41">
        <f t="shared" si="6"/>
        <v>0</v>
      </c>
      <c r="M47">
        <v>20</v>
      </c>
      <c r="N47">
        <v>20</v>
      </c>
      <c r="O47" s="10">
        <f t="shared" si="7"/>
        <v>3083.3333333333335</v>
      </c>
      <c r="P47" s="10">
        <f t="shared" si="8"/>
        <v>24666.666666666668</v>
      </c>
      <c r="Q47" s="10">
        <f t="shared" si="9"/>
        <v>3083.3333333333335</v>
      </c>
      <c r="R47" s="10">
        <f t="shared" si="10"/>
        <v>12333.333333333334</v>
      </c>
      <c r="S47" s="8"/>
      <c r="T47" s="8">
        <v>5</v>
      </c>
      <c r="U47" s="8">
        <v>5</v>
      </c>
      <c r="V47" s="10">
        <f t="shared" si="11"/>
        <v>770.83333333333337</v>
      </c>
      <c r="W47" s="10">
        <f t="shared" si="12"/>
        <v>6166.666666666667</v>
      </c>
      <c r="X47" s="10">
        <f t="shared" si="13"/>
        <v>770.83333333333337</v>
      </c>
      <c r="Y47" s="10">
        <f t="shared" si="14"/>
        <v>3083.3333333333335</v>
      </c>
      <c r="Z47" s="8"/>
      <c r="AA47" s="8">
        <v>0</v>
      </c>
      <c r="AB47" s="8">
        <v>0</v>
      </c>
      <c r="AC47" s="10">
        <f t="shared" si="15"/>
        <v>0</v>
      </c>
      <c r="AD47" s="10">
        <f t="shared" si="16"/>
        <v>0</v>
      </c>
      <c r="AE47" s="10">
        <f t="shared" si="17"/>
        <v>0</v>
      </c>
      <c r="AF47" s="10">
        <f t="shared" si="18"/>
        <v>0</v>
      </c>
      <c r="AG47" s="8"/>
      <c r="AH47" s="8">
        <v>0</v>
      </c>
      <c r="AI47" s="8">
        <v>0</v>
      </c>
      <c r="AJ47" s="10">
        <f t="shared" si="19"/>
        <v>0</v>
      </c>
      <c r="AK47" s="10">
        <f t="shared" si="20"/>
        <v>0</v>
      </c>
      <c r="AL47" s="10">
        <f t="shared" si="21"/>
        <v>0</v>
      </c>
      <c r="AM47" s="10">
        <f t="shared" si="22"/>
        <v>0</v>
      </c>
    </row>
    <row r="48" spans="1:39" ht="14.25" customHeight="1" x14ac:dyDescent="0.35">
      <c r="A48" s="8"/>
      <c r="B48" s="20" t="s">
        <v>122</v>
      </c>
      <c r="C48">
        <f t="shared" ref="C48:D48" si="64">M48+T48+AA48+AH48</f>
        <v>5</v>
      </c>
      <c r="D48">
        <f t="shared" si="64"/>
        <v>5</v>
      </c>
      <c r="E48" s="43">
        <v>6</v>
      </c>
      <c r="F48" s="44">
        <v>1200</v>
      </c>
      <c r="G48" s="10">
        <f t="shared" si="1"/>
        <v>1000</v>
      </c>
      <c r="H48" s="10">
        <f t="shared" si="2"/>
        <v>8000</v>
      </c>
      <c r="I48" s="10">
        <f t="shared" si="3"/>
        <v>1000</v>
      </c>
      <c r="J48" s="10">
        <f t="shared" si="4"/>
        <v>4000</v>
      </c>
      <c r="K48" s="41">
        <f t="shared" si="5"/>
        <v>0</v>
      </c>
      <c r="L48" s="41">
        <f t="shared" si="6"/>
        <v>0</v>
      </c>
      <c r="M48" s="8"/>
      <c r="N48" s="8"/>
      <c r="O48" s="10">
        <f t="shared" si="7"/>
        <v>0</v>
      </c>
      <c r="P48" s="10">
        <f t="shared" si="8"/>
        <v>0</v>
      </c>
      <c r="Q48" s="10">
        <f t="shared" si="9"/>
        <v>0</v>
      </c>
      <c r="R48" s="10">
        <f t="shared" si="10"/>
        <v>0</v>
      </c>
      <c r="S48" s="8"/>
      <c r="T48" s="8">
        <v>5</v>
      </c>
      <c r="U48" s="8">
        <v>5</v>
      </c>
      <c r="V48" s="10">
        <f t="shared" si="11"/>
        <v>1000</v>
      </c>
      <c r="W48" s="10">
        <f t="shared" si="12"/>
        <v>8000</v>
      </c>
      <c r="X48" s="10">
        <f t="shared" si="13"/>
        <v>1000</v>
      </c>
      <c r="Y48" s="10">
        <f t="shared" si="14"/>
        <v>4000</v>
      </c>
      <c r="Z48" s="8"/>
      <c r="AA48" s="8"/>
      <c r="AB48" s="8"/>
      <c r="AC48" s="10">
        <f t="shared" si="15"/>
        <v>0</v>
      </c>
      <c r="AD48" s="10">
        <f t="shared" si="16"/>
        <v>0</v>
      </c>
      <c r="AE48" s="10">
        <f t="shared" si="17"/>
        <v>0</v>
      </c>
      <c r="AF48" s="10">
        <f t="shared" si="18"/>
        <v>0</v>
      </c>
      <c r="AG48" s="8"/>
      <c r="AH48" s="8"/>
      <c r="AI48" s="8"/>
      <c r="AJ48" s="10">
        <f t="shared" si="19"/>
        <v>0</v>
      </c>
      <c r="AK48" s="10">
        <f t="shared" si="20"/>
        <v>0</v>
      </c>
      <c r="AL48" s="10">
        <f t="shared" si="21"/>
        <v>0</v>
      </c>
      <c r="AM48" s="10">
        <f t="shared" si="22"/>
        <v>0</v>
      </c>
    </row>
    <row r="49" spans="1:39" ht="14.25" customHeight="1" x14ac:dyDescent="0.35">
      <c r="A49" s="40"/>
      <c r="B49" s="40"/>
      <c r="C49" s="47"/>
      <c r="D49" s="47"/>
      <c r="E49" s="40"/>
      <c r="F49" s="40"/>
      <c r="G49" s="48">
        <f>SUM(G6:G48)</f>
        <v>213231.95833333331</v>
      </c>
      <c r="H49" s="48">
        <f t="shared" si="2"/>
        <v>1705855.6666666665</v>
      </c>
      <c r="I49" s="48">
        <f>SUM(I6:I48)</f>
        <v>153081.95833333334</v>
      </c>
      <c r="J49" s="48">
        <f t="shared" si="4"/>
        <v>612327.83333333337</v>
      </c>
      <c r="K49" s="41">
        <f t="shared" si="5"/>
        <v>0</v>
      </c>
      <c r="L49" s="41">
        <f t="shared" si="6"/>
        <v>0</v>
      </c>
      <c r="M49" s="40"/>
      <c r="N49" s="40"/>
      <c r="O49" s="48">
        <f>SUM(O6:O48)</f>
        <v>163200.83333333334</v>
      </c>
      <c r="P49" s="48">
        <f t="shared" si="8"/>
        <v>1305606.6666666667</v>
      </c>
      <c r="Q49" s="48">
        <f>SUM(Q6:Q48)</f>
        <v>110245.83333333333</v>
      </c>
      <c r="R49" s="48">
        <f t="shared" si="10"/>
        <v>440983.33333333331</v>
      </c>
      <c r="S49" s="40"/>
      <c r="T49" s="40"/>
      <c r="U49" s="40"/>
      <c r="V49" s="48">
        <f>SUM(V6:V48)</f>
        <v>40443.194444444445</v>
      </c>
      <c r="W49" s="48">
        <f t="shared" si="12"/>
        <v>323545.55555555556</v>
      </c>
      <c r="X49" s="48">
        <f>SUM(X6:X48)</f>
        <v>33248.194444444445</v>
      </c>
      <c r="Y49" s="48">
        <f t="shared" si="14"/>
        <v>132992.77777777778</v>
      </c>
      <c r="Z49" s="40"/>
      <c r="AA49" s="40"/>
      <c r="AB49" s="40"/>
      <c r="AC49" s="48">
        <f>SUM(AC6:AC48)</f>
        <v>7247.8611111111113</v>
      </c>
      <c r="AD49" s="48">
        <f t="shared" si="16"/>
        <v>57982.888888888891</v>
      </c>
      <c r="AE49" s="48">
        <f>SUM(AE6:AE48)</f>
        <v>7247.8611111111113</v>
      </c>
      <c r="AF49" s="48">
        <f t="shared" si="18"/>
        <v>28991.444444444445</v>
      </c>
      <c r="AG49" s="40"/>
      <c r="AH49" s="40"/>
      <c r="AI49" s="40"/>
      <c r="AJ49" s="48">
        <f>SUM(AJ6:AJ48)</f>
        <v>2340.0694444444443</v>
      </c>
      <c r="AK49" s="48">
        <f t="shared" si="20"/>
        <v>18720.555555555555</v>
      </c>
      <c r="AL49" s="48">
        <f>SUM(AL6:AL48)</f>
        <v>2340.0694444444443</v>
      </c>
      <c r="AM49" s="48">
        <f t="shared" si="22"/>
        <v>9360.2777777777774</v>
      </c>
    </row>
    <row r="50" spans="1:39" ht="14.25" customHeight="1" x14ac:dyDescent="0.35">
      <c r="A50" s="8"/>
      <c r="B50" s="8"/>
      <c r="C50" s="7"/>
      <c r="D50" s="7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</row>
    <row r="51" spans="1:39" ht="14.25" customHeight="1" x14ac:dyDescent="0.35">
      <c r="A51" s="8"/>
      <c r="B51" s="8"/>
      <c r="C51" s="7"/>
      <c r="D51" s="7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</row>
    <row r="52" spans="1:39" ht="14.25" customHeight="1" x14ac:dyDescent="0.35">
      <c r="A52" s="8"/>
      <c r="B52" s="8"/>
      <c r="C52" s="7"/>
      <c r="D52" s="7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</row>
    <row r="53" spans="1:39" ht="14.25" customHeight="1" x14ac:dyDescent="0.35">
      <c r="A53" s="8"/>
      <c r="B53" s="8"/>
      <c r="C53" s="7"/>
      <c r="D53" s="7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</row>
    <row r="54" spans="1:39" ht="14.25" customHeight="1" x14ac:dyDescent="0.35">
      <c r="A54" s="8"/>
      <c r="B54" s="8"/>
      <c r="C54" s="7"/>
      <c r="D54" s="7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</row>
    <row r="55" spans="1:39" ht="14.25" customHeight="1" x14ac:dyDescent="0.35">
      <c r="A55" s="8"/>
      <c r="B55" s="8"/>
      <c r="C55" s="7"/>
      <c r="D55" s="7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</row>
    <row r="56" spans="1:39" ht="14.25" customHeight="1" x14ac:dyDescent="0.35">
      <c r="A56" s="8"/>
      <c r="B56" s="8"/>
      <c r="C56" s="7"/>
      <c r="D56" s="7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</row>
    <row r="57" spans="1:39" ht="14.25" customHeight="1" x14ac:dyDescent="0.35">
      <c r="A57" s="8"/>
      <c r="B57" s="8"/>
      <c r="C57" s="7"/>
      <c r="D57" s="7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</row>
    <row r="58" spans="1:39" ht="14.25" customHeight="1" x14ac:dyDescent="0.35">
      <c r="A58" s="8"/>
      <c r="B58" s="8"/>
      <c r="C58" s="7"/>
      <c r="D58" s="7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</row>
    <row r="59" spans="1:39" ht="14.25" customHeight="1" x14ac:dyDescent="0.35">
      <c r="A59" s="8"/>
      <c r="B59" s="8"/>
      <c r="C59" s="7"/>
      <c r="D59" s="7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</row>
    <row r="60" spans="1:39" ht="14.25" customHeight="1" x14ac:dyDescent="0.35">
      <c r="A60" s="8"/>
      <c r="B60" s="8"/>
      <c r="C60" s="7"/>
      <c r="D60" s="7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</row>
    <row r="61" spans="1:39" ht="14.25" customHeight="1" x14ac:dyDescent="0.35">
      <c r="A61" s="8"/>
      <c r="B61" s="8"/>
      <c r="C61" s="7"/>
      <c r="D61" s="7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</row>
    <row r="62" spans="1:39" ht="14.25" customHeight="1" x14ac:dyDescent="0.35">
      <c r="A62" s="8"/>
      <c r="B62" s="8"/>
      <c r="C62" s="7"/>
      <c r="D62" s="7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</row>
    <row r="63" spans="1:39" ht="14.25" customHeight="1" x14ac:dyDescent="0.35">
      <c r="A63" s="8"/>
      <c r="B63" s="8"/>
      <c r="C63" s="7"/>
      <c r="D63" s="7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</row>
    <row r="64" spans="1:39" ht="14.25" customHeight="1" x14ac:dyDescent="0.35">
      <c r="A64" s="8"/>
      <c r="B64" s="8"/>
      <c r="C64" s="7"/>
      <c r="D64" s="7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</row>
    <row r="65" spans="1:39" ht="14.25" customHeight="1" x14ac:dyDescent="0.35">
      <c r="A65" s="8"/>
      <c r="B65" s="8"/>
      <c r="C65" s="7"/>
      <c r="D65" s="7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</row>
    <row r="66" spans="1:39" ht="14.25" customHeight="1" x14ac:dyDescent="0.35">
      <c r="A66" s="8"/>
      <c r="B66" s="8"/>
      <c r="C66" s="7"/>
      <c r="D66" s="7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</row>
    <row r="67" spans="1:39" ht="14.25" customHeight="1" x14ac:dyDescent="0.35">
      <c r="A67" s="8"/>
      <c r="B67" s="8"/>
      <c r="C67" s="7"/>
      <c r="D67" s="7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</row>
    <row r="68" spans="1:39" ht="14.25" customHeight="1" x14ac:dyDescent="0.35">
      <c r="A68" s="8"/>
      <c r="B68" s="8"/>
      <c r="C68" s="7"/>
      <c r="D68" s="7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</row>
    <row r="69" spans="1:39" ht="14.25" customHeight="1" x14ac:dyDescent="0.35">
      <c r="A69" s="8"/>
      <c r="B69" s="8"/>
      <c r="C69" s="7"/>
      <c r="D69" s="7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</row>
    <row r="70" spans="1:39" ht="14.25" customHeight="1" x14ac:dyDescent="0.35">
      <c r="A70" s="8"/>
      <c r="B70" s="8"/>
      <c r="C70" s="7"/>
      <c r="D70" s="7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</row>
    <row r="71" spans="1:39" ht="14.25" customHeight="1" x14ac:dyDescent="0.35">
      <c r="A71" s="8"/>
      <c r="B71" s="8"/>
      <c r="C71" s="7"/>
      <c r="D71" s="7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</row>
    <row r="72" spans="1:39" ht="14.25" customHeight="1" x14ac:dyDescent="0.35">
      <c r="A72" s="8"/>
      <c r="B72" s="8"/>
      <c r="C72" s="7"/>
      <c r="D72" s="7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</row>
    <row r="73" spans="1:39" ht="14.25" customHeight="1" x14ac:dyDescent="0.35">
      <c r="A73" s="8"/>
      <c r="B73" s="8"/>
      <c r="C73" s="7"/>
      <c r="D73" s="7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</row>
    <row r="74" spans="1:39" ht="14.25" customHeight="1" x14ac:dyDescent="0.35">
      <c r="A74" s="8"/>
      <c r="B74" s="8"/>
      <c r="C74" s="7"/>
      <c r="D74" s="7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</row>
    <row r="75" spans="1:39" ht="14.25" customHeight="1" x14ac:dyDescent="0.35">
      <c r="A75" s="8"/>
      <c r="B75" s="8"/>
      <c r="C75" s="7"/>
      <c r="D75" s="7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</row>
    <row r="76" spans="1:39" ht="14.25" customHeight="1" x14ac:dyDescent="0.35">
      <c r="A76" s="8"/>
      <c r="B76" s="8"/>
      <c r="C76" s="7"/>
      <c r="D76" s="7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</row>
    <row r="77" spans="1:39" ht="14.25" customHeight="1" x14ac:dyDescent="0.35">
      <c r="A77" s="8"/>
      <c r="B77" s="8"/>
      <c r="C77" s="7"/>
      <c r="D77" s="7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</row>
    <row r="78" spans="1:39" ht="14.25" customHeight="1" x14ac:dyDescent="0.35">
      <c r="A78" s="8"/>
      <c r="B78" s="8"/>
      <c r="C78" s="7"/>
      <c r="D78" s="7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</row>
    <row r="79" spans="1:39" ht="14.25" customHeight="1" x14ac:dyDescent="0.35">
      <c r="A79" s="8"/>
      <c r="B79" s="8"/>
      <c r="C79" s="7"/>
      <c r="D79" s="7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</row>
    <row r="80" spans="1:39" ht="14.25" customHeight="1" x14ac:dyDescent="0.35">
      <c r="A80" s="8"/>
      <c r="B80" s="8"/>
      <c r="C80" s="7"/>
      <c r="D80" s="7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</row>
    <row r="81" spans="1:39" ht="14.25" customHeight="1" x14ac:dyDescent="0.35">
      <c r="A81" s="8"/>
      <c r="B81" s="8"/>
      <c r="C81" s="7"/>
      <c r="D81" s="7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</row>
    <row r="82" spans="1:39" ht="14.25" customHeight="1" x14ac:dyDescent="0.35">
      <c r="A82" s="8"/>
      <c r="B82" s="8"/>
      <c r="C82" s="7"/>
      <c r="D82" s="7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</row>
    <row r="83" spans="1:39" ht="14.25" customHeight="1" x14ac:dyDescent="0.35">
      <c r="A83" s="8"/>
      <c r="B83" s="8"/>
      <c r="C83" s="7"/>
      <c r="D83" s="7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</row>
    <row r="84" spans="1:39" ht="14.25" customHeight="1" x14ac:dyDescent="0.35">
      <c r="A84" s="8"/>
      <c r="B84" s="8"/>
      <c r="C84" s="7"/>
      <c r="D84" s="7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</row>
    <row r="85" spans="1:39" ht="14.25" customHeight="1" x14ac:dyDescent="0.35">
      <c r="A85" s="8"/>
      <c r="B85" s="8"/>
      <c r="C85" s="7"/>
      <c r="D85" s="7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</row>
    <row r="86" spans="1:39" ht="14.25" customHeight="1" x14ac:dyDescent="0.35">
      <c r="A86" s="8"/>
      <c r="B86" s="8"/>
      <c r="C86" s="7"/>
      <c r="D86" s="7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</row>
    <row r="87" spans="1:39" ht="14.25" customHeight="1" x14ac:dyDescent="0.35">
      <c r="A87" s="8"/>
      <c r="B87" s="8"/>
      <c r="C87" s="7"/>
      <c r="D87" s="7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</row>
    <row r="88" spans="1:39" ht="14.25" customHeight="1" x14ac:dyDescent="0.35">
      <c r="A88" s="8"/>
      <c r="B88" s="8"/>
      <c r="C88" s="7"/>
      <c r="D88" s="7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</row>
    <row r="89" spans="1:39" ht="14.25" customHeight="1" x14ac:dyDescent="0.35">
      <c r="A89" s="8"/>
      <c r="B89" s="8"/>
      <c r="C89" s="7"/>
      <c r="D89" s="7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</row>
    <row r="90" spans="1:39" ht="14.25" customHeight="1" x14ac:dyDescent="0.35">
      <c r="A90" s="8"/>
      <c r="B90" s="8"/>
      <c r="C90" s="7"/>
      <c r="D90" s="7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</row>
    <row r="91" spans="1:39" ht="14.25" customHeight="1" x14ac:dyDescent="0.35">
      <c r="A91" s="8"/>
      <c r="B91" s="8"/>
      <c r="C91" s="7"/>
      <c r="D91" s="7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</row>
    <row r="92" spans="1:39" ht="14.25" customHeight="1" x14ac:dyDescent="0.35">
      <c r="A92" s="8"/>
      <c r="B92" s="8"/>
      <c r="C92" s="7"/>
      <c r="D92" s="7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</row>
    <row r="93" spans="1:39" ht="14.25" customHeight="1" x14ac:dyDescent="0.35">
      <c r="A93" s="8"/>
      <c r="B93" s="8"/>
      <c r="C93" s="7"/>
      <c r="D93" s="7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</row>
    <row r="94" spans="1:39" ht="14.25" customHeight="1" x14ac:dyDescent="0.35">
      <c r="A94" s="8"/>
      <c r="B94" s="8"/>
      <c r="C94" s="7"/>
      <c r="D94" s="7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</row>
    <row r="95" spans="1:39" ht="14.25" customHeight="1" x14ac:dyDescent="0.35">
      <c r="A95" s="8"/>
      <c r="B95" s="8"/>
      <c r="C95" s="7"/>
      <c r="D95" s="7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</row>
    <row r="96" spans="1:39" ht="14.25" customHeight="1" x14ac:dyDescent="0.35">
      <c r="A96" s="8"/>
      <c r="B96" s="8"/>
      <c r="C96" s="7"/>
      <c r="D96" s="7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</row>
    <row r="97" spans="1:39" ht="14.25" customHeight="1" x14ac:dyDescent="0.35">
      <c r="A97" s="8"/>
      <c r="B97" s="8"/>
      <c r="C97" s="7"/>
      <c r="D97" s="7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</row>
    <row r="98" spans="1:39" ht="14.25" customHeight="1" x14ac:dyDescent="0.35">
      <c r="A98" s="8"/>
      <c r="B98" s="8"/>
      <c r="C98" s="7"/>
      <c r="D98" s="7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</row>
    <row r="99" spans="1:39" ht="14.25" customHeight="1" x14ac:dyDescent="0.35">
      <c r="A99" s="8"/>
      <c r="B99" s="8"/>
      <c r="C99" s="7"/>
      <c r="D99" s="7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</row>
    <row r="100" spans="1:39" ht="14.25" customHeight="1" x14ac:dyDescent="0.35">
      <c r="A100" s="8"/>
      <c r="B100" s="8"/>
      <c r="C100" s="7"/>
      <c r="D100" s="7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</row>
  </sheetData>
  <mergeCells count="17">
    <mergeCell ref="B4:B5"/>
    <mergeCell ref="E4:E5"/>
    <mergeCell ref="F4:F5"/>
    <mergeCell ref="G4:H4"/>
    <mergeCell ref="I4:J4"/>
    <mergeCell ref="AE4:AF4"/>
    <mergeCell ref="AJ4:AK4"/>
    <mergeCell ref="M3:R3"/>
    <mergeCell ref="T3:Y3"/>
    <mergeCell ref="AA3:AF3"/>
    <mergeCell ref="AH3:AM3"/>
    <mergeCell ref="O4:P4"/>
    <mergeCell ref="AC4:AD4"/>
    <mergeCell ref="X4:Y4"/>
    <mergeCell ref="AL4:AM4"/>
    <mergeCell ref="Q4:R4"/>
    <mergeCell ref="V4:W4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100"/>
  <sheetViews>
    <sheetView workbookViewId="0">
      <pane ySplit="5" topLeftCell="A6" activePane="bottomLeft" state="frozen"/>
      <selection pane="bottomLeft" activeCell="B7" sqref="B7"/>
    </sheetView>
  </sheetViews>
  <sheetFormatPr defaultColWidth="14.453125" defaultRowHeight="15" customHeight="1" x14ac:dyDescent="0.35"/>
  <cols>
    <col min="1" max="1" width="9.1796875" customWidth="1"/>
    <col min="2" max="2" width="31.7265625" customWidth="1"/>
    <col min="3" max="3" width="12.26953125" customWidth="1"/>
    <col min="4" max="4" width="11.26953125" customWidth="1"/>
    <col min="5" max="7" width="15.7265625" customWidth="1"/>
    <col min="8" max="8" width="17" customWidth="1"/>
    <col min="9" max="10" width="15.7265625" customWidth="1"/>
    <col min="11" max="11" width="10.1796875" customWidth="1"/>
    <col min="12" max="12" width="9.1796875" customWidth="1"/>
    <col min="13" max="14" width="10.1796875" customWidth="1"/>
    <col min="15" max="15" width="18.81640625" customWidth="1"/>
    <col min="16" max="16" width="20.26953125" customWidth="1"/>
    <col min="17" max="18" width="18.54296875" customWidth="1"/>
    <col min="19" max="21" width="9.1796875" customWidth="1"/>
    <col min="22" max="22" width="18.1796875" customWidth="1"/>
    <col min="23" max="23" width="18.54296875" customWidth="1"/>
    <col min="24" max="24" width="16" customWidth="1"/>
    <col min="25" max="25" width="18.81640625" customWidth="1"/>
    <col min="26" max="28" width="9.1796875" customWidth="1"/>
    <col min="29" max="32" width="15.7265625" customWidth="1"/>
    <col min="33" max="35" width="9.1796875" customWidth="1"/>
    <col min="36" max="39" width="15.7265625" customWidth="1"/>
  </cols>
  <sheetData>
    <row r="1" spans="1:39" ht="14.25" customHeight="1" x14ac:dyDescent="0.35">
      <c r="A1" s="8"/>
      <c r="B1" s="8"/>
      <c r="C1" s="7"/>
      <c r="D1" s="7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</row>
    <row r="2" spans="1:39" ht="14.25" customHeight="1" x14ac:dyDescent="0.35">
      <c r="A2" s="8"/>
      <c r="B2" s="8"/>
      <c r="C2" s="7"/>
      <c r="D2" s="7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</row>
    <row r="3" spans="1:39" ht="16.5" customHeight="1" x14ac:dyDescent="0.35">
      <c r="A3" s="8"/>
      <c r="B3" s="8"/>
      <c r="C3" s="7"/>
      <c r="D3" s="7"/>
      <c r="E3" s="8"/>
      <c r="F3" s="8"/>
      <c r="G3" s="8"/>
      <c r="H3" s="8"/>
      <c r="I3" s="8"/>
      <c r="J3" s="8"/>
      <c r="K3" s="8"/>
      <c r="L3" s="8"/>
      <c r="M3" s="68" t="s">
        <v>12</v>
      </c>
      <c r="N3" s="69"/>
      <c r="O3" s="69"/>
      <c r="P3" s="69"/>
      <c r="Q3" s="69"/>
      <c r="R3" s="69"/>
      <c r="S3" s="8"/>
      <c r="T3" s="68" t="s">
        <v>13</v>
      </c>
      <c r="U3" s="69"/>
      <c r="V3" s="69"/>
      <c r="W3" s="69"/>
      <c r="X3" s="69"/>
      <c r="Y3" s="69"/>
      <c r="Z3" s="8"/>
      <c r="AA3" s="68" t="s">
        <v>14</v>
      </c>
      <c r="AB3" s="69"/>
      <c r="AC3" s="69"/>
      <c r="AD3" s="69"/>
      <c r="AE3" s="69"/>
      <c r="AF3" s="69"/>
      <c r="AG3" s="8"/>
      <c r="AH3" s="68" t="s">
        <v>15</v>
      </c>
      <c r="AI3" s="69"/>
      <c r="AJ3" s="69"/>
      <c r="AK3" s="69"/>
      <c r="AL3" s="69"/>
      <c r="AM3" s="69"/>
    </row>
    <row r="4" spans="1:39" ht="30" customHeight="1" x14ac:dyDescent="0.35">
      <c r="A4" s="8"/>
      <c r="B4" s="72" t="s">
        <v>62</v>
      </c>
      <c r="C4" s="12" t="s">
        <v>17</v>
      </c>
      <c r="D4" s="13" t="s">
        <v>18</v>
      </c>
      <c r="E4" s="78" t="s">
        <v>63</v>
      </c>
      <c r="F4" s="76" t="s">
        <v>64</v>
      </c>
      <c r="G4" s="70" t="s">
        <v>20</v>
      </c>
      <c r="H4" s="71"/>
      <c r="I4" s="70" t="s">
        <v>2</v>
      </c>
      <c r="J4" s="71"/>
      <c r="K4" s="8"/>
      <c r="L4" s="8"/>
      <c r="M4" s="12" t="s">
        <v>17</v>
      </c>
      <c r="N4" s="13" t="s">
        <v>18</v>
      </c>
      <c r="O4" s="70" t="s">
        <v>20</v>
      </c>
      <c r="P4" s="71"/>
      <c r="Q4" s="70" t="s">
        <v>2</v>
      </c>
      <c r="R4" s="71"/>
      <c r="S4" s="8"/>
      <c r="T4" s="12" t="s">
        <v>17</v>
      </c>
      <c r="U4" s="13" t="s">
        <v>18</v>
      </c>
      <c r="V4" s="70" t="s">
        <v>20</v>
      </c>
      <c r="W4" s="71"/>
      <c r="X4" s="70" t="s">
        <v>2</v>
      </c>
      <c r="Y4" s="71"/>
      <c r="Z4" s="8"/>
      <c r="AA4" s="12" t="s">
        <v>17</v>
      </c>
      <c r="AB4" s="13" t="s">
        <v>18</v>
      </c>
      <c r="AC4" s="70" t="s">
        <v>20</v>
      </c>
      <c r="AD4" s="71"/>
      <c r="AE4" s="70" t="s">
        <v>2</v>
      </c>
      <c r="AF4" s="71"/>
      <c r="AG4" s="8"/>
      <c r="AH4" s="12" t="s">
        <v>17</v>
      </c>
      <c r="AI4" s="13" t="s">
        <v>18</v>
      </c>
      <c r="AJ4" s="70" t="s">
        <v>20</v>
      </c>
      <c r="AK4" s="71"/>
      <c r="AL4" s="70" t="s">
        <v>2</v>
      </c>
      <c r="AM4" s="71"/>
    </row>
    <row r="5" spans="1:39" ht="14.25" customHeight="1" x14ac:dyDescent="0.35">
      <c r="A5" s="8"/>
      <c r="B5" s="73"/>
      <c r="C5" s="12" t="s">
        <v>65</v>
      </c>
      <c r="D5" s="12" t="s">
        <v>65</v>
      </c>
      <c r="E5" s="75"/>
      <c r="F5" s="73"/>
      <c r="G5" s="14" t="s">
        <v>22</v>
      </c>
      <c r="H5" s="15" t="s">
        <v>23</v>
      </c>
      <c r="I5" s="14" t="s">
        <v>22</v>
      </c>
      <c r="J5" s="15" t="s">
        <v>24</v>
      </c>
      <c r="K5" s="8"/>
      <c r="L5" s="8"/>
      <c r="M5" s="12" t="s">
        <v>65</v>
      </c>
      <c r="N5" s="12" t="s">
        <v>65</v>
      </c>
      <c r="O5" s="14" t="s">
        <v>22</v>
      </c>
      <c r="P5" s="15" t="s">
        <v>23</v>
      </c>
      <c r="Q5" s="14" t="s">
        <v>22</v>
      </c>
      <c r="R5" s="15" t="s">
        <v>24</v>
      </c>
      <c r="S5" s="8"/>
      <c r="T5" s="12" t="s">
        <v>65</v>
      </c>
      <c r="U5" s="12" t="s">
        <v>65</v>
      </c>
      <c r="V5" s="14" t="s">
        <v>22</v>
      </c>
      <c r="W5" s="15" t="s">
        <v>23</v>
      </c>
      <c r="X5" s="14" t="s">
        <v>22</v>
      </c>
      <c r="Y5" s="15" t="s">
        <v>24</v>
      </c>
      <c r="Z5" s="8"/>
      <c r="AA5" s="12" t="s">
        <v>65</v>
      </c>
      <c r="AB5" s="12" t="s">
        <v>65</v>
      </c>
      <c r="AC5" s="14" t="s">
        <v>22</v>
      </c>
      <c r="AD5" s="15" t="s">
        <v>23</v>
      </c>
      <c r="AE5" s="14" t="s">
        <v>22</v>
      </c>
      <c r="AF5" s="15" t="s">
        <v>24</v>
      </c>
      <c r="AG5" s="8"/>
      <c r="AH5" s="12" t="s">
        <v>65</v>
      </c>
      <c r="AI5" s="12" t="s">
        <v>65</v>
      </c>
      <c r="AJ5" s="14" t="s">
        <v>22</v>
      </c>
      <c r="AK5" s="15" t="s">
        <v>23</v>
      </c>
      <c r="AL5" s="14" t="s">
        <v>22</v>
      </c>
      <c r="AM5" s="15" t="s">
        <v>24</v>
      </c>
    </row>
    <row r="6" spans="1:39" ht="14.25" customHeight="1" x14ac:dyDescent="0.35">
      <c r="A6" s="8"/>
      <c r="B6" s="52" t="s">
        <v>123</v>
      </c>
      <c r="C6" s="8">
        <f t="shared" ref="C6:D6" si="0">M6+T6+AA6+AH6</f>
        <v>240</v>
      </c>
      <c r="D6" s="8">
        <f t="shared" si="0"/>
        <v>125</v>
      </c>
      <c r="E6" s="53">
        <v>1</v>
      </c>
      <c r="F6" s="17">
        <v>22.65</v>
      </c>
      <c r="G6" s="10">
        <f t="shared" ref="G6:G38" si="1">C6*F6/E6</f>
        <v>5436</v>
      </c>
      <c r="H6" s="10">
        <f t="shared" ref="H6:H39" si="2">G6*8</f>
        <v>43488</v>
      </c>
      <c r="I6" s="10">
        <f t="shared" ref="I6:I38" si="3">D6*F6/E6</f>
        <v>2831.25</v>
      </c>
      <c r="J6" s="10">
        <f t="shared" ref="J6:J39" si="4">I6*4</f>
        <v>11325</v>
      </c>
      <c r="K6" s="10">
        <f t="shared" ref="K6:K39" si="5">(O6+V6+AC6+AJ6)-G6</f>
        <v>0</v>
      </c>
      <c r="L6" s="10">
        <f t="shared" ref="L6:L39" si="6">(Q6+X6+AE6+AL6)-I6</f>
        <v>0</v>
      </c>
      <c r="M6" s="8">
        <v>150</v>
      </c>
      <c r="N6" s="8">
        <v>50</v>
      </c>
      <c r="O6" s="10">
        <f t="shared" ref="O6:O38" si="7">M6*F6/E6</f>
        <v>3397.5</v>
      </c>
      <c r="P6" s="10">
        <f t="shared" ref="P6:P39" si="8">O6*8</f>
        <v>27180</v>
      </c>
      <c r="Q6" s="10">
        <f t="shared" ref="Q6:Q38" si="9">N6*F6/E6</f>
        <v>1132.5</v>
      </c>
      <c r="R6" s="10">
        <f t="shared" ref="R6:R39" si="10">Q6*4</f>
        <v>4530</v>
      </c>
      <c r="S6" s="8"/>
      <c r="T6" s="8">
        <v>50</v>
      </c>
      <c r="U6" s="8">
        <v>35</v>
      </c>
      <c r="V6" s="10">
        <f t="shared" ref="V6:V38" si="11">T6*F6/E6</f>
        <v>1132.5</v>
      </c>
      <c r="W6" s="10">
        <f t="shared" ref="W6:W39" si="12">V6*8</f>
        <v>9060</v>
      </c>
      <c r="X6" s="10">
        <f t="shared" ref="X6:X38" si="13">U6*F6/E6</f>
        <v>792.75</v>
      </c>
      <c r="Y6" s="10">
        <f t="shared" ref="Y6:Y39" si="14">X6*4</f>
        <v>3171</v>
      </c>
      <c r="Z6" s="8"/>
      <c r="AA6" s="8">
        <v>30</v>
      </c>
      <c r="AB6" s="8">
        <v>30</v>
      </c>
      <c r="AC6" s="10">
        <f t="shared" ref="AC6:AC38" si="15">AA6*F6/E6</f>
        <v>679.5</v>
      </c>
      <c r="AD6" s="10">
        <f t="shared" ref="AD6:AD39" si="16">AC6*8</f>
        <v>5436</v>
      </c>
      <c r="AE6" s="10">
        <f t="shared" ref="AE6:AE38" si="17">AB6*F6/E6</f>
        <v>679.5</v>
      </c>
      <c r="AF6" s="10">
        <f t="shared" ref="AF6:AF39" si="18">AE6*4</f>
        <v>2718</v>
      </c>
      <c r="AG6" s="8"/>
      <c r="AH6" s="8">
        <v>10</v>
      </c>
      <c r="AI6" s="8">
        <v>10</v>
      </c>
      <c r="AJ6" s="10">
        <f t="shared" ref="AJ6:AJ38" si="19">AH6*F6/E6</f>
        <v>226.5</v>
      </c>
      <c r="AK6" s="10">
        <f t="shared" ref="AK6:AK39" si="20">AJ6*8</f>
        <v>1812</v>
      </c>
      <c r="AL6" s="10">
        <f t="shared" ref="AL6:AL38" si="21">AI6*F6/E6</f>
        <v>226.5</v>
      </c>
      <c r="AM6" s="10">
        <f t="shared" ref="AM6:AM39" si="22">AL6*4</f>
        <v>906</v>
      </c>
    </row>
    <row r="7" spans="1:39" ht="14.25" customHeight="1" x14ac:dyDescent="0.35">
      <c r="A7" s="8"/>
      <c r="B7" s="54" t="s">
        <v>124</v>
      </c>
      <c r="C7" s="8">
        <f t="shared" ref="C7:D7" si="23">M7+T7+AA7+AH7</f>
        <v>290</v>
      </c>
      <c r="D7" s="8">
        <f t="shared" si="23"/>
        <v>155</v>
      </c>
      <c r="E7" s="53">
        <v>1</v>
      </c>
      <c r="F7" s="17">
        <v>14.99</v>
      </c>
      <c r="G7" s="10">
        <f t="shared" si="1"/>
        <v>4347.1000000000004</v>
      </c>
      <c r="H7" s="10">
        <f t="shared" si="2"/>
        <v>34776.800000000003</v>
      </c>
      <c r="I7" s="10">
        <f t="shared" si="3"/>
        <v>2323.4499999999998</v>
      </c>
      <c r="J7" s="10">
        <f t="shared" si="4"/>
        <v>9293.7999999999993</v>
      </c>
      <c r="K7" s="10">
        <f t="shared" si="5"/>
        <v>0</v>
      </c>
      <c r="L7" s="10">
        <f t="shared" si="6"/>
        <v>0</v>
      </c>
      <c r="M7" s="8">
        <v>200</v>
      </c>
      <c r="N7" s="8">
        <v>80</v>
      </c>
      <c r="O7" s="10">
        <f t="shared" si="7"/>
        <v>2998</v>
      </c>
      <c r="P7" s="10">
        <f t="shared" si="8"/>
        <v>23984</v>
      </c>
      <c r="Q7" s="10">
        <f t="shared" si="9"/>
        <v>1199.2</v>
      </c>
      <c r="R7" s="10">
        <f t="shared" si="10"/>
        <v>4796.8</v>
      </c>
      <c r="S7" s="8"/>
      <c r="T7" s="8">
        <v>50</v>
      </c>
      <c r="U7" s="8">
        <v>35</v>
      </c>
      <c r="V7" s="10">
        <f t="shared" si="11"/>
        <v>749.5</v>
      </c>
      <c r="W7" s="10">
        <f t="shared" si="12"/>
        <v>5996</v>
      </c>
      <c r="X7" s="10">
        <f t="shared" si="13"/>
        <v>524.65</v>
      </c>
      <c r="Y7" s="10">
        <f t="shared" si="14"/>
        <v>2098.6</v>
      </c>
      <c r="Z7" s="8"/>
      <c r="AA7" s="8">
        <v>30</v>
      </c>
      <c r="AB7" s="8">
        <v>30</v>
      </c>
      <c r="AC7" s="10">
        <f t="shared" si="15"/>
        <v>449.7</v>
      </c>
      <c r="AD7" s="10">
        <f t="shared" si="16"/>
        <v>3597.6</v>
      </c>
      <c r="AE7" s="10">
        <f t="shared" si="17"/>
        <v>449.7</v>
      </c>
      <c r="AF7" s="10">
        <f t="shared" si="18"/>
        <v>1798.8</v>
      </c>
      <c r="AG7" s="8"/>
      <c r="AH7" s="8">
        <v>10</v>
      </c>
      <c r="AI7" s="8">
        <v>10</v>
      </c>
      <c r="AJ7" s="10">
        <f t="shared" si="19"/>
        <v>149.9</v>
      </c>
      <c r="AK7" s="10">
        <f t="shared" si="20"/>
        <v>1199.2</v>
      </c>
      <c r="AL7" s="10">
        <f t="shared" si="21"/>
        <v>149.9</v>
      </c>
      <c r="AM7" s="10">
        <f t="shared" si="22"/>
        <v>599.6</v>
      </c>
    </row>
    <row r="8" spans="1:39" ht="14.25" customHeight="1" x14ac:dyDescent="0.35">
      <c r="A8" s="8"/>
      <c r="B8" s="54" t="s">
        <v>125</v>
      </c>
      <c r="C8" s="8">
        <f t="shared" ref="C8:D8" si="24">M8+T8+AA8+AH8</f>
        <v>285</v>
      </c>
      <c r="D8" s="8">
        <f t="shared" si="24"/>
        <v>150</v>
      </c>
      <c r="E8" s="53">
        <v>1</v>
      </c>
      <c r="F8" s="17">
        <v>36</v>
      </c>
      <c r="G8" s="10">
        <f t="shared" si="1"/>
        <v>10260</v>
      </c>
      <c r="H8" s="10">
        <f t="shared" si="2"/>
        <v>82080</v>
      </c>
      <c r="I8" s="10">
        <f t="shared" si="3"/>
        <v>5400</v>
      </c>
      <c r="J8" s="10">
        <f t="shared" si="4"/>
        <v>21600</v>
      </c>
      <c r="K8" s="10">
        <f t="shared" si="5"/>
        <v>0</v>
      </c>
      <c r="L8" s="10">
        <f t="shared" si="6"/>
        <v>0</v>
      </c>
      <c r="M8" s="8">
        <v>200</v>
      </c>
      <c r="N8" s="8">
        <v>80</v>
      </c>
      <c r="O8" s="10">
        <f t="shared" si="7"/>
        <v>7200</v>
      </c>
      <c r="P8" s="10">
        <f t="shared" si="8"/>
        <v>57600</v>
      </c>
      <c r="Q8" s="10">
        <f t="shared" si="9"/>
        <v>2880</v>
      </c>
      <c r="R8" s="10">
        <f t="shared" si="10"/>
        <v>11520</v>
      </c>
      <c r="S8" s="8"/>
      <c r="T8" s="8">
        <v>50</v>
      </c>
      <c r="U8" s="8">
        <v>35</v>
      </c>
      <c r="V8" s="10">
        <f t="shared" si="11"/>
        <v>1800</v>
      </c>
      <c r="W8" s="10">
        <f t="shared" si="12"/>
        <v>14400</v>
      </c>
      <c r="X8" s="10">
        <f t="shared" si="13"/>
        <v>1260</v>
      </c>
      <c r="Y8" s="10">
        <f t="shared" si="14"/>
        <v>5040</v>
      </c>
      <c r="Z8" s="8"/>
      <c r="AA8" s="8">
        <v>20</v>
      </c>
      <c r="AB8" s="8">
        <v>20</v>
      </c>
      <c r="AC8" s="10">
        <f t="shared" si="15"/>
        <v>720</v>
      </c>
      <c r="AD8" s="10">
        <f t="shared" si="16"/>
        <v>5760</v>
      </c>
      <c r="AE8" s="10">
        <f t="shared" si="17"/>
        <v>720</v>
      </c>
      <c r="AF8" s="10">
        <f t="shared" si="18"/>
        <v>2880</v>
      </c>
      <c r="AG8" s="8"/>
      <c r="AH8" s="8">
        <v>15</v>
      </c>
      <c r="AI8" s="8">
        <v>15</v>
      </c>
      <c r="AJ8" s="10">
        <f t="shared" si="19"/>
        <v>540</v>
      </c>
      <c r="AK8" s="10">
        <f t="shared" si="20"/>
        <v>4320</v>
      </c>
      <c r="AL8" s="10">
        <f t="shared" si="21"/>
        <v>540</v>
      </c>
      <c r="AM8" s="10">
        <f t="shared" si="22"/>
        <v>2160</v>
      </c>
    </row>
    <row r="9" spans="1:39" ht="14.25" customHeight="1" x14ac:dyDescent="0.35">
      <c r="A9" s="8"/>
      <c r="B9" s="54" t="s">
        <v>126</v>
      </c>
      <c r="C9" s="8">
        <f t="shared" ref="C9:D9" si="25">M9+T9+AA9+AH9</f>
        <v>255</v>
      </c>
      <c r="D9" s="8">
        <f t="shared" si="25"/>
        <v>170</v>
      </c>
      <c r="E9" s="53">
        <v>1</v>
      </c>
      <c r="F9" s="17">
        <v>9.5670000000000002</v>
      </c>
      <c r="G9" s="10">
        <f t="shared" si="1"/>
        <v>2439.585</v>
      </c>
      <c r="H9" s="10">
        <f t="shared" si="2"/>
        <v>19516.68</v>
      </c>
      <c r="I9" s="10">
        <f t="shared" si="3"/>
        <v>1626.39</v>
      </c>
      <c r="J9" s="10">
        <f t="shared" si="4"/>
        <v>6505.56</v>
      </c>
      <c r="K9" s="10">
        <f t="shared" si="5"/>
        <v>0</v>
      </c>
      <c r="L9" s="10">
        <f t="shared" si="6"/>
        <v>0</v>
      </c>
      <c r="M9" s="8">
        <v>150</v>
      </c>
      <c r="N9" s="8">
        <v>80</v>
      </c>
      <c r="O9" s="10">
        <f t="shared" si="7"/>
        <v>1435.05</v>
      </c>
      <c r="P9" s="10">
        <f t="shared" si="8"/>
        <v>11480.4</v>
      </c>
      <c r="Q9" s="10">
        <f t="shared" si="9"/>
        <v>765.36</v>
      </c>
      <c r="R9" s="10">
        <f t="shared" si="10"/>
        <v>3061.44</v>
      </c>
      <c r="S9" s="8"/>
      <c r="T9" s="8">
        <v>50</v>
      </c>
      <c r="U9" s="8">
        <v>35</v>
      </c>
      <c r="V9" s="10">
        <f t="shared" si="11"/>
        <v>478.35</v>
      </c>
      <c r="W9" s="10">
        <f t="shared" si="12"/>
        <v>3826.8</v>
      </c>
      <c r="X9" s="10">
        <f t="shared" si="13"/>
        <v>334.84500000000003</v>
      </c>
      <c r="Y9" s="10">
        <f t="shared" si="14"/>
        <v>1339.38</v>
      </c>
      <c r="Z9" s="8"/>
      <c r="AA9" s="8">
        <v>40</v>
      </c>
      <c r="AB9" s="8">
        <v>40</v>
      </c>
      <c r="AC9" s="10">
        <f t="shared" si="15"/>
        <v>382.68</v>
      </c>
      <c r="AD9" s="10">
        <f t="shared" si="16"/>
        <v>3061.44</v>
      </c>
      <c r="AE9" s="10">
        <f t="shared" si="17"/>
        <v>382.68</v>
      </c>
      <c r="AF9" s="10">
        <f t="shared" si="18"/>
        <v>1530.72</v>
      </c>
      <c r="AG9" s="8"/>
      <c r="AH9" s="8">
        <v>15</v>
      </c>
      <c r="AI9" s="8">
        <v>15</v>
      </c>
      <c r="AJ9" s="10">
        <f t="shared" si="19"/>
        <v>143.505</v>
      </c>
      <c r="AK9" s="10">
        <f t="shared" si="20"/>
        <v>1148.04</v>
      </c>
      <c r="AL9" s="10">
        <f t="shared" si="21"/>
        <v>143.505</v>
      </c>
      <c r="AM9" s="10">
        <f t="shared" si="22"/>
        <v>574.02</v>
      </c>
    </row>
    <row r="10" spans="1:39" ht="14.25" customHeight="1" x14ac:dyDescent="0.35">
      <c r="A10" s="8"/>
      <c r="B10" s="54" t="s">
        <v>127</v>
      </c>
      <c r="C10" s="8">
        <f t="shared" ref="C10:D10" si="26">M10+T10+AA10+AH10</f>
        <v>33</v>
      </c>
      <c r="D10" s="8">
        <f t="shared" si="26"/>
        <v>13</v>
      </c>
      <c r="E10" s="53">
        <v>1</v>
      </c>
      <c r="F10" s="17">
        <v>563</v>
      </c>
      <c r="G10" s="10">
        <f t="shared" si="1"/>
        <v>18579</v>
      </c>
      <c r="H10" s="10">
        <f t="shared" si="2"/>
        <v>148632</v>
      </c>
      <c r="I10" s="10">
        <f t="shared" si="3"/>
        <v>7319</v>
      </c>
      <c r="J10" s="10">
        <f t="shared" si="4"/>
        <v>29276</v>
      </c>
      <c r="K10" s="10">
        <f t="shared" si="5"/>
        <v>0</v>
      </c>
      <c r="L10" s="10">
        <f t="shared" si="6"/>
        <v>0</v>
      </c>
      <c r="M10" s="8">
        <v>30</v>
      </c>
      <c r="N10" s="8">
        <v>10</v>
      </c>
      <c r="O10" s="10">
        <f t="shared" si="7"/>
        <v>16890</v>
      </c>
      <c r="P10" s="10">
        <f t="shared" si="8"/>
        <v>135120</v>
      </c>
      <c r="Q10" s="10">
        <f t="shared" si="9"/>
        <v>5630</v>
      </c>
      <c r="R10" s="10">
        <f t="shared" si="10"/>
        <v>22520</v>
      </c>
      <c r="S10" s="8"/>
      <c r="T10" s="8"/>
      <c r="U10" s="8"/>
      <c r="V10" s="10">
        <f t="shared" si="11"/>
        <v>0</v>
      </c>
      <c r="W10" s="10">
        <f t="shared" si="12"/>
        <v>0</v>
      </c>
      <c r="X10" s="10">
        <f t="shared" si="13"/>
        <v>0</v>
      </c>
      <c r="Y10" s="10">
        <f t="shared" si="14"/>
        <v>0</v>
      </c>
      <c r="Z10" s="8"/>
      <c r="AA10" s="8">
        <v>2</v>
      </c>
      <c r="AB10" s="8">
        <v>2</v>
      </c>
      <c r="AC10" s="10">
        <f t="shared" si="15"/>
        <v>1126</v>
      </c>
      <c r="AD10" s="10">
        <f t="shared" si="16"/>
        <v>9008</v>
      </c>
      <c r="AE10" s="10">
        <f t="shared" si="17"/>
        <v>1126</v>
      </c>
      <c r="AF10" s="10">
        <f t="shared" si="18"/>
        <v>4504</v>
      </c>
      <c r="AG10" s="8"/>
      <c r="AH10" s="8">
        <v>1</v>
      </c>
      <c r="AI10" s="8">
        <v>1</v>
      </c>
      <c r="AJ10" s="10">
        <f t="shared" si="19"/>
        <v>563</v>
      </c>
      <c r="AK10" s="10">
        <f t="shared" si="20"/>
        <v>4504</v>
      </c>
      <c r="AL10" s="10">
        <f t="shared" si="21"/>
        <v>563</v>
      </c>
      <c r="AM10" s="10">
        <f t="shared" si="22"/>
        <v>2252</v>
      </c>
    </row>
    <row r="11" spans="1:39" ht="14.25" customHeight="1" x14ac:dyDescent="0.35">
      <c r="A11" s="8"/>
      <c r="B11" s="54" t="s">
        <v>128</v>
      </c>
      <c r="C11" s="8">
        <f t="shared" ref="C11:D11" si="27">M11+T11+AA11+AH11</f>
        <v>260</v>
      </c>
      <c r="D11" s="8">
        <f t="shared" si="27"/>
        <v>170</v>
      </c>
      <c r="E11" s="53">
        <v>1</v>
      </c>
      <c r="F11" s="17">
        <v>43.27</v>
      </c>
      <c r="G11" s="10">
        <f t="shared" si="1"/>
        <v>11250.2</v>
      </c>
      <c r="H11" s="10">
        <f t="shared" si="2"/>
        <v>90001.600000000006</v>
      </c>
      <c r="I11" s="10">
        <f t="shared" si="3"/>
        <v>7355.9000000000005</v>
      </c>
      <c r="J11" s="10">
        <f t="shared" si="4"/>
        <v>29423.600000000002</v>
      </c>
      <c r="K11" s="10">
        <f t="shared" si="5"/>
        <v>0</v>
      </c>
      <c r="L11" s="10">
        <f t="shared" si="6"/>
        <v>0</v>
      </c>
      <c r="M11" s="8">
        <v>150</v>
      </c>
      <c r="N11" s="8">
        <v>80</v>
      </c>
      <c r="O11" s="10">
        <f t="shared" si="7"/>
        <v>6490.5000000000009</v>
      </c>
      <c r="P11" s="10">
        <f t="shared" si="8"/>
        <v>51924.000000000007</v>
      </c>
      <c r="Q11" s="10">
        <f t="shared" si="9"/>
        <v>3461.6000000000004</v>
      </c>
      <c r="R11" s="10">
        <f t="shared" si="10"/>
        <v>13846.400000000001</v>
      </c>
      <c r="S11" s="8"/>
      <c r="T11" s="8">
        <v>80</v>
      </c>
      <c r="U11" s="8">
        <v>60</v>
      </c>
      <c r="V11" s="10">
        <f t="shared" si="11"/>
        <v>3461.6000000000004</v>
      </c>
      <c r="W11" s="10">
        <f t="shared" si="12"/>
        <v>27692.800000000003</v>
      </c>
      <c r="X11" s="10">
        <f t="shared" si="13"/>
        <v>2596.2000000000003</v>
      </c>
      <c r="Y11" s="10">
        <f t="shared" si="14"/>
        <v>10384.800000000001</v>
      </c>
      <c r="Z11" s="8"/>
      <c r="AA11" s="8">
        <v>20</v>
      </c>
      <c r="AB11" s="8">
        <v>20</v>
      </c>
      <c r="AC11" s="10">
        <f t="shared" si="15"/>
        <v>865.40000000000009</v>
      </c>
      <c r="AD11" s="10">
        <f t="shared" si="16"/>
        <v>6923.2000000000007</v>
      </c>
      <c r="AE11" s="10">
        <f t="shared" si="17"/>
        <v>865.40000000000009</v>
      </c>
      <c r="AF11" s="10">
        <f t="shared" si="18"/>
        <v>3461.6000000000004</v>
      </c>
      <c r="AG11" s="8"/>
      <c r="AH11" s="8">
        <v>10</v>
      </c>
      <c r="AI11" s="8">
        <v>10</v>
      </c>
      <c r="AJ11" s="10">
        <f t="shared" si="19"/>
        <v>432.70000000000005</v>
      </c>
      <c r="AK11" s="10">
        <f t="shared" si="20"/>
        <v>3461.6000000000004</v>
      </c>
      <c r="AL11" s="10">
        <f t="shared" si="21"/>
        <v>432.70000000000005</v>
      </c>
      <c r="AM11" s="10">
        <f t="shared" si="22"/>
        <v>1730.8000000000002</v>
      </c>
    </row>
    <row r="12" spans="1:39" ht="14.25" customHeight="1" x14ac:dyDescent="0.35">
      <c r="A12" s="8"/>
      <c r="B12" s="54" t="s">
        <v>129</v>
      </c>
      <c r="C12" s="8">
        <f t="shared" ref="C12:D12" si="28">M12+T12+AA12+AH12</f>
        <v>0</v>
      </c>
      <c r="D12" s="8">
        <f t="shared" si="28"/>
        <v>0</v>
      </c>
      <c r="E12" s="53">
        <v>1</v>
      </c>
      <c r="F12" s="17">
        <v>14.38</v>
      </c>
      <c r="G12" s="10">
        <f t="shared" si="1"/>
        <v>0</v>
      </c>
      <c r="H12" s="10">
        <f t="shared" si="2"/>
        <v>0</v>
      </c>
      <c r="I12" s="10">
        <f t="shared" si="3"/>
        <v>0</v>
      </c>
      <c r="J12" s="10">
        <f t="shared" si="4"/>
        <v>0</v>
      </c>
      <c r="K12" s="10">
        <f t="shared" si="5"/>
        <v>0</v>
      </c>
      <c r="L12" s="10">
        <f t="shared" si="6"/>
        <v>0</v>
      </c>
      <c r="M12" s="8"/>
      <c r="N12" s="8"/>
      <c r="O12" s="10">
        <f t="shared" si="7"/>
        <v>0</v>
      </c>
      <c r="P12" s="10">
        <f t="shared" si="8"/>
        <v>0</v>
      </c>
      <c r="Q12" s="10">
        <f t="shared" si="9"/>
        <v>0</v>
      </c>
      <c r="R12" s="10">
        <f t="shared" si="10"/>
        <v>0</v>
      </c>
      <c r="S12" s="8"/>
      <c r="T12" s="8"/>
      <c r="U12" s="8"/>
      <c r="V12" s="10">
        <f t="shared" si="11"/>
        <v>0</v>
      </c>
      <c r="W12" s="10">
        <f t="shared" si="12"/>
        <v>0</v>
      </c>
      <c r="X12" s="10">
        <f t="shared" si="13"/>
        <v>0</v>
      </c>
      <c r="Y12" s="10">
        <f t="shared" si="14"/>
        <v>0</v>
      </c>
      <c r="Z12" s="8"/>
      <c r="AA12" s="8"/>
      <c r="AB12" s="8"/>
      <c r="AC12" s="10">
        <f t="shared" si="15"/>
        <v>0</v>
      </c>
      <c r="AD12" s="10">
        <f t="shared" si="16"/>
        <v>0</v>
      </c>
      <c r="AE12" s="10">
        <f t="shared" si="17"/>
        <v>0</v>
      </c>
      <c r="AF12" s="10">
        <f t="shared" si="18"/>
        <v>0</v>
      </c>
      <c r="AG12" s="8"/>
      <c r="AH12" s="8"/>
      <c r="AI12" s="8"/>
      <c r="AJ12" s="10">
        <f t="shared" si="19"/>
        <v>0</v>
      </c>
      <c r="AK12" s="10">
        <f t="shared" si="20"/>
        <v>0</v>
      </c>
      <c r="AL12" s="10">
        <f t="shared" si="21"/>
        <v>0</v>
      </c>
      <c r="AM12" s="10">
        <f t="shared" si="22"/>
        <v>0</v>
      </c>
    </row>
    <row r="13" spans="1:39" ht="14.25" customHeight="1" x14ac:dyDescent="0.35">
      <c r="A13" s="8"/>
      <c r="B13" s="54" t="s">
        <v>130</v>
      </c>
      <c r="C13" s="8">
        <f t="shared" ref="C13:D13" si="29">M13+T13+AA13+AH13</f>
        <v>250</v>
      </c>
      <c r="D13" s="8">
        <f t="shared" si="29"/>
        <v>130</v>
      </c>
      <c r="E13" s="53">
        <v>1</v>
      </c>
      <c r="F13" s="17">
        <v>4.87</v>
      </c>
      <c r="G13" s="10">
        <f t="shared" si="1"/>
        <v>1217.5</v>
      </c>
      <c r="H13" s="10">
        <f t="shared" si="2"/>
        <v>9740</v>
      </c>
      <c r="I13" s="10">
        <f t="shared" si="3"/>
        <v>633.1</v>
      </c>
      <c r="J13" s="10">
        <f t="shared" si="4"/>
        <v>2532.4</v>
      </c>
      <c r="K13" s="10">
        <f t="shared" si="5"/>
        <v>0</v>
      </c>
      <c r="L13" s="10">
        <f t="shared" si="6"/>
        <v>0</v>
      </c>
      <c r="M13" s="8">
        <v>200</v>
      </c>
      <c r="N13" s="8">
        <v>80</v>
      </c>
      <c r="O13" s="10">
        <f t="shared" si="7"/>
        <v>974</v>
      </c>
      <c r="P13" s="10">
        <f t="shared" si="8"/>
        <v>7792</v>
      </c>
      <c r="Q13" s="10">
        <f t="shared" si="9"/>
        <v>389.6</v>
      </c>
      <c r="R13" s="10">
        <f t="shared" si="10"/>
        <v>1558.4</v>
      </c>
      <c r="S13" s="8"/>
      <c r="T13" s="8"/>
      <c r="U13" s="8"/>
      <c r="V13" s="10">
        <f t="shared" si="11"/>
        <v>0</v>
      </c>
      <c r="W13" s="10">
        <f t="shared" si="12"/>
        <v>0</v>
      </c>
      <c r="X13" s="10">
        <f t="shared" si="13"/>
        <v>0</v>
      </c>
      <c r="Y13" s="10">
        <f t="shared" si="14"/>
        <v>0</v>
      </c>
      <c r="Z13" s="8"/>
      <c r="AA13" s="8">
        <v>40</v>
      </c>
      <c r="AB13" s="8">
        <v>40</v>
      </c>
      <c r="AC13" s="10">
        <f t="shared" si="15"/>
        <v>194.8</v>
      </c>
      <c r="AD13" s="10">
        <f t="shared" si="16"/>
        <v>1558.4</v>
      </c>
      <c r="AE13" s="10">
        <f t="shared" si="17"/>
        <v>194.8</v>
      </c>
      <c r="AF13" s="10">
        <f t="shared" si="18"/>
        <v>779.2</v>
      </c>
      <c r="AG13" s="8"/>
      <c r="AH13" s="8">
        <v>10</v>
      </c>
      <c r="AI13" s="8">
        <v>10</v>
      </c>
      <c r="AJ13" s="10">
        <f t="shared" si="19"/>
        <v>48.7</v>
      </c>
      <c r="AK13" s="10">
        <f t="shared" si="20"/>
        <v>389.6</v>
      </c>
      <c r="AL13" s="10">
        <f t="shared" si="21"/>
        <v>48.7</v>
      </c>
      <c r="AM13" s="10">
        <f t="shared" si="22"/>
        <v>194.8</v>
      </c>
    </row>
    <row r="14" spans="1:39" ht="14.25" customHeight="1" x14ac:dyDescent="0.35">
      <c r="A14" s="8"/>
      <c r="B14" s="54" t="s">
        <v>131</v>
      </c>
      <c r="C14" s="8">
        <f t="shared" ref="C14:D14" si="30">M14+T14+AA14+AH14</f>
        <v>0</v>
      </c>
      <c r="D14" s="8">
        <f t="shared" si="30"/>
        <v>0</v>
      </c>
      <c r="E14" s="53">
        <v>1</v>
      </c>
      <c r="F14" s="17">
        <v>404</v>
      </c>
      <c r="G14" s="10">
        <f t="shared" si="1"/>
        <v>0</v>
      </c>
      <c r="H14" s="10">
        <f t="shared" si="2"/>
        <v>0</v>
      </c>
      <c r="I14" s="10">
        <f t="shared" si="3"/>
        <v>0</v>
      </c>
      <c r="J14" s="10">
        <f t="shared" si="4"/>
        <v>0</v>
      </c>
      <c r="K14" s="10">
        <f t="shared" si="5"/>
        <v>0</v>
      </c>
      <c r="L14" s="10">
        <f t="shared" si="6"/>
        <v>0</v>
      </c>
      <c r="M14" s="8"/>
      <c r="N14" s="8"/>
      <c r="O14" s="10">
        <f t="shared" si="7"/>
        <v>0</v>
      </c>
      <c r="P14" s="10">
        <f t="shared" si="8"/>
        <v>0</v>
      </c>
      <c r="Q14" s="10">
        <f t="shared" si="9"/>
        <v>0</v>
      </c>
      <c r="R14" s="10">
        <f t="shared" si="10"/>
        <v>0</v>
      </c>
      <c r="S14" s="8"/>
      <c r="T14" s="8"/>
      <c r="U14" s="8"/>
      <c r="V14" s="10">
        <f t="shared" si="11"/>
        <v>0</v>
      </c>
      <c r="W14" s="10">
        <f t="shared" si="12"/>
        <v>0</v>
      </c>
      <c r="X14" s="10">
        <f t="shared" si="13"/>
        <v>0</v>
      </c>
      <c r="Y14" s="10">
        <f t="shared" si="14"/>
        <v>0</v>
      </c>
      <c r="Z14" s="8"/>
      <c r="AA14" s="8"/>
      <c r="AB14" s="8"/>
      <c r="AC14" s="10">
        <f t="shared" si="15"/>
        <v>0</v>
      </c>
      <c r="AD14" s="10">
        <f t="shared" si="16"/>
        <v>0</v>
      </c>
      <c r="AE14" s="10">
        <f t="shared" si="17"/>
        <v>0</v>
      </c>
      <c r="AF14" s="10">
        <f t="shared" si="18"/>
        <v>0</v>
      </c>
      <c r="AG14" s="8"/>
      <c r="AH14" s="8"/>
      <c r="AI14" s="8"/>
      <c r="AJ14" s="10">
        <f t="shared" si="19"/>
        <v>0</v>
      </c>
      <c r="AK14" s="10">
        <f t="shared" si="20"/>
        <v>0</v>
      </c>
      <c r="AL14" s="10">
        <f t="shared" si="21"/>
        <v>0</v>
      </c>
      <c r="AM14" s="10">
        <f t="shared" si="22"/>
        <v>0</v>
      </c>
    </row>
    <row r="15" spans="1:39" ht="14.25" customHeight="1" x14ac:dyDescent="0.35">
      <c r="A15" s="8"/>
      <c r="B15" s="54" t="s">
        <v>132</v>
      </c>
      <c r="C15" s="8">
        <f t="shared" ref="C15:D15" si="31">M15+T15+AA15+AH15</f>
        <v>0</v>
      </c>
      <c r="D15" s="8">
        <f t="shared" si="31"/>
        <v>0</v>
      </c>
      <c r="E15" s="53">
        <v>1</v>
      </c>
      <c r="F15" s="17">
        <v>198</v>
      </c>
      <c r="G15" s="10">
        <f t="shared" si="1"/>
        <v>0</v>
      </c>
      <c r="H15" s="10">
        <f t="shared" si="2"/>
        <v>0</v>
      </c>
      <c r="I15" s="10">
        <f t="shared" si="3"/>
        <v>0</v>
      </c>
      <c r="J15" s="10">
        <f t="shared" si="4"/>
        <v>0</v>
      </c>
      <c r="K15" s="10">
        <f t="shared" si="5"/>
        <v>0</v>
      </c>
      <c r="L15" s="10">
        <f t="shared" si="6"/>
        <v>0</v>
      </c>
      <c r="M15" s="8"/>
      <c r="N15" s="8"/>
      <c r="O15" s="10">
        <f t="shared" si="7"/>
        <v>0</v>
      </c>
      <c r="P15" s="10">
        <f t="shared" si="8"/>
        <v>0</v>
      </c>
      <c r="Q15" s="10">
        <f t="shared" si="9"/>
        <v>0</v>
      </c>
      <c r="R15" s="10">
        <f t="shared" si="10"/>
        <v>0</v>
      </c>
      <c r="S15" s="8"/>
      <c r="T15" s="8"/>
      <c r="U15" s="8"/>
      <c r="V15" s="10">
        <f t="shared" si="11"/>
        <v>0</v>
      </c>
      <c r="W15" s="10">
        <f t="shared" si="12"/>
        <v>0</v>
      </c>
      <c r="X15" s="10">
        <f t="shared" si="13"/>
        <v>0</v>
      </c>
      <c r="Y15" s="10">
        <f t="shared" si="14"/>
        <v>0</v>
      </c>
      <c r="Z15" s="8"/>
      <c r="AA15" s="8"/>
      <c r="AB15" s="8"/>
      <c r="AC15" s="10">
        <f t="shared" si="15"/>
        <v>0</v>
      </c>
      <c r="AD15" s="10">
        <f t="shared" si="16"/>
        <v>0</v>
      </c>
      <c r="AE15" s="10">
        <f t="shared" si="17"/>
        <v>0</v>
      </c>
      <c r="AF15" s="10">
        <f t="shared" si="18"/>
        <v>0</v>
      </c>
      <c r="AG15" s="8"/>
      <c r="AH15" s="8"/>
      <c r="AI15" s="8"/>
      <c r="AJ15" s="10">
        <f t="shared" si="19"/>
        <v>0</v>
      </c>
      <c r="AK15" s="10">
        <f t="shared" si="20"/>
        <v>0</v>
      </c>
      <c r="AL15" s="10">
        <f t="shared" si="21"/>
        <v>0</v>
      </c>
      <c r="AM15" s="10">
        <f t="shared" si="22"/>
        <v>0</v>
      </c>
    </row>
    <row r="16" spans="1:39" ht="14.25" customHeight="1" x14ac:dyDescent="0.35">
      <c r="A16" s="8"/>
      <c r="B16" s="54" t="s">
        <v>133</v>
      </c>
      <c r="C16" s="8">
        <f t="shared" ref="C16:D16" si="32">M16+T16+AA16+AH16</f>
        <v>0</v>
      </c>
      <c r="D16" s="8">
        <f t="shared" si="32"/>
        <v>0</v>
      </c>
      <c r="E16" s="53">
        <v>1</v>
      </c>
      <c r="F16" s="17">
        <v>149</v>
      </c>
      <c r="G16" s="10">
        <f t="shared" si="1"/>
        <v>0</v>
      </c>
      <c r="H16" s="10">
        <f t="shared" si="2"/>
        <v>0</v>
      </c>
      <c r="I16" s="10">
        <f t="shared" si="3"/>
        <v>0</v>
      </c>
      <c r="J16" s="10">
        <f t="shared" si="4"/>
        <v>0</v>
      </c>
      <c r="K16" s="10">
        <f t="shared" si="5"/>
        <v>0</v>
      </c>
      <c r="L16" s="10">
        <f t="shared" si="6"/>
        <v>0</v>
      </c>
      <c r="M16" s="8"/>
      <c r="N16" s="8"/>
      <c r="O16" s="10">
        <f t="shared" si="7"/>
        <v>0</v>
      </c>
      <c r="P16" s="10">
        <f t="shared" si="8"/>
        <v>0</v>
      </c>
      <c r="Q16" s="10">
        <f t="shared" si="9"/>
        <v>0</v>
      </c>
      <c r="R16" s="10">
        <f t="shared" si="10"/>
        <v>0</v>
      </c>
      <c r="S16" s="8"/>
      <c r="T16" s="8"/>
      <c r="U16" s="8"/>
      <c r="V16" s="10">
        <f t="shared" si="11"/>
        <v>0</v>
      </c>
      <c r="W16" s="10">
        <f t="shared" si="12"/>
        <v>0</v>
      </c>
      <c r="X16" s="10">
        <f t="shared" si="13"/>
        <v>0</v>
      </c>
      <c r="Y16" s="10">
        <f t="shared" si="14"/>
        <v>0</v>
      </c>
      <c r="Z16" s="8"/>
      <c r="AA16" s="8"/>
      <c r="AB16" s="8"/>
      <c r="AC16" s="10">
        <f t="shared" si="15"/>
        <v>0</v>
      </c>
      <c r="AD16" s="10">
        <f t="shared" si="16"/>
        <v>0</v>
      </c>
      <c r="AE16" s="10">
        <f t="shared" si="17"/>
        <v>0</v>
      </c>
      <c r="AF16" s="10">
        <f t="shared" si="18"/>
        <v>0</v>
      </c>
      <c r="AG16" s="8"/>
      <c r="AH16" s="8"/>
      <c r="AI16" s="8"/>
      <c r="AJ16" s="10">
        <f t="shared" si="19"/>
        <v>0</v>
      </c>
      <c r="AK16" s="10">
        <f t="shared" si="20"/>
        <v>0</v>
      </c>
      <c r="AL16" s="10">
        <f t="shared" si="21"/>
        <v>0</v>
      </c>
      <c r="AM16" s="10">
        <f t="shared" si="22"/>
        <v>0</v>
      </c>
    </row>
    <row r="17" spans="1:39" ht="14.25" customHeight="1" x14ac:dyDescent="0.35">
      <c r="A17" s="8"/>
      <c r="B17" s="54" t="s">
        <v>124</v>
      </c>
      <c r="C17" s="8">
        <f t="shared" ref="C17:D17" si="33">M17+T17+AA17+AH17</f>
        <v>0</v>
      </c>
      <c r="D17" s="8">
        <f t="shared" si="33"/>
        <v>0</v>
      </c>
      <c r="E17" s="53">
        <v>1</v>
      </c>
      <c r="F17" s="17">
        <v>15</v>
      </c>
      <c r="G17" s="10">
        <f t="shared" si="1"/>
        <v>0</v>
      </c>
      <c r="H17" s="10">
        <f t="shared" si="2"/>
        <v>0</v>
      </c>
      <c r="I17" s="10">
        <f t="shared" si="3"/>
        <v>0</v>
      </c>
      <c r="J17" s="10">
        <f t="shared" si="4"/>
        <v>0</v>
      </c>
      <c r="K17" s="10">
        <f t="shared" si="5"/>
        <v>0</v>
      </c>
      <c r="L17" s="10">
        <f t="shared" si="6"/>
        <v>0</v>
      </c>
      <c r="M17" s="8"/>
      <c r="N17" s="8"/>
      <c r="O17" s="10">
        <f t="shared" si="7"/>
        <v>0</v>
      </c>
      <c r="P17" s="10">
        <f t="shared" si="8"/>
        <v>0</v>
      </c>
      <c r="Q17" s="10">
        <f t="shared" si="9"/>
        <v>0</v>
      </c>
      <c r="R17" s="10">
        <f t="shared" si="10"/>
        <v>0</v>
      </c>
      <c r="S17" s="8"/>
      <c r="T17" s="8"/>
      <c r="U17" s="8"/>
      <c r="V17" s="10">
        <f t="shared" si="11"/>
        <v>0</v>
      </c>
      <c r="W17" s="10">
        <f t="shared" si="12"/>
        <v>0</v>
      </c>
      <c r="X17" s="10">
        <f t="shared" si="13"/>
        <v>0</v>
      </c>
      <c r="Y17" s="10">
        <f t="shared" si="14"/>
        <v>0</v>
      </c>
      <c r="Z17" s="8"/>
      <c r="AA17" s="8"/>
      <c r="AB17" s="8"/>
      <c r="AC17" s="10">
        <f t="shared" si="15"/>
        <v>0</v>
      </c>
      <c r="AD17" s="10">
        <f t="shared" si="16"/>
        <v>0</v>
      </c>
      <c r="AE17" s="10">
        <f t="shared" si="17"/>
        <v>0</v>
      </c>
      <c r="AF17" s="10">
        <f t="shared" si="18"/>
        <v>0</v>
      </c>
      <c r="AG17" s="8"/>
      <c r="AH17" s="8"/>
      <c r="AI17" s="8"/>
      <c r="AJ17" s="10">
        <f t="shared" si="19"/>
        <v>0</v>
      </c>
      <c r="AK17" s="10">
        <f t="shared" si="20"/>
        <v>0</v>
      </c>
      <c r="AL17" s="10">
        <f t="shared" si="21"/>
        <v>0</v>
      </c>
      <c r="AM17" s="10">
        <f t="shared" si="22"/>
        <v>0</v>
      </c>
    </row>
    <row r="18" spans="1:39" ht="14.25" customHeight="1" x14ac:dyDescent="0.35">
      <c r="A18" s="8"/>
      <c r="B18" s="54" t="s">
        <v>125</v>
      </c>
      <c r="C18" s="8">
        <f t="shared" ref="C18:D18" si="34">M18+T18+AA18+AH18</f>
        <v>0</v>
      </c>
      <c r="D18" s="8">
        <f t="shared" si="34"/>
        <v>0</v>
      </c>
      <c r="E18" s="53">
        <v>1</v>
      </c>
      <c r="F18" s="17">
        <v>63</v>
      </c>
      <c r="G18" s="10">
        <f t="shared" si="1"/>
        <v>0</v>
      </c>
      <c r="H18" s="10">
        <f t="shared" si="2"/>
        <v>0</v>
      </c>
      <c r="I18" s="10">
        <f t="shared" si="3"/>
        <v>0</v>
      </c>
      <c r="J18" s="10">
        <f t="shared" si="4"/>
        <v>0</v>
      </c>
      <c r="K18" s="10">
        <f t="shared" si="5"/>
        <v>0</v>
      </c>
      <c r="L18" s="10">
        <f t="shared" si="6"/>
        <v>0</v>
      </c>
      <c r="M18" s="8"/>
      <c r="N18" s="8"/>
      <c r="O18" s="10">
        <f t="shared" si="7"/>
        <v>0</v>
      </c>
      <c r="P18" s="10">
        <f t="shared" si="8"/>
        <v>0</v>
      </c>
      <c r="Q18" s="10">
        <f t="shared" si="9"/>
        <v>0</v>
      </c>
      <c r="R18" s="10">
        <f t="shared" si="10"/>
        <v>0</v>
      </c>
      <c r="S18" s="8"/>
      <c r="T18" s="8"/>
      <c r="U18" s="8"/>
      <c r="V18" s="10">
        <f t="shared" si="11"/>
        <v>0</v>
      </c>
      <c r="W18" s="10">
        <f t="shared" si="12"/>
        <v>0</v>
      </c>
      <c r="X18" s="10">
        <f t="shared" si="13"/>
        <v>0</v>
      </c>
      <c r="Y18" s="10">
        <f t="shared" si="14"/>
        <v>0</v>
      </c>
      <c r="Z18" s="8"/>
      <c r="AA18" s="8"/>
      <c r="AB18" s="8"/>
      <c r="AC18" s="10">
        <f t="shared" si="15"/>
        <v>0</v>
      </c>
      <c r="AD18" s="10">
        <f t="shared" si="16"/>
        <v>0</v>
      </c>
      <c r="AE18" s="10">
        <f t="shared" si="17"/>
        <v>0</v>
      </c>
      <c r="AF18" s="10">
        <f t="shared" si="18"/>
        <v>0</v>
      </c>
      <c r="AG18" s="8"/>
      <c r="AH18" s="8"/>
      <c r="AI18" s="8"/>
      <c r="AJ18" s="10">
        <f t="shared" si="19"/>
        <v>0</v>
      </c>
      <c r="AK18" s="10">
        <f t="shared" si="20"/>
        <v>0</v>
      </c>
      <c r="AL18" s="10">
        <f t="shared" si="21"/>
        <v>0</v>
      </c>
      <c r="AM18" s="10">
        <f t="shared" si="22"/>
        <v>0</v>
      </c>
    </row>
    <row r="19" spans="1:39" ht="14.25" customHeight="1" x14ac:dyDescent="0.35">
      <c r="A19" s="8"/>
      <c r="B19" s="54" t="s">
        <v>134</v>
      </c>
      <c r="C19" s="8">
        <f t="shared" ref="C19:D19" si="35">M19+T19+AA19+AH19</f>
        <v>105</v>
      </c>
      <c r="D19" s="8">
        <f t="shared" si="35"/>
        <v>60</v>
      </c>
      <c r="E19" s="53">
        <v>1</v>
      </c>
      <c r="F19" s="17">
        <v>229</v>
      </c>
      <c r="G19" s="10">
        <f t="shared" si="1"/>
        <v>24045</v>
      </c>
      <c r="H19" s="10">
        <f t="shared" si="2"/>
        <v>192360</v>
      </c>
      <c r="I19" s="10">
        <f t="shared" si="3"/>
        <v>13740</v>
      </c>
      <c r="J19" s="10">
        <f t="shared" si="4"/>
        <v>54960</v>
      </c>
      <c r="K19" s="10">
        <f t="shared" si="5"/>
        <v>0</v>
      </c>
      <c r="L19" s="10">
        <f t="shared" si="6"/>
        <v>0</v>
      </c>
      <c r="M19" s="8">
        <v>60</v>
      </c>
      <c r="N19" s="8">
        <v>20</v>
      </c>
      <c r="O19" s="10">
        <f t="shared" si="7"/>
        <v>13740</v>
      </c>
      <c r="P19" s="10">
        <f t="shared" si="8"/>
        <v>109920</v>
      </c>
      <c r="Q19" s="10">
        <f t="shared" si="9"/>
        <v>4580</v>
      </c>
      <c r="R19" s="10">
        <f t="shared" si="10"/>
        <v>18320</v>
      </c>
      <c r="S19" s="8"/>
      <c r="T19" s="8">
        <v>30</v>
      </c>
      <c r="U19" s="8">
        <v>25</v>
      </c>
      <c r="V19" s="10">
        <f t="shared" si="11"/>
        <v>6870</v>
      </c>
      <c r="W19" s="10">
        <f t="shared" si="12"/>
        <v>54960</v>
      </c>
      <c r="X19" s="10">
        <f t="shared" si="13"/>
        <v>5725</v>
      </c>
      <c r="Y19" s="10">
        <f t="shared" si="14"/>
        <v>22900</v>
      </c>
      <c r="Z19" s="8"/>
      <c r="AA19" s="8">
        <v>10</v>
      </c>
      <c r="AB19" s="8">
        <v>10</v>
      </c>
      <c r="AC19" s="10">
        <f t="shared" si="15"/>
        <v>2290</v>
      </c>
      <c r="AD19" s="10">
        <f t="shared" si="16"/>
        <v>18320</v>
      </c>
      <c r="AE19" s="10">
        <f t="shared" si="17"/>
        <v>2290</v>
      </c>
      <c r="AF19" s="10">
        <f t="shared" si="18"/>
        <v>9160</v>
      </c>
      <c r="AG19" s="8"/>
      <c r="AH19" s="8">
        <v>5</v>
      </c>
      <c r="AI19" s="8">
        <v>5</v>
      </c>
      <c r="AJ19" s="10">
        <f t="shared" si="19"/>
        <v>1145</v>
      </c>
      <c r="AK19" s="10">
        <f t="shared" si="20"/>
        <v>9160</v>
      </c>
      <c r="AL19" s="10">
        <f t="shared" si="21"/>
        <v>1145</v>
      </c>
      <c r="AM19" s="10">
        <f t="shared" si="22"/>
        <v>4580</v>
      </c>
    </row>
    <row r="20" spans="1:39" ht="14.25" customHeight="1" x14ac:dyDescent="0.35">
      <c r="A20" s="40"/>
      <c r="B20" s="54" t="s">
        <v>135</v>
      </c>
      <c r="C20" s="8">
        <f t="shared" ref="C20:D20" si="36">M20+T20+AA20+AH20</f>
        <v>40</v>
      </c>
      <c r="D20" s="8">
        <f t="shared" si="36"/>
        <v>20</v>
      </c>
      <c r="E20" s="53">
        <v>1</v>
      </c>
      <c r="F20" s="17">
        <v>706</v>
      </c>
      <c r="G20" s="10">
        <f t="shared" si="1"/>
        <v>28240</v>
      </c>
      <c r="H20" s="10">
        <f t="shared" si="2"/>
        <v>225920</v>
      </c>
      <c r="I20" s="10">
        <f t="shared" si="3"/>
        <v>14120</v>
      </c>
      <c r="J20" s="10">
        <f t="shared" si="4"/>
        <v>56480</v>
      </c>
      <c r="K20" s="10">
        <f t="shared" si="5"/>
        <v>0</v>
      </c>
      <c r="L20" s="10">
        <f t="shared" si="6"/>
        <v>0</v>
      </c>
      <c r="M20" s="8">
        <v>30</v>
      </c>
      <c r="N20" s="8">
        <v>10</v>
      </c>
      <c r="O20" s="10">
        <f t="shared" si="7"/>
        <v>21180</v>
      </c>
      <c r="P20" s="10">
        <f t="shared" si="8"/>
        <v>169440</v>
      </c>
      <c r="Q20" s="10">
        <f t="shared" si="9"/>
        <v>7060</v>
      </c>
      <c r="R20" s="10">
        <f t="shared" si="10"/>
        <v>28240</v>
      </c>
      <c r="S20" s="40"/>
      <c r="T20" s="40"/>
      <c r="U20" s="40"/>
      <c r="V20" s="10">
        <f t="shared" si="11"/>
        <v>0</v>
      </c>
      <c r="W20" s="10">
        <f t="shared" si="12"/>
        <v>0</v>
      </c>
      <c r="X20" s="10">
        <f t="shared" si="13"/>
        <v>0</v>
      </c>
      <c r="Y20" s="10">
        <f t="shared" si="14"/>
        <v>0</v>
      </c>
      <c r="Z20" s="40"/>
      <c r="AA20" s="40">
        <v>5</v>
      </c>
      <c r="AB20" s="40">
        <v>5</v>
      </c>
      <c r="AC20" s="10">
        <f t="shared" si="15"/>
        <v>3530</v>
      </c>
      <c r="AD20" s="10">
        <f t="shared" si="16"/>
        <v>28240</v>
      </c>
      <c r="AE20" s="10">
        <f t="shared" si="17"/>
        <v>3530</v>
      </c>
      <c r="AF20" s="10">
        <f t="shared" si="18"/>
        <v>14120</v>
      </c>
      <c r="AG20" s="40"/>
      <c r="AH20" s="40">
        <v>5</v>
      </c>
      <c r="AI20" s="40">
        <v>5</v>
      </c>
      <c r="AJ20" s="10">
        <f t="shared" si="19"/>
        <v>3530</v>
      </c>
      <c r="AK20" s="10">
        <f t="shared" si="20"/>
        <v>28240</v>
      </c>
      <c r="AL20" s="10">
        <f t="shared" si="21"/>
        <v>3530</v>
      </c>
      <c r="AM20" s="10">
        <f t="shared" si="22"/>
        <v>14120</v>
      </c>
    </row>
    <row r="21" spans="1:39" ht="14.25" customHeight="1" x14ac:dyDescent="0.35">
      <c r="A21" s="8"/>
      <c r="B21" s="54" t="s">
        <v>136</v>
      </c>
      <c r="C21" s="8">
        <f t="shared" ref="C21:D21" si="37">M21+T21+AA21+AH21</f>
        <v>0</v>
      </c>
      <c r="D21" s="8">
        <f t="shared" si="37"/>
        <v>0</v>
      </c>
      <c r="E21" s="53">
        <v>1</v>
      </c>
      <c r="F21" s="17">
        <v>149</v>
      </c>
      <c r="G21" s="10">
        <f t="shared" si="1"/>
        <v>0</v>
      </c>
      <c r="H21" s="10">
        <f t="shared" si="2"/>
        <v>0</v>
      </c>
      <c r="I21" s="10">
        <f t="shared" si="3"/>
        <v>0</v>
      </c>
      <c r="J21" s="10">
        <f t="shared" si="4"/>
        <v>0</v>
      </c>
      <c r="K21" s="10">
        <f t="shared" si="5"/>
        <v>0</v>
      </c>
      <c r="L21" s="10">
        <f t="shared" si="6"/>
        <v>0</v>
      </c>
      <c r="M21" s="8"/>
      <c r="N21" s="8"/>
      <c r="O21" s="10">
        <f t="shared" si="7"/>
        <v>0</v>
      </c>
      <c r="P21" s="10">
        <f t="shared" si="8"/>
        <v>0</v>
      </c>
      <c r="Q21" s="10">
        <f t="shared" si="9"/>
        <v>0</v>
      </c>
      <c r="R21" s="10">
        <f t="shared" si="10"/>
        <v>0</v>
      </c>
      <c r="S21" s="8"/>
      <c r="T21" s="8"/>
      <c r="U21" s="8"/>
      <c r="V21" s="10">
        <f t="shared" si="11"/>
        <v>0</v>
      </c>
      <c r="W21" s="10">
        <f t="shared" si="12"/>
        <v>0</v>
      </c>
      <c r="X21" s="10">
        <f t="shared" si="13"/>
        <v>0</v>
      </c>
      <c r="Y21" s="10">
        <f t="shared" si="14"/>
        <v>0</v>
      </c>
      <c r="Z21" s="8"/>
      <c r="AA21" s="8"/>
      <c r="AB21" s="8"/>
      <c r="AC21" s="10">
        <f t="shared" si="15"/>
        <v>0</v>
      </c>
      <c r="AD21" s="10">
        <f t="shared" si="16"/>
        <v>0</v>
      </c>
      <c r="AE21" s="10">
        <f t="shared" si="17"/>
        <v>0</v>
      </c>
      <c r="AF21" s="10">
        <f t="shared" si="18"/>
        <v>0</v>
      </c>
      <c r="AG21" s="8"/>
      <c r="AH21" s="8"/>
      <c r="AI21" s="8"/>
      <c r="AJ21" s="10">
        <f t="shared" si="19"/>
        <v>0</v>
      </c>
      <c r="AK21" s="10">
        <f t="shared" si="20"/>
        <v>0</v>
      </c>
      <c r="AL21" s="10">
        <f t="shared" si="21"/>
        <v>0</v>
      </c>
      <c r="AM21" s="10">
        <f t="shared" si="22"/>
        <v>0</v>
      </c>
    </row>
    <row r="22" spans="1:39" ht="14.25" customHeight="1" x14ac:dyDescent="0.35">
      <c r="A22" s="8"/>
      <c r="B22" s="54" t="s">
        <v>137</v>
      </c>
      <c r="C22" s="8">
        <f t="shared" ref="C22:D22" si="38">M22+T22+AA22+AH22</f>
        <v>850</v>
      </c>
      <c r="D22" s="8">
        <f t="shared" si="38"/>
        <v>410</v>
      </c>
      <c r="E22" s="53">
        <v>1</v>
      </c>
      <c r="F22" s="17">
        <v>7.9</v>
      </c>
      <c r="G22" s="10">
        <f t="shared" si="1"/>
        <v>6715</v>
      </c>
      <c r="H22" s="10">
        <f t="shared" si="2"/>
        <v>53720</v>
      </c>
      <c r="I22" s="10">
        <f t="shared" si="3"/>
        <v>3239</v>
      </c>
      <c r="J22" s="10">
        <f t="shared" si="4"/>
        <v>12956</v>
      </c>
      <c r="K22" s="10">
        <f t="shared" si="5"/>
        <v>0</v>
      </c>
      <c r="L22" s="10">
        <f t="shared" si="6"/>
        <v>0</v>
      </c>
      <c r="M22" s="8">
        <v>500</v>
      </c>
      <c r="N22" s="8">
        <v>100</v>
      </c>
      <c r="O22" s="10">
        <f t="shared" si="7"/>
        <v>3950</v>
      </c>
      <c r="P22" s="10">
        <f t="shared" si="8"/>
        <v>31600</v>
      </c>
      <c r="Q22" s="10">
        <f t="shared" si="9"/>
        <v>790</v>
      </c>
      <c r="R22" s="10">
        <f t="shared" si="10"/>
        <v>3160</v>
      </c>
      <c r="S22" s="8"/>
      <c r="T22" s="8">
        <v>200</v>
      </c>
      <c r="U22" s="8">
        <v>160</v>
      </c>
      <c r="V22" s="10">
        <f t="shared" si="11"/>
        <v>1580</v>
      </c>
      <c r="W22" s="10">
        <f t="shared" si="12"/>
        <v>12640</v>
      </c>
      <c r="X22" s="10">
        <f t="shared" si="13"/>
        <v>1264</v>
      </c>
      <c r="Y22" s="10">
        <f t="shared" si="14"/>
        <v>5056</v>
      </c>
      <c r="Z22" s="8"/>
      <c r="AA22" s="8">
        <v>100</v>
      </c>
      <c r="AB22" s="8">
        <v>100</v>
      </c>
      <c r="AC22" s="10">
        <f t="shared" si="15"/>
        <v>790</v>
      </c>
      <c r="AD22" s="10">
        <f t="shared" si="16"/>
        <v>6320</v>
      </c>
      <c r="AE22" s="10">
        <f t="shared" si="17"/>
        <v>790</v>
      </c>
      <c r="AF22" s="10">
        <f t="shared" si="18"/>
        <v>3160</v>
      </c>
      <c r="AG22" s="8"/>
      <c r="AH22" s="8">
        <v>50</v>
      </c>
      <c r="AI22" s="8">
        <v>50</v>
      </c>
      <c r="AJ22" s="10">
        <f t="shared" si="19"/>
        <v>395</v>
      </c>
      <c r="AK22" s="10">
        <f t="shared" si="20"/>
        <v>3160</v>
      </c>
      <c r="AL22" s="10">
        <f t="shared" si="21"/>
        <v>395</v>
      </c>
      <c r="AM22" s="10">
        <f t="shared" si="22"/>
        <v>1580</v>
      </c>
    </row>
    <row r="23" spans="1:39" ht="14.25" customHeight="1" x14ac:dyDescent="0.35">
      <c r="A23" s="8"/>
      <c r="B23" s="54" t="s">
        <v>129</v>
      </c>
      <c r="C23" s="8">
        <f t="shared" ref="C23:D23" si="39">M23+T23+AA23+AH23</f>
        <v>0</v>
      </c>
      <c r="D23" s="8">
        <f t="shared" si="39"/>
        <v>0</v>
      </c>
      <c r="E23" s="53">
        <v>1</v>
      </c>
      <c r="F23" s="17">
        <v>14.4</v>
      </c>
      <c r="G23" s="10">
        <f t="shared" si="1"/>
        <v>0</v>
      </c>
      <c r="H23" s="10">
        <f t="shared" si="2"/>
        <v>0</v>
      </c>
      <c r="I23" s="10">
        <f t="shared" si="3"/>
        <v>0</v>
      </c>
      <c r="J23" s="10">
        <f t="shared" si="4"/>
        <v>0</v>
      </c>
      <c r="K23" s="10">
        <f t="shared" si="5"/>
        <v>0</v>
      </c>
      <c r="L23" s="10">
        <f t="shared" si="6"/>
        <v>0</v>
      </c>
      <c r="M23" s="8"/>
      <c r="N23" s="8"/>
      <c r="O23" s="10">
        <f t="shared" si="7"/>
        <v>0</v>
      </c>
      <c r="P23" s="10">
        <f t="shared" si="8"/>
        <v>0</v>
      </c>
      <c r="Q23" s="10">
        <f t="shared" si="9"/>
        <v>0</v>
      </c>
      <c r="R23" s="10">
        <f t="shared" si="10"/>
        <v>0</v>
      </c>
      <c r="S23" s="8"/>
      <c r="T23" s="8"/>
      <c r="U23" s="8"/>
      <c r="V23" s="10">
        <f t="shared" si="11"/>
        <v>0</v>
      </c>
      <c r="W23" s="10">
        <f t="shared" si="12"/>
        <v>0</v>
      </c>
      <c r="X23" s="10">
        <f t="shared" si="13"/>
        <v>0</v>
      </c>
      <c r="Y23" s="10">
        <f t="shared" si="14"/>
        <v>0</v>
      </c>
      <c r="Z23" s="8"/>
      <c r="AA23" s="8"/>
      <c r="AB23" s="8"/>
      <c r="AC23" s="10">
        <f t="shared" si="15"/>
        <v>0</v>
      </c>
      <c r="AD23" s="10">
        <f t="shared" si="16"/>
        <v>0</v>
      </c>
      <c r="AE23" s="10">
        <f t="shared" si="17"/>
        <v>0</v>
      </c>
      <c r="AF23" s="10">
        <f t="shared" si="18"/>
        <v>0</v>
      </c>
      <c r="AG23" s="8"/>
      <c r="AH23" s="8"/>
      <c r="AI23" s="8"/>
      <c r="AJ23" s="10">
        <f t="shared" si="19"/>
        <v>0</v>
      </c>
      <c r="AK23" s="10">
        <f t="shared" si="20"/>
        <v>0</v>
      </c>
      <c r="AL23" s="10">
        <f t="shared" si="21"/>
        <v>0</v>
      </c>
      <c r="AM23" s="10">
        <f t="shared" si="22"/>
        <v>0</v>
      </c>
    </row>
    <row r="24" spans="1:39" ht="14.25" customHeight="1" x14ac:dyDescent="0.35">
      <c r="A24" s="8"/>
      <c r="B24" s="54" t="s">
        <v>138</v>
      </c>
      <c r="C24" s="8">
        <f t="shared" ref="C24:D24" si="40">M24+T24+AA24+AH24</f>
        <v>0</v>
      </c>
      <c r="D24" s="8">
        <f t="shared" si="40"/>
        <v>0</v>
      </c>
      <c r="E24" s="53">
        <v>1</v>
      </c>
      <c r="F24" s="17">
        <v>2375</v>
      </c>
      <c r="G24" s="10">
        <f t="shared" si="1"/>
        <v>0</v>
      </c>
      <c r="H24" s="10">
        <f t="shared" si="2"/>
        <v>0</v>
      </c>
      <c r="I24" s="10">
        <f t="shared" si="3"/>
        <v>0</v>
      </c>
      <c r="J24" s="10">
        <f t="shared" si="4"/>
        <v>0</v>
      </c>
      <c r="K24" s="10">
        <f t="shared" si="5"/>
        <v>0</v>
      </c>
      <c r="L24" s="10">
        <f t="shared" si="6"/>
        <v>0</v>
      </c>
      <c r="M24" s="8"/>
      <c r="N24" s="8"/>
      <c r="O24" s="10">
        <f t="shared" si="7"/>
        <v>0</v>
      </c>
      <c r="P24" s="10">
        <f t="shared" si="8"/>
        <v>0</v>
      </c>
      <c r="Q24" s="10">
        <f t="shared" si="9"/>
        <v>0</v>
      </c>
      <c r="R24" s="10">
        <f t="shared" si="10"/>
        <v>0</v>
      </c>
      <c r="S24" s="8"/>
      <c r="T24" s="8"/>
      <c r="U24" s="8"/>
      <c r="V24" s="10">
        <f t="shared" si="11"/>
        <v>0</v>
      </c>
      <c r="W24" s="10">
        <f t="shared" si="12"/>
        <v>0</v>
      </c>
      <c r="X24" s="10">
        <f t="shared" si="13"/>
        <v>0</v>
      </c>
      <c r="Y24" s="10">
        <f t="shared" si="14"/>
        <v>0</v>
      </c>
      <c r="Z24" s="8"/>
      <c r="AA24" s="8"/>
      <c r="AB24" s="8"/>
      <c r="AC24" s="10">
        <f t="shared" si="15"/>
        <v>0</v>
      </c>
      <c r="AD24" s="10">
        <f t="shared" si="16"/>
        <v>0</v>
      </c>
      <c r="AE24" s="10">
        <f t="shared" si="17"/>
        <v>0</v>
      </c>
      <c r="AF24" s="10">
        <f t="shared" si="18"/>
        <v>0</v>
      </c>
      <c r="AG24" s="8"/>
      <c r="AH24" s="8"/>
      <c r="AI24" s="8"/>
      <c r="AJ24" s="10">
        <f t="shared" si="19"/>
        <v>0</v>
      </c>
      <c r="AK24" s="10">
        <f t="shared" si="20"/>
        <v>0</v>
      </c>
      <c r="AL24" s="10">
        <f t="shared" si="21"/>
        <v>0</v>
      </c>
      <c r="AM24" s="10">
        <f t="shared" si="22"/>
        <v>0</v>
      </c>
    </row>
    <row r="25" spans="1:39" ht="14.25" customHeight="1" x14ac:dyDescent="0.35">
      <c r="A25" s="8"/>
      <c r="B25" s="54" t="s">
        <v>138</v>
      </c>
      <c r="C25" s="8">
        <f t="shared" ref="C25:D25" si="41">M25+T25+AA25+AH25</f>
        <v>0</v>
      </c>
      <c r="D25" s="8">
        <f t="shared" si="41"/>
        <v>0</v>
      </c>
      <c r="E25" s="53">
        <v>1</v>
      </c>
      <c r="F25" s="17">
        <v>2375</v>
      </c>
      <c r="G25" s="10">
        <f t="shared" si="1"/>
        <v>0</v>
      </c>
      <c r="H25" s="10">
        <f t="shared" si="2"/>
        <v>0</v>
      </c>
      <c r="I25" s="10">
        <f t="shared" si="3"/>
        <v>0</v>
      </c>
      <c r="J25" s="10">
        <f t="shared" si="4"/>
        <v>0</v>
      </c>
      <c r="K25" s="10">
        <f t="shared" si="5"/>
        <v>0</v>
      </c>
      <c r="L25" s="10">
        <f t="shared" si="6"/>
        <v>0</v>
      </c>
      <c r="M25" s="8"/>
      <c r="N25" s="8"/>
      <c r="O25" s="10">
        <f t="shared" si="7"/>
        <v>0</v>
      </c>
      <c r="P25" s="10">
        <f t="shared" si="8"/>
        <v>0</v>
      </c>
      <c r="Q25" s="10">
        <f t="shared" si="9"/>
        <v>0</v>
      </c>
      <c r="R25" s="10">
        <f t="shared" si="10"/>
        <v>0</v>
      </c>
      <c r="S25" s="8"/>
      <c r="T25" s="8"/>
      <c r="U25" s="8"/>
      <c r="V25" s="10">
        <f t="shared" si="11"/>
        <v>0</v>
      </c>
      <c r="W25" s="10">
        <f t="shared" si="12"/>
        <v>0</v>
      </c>
      <c r="X25" s="10">
        <f t="shared" si="13"/>
        <v>0</v>
      </c>
      <c r="Y25" s="10">
        <f t="shared" si="14"/>
        <v>0</v>
      </c>
      <c r="Z25" s="8"/>
      <c r="AA25" s="8"/>
      <c r="AB25" s="8"/>
      <c r="AC25" s="10">
        <f t="shared" si="15"/>
        <v>0</v>
      </c>
      <c r="AD25" s="10">
        <f t="shared" si="16"/>
        <v>0</v>
      </c>
      <c r="AE25" s="10">
        <f t="shared" si="17"/>
        <v>0</v>
      </c>
      <c r="AF25" s="10">
        <f t="shared" si="18"/>
        <v>0</v>
      </c>
      <c r="AG25" s="8"/>
      <c r="AH25" s="8"/>
      <c r="AI25" s="8"/>
      <c r="AJ25" s="10">
        <f t="shared" si="19"/>
        <v>0</v>
      </c>
      <c r="AK25" s="10">
        <f t="shared" si="20"/>
        <v>0</v>
      </c>
      <c r="AL25" s="10">
        <f t="shared" si="21"/>
        <v>0</v>
      </c>
      <c r="AM25" s="10">
        <f t="shared" si="22"/>
        <v>0</v>
      </c>
    </row>
    <row r="26" spans="1:39" ht="14.25" customHeight="1" x14ac:dyDescent="0.35">
      <c r="A26" s="8"/>
      <c r="B26" s="54" t="s">
        <v>139</v>
      </c>
      <c r="C26" s="8">
        <f t="shared" ref="C26:D26" si="42">M26+T26+AA26+AH26</f>
        <v>0</v>
      </c>
      <c r="D26" s="8">
        <f t="shared" si="42"/>
        <v>0</v>
      </c>
      <c r="E26" s="53">
        <v>1</v>
      </c>
      <c r="F26" s="17">
        <v>1980</v>
      </c>
      <c r="G26" s="10">
        <f t="shared" si="1"/>
        <v>0</v>
      </c>
      <c r="H26" s="10">
        <f t="shared" si="2"/>
        <v>0</v>
      </c>
      <c r="I26" s="10">
        <f t="shared" si="3"/>
        <v>0</v>
      </c>
      <c r="J26" s="10">
        <f t="shared" si="4"/>
        <v>0</v>
      </c>
      <c r="K26" s="10">
        <f t="shared" si="5"/>
        <v>0</v>
      </c>
      <c r="L26" s="10">
        <f t="shared" si="6"/>
        <v>0</v>
      </c>
      <c r="M26" s="8"/>
      <c r="N26" s="8"/>
      <c r="O26" s="10">
        <f t="shared" si="7"/>
        <v>0</v>
      </c>
      <c r="P26" s="10">
        <f t="shared" si="8"/>
        <v>0</v>
      </c>
      <c r="Q26" s="10">
        <f t="shared" si="9"/>
        <v>0</v>
      </c>
      <c r="R26" s="10">
        <f t="shared" si="10"/>
        <v>0</v>
      </c>
      <c r="S26" s="8"/>
      <c r="T26" s="8"/>
      <c r="U26" s="8"/>
      <c r="V26" s="10">
        <f t="shared" si="11"/>
        <v>0</v>
      </c>
      <c r="W26" s="10">
        <f t="shared" si="12"/>
        <v>0</v>
      </c>
      <c r="X26" s="10">
        <f t="shared" si="13"/>
        <v>0</v>
      </c>
      <c r="Y26" s="10">
        <f t="shared" si="14"/>
        <v>0</v>
      </c>
      <c r="Z26" s="8"/>
      <c r="AA26" s="8"/>
      <c r="AB26" s="8"/>
      <c r="AC26" s="10">
        <f t="shared" si="15"/>
        <v>0</v>
      </c>
      <c r="AD26" s="10">
        <f t="shared" si="16"/>
        <v>0</v>
      </c>
      <c r="AE26" s="10">
        <f t="shared" si="17"/>
        <v>0</v>
      </c>
      <c r="AF26" s="10">
        <f t="shared" si="18"/>
        <v>0</v>
      </c>
      <c r="AG26" s="8"/>
      <c r="AH26" s="8"/>
      <c r="AI26" s="8"/>
      <c r="AJ26" s="10">
        <f t="shared" si="19"/>
        <v>0</v>
      </c>
      <c r="AK26" s="10">
        <f t="shared" si="20"/>
        <v>0</v>
      </c>
      <c r="AL26" s="10">
        <f t="shared" si="21"/>
        <v>0</v>
      </c>
      <c r="AM26" s="10">
        <f t="shared" si="22"/>
        <v>0</v>
      </c>
    </row>
    <row r="27" spans="1:39" ht="14.25" customHeight="1" x14ac:dyDescent="0.35">
      <c r="A27" s="8"/>
      <c r="B27" s="20" t="s">
        <v>140</v>
      </c>
      <c r="C27" s="8">
        <f t="shared" ref="C27:D27" si="43">M27+T27+AA27+AH27</f>
        <v>490</v>
      </c>
      <c r="D27" s="8">
        <f t="shared" si="43"/>
        <v>270</v>
      </c>
      <c r="E27" s="53">
        <v>1</v>
      </c>
      <c r="F27" s="49">
        <v>16</v>
      </c>
      <c r="G27" s="10">
        <f t="shared" si="1"/>
        <v>7840</v>
      </c>
      <c r="H27" s="10">
        <f t="shared" si="2"/>
        <v>62720</v>
      </c>
      <c r="I27" s="10">
        <f t="shared" si="3"/>
        <v>4320</v>
      </c>
      <c r="J27" s="10">
        <f t="shared" si="4"/>
        <v>17280</v>
      </c>
      <c r="K27" s="10">
        <f t="shared" si="5"/>
        <v>0</v>
      </c>
      <c r="L27" s="10">
        <f t="shared" si="6"/>
        <v>0</v>
      </c>
      <c r="M27" s="8">
        <v>300</v>
      </c>
      <c r="N27" s="8">
        <v>100</v>
      </c>
      <c r="O27" s="10">
        <f t="shared" si="7"/>
        <v>4800</v>
      </c>
      <c r="P27" s="10">
        <f t="shared" si="8"/>
        <v>38400</v>
      </c>
      <c r="Q27" s="10">
        <f t="shared" si="9"/>
        <v>1600</v>
      </c>
      <c r="R27" s="10">
        <f t="shared" si="10"/>
        <v>6400</v>
      </c>
      <c r="S27" s="8"/>
      <c r="T27" s="8">
        <v>100</v>
      </c>
      <c r="U27" s="8">
        <v>80</v>
      </c>
      <c r="V27" s="10">
        <f t="shared" si="11"/>
        <v>1600</v>
      </c>
      <c r="W27" s="10">
        <f t="shared" si="12"/>
        <v>12800</v>
      </c>
      <c r="X27" s="10">
        <f t="shared" si="13"/>
        <v>1280</v>
      </c>
      <c r="Y27" s="10">
        <f t="shared" si="14"/>
        <v>5120</v>
      </c>
      <c r="Z27" s="8"/>
      <c r="AA27" s="8">
        <v>60</v>
      </c>
      <c r="AB27" s="8">
        <v>60</v>
      </c>
      <c r="AC27" s="10">
        <f t="shared" si="15"/>
        <v>960</v>
      </c>
      <c r="AD27" s="10">
        <f t="shared" si="16"/>
        <v>7680</v>
      </c>
      <c r="AE27" s="10">
        <f t="shared" si="17"/>
        <v>960</v>
      </c>
      <c r="AF27" s="10">
        <f t="shared" si="18"/>
        <v>3840</v>
      </c>
      <c r="AG27" s="8"/>
      <c r="AH27" s="8">
        <v>30</v>
      </c>
      <c r="AI27" s="8">
        <v>30</v>
      </c>
      <c r="AJ27" s="10">
        <f t="shared" si="19"/>
        <v>480</v>
      </c>
      <c r="AK27" s="10">
        <f t="shared" si="20"/>
        <v>3840</v>
      </c>
      <c r="AL27" s="10">
        <f t="shared" si="21"/>
        <v>480</v>
      </c>
      <c r="AM27" s="10">
        <f t="shared" si="22"/>
        <v>1920</v>
      </c>
    </row>
    <row r="28" spans="1:39" ht="14.25" customHeight="1" x14ac:dyDescent="0.35">
      <c r="A28" s="8"/>
      <c r="B28" s="20" t="s">
        <v>141</v>
      </c>
      <c r="C28" s="8">
        <f t="shared" ref="C28:D28" si="44">M28+T28+AA28+AH28</f>
        <v>300</v>
      </c>
      <c r="D28" s="8">
        <f t="shared" si="44"/>
        <v>180</v>
      </c>
      <c r="E28" s="53">
        <v>1</v>
      </c>
      <c r="F28" s="49">
        <v>12</v>
      </c>
      <c r="G28" s="10">
        <f t="shared" si="1"/>
        <v>3600</v>
      </c>
      <c r="H28" s="10">
        <f t="shared" si="2"/>
        <v>28800</v>
      </c>
      <c r="I28" s="10">
        <f t="shared" si="3"/>
        <v>2160</v>
      </c>
      <c r="J28" s="10">
        <f t="shared" si="4"/>
        <v>8640</v>
      </c>
      <c r="K28" s="10">
        <f t="shared" si="5"/>
        <v>0</v>
      </c>
      <c r="L28" s="10">
        <f t="shared" si="6"/>
        <v>0</v>
      </c>
      <c r="M28" s="8">
        <v>150</v>
      </c>
      <c r="N28" s="8">
        <v>50</v>
      </c>
      <c r="O28" s="10">
        <f t="shared" si="7"/>
        <v>1800</v>
      </c>
      <c r="P28" s="10">
        <f t="shared" si="8"/>
        <v>14400</v>
      </c>
      <c r="Q28" s="10">
        <f t="shared" si="9"/>
        <v>600</v>
      </c>
      <c r="R28" s="10">
        <f t="shared" si="10"/>
        <v>2400</v>
      </c>
      <c r="S28" s="8"/>
      <c r="T28" s="8">
        <v>100</v>
      </c>
      <c r="U28" s="8">
        <v>80</v>
      </c>
      <c r="V28" s="10">
        <f t="shared" si="11"/>
        <v>1200</v>
      </c>
      <c r="W28" s="10">
        <f t="shared" si="12"/>
        <v>9600</v>
      </c>
      <c r="X28" s="10">
        <f t="shared" si="13"/>
        <v>960</v>
      </c>
      <c r="Y28" s="10">
        <f t="shared" si="14"/>
        <v>3840</v>
      </c>
      <c r="Z28" s="8"/>
      <c r="AA28" s="8">
        <v>30</v>
      </c>
      <c r="AB28" s="8">
        <v>30</v>
      </c>
      <c r="AC28" s="10">
        <f t="shared" si="15"/>
        <v>360</v>
      </c>
      <c r="AD28" s="10">
        <f t="shared" si="16"/>
        <v>2880</v>
      </c>
      <c r="AE28" s="10">
        <f t="shared" si="17"/>
        <v>360</v>
      </c>
      <c r="AF28" s="10">
        <f t="shared" si="18"/>
        <v>1440</v>
      </c>
      <c r="AG28" s="8"/>
      <c r="AH28" s="8">
        <v>20</v>
      </c>
      <c r="AI28" s="8">
        <v>20</v>
      </c>
      <c r="AJ28" s="10">
        <f t="shared" si="19"/>
        <v>240</v>
      </c>
      <c r="AK28" s="10">
        <f t="shared" si="20"/>
        <v>1920</v>
      </c>
      <c r="AL28" s="10">
        <f t="shared" si="21"/>
        <v>240</v>
      </c>
      <c r="AM28" s="10">
        <f t="shared" si="22"/>
        <v>960</v>
      </c>
    </row>
    <row r="29" spans="1:39" ht="14.25" customHeight="1" x14ac:dyDescent="0.35">
      <c r="A29" s="8"/>
      <c r="B29" s="20" t="s">
        <v>142</v>
      </c>
      <c r="C29" s="8">
        <f t="shared" ref="C29:D29" si="45">M29+T29+AA29+AH29</f>
        <v>300</v>
      </c>
      <c r="D29" s="8">
        <f t="shared" si="45"/>
        <v>180</v>
      </c>
      <c r="E29" s="53">
        <v>1</v>
      </c>
      <c r="F29" s="49">
        <v>14</v>
      </c>
      <c r="G29" s="10">
        <f t="shared" si="1"/>
        <v>4200</v>
      </c>
      <c r="H29" s="10">
        <f t="shared" si="2"/>
        <v>33600</v>
      </c>
      <c r="I29" s="10">
        <f t="shared" si="3"/>
        <v>2520</v>
      </c>
      <c r="J29" s="10">
        <f t="shared" si="4"/>
        <v>10080</v>
      </c>
      <c r="K29" s="10">
        <f t="shared" si="5"/>
        <v>0</v>
      </c>
      <c r="L29" s="10">
        <f t="shared" si="6"/>
        <v>0</v>
      </c>
      <c r="M29" s="8">
        <v>150</v>
      </c>
      <c r="N29" s="8">
        <v>50</v>
      </c>
      <c r="O29" s="10">
        <f t="shared" si="7"/>
        <v>2100</v>
      </c>
      <c r="P29" s="10">
        <f t="shared" si="8"/>
        <v>16800</v>
      </c>
      <c r="Q29" s="10">
        <f t="shared" si="9"/>
        <v>700</v>
      </c>
      <c r="R29" s="10">
        <f t="shared" si="10"/>
        <v>2800</v>
      </c>
      <c r="S29" s="8"/>
      <c r="T29" s="8">
        <v>100</v>
      </c>
      <c r="U29" s="8">
        <v>80</v>
      </c>
      <c r="V29" s="10">
        <f t="shared" si="11"/>
        <v>1400</v>
      </c>
      <c r="W29" s="10">
        <f t="shared" si="12"/>
        <v>11200</v>
      </c>
      <c r="X29" s="10">
        <f t="shared" si="13"/>
        <v>1120</v>
      </c>
      <c r="Y29" s="10">
        <f t="shared" si="14"/>
        <v>4480</v>
      </c>
      <c r="Z29" s="8"/>
      <c r="AA29" s="8">
        <v>30</v>
      </c>
      <c r="AB29" s="8">
        <v>30</v>
      </c>
      <c r="AC29" s="10">
        <f t="shared" si="15"/>
        <v>420</v>
      </c>
      <c r="AD29" s="10">
        <f t="shared" si="16"/>
        <v>3360</v>
      </c>
      <c r="AE29" s="10">
        <f t="shared" si="17"/>
        <v>420</v>
      </c>
      <c r="AF29" s="10">
        <f t="shared" si="18"/>
        <v>1680</v>
      </c>
      <c r="AG29" s="8"/>
      <c r="AH29" s="8">
        <v>20</v>
      </c>
      <c r="AI29" s="8">
        <v>20</v>
      </c>
      <c r="AJ29" s="10">
        <f t="shared" si="19"/>
        <v>280</v>
      </c>
      <c r="AK29" s="10">
        <f t="shared" si="20"/>
        <v>2240</v>
      </c>
      <c r="AL29" s="10">
        <f t="shared" si="21"/>
        <v>280</v>
      </c>
      <c r="AM29" s="10">
        <f t="shared" si="22"/>
        <v>1120</v>
      </c>
    </row>
    <row r="30" spans="1:39" ht="14.25" customHeight="1" x14ac:dyDescent="0.35">
      <c r="A30" s="8"/>
      <c r="B30" s="20" t="s">
        <v>143</v>
      </c>
      <c r="C30" s="8">
        <f t="shared" ref="C30:D30" si="46">M30+T30+AA30+AH30</f>
        <v>300</v>
      </c>
      <c r="D30" s="8">
        <f t="shared" si="46"/>
        <v>180</v>
      </c>
      <c r="E30" s="53">
        <v>1</v>
      </c>
      <c r="F30" s="49">
        <v>30</v>
      </c>
      <c r="G30" s="10">
        <f t="shared" si="1"/>
        <v>9000</v>
      </c>
      <c r="H30" s="10">
        <f t="shared" si="2"/>
        <v>72000</v>
      </c>
      <c r="I30" s="10">
        <f t="shared" si="3"/>
        <v>5400</v>
      </c>
      <c r="J30" s="10">
        <f t="shared" si="4"/>
        <v>21600</v>
      </c>
      <c r="K30" s="10">
        <f t="shared" si="5"/>
        <v>0</v>
      </c>
      <c r="L30" s="10">
        <f t="shared" si="6"/>
        <v>0</v>
      </c>
      <c r="M30" s="8">
        <v>150</v>
      </c>
      <c r="N30" s="8">
        <v>50</v>
      </c>
      <c r="O30" s="10">
        <f t="shared" si="7"/>
        <v>4500</v>
      </c>
      <c r="P30" s="10">
        <f t="shared" si="8"/>
        <v>36000</v>
      </c>
      <c r="Q30" s="10">
        <f t="shared" si="9"/>
        <v>1500</v>
      </c>
      <c r="R30" s="10">
        <f t="shared" si="10"/>
        <v>6000</v>
      </c>
      <c r="S30" s="8"/>
      <c r="T30" s="8">
        <v>100</v>
      </c>
      <c r="U30" s="8">
        <v>80</v>
      </c>
      <c r="V30" s="10">
        <f t="shared" si="11"/>
        <v>3000</v>
      </c>
      <c r="W30" s="10">
        <f t="shared" si="12"/>
        <v>24000</v>
      </c>
      <c r="X30" s="10">
        <f t="shared" si="13"/>
        <v>2400</v>
      </c>
      <c r="Y30" s="10">
        <f t="shared" si="14"/>
        <v>9600</v>
      </c>
      <c r="Z30" s="8"/>
      <c r="AA30" s="8">
        <v>30</v>
      </c>
      <c r="AB30" s="8">
        <v>30</v>
      </c>
      <c r="AC30" s="10">
        <f t="shared" si="15"/>
        <v>900</v>
      </c>
      <c r="AD30" s="10">
        <f t="shared" si="16"/>
        <v>7200</v>
      </c>
      <c r="AE30" s="10">
        <f t="shared" si="17"/>
        <v>900</v>
      </c>
      <c r="AF30" s="10">
        <f t="shared" si="18"/>
        <v>3600</v>
      </c>
      <c r="AG30" s="8"/>
      <c r="AH30" s="8">
        <v>20</v>
      </c>
      <c r="AI30" s="8">
        <v>20</v>
      </c>
      <c r="AJ30" s="10">
        <f t="shared" si="19"/>
        <v>600</v>
      </c>
      <c r="AK30" s="10">
        <f t="shared" si="20"/>
        <v>4800</v>
      </c>
      <c r="AL30" s="10">
        <f t="shared" si="21"/>
        <v>600</v>
      </c>
      <c r="AM30" s="10">
        <f t="shared" si="22"/>
        <v>2400</v>
      </c>
    </row>
    <row r="31" spans="1:39" ht="14.25" customHeight="1" x14ac:dyDescent="0.35">
      <c r="A31" s="8"/>
      <c r="B31" s="20" t="s">
        <v>144</v>
      </c>
      <c r="C31" s="8">
        <f t="shared" ref="C31:D31" si="47">M31+T31+AA31+AH31</f>
        <v>300</v>
      </c>
      <c r="D31" s="8">
        <f t="shared" si="47"/>
        <v>180</v>
      </c>
      <c r="E31" s="53">
        <v>1</v>
      </c>
      <c r="F31" s="49">
        <v>30</v>
      </c>
      <c r="G31" s="10">
        <f t="shared" si="1"/>
        <v>9000</v>
      </c>
      <c r="H31" s="10">
        <f t="shared" si="2"/>
        <v>72000</v>
      </c>
      <c r="I31" s="10">
        <f t="shared" si="3"/>
        <v>5400</v>
      </c>
      <c r="J31" s="10">
        <f t="shared" si="4"/>
        <v>21600</v>
      </c>
      <c r="K31" s="10">
        <f t="shared" si="5"/>
        <v>0</v>
      </c>
      <c r="L31" s="10">
        <f t="shared" si="6"/>
        <v>0</v>
      </c>
      <c r="M31" s="8">
        <v>150</v>
      </c>
      <c r="N31" s="8">
        <v>50</v>
      </c>
      <c r="O31" s="10">
        <f t="shared" si="7"/>
        <v>4500</v>
      </c>
      <c r="P31" s="10">
        <f t="shared" si="8"/>
        <v>36000</v>
      </c>
      <c r="Q31" s="10">
        <f t="shared" si="9"/>
        <v>1500</v>
      </c>
      <c r="R31" s="10">
        <f t="shared" si="10"/>
        <v>6000</v>
      </c>
      <c r="S31" s="8"/>
      <c r="T31" s="8">
        <v>100</v>
      </c>
      <c r="U31" s="8">
        <v>80</v>
      </c>
      <c r="V31" s="10">
        <f t="shared" si="11"/>
        <v>3000</v>
      </c>
      <c r="W31" s="10">
        <f t="shared" si="12"/>
        <v>24000</v>
      </c>
      <c r="X31" s="10">
        <f t="shared" si="13"/>
        <v>2400</v>
      </c>
      <c r="Y31" s="10">
        <f t="shared" si="14"/>
        <v>9600</v>
      </c>
      <c r="Z31" s="8"/>
      <c r="AA31" s="8">
        <v>30</v>
      </c>
      <c r="AB31" s="8">
        <v>30</v>
      </c>
      <c r="AC31" s="10">
        <f t="shared" si="15"/>
        <v>900</v>
      </c>
      <c r="AD31" s="10">
        <f t="shared" si="16"/>
        <v>7200</v>
      </c>
      <c r="AE31" s="10">
        <f t="shared" si="17"/>
        <v>900</v>
      </c>
      <c r="AF31" s="10">
        <f t="shared" si="18"/>
        <v>3600</v>
      </c>
      <c r="AG31" s="8"/>
      <c r="AH31" s="8">
        <v>20</v>
      </c>
      <c r="AI31" s="8">
        <v>20</v>
      </c>
      <c r="AJ31" s="10">
        <f t="shared" si="19"/>
        <v>600</v>
      </c>
      <c r="AK31" s="10">
        <f t="shared" si="20"/>
        <v>4800</v>
      </c>
      <c r="AL31" s="10">
        <f t="shared" si="21"/>
        <v>600</v>
      </c>
      <c r="AM31" s="10">
        <f t="shared" si="22"/>
        <v>2400</v>
      </c>
    </row>
    <row r="32" spans="1:39" ht="14.25" customHeight="1" x14ac:dyDescent="0.35">
      <c r="A32" s="8"/>
      <c r="B32" s="20" t="s">
        <v>145</v>
      </c>
      <c r="C32" s="8">
        <f t="shared" ref="C32:D32" si="48">M32+T32+AA32+AH32</f>
        <v>300</v>
      </c>
      <c r="D32" s="8">
        <f t="shared" si="48"/>
        <v>180</v>
      </c>
      <c r="E32" s="53">
        <v>1</v>
      </c>
      <c r="F32" s="49">
        <v>30</v>
      </c>
      <c r="G32" s="10">
        <f t="shared" si="1"/>
        <v>9000</v>
      </c>
      <c r="H32" s="10">
        <f t="shared" si="2"/>
        <v>72000</v>
      </c>
      <c r="I32" s="10">
        <f t="shared" si="3"/>
        <v>5400</v>
      </c>
      <c r="J32" s="10">
        <f t="shared" si="4"/>
        <v>21600</v>
      </c>
      <c r="K32" s="10">
        <f t="shared" si="5"/>
        <v>0</v>
      </c>
      <c r="L32" s="10">
        <f t="shared" si="6"/>
        <v>0</v>
      </c>
      <c r="M32" s="8">
        <v>150</v>
      </c>
      <c r="N32" s="8">
        <v>50</v>
      </c>
      <c r="O32" s="10">
        <f t="shared" si="7"/>
        <v>4500</v>
      </c>
      <c r="P32" s="10">
        <f t="shared" si="8"/>
        <v>36000</v>
      </c>
      <c r="Q32" s="10">
        <f t="shared" si="9"/>
        <v>1500</v>
      </c>
      <c r="R32" s="10">
        <f t="shared" si="10"/>
        <v>6000</v>
      </c>
      <c r="S32" s="8"/>
      <c r="T32" s="8">
        <v>100</v>
      </c>
      <c r="U32" s="8">
        <v>80</v>
      </c>
      <c r="V32" s="10">
        <f t="shared" si="11"/>
        <v>3000</v>
      </c>
      <c r="W32" s="10">
        <f t="shared" si="12"/>
        <v>24000</v>
      </c>
      <c r="X32" s="10">
        <f t="shared" si="13"/>
        <v>2400</v>
      </c>
      <c r="Y32" s="10">
        <f t="shared" si="14"/>
        <v>9600</v>
      </c>
      <c r="Z32" s="8"/>
      <c r="AA32" s="8">
        <v>30</v>
      </c>
      <c r="AB32" s="8">
        <v>30</v>
      </c>
      <c r="AC32" s="10">
        <f t="shared" si="15"/>
        <v>900</v>
      </c>
      <c r="AD32" s="10">
        <f t="shared" si="16"/>
        <v>7200</v>
      </c>
      <c r="AE32" s="10">
        <f t="shared" si="17"/>
        <v>900</v>
      </c>
      <c r="AF32" s="10">
        <f t="shared" si="18"/>
        <v>3600</v>
      </c>
      <c r="AG32" s="8"/>
      <c r="AH32" s="8">
        <v>20</v>
      </c>
      <c r="AI32" s="8">
        <v>20</v>
      </c>
      <c r="AJ32" s="10">
        <f t="shared" si="19"/>
        <v>600</v>
      </c>
      <c r="AK32" s="10">
        <f t="shared" si="20"/>
        <v>4800</v>
      </c>
      <c r="AL32" s="10">
        <f t="shared" si="21"/>
        <v>600</v>
      </c>
      <c r="AM32" s="10">
        <f t="shared" si="22"/>
        <v>2400</v>
      </c>
    </row>
    <row r="33" spans="1:39" ht="14.25" customHeight="1" x14ac:dyDescent="0.35">
      <c r="A33" s="8"/>
      <c r="B33" s="20" t="s">
        <v>146</v>
      </c>
      <c r="C33" s="8">
        <f t="shared" ref="C33:D33" si="49">M33+T33+AA33+AH33</f>
        <v>350</v>
      </c>
      <c r="D33" s="8">
        <f t="shared" si="49"/>
        <v>180</v>
      </c>
      <c r="E33" s="53">
        <v>1</v>
      </c>
      <c r="F33" s="49">
        <v>9</v>
      </c>
      <c r="G33" s="10">
        <f t="shared" si="1"/>
        <v>3150</v>
      </c>
      <c r="H33" s="10">
        <f t="shared" si="2"/>
        <v>25200</v>
      </c>
      <c r="I33" s="10">
        <f t="shared" si="3"/>
        <v>1620</v>
      </c>
      <c r="J33" s="10">
        <f t="shared" si="4"/>
        <v>6480</v>
      </c>
      <c r="K33" s="10">
        <f t="shared" si="5"/>
        <v>0</v>
      </c>
      <c r="L33" s="10">
        <f t="shared" si="6"/>
        <v>0</v>
      </c>
      <c r="M33" s="8">
        <v>200</v>
      </c>
      <c r="N33" s="8">
        <v>50</v>
      </c>
      <c r="O33" s="10">
        <f t="shared" si="7"/>
        <v>1800</v>
      </c>
      <c r="P33" s="10">
        <f t="shared" si="8"/>
        <v>14400</v>
      </c>
      <c r="Q33" s="10">
        <f t="shared" si="9"/>
        <v>450</v>
      </c>
      <c r="R33" s="10">
        <f t="shared" si="10"/>
        <v>1800</v>
      </c>
      <c r="S33" s="8"/>
      <c r="T33" s="8">
        <v>100</v>
      </c>
      <c r="U33" s="8">
        <v>80</v>
      </c>
      <c r="V33" s="10">
        <f t="shared" si="11"/>
        <v>900</v>
      </c>
      <c r="W33" s="10">
        <f t="shared" si="12"/>
        <v>7200</v>
      </c>
      <c r="X33" s="10">
        <f t="shared" si="13"/>
        <v>720</v>
      </c>
      <c r="Y33" s="10">
        <f t="shared" si="14"/>
        <v>2880</v>
      </c>
      <c r="Z33" s="8"/>
      <c r="AA33" s="8">
        <v>30</v>
      </c>
      <c r="AB33" s="8">
        <v>30</v>
      </c>
      <c r="AC33" s="10">
        <f t="shared" si="15"/>
        <v>270</v>
      </c>
      <c r="AD33" s="10">
        <f t="shared" si="16"/>
        <v>2160</v>
      </c>
      <c r="AE33" s="10">
        <f t="shared" si="17"/>
        <v>270</v>
      </c>
      <c r="AF33" s="10">
        <f t="shared" si="18"/>
        <v>1080</v>
      </c>
      <c r="AG33" s="8"/>
      <c r="AH33" s="8">
        <v>20</v>
      </c>
      <c r="AI33" s="8">
        <v>20</v>
      </c>
      <c r="AJ33" s="10">
        <f t="shared" si="19"/>
        <v>180</v>
      </c>
      <c r="AK33" s="10">
        <f t="shared" si="20"/>
        <v>1440</v>
      </c>
      <c r="AL33" s="10">
        <f t="shared" si="21"/>
        <v>180</v>
      </c>
      <c r="AM33" s="10">
        <f t="shared" si="22"/>
        <v>720</v>
      </c>
    </row>
    <row r="34" spans="1:39" ht="14.25" customHeight="1" x14ac:dyDescent="0.35">
      <c r="A34" s="8"/>
      <c r="B34" s="20" t="s">
        <v>147</v>
      </c>
      <c r="C34" s="8">
        <f t="shared" ref="C34:D34" si="50">M34+T34+AA34+AH34</f>
        <v>350</v>
      </c>
      <c r="D34" s="8">
        <f t="shared" si="50"/>
        <v>180</v>
      </c>
      <c r="E34" s="53">
        <v>1</v>
      </c>
      <c r="F34" s="49">
        <v>8</v>
      </c>
      <c r="G34" s="10">
        <f t="shared" si="1"/>
        <v>2800</v>
      </c>
      <c r="H34" s="10">
        <f t="shared" si="2"/>
        <v>22400</v>
      </c>
      <c r="I34" s="10">
        <f t="shared" si="3"/>
        <v>1440</v>
      </c>
      <c r="J34" s="10">
        <f t="shared" si="4"/>
        <v>5760</v>
      </c>
      <c r="K34" s="10">
        <f t="shared" si="5"/>
        <v>0</v>
      </c>
      <c r="L34" s="10">
        <f t="shared" si="6"/>
        <v>0</v>
      </c>
      <c r="M34" s="8">
        <v>200</v>
      </c>
      <c r="N34" s="8">
        <v>50</v>
      </c>
      <c r="O34" s="10">
        <f t="shared" si="7"/>
        <v>1600</v>
      </c>
      <c r="P34" s="10">
        <f t="shared" si="8"/>
        <v>12800</v>
      </c>
      <c r="Q34" s="10">
        <f t="shared" si="9"/>
        <v>400</v>
      </c>
      <c r="R34" s="10">
        <f t="shared" si="10"/>
        <v>1600</v>
      </c>
      <c r="S34" s="8"/>
      <c r="T34" s="8">
        <v>100</v>
      </c>
      <c r="U34" s="8">
        <v>80</v>
      </c>
      <c r="V34" s="10">
        <f t="shared" si="11"/>
        <v>800</v>
      </c>
      <c r="W34" s="10">
        <f t="shared" si="12"/>
        <v>6400</v>
      </c>
      <c r="X34" s="10">
        <f t="shared" si="13"/>
        <v>640</v>
      </c>
      <c r="Y34" s="10">
        <f t="shared" si="14"/>
        <v>2560</v>
      </c>
      <c r="Z34" s="8"/>
      <c r="AA34" s="8">
        <v>30</v>
      </c>
      <c r="AB34" s="8">
        <v>30</v>
      </c>
      <c r="AC34" s="10">
        <f t="shared" si="15"/>
        <v>240</v>
      </c>
      <c r="AD34" s="10">
        <f t="shared" si="16"/>
        <v>1920</v>
      </c>
      <c r="AE34" s="10">
        <f t="shared" si="17"/>
        <v>240</v>
      </c>
      <c r="AF34" s="10">
        <f t="shared" si="18"/>
        <v>960</v>
      </c>
      <c r="AG34" s="8"/>
      <c r="AH34" s="8">
        <v>20</v>
      </c>
      <c r="AI34" s="8">
        <v>20</v>
      </c>
      <c r="AJ34" s="10">
        <f t="shared" si="19"/>
        <v>160</v>
      </c>
      <c r="AK34" s="10">
        <f t="shared" si="20"/>
        <v>1280</v>
      </c>
      <c r="AL34" s="10">
        <f t="shared" si="21"/>
        <v>160</v>
      </c>
      <c r="AM34" s="10">
        <f t="shared" si="22"/>
        <v>640</v>
      </c>
    </row>
    <row r="35" spans="1:39" ht="14.25" customHeight="1" x14ac:dyDescent="0.35">
      <c r="A35" s="8"/>
      <c r="B35" s="20" t="s">
        <v>148</v>
      </c>
      <c r="C35" s="8">
        <f t="shared" ref="C35:D35" si="51">M35+T35+AA35+AH35</f>
        <v>160</v>
      </c>
      <c r="D35" s="8">
        <f t="shared" si="51"/>
        <v>60</v>
      </c>
      <c r="E35" s="53">
        <v>1</v>
      </c>
      <c r="F35" s="49">
        <v>150</v>
      </c>
      <c r="G35" s="10">
        <f t="shared" si="1"/>
        <v>24000</v>
      </c>
      <c r="H35" s="10">
        <f t="shared" si="2"/>
        <v>192000</v>
      </c>
      <c r="I35" s="10">
        <f t="shared" si="3"/>
        <v>9000</v>
      </c>
      <c r="J35" s="10">
        <f t="shared" si="4"/>
        <v>36000</v>
      </c>
      <c r="K35" s="10">
        <f t="shared" si="5"/>
        <v>0</v>
      </c>
      <c r="L35" s="10">
        <f t="shared" si="6"/>
        <v>0</v>
      </c>
      <c r="M35" s="8">
        <v>100</v>
      </c>
      <c r="N35" s="8">
        <v>15</v>
      </c>
      <c r="O35" s="10">
        <f t="shared" si="7"/>
        <v>15000</v>
      </c>
      <c r="P35" s="10">
        <f t="shared" si="8"/>
        <v>120000</v>
      </c>
      <c r="Q35" s="10">
        <f t="shared" si="9"/>
        <v>2250</v>
      </c>
      <c r="R35" s="10">
        <f t="shared" si="10"/>
        <v>9000</v>
      </c>
      <c r="S35" s="8"/>
      <c r="T35" s="8">
        <v>50</v>
      </c>
      <c r="U35" s="8">
        <v>35</v>
      </c>
      <c r="V35" s="10">
        <f t="shared" si="11"/>
        <v>7500</v>
      </c>
      <c r="W35" s="10">
        <f t="shared" si="12"/>
        <v>60000</v>
      </c>
      <c r="X35" s="10">
        <f t="shared" si="13"/>
        <v>5250</v>
      </c>
      <c r="Y35" s="10">
        <f t="shared" si="14"/>
        <v>21000</v>
      </c>
      <c r="Z35" s="8"/>
      <c r="AA35" s="8">
        <v>5</v>
      </c>
      <c r="AB35" s="8">
        <v>5</v>
      </c>
      <c r="AC35" s="10">
        <f t="shared" si="15"/>
        <v>750</v>
      </c>
      <c r="AD35" s="10">
        <f t="shared" si="16"/>
        <v>6000</v>
      </c>
      <c r="AE35" s="10">
        <f t="shared" si="17"/>
        <v>750</v>
      </c>
      <c r="AF35" s="10">
        <f t="shared" si="18"/>
        <v>3000</v>
      </c>
      <c r="AG35" s="8"/>
      <c r="AH35" s="8">
        <v>5</v>
      </c>
      <c r="AI35" s="8">
        <v>5</v>
      </c>
      <c r="AJ35" s="10">
        <f t="shared" si="19"/>
        <v>750</v>
      </c>
      <c r="AK35" s="10">
        <f t="shared" si="20"/>
        <v>6000</v>
      </c>
      <c r="AL35" s="10">
        <f t="shared" si="21"/>
        <v>750</v>
      </c>
      <c r="AM35" s="10">
        <f t="shared" si="22"/>
        <v>3000</v>
      </c>
    </row>
    <row r="36" spans="1:39" ht="14.25" customHeight="1" x14ac:dyDescent="0.35">
      <c r="A36" s="8"/>
      <c r="B36" s="20" t="s">
        <v>149</v>
      </c>
      <c r="C36" s="55">
        <f t="shared" ref="C36:D36" si="52">M36+T36+AA36+AH36</f>
        <v>10520</v>
      </c>
      <c r="D36" s="55">
        <f t="shared" si="52"/>
        <v>2020</v>
      </c>
      <c r="E36" s="53">
        <v>1</v>
      </c>
      <c r="F36" s="49">
        <v>37</v>
      </c>
      <c r="G36" s="10">
        <f t="shared" si="1"/>
        <v>389240</v>
      </c>
      <c r="H36" s="10">
        <f t="shared" si="2"/>
        <v>3113920</v>
      </c>
      <c r="I36" s="10">
        <f t="shared" si="3"/>
        <v>74740</v>
      </c>
      <c r="J36" s="10">
        <f t="shared" si="4"/>
        <v>298960</v>
      </c>
      <c r="K36" s="10">
        <f t="shared" si="5"/>
        <v>0</v>
      </c>
      <c r="L36" s="10">
        <f t="shared" si="6"/>
        <v>0</v>
      </c>
      <c r="M36" s="10">
        <v>8000</v>
      </c>
      <c r="N36" s="10">
        <v>1000</v>
      </c>
      <c r="O36" s="10">
        <f t="shared" si="7"/>
        <v>296000</v>
      </c>
      <c r="P36" s="10">
        <f t="shared" si="8"/>
        <v>2368000</v>
      </c>
      <c r="Q36" s="10">
        <f t="shared" si="9"/>
        <v>37000</v>
      </c>
      <c r="R36" s="10">
        <f t="shared" si="10"/>
        <v>148000</v>
      </c>
      <c r="S36" s="8"/>
      <c r="T36" s="8">
        <v>2500</v>
      </c>
      <c r="U36" s="8">
        <v>1000</v>
      </c>
      <c r="V36" s="10">
        <f t="shared" si="11"/>
        <v>92500</v>
      </c>
      <c r="W36" s="10">
        <f t="shared" si="12"/>
        <v>740000</v>
      </c>
      <c r="X36" s="10">
        <f t="shared" si="13"/>
        <v>37000</v>
      </c>
      <c r="Y36" s="10">
        <f t="shared" si="14"/>
        <v>148000</v>
      </c>
      <c r="Z36" s="8"/>
      <c r="AA36" s="8">
        <v>10</v>
      </c>
      <c r="AB36" s="8">
        <v>10</v>
      </c>
      <c r="AC36" s="10">
        <f t="shared" si="15"/>
        <v>370</v>
      </c>
      <c r="AD36" s="10">
        <f t="shared" si="16"/>
        <v>2960</v>
      </c>
      <c r="AE36" s="10">
        <f t="shared" si="17"/>
        <v>370</v>
      </c>
      <c r="AF36" s="10">
        <f t="shared" si="18"/>
        <v>1480</v>
      </c>
      <c r="AG36" s="8"/>
      <c r="AH36" s="8">
        <v>10</v>
      </c>
      <c r="AI36" s="8">
        <v>10</v>
      </c>
      <c r="AJ36" s="10">
        <f t="shared" si="19"/>
        <v>370</v>
      </c>
      <c r="AK36" s="10">
        <f t="shared" si="20"/>
        <v>2960</v>
      </c>
      <c r="AL36" s="10">
        <f t="shared" si="21"/>
        <v>370</v>
      </c>
      <c r="AM36" s="10">
        <f t="shared" si="22"/>
        <v>1480</v>
      </c>
    </row>
    <row r="37" spans="1:39" ht="14.25" customHeight="1" x14ac:dyDescent="0.35">
      <c r="A37" s="8"/>
      <c r="B37" s="20" t="s">
        <v>150</v>
      </c>
      <c r="C37" s="55">
        <f t="shared" ref="C37:D37" si="53">M37+T37+AA37+AH37</f>
        <v>3520</v>
      </c>
      <c r="D37" s="55">
        <f t="shared" si="53"/>
        <v>1320</v>
      </c>
      <c r="E37" s="53">
        <v>1</v>
      </c>
      <c r="F37" s="49">
        <v>37</v>
      </c>
      <c r="G37" s="10">
        <f t="shared" si="1"/>
        <v>130240</v>
      </c>
      <c r="H37" s="10">
        <f t="shared" si="2"/>
        <v>1041920</v>
      </c>
      <c r="I37" s="10">
        <f t="shared" si="3"/>
        <v>48840</v>
      </c>
      <c r="J37" s="10">
        <f t="shared" si="4"/>
        <v>195360</v>
      </c>
      <c r="K37" s="10">
        <f t="shared" si="5"/>
        <v>0</v>
      </c>
      <c r="L37" s="10">
        <f t="shared" si="6"/>
        <v>0</v>
      </c>
      <c r="M37" s="10">
        <v>3000</v>
      </c>
      <c r="N37" s="10">
        <v>1000</v>
      </c>
      <c r="O37" s="10">
        <f t="shared" si="7"/>
        <v>111000</v>
      </c>
      <c r="P37" s="10">
        <f t="shared" si="8"/>
        <v>888000</v>
      </c>
      <c r="Q37" s="10">
        <f t="shared" si="9"/>
        <v>37000</v>
      </c>
      <c r="R37" s="10">
        <f t="shared" si="10"/>
        <v>148000</v>
      </c>
      <c r="S37" s="8"/>
      <c r="T37" s="8">
        <v>500</v>
      </c>
      <c r="U37" s="8">
        <v>300</v>
      </c>
      <c r="V37" s="10">
        <f t="shared" si="11"/>
        <v>18500</v>
      </c>
      <c r="W37" s="10">
        <f t="shared" si="12"/>
        <v>148000</v>
      </c>
      <c r="X37" s="10">
        <f t="shared" si="13"/>
        <v>11100</v>
      </c>
      <c r="Y37" s="10">
        <f t="shared" si="14"/>
        <v>44400</v>
      </c>
      <c r="Z37" s="8"/>
      <c r="AA37" s="8">
        <v>10</v>
      </c>
      <c r="AB37" s="8">
        <v>10</v>
      </c>
      <c r="AC37" s="10">
        <f t="shared" si="15"/>
        <v>370</v>
      </c>
      <c r="AD37" s="10">
        <f t="shared" si="16"/>
        <v>2960</v>
      </c>
      <c r="AE37" s="10">
        <f t="shared" si="17"/>
        <v>370</v>
      </c>
      <c r="AF37" s="10">
        <f t="shared" si="18"/>
        <v>1480</v>
      </c>
      <c r="AG37" s="8"/>
      <c r="AH37" s="8">
        <v>10</v>
      </c>
      <c r="AI37" s="8">
        <v>10</v>
      </c>
      <c r="AJ37" s="10">
        <f t="shared" si="19"/>
        <v>370</v>
      </c>
      <c r="AK37" s="10">
        <f t="shared" si="20"/>
        <v>2960</v>
      </c>
      <c r="AL37" s="10">
        <f t="shared" si="21"/>
        <v>370</v>
      </c>
      <c r="AM37" s="10">
        <f t="shared" si="22"/>
        <v>1480</v>
      </c>
    </row>
    <row r="38" spans="1:39" ht="14.25" customHeight="1" x14ac:dyDescent="0.35">
      <c r="A38" s="8"/>
      <c r="B38" s="20" t="s">
        <v>151</v>
      </c>
      <c r="C38" s="55">
        <f t="shared" ref="C38:D38" si="54">M38+T38+AA38+AH38</f>
        <v>3020</v>
      </c>
      <c r="D38" s="55">
        <f t="shared" si="54"/>
        <v>1020</v>
      </c>
      <c r="E38" s="53">
        <v>1</v>
      </c>
      <c r="F38" s="49">
        <v>37</v>
      </c>
      <c r="G38" s="10">
        <f t="shared" si="1"/>
        <v>111740</v>
      </c>
      <c r="H38" s="10">
        <f t="shared" si="2"/>
        <v>893920</v>
      </c>
      <c r="I38" s="10">
        <f t="shared" si="3"/>
        <v>37740</v>
      </c>
      <c r="J38" s="10">
        <f t="shared" si="4"/>
        <v>150960</v>
      </c>
      <c r="K38" s="10">
        <f t="shared" si="5"/>
        <v>0</v>
      </c>
      <c r="L38" s="10">
        <f t="shared" si="6"/>
        <v>0</v>
      </c>
      <c r="M38" s="10">
        <v>3000</v>
      </c>
      <c r="N38" s="10">
        <v>1000</v>
      </c>
      <c r="O38" s="10">
        <f t="shared" si="7"/>
        <v>111000</v>
      </c>
      <c r="P38" s="10">
        <f t="shared" si="8"/>
        <v>888000</v>
      </c>
      <c r="Q38" s="10">
        <f t="shared" si="9"/>
        <v>37000</v>
      </c>
      <c r="R38" s="10">
        <f t="shared" si="10"/>
        <v>148000</v>
      </c>
      <c r="S38" s="8"/>
      <c r="T38" s="8"/>
      <c r="U38" s="8"/>
      <c r="V38" s="10">
        <f t="shared" si="11"/>
        <v>0</v>
      </c>
      <c r="W38" s="10">
        <f t="shared" si="12"/>
        <v>0</v>
      </c>
      <c r="X38" s="10">
        <f t="shared" si="13"/>
        <v>0</v>
      </c>
      <c r="Y38" s="10">
        <f t="shared" si="14"/>
        <v>0</v>
      </c>
      <c r="Z38" s="8"/>
      <c r="AA38" s="8">
        <v>10</v>
      </c>
      <c r="AB38" s="8">
        <v>10</v>
      </c>
      <c r="AC38" s="10">
        <f t="shared" si="15"/>
        <v>370</v>
      </c>
      <c r="AD38" s="10">
        <f t="shared" si="16"/>
        <v>2960</v>
      </c>
      <c r="AE38" s="10">
        <f t="shared" si="17"/>
        <v>370</v>
      </c>
      <c r="AF38" s="10">
        <f t="shared" si="18"/>
        <v>1480</v>
      </c>
      <c r="AG38" s="8"/>
      <c r="AH38" s="8">
        <v>10</v>
      </c>
      <c r="AI38" s="8">
        <v>10</v>
      </c>
      <c r="AJ38" s="10">
        <f t="shared" si="19"/>
        <v>370</v>
      </c>
      <c r="AK38" s="10">
        <f t="shared" si="20"/>
        <v>2960</v>
      </c>
      <c r="AL38" s="10">
        <f t="shared" si="21"/>
        <v>370</v>
      </c>
      <c r="AM38" s="10">
        <f t="shared" si="22"/>
        <v>1480</v>
      </c>
    </row>
    <row r="39" spans="1:39" ht="14.25" customHeight="1" x14ac:dyDescent="0.35">
      <c r="A39" s="40"/>
      <c r="B39" s="40"/>
      <c r="C39" s="47"/>
      <c r="D39" s="47"/>
      <c r="E39" s="40"/>
      <c r="F39" s="40"/>
      <c r="G39" s="48">
        <f>SUM(G6:G38)</f>
        <v>816339.38500000001</v>
      </c>
      <c r="H39" s="48">
        <f t="shared" si="2"/>
        <v>6530715.0800000001</v>
      </c>
      <c r="I39" s="48">
        <f>SUM(I6:I38)</f>
        <v>257168.09</v>
      </c>
      <c r="J39" s="48">
        <f t="shared" si="4"/>
        <v>1028672.36</v>
      </c>
      <c r="K39" s="10">
        <f t="shared" si="5"/>
        <v>0</v>
      </c>
      <c r="L39" s="10">
        <f t="shared" si="6"/>
        <v>0</v>
      </c>
      <c r="M39" s="40"/>
      <c r="N39" s="40"/>
      <c r="O39" s="48">
        <f>SUM(O6:O38)</f>
        <v>636855.05000000005</v>
      </c>
      <c r="P39" s="48">
        <f t="shared" si="8"/>
        <v>5094840.4000000004</v>
      </c>
      <c r="Q39" s="48">
        <f>SUM(Q6:Q38)</f>
        <v>149388.26</v>
      </c>
      <c r="R39" s="48">
        <f t="shared" si="10"/>
        <v>597553.04</v>
      </c>
      <c r="S39" s="40"/>
      <c r="T39" s="40"/>
      <c r="U39" s="40"/>
      <c r="V39" s="48">
        <f>SUM(V6:V38)</f>
        <v>149471.95000000001</v>
      </c>
      <c r="W39" s="48">
        <f t="shared" si="12"/>
        <v>1195775.6000000001</v>
      </c>
      <c r="X39" s="48">
        <f>SUM(X6:X38)</f>
        <v>77767.445000000007</v>
      </c>
      <c r="Y39" s="48">
        <f t="shared" si="14"/>
        <v>311069.78000000003</v>
      </c>
      <c r="Z39" s="40"/>
      <c r="AA39" s="40"/>
      <c r="AB39" s="40"/>
      <c r="AC39" s="48">
        <f>SUM(AC6:AC38)</f>
        <v>17838.080000000002</v>
      </c>
      <c r="AD39" s="48">
        <f t="shared" si="16"/>
        <v>142704.64000000001</v>
      </c>
      <c r="AE39" s="48">
        <f>SUM(AE6:AE38)</f>
        <v>17838.080000000002</v>
      </c>
      <c r="AF39" s="48">
        <f t="shared" si="18"/>
        <v>71352.320000000007</v>
      </c>
      <c r="AG39" s="40"/>
      <c r="AH39" s="40"/>
      <c r="AI39" s="40"/>
      <c r="AJ39" s="48">
        <f>SUM(AJ6:AJ38)</f>
        <v>12174.305</v>
      </c>
      <c r="AK39" s="48">
        <f t="shared" si="20"/>
        <v>97394.44</v>
      </c>
      <c r="AL39" s="48">
        <f>SUM(AL6:AL38)</f>
        <v>12174.305</v>
      </c>
      <c r="AM39" s="48">
        <f t="shared" si="22"/>
        <v>48697.22</v>
      </c>
    </row>
    <row r="40" spans="1:39" ht="14.25" customHeight="1" x14ac:dyDescent="0.35">
      <c r="A40" s="8"/>
      <c r="B40" s="8"/>
      <c r="C40" s="7"/>
      <c r="D40" s="7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</row>
    <row r="41" spans="1:39" ht="14.25" customHeight="1" x14ac:dyDescent="0.35">
      <c r="A41" s="8"/>
      <c r="B41" s="8"/>
      <c r="C41" s="7"/>
      <c r="D41" s="7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</row>
    <row r="42" spans="1:39" ht="14.25" customHeight="1" x14ac:dyDescent="0.35">
      <c r="A42" s="8"/>
      <c r="B42" s="8"/>
      <c r="C42" s="7"/>
      <c r="D42" s="7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</row>
    <row r="43" spans="1:39" ht="14.25" customHeight="1" x14ac:dyDescent="0.35">
      <c r="A43" s="8"/>
      <c r="B43" s="8"/>
      <c r="C43" s="7"/>
      <c r="D43" s="7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</row>
    <row r="44" spans="1:39" ht="14.25" customHeight="1" x14ac:dyDescent="0.35">
      <c r="A44" s="8"/>
      <c r="B44" s="8"/>
      <c r="C44" s="7"/>
      <c r="D44" s="7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</row>
    <row r="45" spans="1:39" ht="14.25" customHeight="1" x14ac:dyDescent="0.35">
      <c r="A45" s="8"/>
      <c r="B45" s="8"/>
      <c r="C45" s="7"/>
      <c r="D45" s="7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</row>
    <row r="46" spans="1:39" ht="14.25" customHeight="1" x14ac:dyDescent="0.35">
      <c r="A46" s="8"/>
      <c r="B46" s="8"/>
      <c r="C46" s="7"/>
      <c r="D46" s="7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</row>
    <row r="47" spans="1:39" ht="14.25" customHeight="1" x14ac:dyDescent="0.35">
      <c r="A47" s="8"/>
      <c r="B47" s="8"/>
      <c r="C47" s="7"/>
      <c r="D47" s="7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</row>
    <row r="48" spans="1:39" ht="14.25" customHeight="1" x14ac:dyDescent="0.35">
      <c r="A48" s="8"/>
      <c r="B48" s="8"/>
      <c r="C48" s="7"/>
      <c r="D48" s="7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</row>
    <row r="49" spans="1:39" ht="14.25" customHeight="1" x14ac:dyDescent="0.35">
      <c r="A49" s="8"/>
      <c r="B49" s="8"/>
      <c r="C49" s="7"/>
      <c r="D49" s="7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</row>
    <row r="50" spans="1:39" ht="14.25" customHeight="1" x14ac:dyDescent="0.35">
      <c r="A50" s="8"/>
      <c r="B50" s="8"/>
      <c r="C50" s="7"/>
      <c r="D50" s="7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</row>
    <row r="51" spans="1:39" ht="14.25" customHeight="1" x14ac:dyDescent="0.35">
      <c r="A51" s="8"/>
      <c r="B51" s="8"/>
      <c r="C51" s="7"/>
      <c r="D51" s="7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</row>
    <row r="52" spans="1:39" ht="14.25" customHeight="1" x14ac:dyDescent="0.35">
      <c r="A52" s="8"/>
      <c r="B52" s="8"/>
      <c r="C52" s="7"/>
      <c r="D52" s="7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</row>
    <row r="53" spans="1:39" ht="14.25" customHeight="1" x14ac:dyDescent="0.35">
      <c r="A53" s="8"/>
      <c r="B53" s="8"/>
      <c r="C53" s="7"/>
      <c r="D53" s="7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</row>
    <row r="54" spans="1:39" ht="14.25" customHeight="1" x14ac:dyDescent="0.35">
      <c r="A54" s="8"/>
      <c r="B54" s="8"/>
      <c r="C54" s="7"/>
      <c r="D54" s="7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</row>
    <row r="55" spans="1:39" ht="14.25" customHeight="1" x14ac:dyDescent="0.35">
      <c r="A55" s="8"/>
      <c r="B55" s="8"/>
      <c r="C55" s="7"/>
      <c r="D55" s="7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</row>
    <row r="56" spans="1:39" ht="14.25" customHeight="1" x14ac:dyDescent="0.35">
      <c r="A56" s="8"/>
      <c r="B56" s="8"/>
      <c r="C56" s="7"/>
      <c r="D56" s="7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</row>
    <row r="57" spans="1:39" ht="14.25" customHeight="1" x14ac:dyDescent="0.35">
      <c r="A57" s="8"/>
      <c r="B57" s="8"/>
      <c r="C57" s="7"/>
      <c r="D57" s="7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</row>
    <row r="58" spans="1:39" ht="14.25" customHeight="1" x14ac:dyDescent="0.35">
      <c r="A58" s="8"/>
      <c r="B58" s="8"/>
      <c r="C58" s="7"/>
      <c r="D58" s="7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</row>
    <row r="59" spans="1:39" ht="14.25" customHeight="1" x14ac:dyDescent="0.35">
      <c r="A59" s="8"/>
      <c r="B59" s="8"/>
      <c r="C59" s="7"/>
      <c r="D59" s="7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</row>
    <row r="60" spans="1:39" ht="14.25" customHeight="1" x14ac:dyDescent="0.35">
      <c r="A60" s="8"/>
      <c r="B60" s="8"/>
      <c r="C60" s="7"/>
      <c r="D60" s="7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</row>
    <row r="61" spans="1:39" ht="14.25" customHeight="1" x14ac:dyDescent="0.35">
      <c r="A61" s="8"/>
      <c r="B61" s="8"/>
      <c r="C61" s="7"/>
      <c r="D61" s="7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</row>
    <row r="62" spans="1:39" ht="14.25" customHeight="1" x14ac:dyDescent="0.35">
      <c r="A62" s="8"/>
      <c r="B62" s="8"/>
      <c r="C62" s="7"/>
      <c r="D62" s="7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</row>
    <row r="63" spans="1:39" ht="14.25" customHeight="1" x14ac:dyDescent="0.35">
      <c r="A63" s="8"/>
      <c r="B63" s="8"/>
      <c r="C63" s="7"/>
      <c r="D63" s="7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</row>
    <row r="64" spans="1:39" ht="14.25" customHeight="1" x14ac:dyDescent="0.35">
      <c r="A64" s="8"/>
      <c r="B64" s="8"/>
      <c r="C64" s="7"/>
      <c r="D64" s="7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</row>
    <row r="65" spans="1:39" ht="14.25" customHeight="1" x14ac:dyDescent="0.35">
      <c r="A65" s="8"/>
      <c r="B65" s="8"/>
      <c r="C65" s="7"/>
      <c r="D65" s="7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</row>
    <row r="66" spans="1:39" ht="14.25" customHeight="1" x14ac:dyDescent="0.35">
      <c r="A66" s="8"/>
      <c r="B66" s="8"/>
      <c r="C66" s="7"/>
      <c r="D66" s="7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</row>
    <row r="67" spans="1:39" ht="14.25" customHeight="1" x14ac:dyDescent="0.35">
      <c r="A67" s="8"/>
      <c r="B67" s="8"/>
      <c r="C67" s="7"/>
      <c r="D67" s="7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</row>
    <row r="68" spans="1:39" ht="14.25" customHeight="1" x14ac:dyDescent="0.35">
      <c r="A68" s="8"/>
      <c r="B68" s="8"/>
      <c r="C68" s="7"/>
      <c r="D68" s="7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</row>
    <row r="69" spans="1:39" ht="14.25" customHeight="1" x14ac:dyDescent="0.35">
      <c r="A69" s="8"/>
      <c r="B69" s="8"/>
      <c r="C69" s="7"/>
      <c r="D69" s="7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</row>
    <row r="70" spans="1:39" ht="14.25" customHeight="1" x14ac:dyDescent="0.35">
      <c r="A70" s="8"/>
      <c r="B70" s="8"/>
      <c r="C70" s="7"/>
      <c r="D70" s="7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</row>
    <row r="71" spans="1:39" ht="14.25" customHeight="1" x14ac:dyDescent="0.35">
      <c r="A71" s="8"/>
      <c r="B71" s="8"/>
      <c r="C71" s="7"/>
      <c r="D71" s="7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</row>
    <row r="72" spans="1:39" ht="14.25" customHeight="1" x14ac:dyDescent="0.35">
      <c r="A72" s="8"/>
      <c r="B72" s="8"/>
      <c r="C72" s="7"/>
      <c r="D72" s="7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</row>
    <row r="73" spans="1:39" ht="14.25" customHeight="1" x14ac:dyDescent="0.35">
      <c r="A73" s="8"/>
      <c r="B73" s="8"/>
      <c r="C73" s="7"/>
      <c r="D73" s="7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</row>
    <row r="74" spans="1:39" ht="14.25" customHeight="1" x14ac:dyDescent="0.35">
      <c r="A74" s="8"/>
      <c r="B74" s="8"/>
      <c r="C74" s="7"/>
      <c r="D74" s="7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</row>
    <row r="75" spans="1:39" ht="14.25" customHeight="1" x14ac:dyDescent="0.35">
      <c r="A75" s="8"/>
      <c r="B75" s="8"/>
      <c r="C75" s="7"/>
      <c r="D75" s="7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</row>
    <row r="76" spans="1:39" ht="14.25" customHeight="1" x14ac:dyDescent="0.35">
      <c r="A76" s="8"/>
      <c r="B76" s="8"/>
      <c r="C76" s="7"/>
      <c r="D76" s="7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</row>
    <row r="77" spans="1:39" ht="14.25" customHeight="1" x14ac:dyDescent="0.35">
      <c r="A77" s="8"/>
      <c r="B77" s="8"/>
      <c r="C77" s="7"/>
      <c r="D77" s="7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</row>
    <row r="78" spans="1:39" ht="14.25" customHeight="1" x14ac:dyDescent="0.35">
      <c r="A78" s="8"/>
      <c r="B78" s="8"/>
      <c r="C78" s="7"/>
      <c r="D78" s="7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</row>
    <row r="79" spans="1:39" ht="14.25" customHeight="1" x14ac:dyDescent="0.35">
      <c r="A79" s="8"/>
      <c r="B79" s="8"/>
      <c r="C79" s="7"/>
      <c r="D79" s="7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</row>
    <row r="80" spans="1:39" ht="14.25" customHeight="1" x14ac:dyDescent="0.35">
      <c r="A80" s="8"/>
      <c r="B80" s="8"/>
      <c r="C80" s="7"/>
      <c r="D80" s="7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</row>
    <row r="81" spans="1:39" ht="14.25" customHeight="1" x14ac:dyDescent="0.35">
      <c r="A81" s="8"/>
      <c r="B81" s="8"/>
      <c r="C81" s="7"/>
      <c r="D81" s="7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</row>
    <row r="82" spans="1:39" ht="14.25" customHeight="1" x14ac:dyDescent="0.35">
      <c r="A82" s="8"/>
      <c r="B82" s="8"/>
      <c r="C82" s="7"/>
      <c r="D82" s="7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</row>
    <row r="83" spans="1:39" ht="14.25" customHeight="1" x14ac:dyDescent="0.35">
      <c r="A83" s="8"/>
      <c r="B83" s="8"/>
      <c r="C83" s="7"/>
      <c r="D83" s="7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</row>
    <row r="84" spans="1:39" ht="14.25" customHeight="1" x14ac:dyDescent="0.35">
      <c r="A84" s="8"/>
      <c r="B84" s="8"/>
      <c r="C84" s="7"/>
      <c r="D84" s="7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</row>
    <row r="85" spans="1:39" ht="14.25" customHeight="1" x14ac:dyDescent="0.35">
      <c r="A85" s="8"/>
      <c r="B85" s="8"/>
      <c r="C85" s="7"/>
      <c r="D85" s="7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</row>
    <row r="86" spans="1:39" ht="14.25" customHeight="1" x14ac:dyDescent="0.35">
      <c r="A86" s="8"/>
      <c r="B86" s="8"/>
      <c r="C86" s="7"/>
      <c r="D86" s="7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</row>
    <row r="87" spans="1:39" ht="14.25" customHeight="1" x14ac:dyDescent="0.35">
      <c r="A87" s="8"/>
      <c r="B87" s="8"/>
      <c r="C87" s="7"/>
      <c r="D87" s="7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</row>
    <row r="88" spans="1:39" ht="14.25" customHeight="1" x14ac:dyDescent="0.35">
      <c r="A88" s="8"/>
      <c r="B88" s="8"/>
      <c r="C88" s="7"/>
      <c r="D88" s="7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</row>
    <row r="89" spans="1:39" ht="14.25" customHeight="1" x14ac:dyDescent="0.35">
      <c r="A89" s="8"/>
      <c r="B89" s="8"/>
      <c r="C89" s="7"/>
      <c r="D89" s="7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</row>
    <row r="90" spans="1:39" ht="14.25" customHeight="1" x14ac:dyDescent="0.35">
      <c r="A90" s="8"/>
      <c r="B90" s="8"/>
      <c r="C90" s="7"/>
      <c r="D90" s="7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</row>
    <row r="91" spans="1:39" ht="14.25" customHeight="1" x14ac:dyDescent="0.35">
      <c r="A91" s="8"/>
      <c r="B91" s="8"/>
      <c r="C91" s="7"/>
      <c r="D91" s="7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</row>
    <row r="92" spans="1:39" ht="14.25" customHeight="1" x14ac:dyDescent="0.35">
      <c r="A92" s="8"/>
      <c r="B92" s="8"/>
      <c r="C92" s="7"/>
      <c r="D92" s="7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</row>
    <row r="93" spans="1:39" ht="14.25" customHeight="1" x14ac:dyDescent="0.35">
      <c r="A93" s="8"/>
      <c r="B93" s="8"/>
      <c r="C93" s="7"/>
      <c r="D93" s="7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</row>
    <row r="94" spans="1:39" ht="14.25" customHeight="1" x14ac:dyDescent="0.35">
      <c r="A94" s="8"/>
      <c r="B94" s="8"/>
      <c r="C94" s="7"/>
      <c r="D94" s="7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</row>
    <row r="95" spans="1:39" ht="14.25" customHeight="1" x14ac:dyDescent="0.35">
      <c r="A95" s="8"/>
      <c r="B95" s="8"/>
      <c r="C95" s="7"/>
      <c r="D95" s="7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</row>
    <row r="96" spans="1:39" ht="14.25" customHeight="1" x14ac:dyDescent="0.35">
      <c r="A96" s="8"/>
      <c r="B96" s="8"/>
      <c r="C96" s="7"/>
      <c r="D96" s="7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</row>
    <row r="97" spans="1:39" ht="14.25" customHeight="1" x14ac:dyDescent="0.35">
      <c r="A97" s="8"/>
      <c r="B97" s="8"/>
      <c r="C97" s="7"/>
      <c r="D97" s="7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</row>
    <row r="98" spans="1:39" ht="14.25" customHeight="1" x14ac:dyDescent="0.35">
      <c r="A98" s="8"/>
      <c r="B98" s="8"/>
      <c r="C98" s="7"/>
      <c r="D98" s="7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</row>
    <row r="99" spans="1:39" ht="14.25" customHeight="1" x14ac:dyDescent="0.35">
      <c r="A99" s="8"/>
      <c r="B99" s="8"/>
      <c r="C99" s="7"/>
      <c r="D99" s="7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</row>
    <row r="100" spans="1:39" ht="14.25" customHeight="1" x14ac:dyDescent="0.35">
      <c r="A100" s="8"/>
      <c r="B100" s="8"/>
      <c r="C100" s="7"/>
      <c r="D100" s="7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</row>
  </sheetData>
  <mergeCells count="17">
    <mergeCell ref="B4:B5"/>
    <mergeCell ref="E4:E5"/>
    <mergeCell ref="F4:F5"/>
    <mergeCell ref="G4:H4"/>
    <mergeCell ref="I4:J4"/>
    <mergeCell ref="AE4:AF4"/>
    <mergeCell ref="AJ4:AK4"/>
    <mergeCell ref="M3:R3"/>
    <mergeCell ref="T3:Y3"/>
    <mergeCell ref="AA3:AF3"/>
    <mergeCell ref="AH3:AM3"/>
    <mergeCell ref="O4:P4"/>
    <mergeCell ref="AC4:AD4"/>
    <mergeCell ref="X4:Y4"/>
    <mergeCell ref="AL4:AM4"/>
    <mergeCell ref="Q4:R4"/>
    <mergeCell ref="V4:W4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M100"/>
  <sheetViews>
    <sheetView workbookViewId="0">
      <selection activeCell="C6" sqref="C6"/>
    </sheetView>
  </sheetViews>
  <sheetFormatPr defaultColWidth="14.453125" defaultRowHeight="15" customHeight="1" x14ac:dyDescent="0.35"/>
  <cols>
    <col min="1" max="1" width="8.7265625" customWidth="1"/>
    <col min="2" max="2" width="39.54296875" customWidth="1"/>
    <col min="3" max="4" width="8.7265625" customWidth="1"/>
    <col min="5" max="10" width="15.7265625" customWidth="1"/>
    <col min="11" max="12" width="21.1796875" customWidth="1"/>
    <col min="13" max="14" width="8.7265625" customWidth="1"/>
    <col min="15" max="15" width="18.81640625" customWidth="1"/>
    <col min="16" max="16" width="20.26953125" customWidth="1"/>
    <col min="17" max="18" width="18.54296875" customWidth="1"/>
    <col min="19" max="21" width="8.7265625" customWidth="1"/>
    <col min="22" max="22" width="18.1796875" customWidth="1"/>
    <col min="23" max="23" width="18.54296875" customWidth="1"/>
    <col min="24" max="24" width="16" customWidth="1"/>
    <col min="25" max="25" width="18.81640625" customWidth="1"/>
    <col min="26" max="28" width="8.7265625" customWidth="1"/>
    <col min="29" max="32" width="15.7265625" customWidth="1"/>
    <col min="33" max="35" width="8.7265625" customWidth="1"/>
    <col min="36" max="39" width="15.7265625" customWidth="1"/>
  </cols>
  <sheetData>
    <row r="1" spans="2:39" ht="14.25" customHeight="1" x14ac:dyDescent="0.35"/>
    <row r="2" spans="2:39" ht="14.25" customHeight="1" x14ac:dyDescent="0.35">
      <c r="B2" s="21" t="s">
        <v>44</v>
      </c>
      <c r="C2" s="7"/>
      <c r="D2" s="7"/>
      <c r="E2" s="8"/>
      <c r="F2" s="8"/>
      <c r="G2" s="8"/>
      <c r="H2" s="8"/>
      <c r="I2" s="8"/>
      <c r="J2" s="8"/>
      <c r="K2" s="40"/>
      <c r="L2" s="40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</row>
    <row r="3" spans="2:39" ht="14.25" customHeight="1" x14ac:dyDescent="0.35">
      <c r="B3" s="8"/>
      <c r="C3" s="7"/>
      <c r="D3" s="7"/>
      <c r="E3" s="8"/>
      <c r="F3" s="8"/>
      <c r="G3" s="8"/>
      <c r="H3" s="8"/>
      <c r="I3" s="8"/>
      <c r="J3" s="8"/>
      <c r="K3" s="40"/>
      <c r="L3" s="40"/>
      <c r="M3" s="68" t="s">
        <v>12</v>
      </c>
      <c r="N3" s="69"/>
      <c r="O3" s="69"/>
      <c r="P3" s="69"/>
      <c r="Q3" s="69"/>
      <c r="R3" s="69"/>
      <c r="S3" s="8"/>
      <c r="T3" s="68" t="s">
        <v>13</v>
      </c>
      <c r="U3" s="69"/>
      <c r="V3" s="69"/>
      <c r="W3" s="69"/>
      <c r="X3" s="69"/>
      <c r="Y3" s="69"/>
      <c r="Z3" s="8"/>
      <c r="AA3" s="68" t="s">
        <v>14</v>
      </c>
      <c r="AB3" s="69"/>
      <c r="AC3" s="69"/>
      <c r="AD3" s="69"/>
      <c r="AE3" s="69"/>
      <c r="AF3" s="69"/>
      <c r="AG3" s="8"/>
      <c r="AH3" s="68" t="s">
        <v>15</v>
      </c>
      <c r="AI3" s="69"/>
      <c r="AJ3" s="69"/>
      <c r="AK3" s="69"/>
      <c r="AL3" s="69"/>
      <c r="AM3" s="69"/>
    </row>
    <row r="4" spans="2:39" ht="14.25" customHeight="1" x14ac:dyDescent="0.35">
      <c r="B4" s="72" t="s">
        <v>62</v>
      </c>
      <c r="C4" s="12" t="s">
        <v>17</v>
      </c>
      <c r="D4" s="13" t="s">
        <v>18</v>
      </c>
      <c r="E4" s="78" t="s">
        <v>63</v>
      </c>
      <c r="F4" s="76" t="s">
        <v>64</v>
      </c>
      <c r="G4" s="70" t="s">
        <v>20</v>
      </c>
      <c r="H4" s="71"/>
      <c r="I4" s="70" t="s">
        <v>2</v>
      </c>
      <c r="J4" s="71"/>
      <c r="K4" s="41"/>
      <c r="L4" s="41"/>
      <c r="M4" s="12" t="s">
        <v>17</v>
      </c>
      <c r="N4" s="13" t="s">
        <v>18</v>
      </c>
      <c r="O4" s="70" t="s">
        <v>20</v>
      </c>
      <c r="P4" s="71"/>
      <c r="Q4" s="70" t="s">
        <v>2</v>
      </c>
      <c r="R4" s="71"/>
      <c r="S4" s="8"/>
      <c r="T4" s="12" t="s">
        <v>17</v>
      </c>
      <c r="U4" s="13" t="s">
        <v>18</v>
      </c>
      <c r="V4" s="70" t="s">
        <v>20</v>
      </c>
      <c r="W4" s="71"/>
      <c r="X4" s="70" t="s">
        <v>2</v>
      </c>
      <c r="Y4" s="71"/>
      <c r="Z4" s="8"/>
      <c r="AA4" s="12" t="s">
        <v>17</v>
      </c>
      <c r="AB4" s="13" t="s">
        <v>18</v>
      </c>
      <c r="AC4" s="70" t="s">
        <v>20</v>
      </c>
      <c r="AD4" s="71"/>
      <c r="AE4" s="70" t="s">
        <v>2</v>
      </c>
      <c r="AF4" s="71"/>
      <c r="AG4" s="8"/>
      <c r="AH4" s="12" t="s">
        <v>17</v>
      </c>
      <c r="AI4" s="13" t="s">
        <v>18</v>
      </c>
      <c r="AJ4" s="70" t="s">
        <v>20</v>
      </c>
      <c r="AK4" s="71"/>
      <c r="AL4" s="70" t="s">
        <v>2</v>
      </c>
      <c r="AM4" s="71"/>
    </row>
    <row r="5" spans="2:39" ht="14.25" customHeight="1" x14ac:dyDescent="0.35">
      <c r="B5" s="73"/>
      <c r="C5" s="12" t="s">
        <v>65</v>
      </c>
      <c r="D5" s="12" t="s">
        <v>65</v>
      </c>
      <c r="E5" s="75"/>
      <c r="F5" s="73"/>
      <c r="G5" s="14" t="s">
        <v>22</v>
      </c>
      <c r="H5" s="15" t="s">
        <v>23</v>
      </c>
      <c r="I5" s="14" t="s">
        <v>22</v>
      </c>
      <c r="J5" s="15" t="s">
        <v>24</v>
      </c>
      <c r="K5" s="41"/>
      <c r="L5" s="41"/>
      <c r="M5" s="12" t="s">
        <v>65</v>
      </c>
      <c r="N5" s="12" t="s">
        <v>65</v>
      </c>
      <c r="O5" s="14" t="s">
        <v>22</v>
      </c>
      <c r="P5" s="15" t="s">
        <v>23</v>
      </c>
      <c r="Q5" s="14" t="s">
        <v>22</v>
      </c>
      <c r="R5" s="15" t="s">
        <v>24</v>
      </c>
      <c r="S5" s="8"/>
      <c r="T5" s="12" t="s">
        <v>65</v>
      </c>
      <c r="U5" s="12" t="s">
        <v>65</v>
      </c>
      <c r="V5" s="14" t="s">
        <v>22</v>
      </c>
      <c r="W5" s="15" t="s">
        <v>23</v>
      </c>
      <c r="X5" s="14" t="s">
        <v>22</v>
      </c>
      <c r="Y5" s="15" t="s">
        <v>24</v>
      </c>
      <c r="Z5" s="8"/>
      <c r="AA5" s="12" t="s">
        <v>65</v>
      </c>
      <c r="AB5" s="12" t="s">
        <v>65</v>
      </c>
      <c r="AC5" s="14" t="s">
        <v>22</v>
      </c>
      <c r="AD5" s="15" t="s">
        <v>23</v>
      </c>
      <c r="AE5" s="14" t="s">
        <v>22</v>
      </c>
      <c r="AF5" s="15" t="s">
        <v>24</v>
      </c>
      <c r="AG5" s="8"/>
      <c r="AH5" s="12" t="s">
        <v>65</v>
      </c>
      <c r="AI5" s="12" t="s">
        <v>65</v>
      </c>
      <c r="AJ5" s="14" t="s">
        <v>22</v>
      </c>
      <c r="AK5" s="15" t="s">
        <v>23</v>
      </c>
      <c r="AL5" s="14" t="s">
        <v>22</v>
      </c>
      <c r="AM5" s="15" t="s">
        <v>24</v>
      </c>
    </row>
    <row r="6" spans="2:39" ht="14.25" customHeight="1" x14ac:dyDescent="0.35">
      <c r="B6" s="18" t="s">
        <v>45</v>
      </c>
      <c r="C6">
        <f t="shared" ref="C6:D6" si="0">M6+T6+AA6+AH6</f>
        <v>10</v>
      </c>
      <c r="D6">
        <f t="shared" si="0"/>
        <v>5</v>
      </c>
      <c r="E6">
        <v>1</v>
      </c>
      <c r="F6" s="42">
        <v>36000</v>
      </c>
      <c r="G6" s="42">
        <f t="shared" ref="G6:G11" si="1">C6*F6/E6</f>
        <v>360000</v>
      </c>
      <c r="H6" s="42">
        <f t="shared" ref="H6:H12" si="2">G6*8</f>
        <v>2880000</v>
      </c>
      <c r="I6" s="42">
        <f t="shared" ref="I6:I11" si="3">D6*F6/E6</f>
        <v>180000</v>
      </c>
      <c r="J6" s="42">
        <f t="shared" ref="J6:J12" si="4">I6*4</f>
        <v>720000</v>
      </c>
      <c r="K6" s="56">
        <f t="shared" ref="K6:K12" si="5">(O6+V6+AC6+AJ6)-G6</f>
        <v>0</v>
      </c>
      <c r="L6" s="56">
        <f t="shared" ref="L6:L12" si="6">(Q6+X6+AE6+AL6)-I6</f>
        <v>0</v>
      </c>
      <c r="M6" s="7">
        <v>8</v>
      </c>
      <c r="N6" s="7">
        <v>3</v>
      </c>
      <c r="O6" s="42">
        <f t="shared" ref="O6:O11" si="7">M6*F6/E6</f>
        <v>288000</v>
      </c>
      <c r="P6" s="42">
        <f t="shared" ref="P6:P12" si="8">O6*8</f>
        <v>2304000</v>
      </c>
      <c r="Q6" s="42">
        <f t="shared" ref="Q6:Q11" si="9">N6*F6/E6</f>
        <v>108000</v>
      </c>
      <c r="R6" s="42">
        <f t="shared" ref="R6:R12" si="10">Q6*4</f>
        <v>432000</v>
      </c>
      <c r="T6" s="8">
        <v>2</v>
      </c>
      <c r="U6" s="8">
        <v>2</v>
      </c>
      <c r="V6" s="42">
        <f t="shared" ref="V6:V11" si="11">T6*F6/E6</f>
        <v>72000</v>
      </c>
      <c r="W6" s="42">
        <f t="shared" ref="W6:W12" si="12">V6*8</f>
        <v>576000</v>
      </c>
      <c r="X6" s="42">
        <f t="shared" ref="X6:X11" si="13">U6*F6/E6</f>
        <v>72000</v>
      </c>
      <c r="Y6" s="42">
        <f t="shared" ref="Y6:Y12" si="14">X6*4</f>
        <v>288000</v>
      </c>
      <c r="AC6" s="42">
        <f t="shared" ref="AC6:AC11" si="15">AA6*F6/E6</f>
        <v>0</v>
      </c>
      <c r="AD6" s="42">
        <f t="shared" ref="AD6:AD12" si="16">AC6*8</f>
        <v>0</v>
      </c>
      <c r="AE6" s="42">
        <f t="shared" ref="AE6:AE11" si="17">AB6*F6/E6</f>
        <v>0</v>
      </c>
      <c r="AF6" s="42">
        <f t="shared" ref="AF6:AF12" si="18">AE6*4</f>
        <v>0</v>
      </c>
      <c r="AJ6" s="42">
        <f t="shared" ref="AJ6:AJ11" si="19">AH6*F6/E6</f>
        <v>0</v>
      </c>
      <c r="AK6" s="42">
        <f t="shared" ref="AK6:AK12" si="20">AJ6*8</f>
        <v>0</v>
      </c>
      <c r="AL6" s="42">
        <f t="shared" ref="AL6:AL11" si="21">AI6*F6/E6</f>
        <v>0</v>
      </c>
      <c r="AM6" s="42">
        <f t="shared" ref="AM6:AM12" si="22">AL6*4</f>
        <v>0</v>
      </c>
    </row>
    <row r="7" spans="2:39" ht="14.25" customHeight="1" x14ac:dyDescent="0.35">
      <c r="B7" s="16" t="s">
        <v>46</v>
      </c>
      <c r="C7">
        <f t="shared" ref="C7:D7" si="23">M7+T7+AA7+AH7</f>
        <v>0</v>
      </c>
      <c r="D7">
        <f t="shared" si="23"/>
        <v>0</v>
      </c>
      <c r="E7">
        <v>1</v>
      </c>
      <c r="F7" s="17">
        <v>21000</v>
      </c>
      <c r="G7" s="42">
        <f t="shared" si="1"/>
        <v>0</v>
      </c>
      <c r="H7" s="42">
        <f t="shared" si="2"/>
        <v>0</v>
      </c>
      <c r="I7" s="42">
        <f t="shared" si="3"/>
        <v>0</v>
      </c>
      <c r="J7" s="42">
        <f t="shared" si="4"/>
        <v>0</v>
      </c>
      <c r="K7" s="56">
        <f t="shared" si="5"/>
        <v>0</v>
      </c>
      <c r="L7" s="56">
        <f t="shared" si="6"/>
        <v>0</v>
      </c>
      <c r="M7" s="7"/>
      <c r="N7" s="7"/>
      <c r="O7" s="42">
        <f t="shared" si="7"/>
        <v>0</v>
      </c>
      <c r="P7" s="42">
        <f t="shared" si="8"/>
        <v>0</v>
      </c>
      <c r="Q7" s="42">
        <f t="shared" si="9"/>
        <v>0</v>
      </c>
      <c r="R7" s="42">
        <f t="shared" si="10"/>
        <v>0</v>
      </c>
      <c r="T7" s="8"/>
      <c r="U7" s="8"/>
      <c r="V7" s="42">
        <f t="shared" si="11"/>
        <v>0</v>
      </c>
      <c r="W7" s="42">
        <f t="shared" si="12"/>
        <v>0</v>
      </c>
      <c r="X7" s="42">
        <f t="shared" si="13"/>
        <v>0</v>
      </c>
      <c r="Y7" s="42">
        <f t="shared" si="14"/>
        <v>0</v>
      </c>
      <c r="AC7" s="42">
        <f t="shared" si="15"/>
        <v>0</v>
      </c>
      <c r="AD7" s="42">
        <f t="shared" si="16"/>
        <v>0</v>
      </c>
      <c r="AE7" s="42">
        <f t="shared" si="17"/>
        <v>0</v>
      </c>
      <c r="AF7" s="42">
        <f t="shared" si="18"/>
        <v>0</v>
      </c>
      <c r="AJ7" s="42">
        <f t="shared" si="19"/>
        <v>0</v>
      </c>
      <c r="AK7" s="42">
        <f t="shared" si="20"/>
        <v>0</v>
      </c>
      <c r="AL7" s="42">
        <f t="shared" si="21"/>
        <v>0</v>
      </c>
      <c r="AM7" s="42">
        <f t="shared" si="22"/>
        <v>0</v>
      </c>
    </row>
    <row r="8" spans="2:39" ht="14.25" customHeight="1" x14ac:dyDescent="0.35">
      <c r="B8" s="18" t="s">
        <v>47</v>
      </c>
      <c r="C8" s="57">
        <f t="shared" ref="C8:D8" si="24">M8+T8+AA8+AH8</f>
        <v>1</v>
      </c>
      <c r="D8" s="57">
        <f t="shared" si="24"/>
        <v>1</v>
      </c>
      <c r="E8">
        <v>1</v>
      </c>
      <c r="F8" s="17">
        <v>13000</v>
      </c>
      <c r="G8" s="42">
        <f t="shared" si="1"/>
        <v>13000</v>
      </c>
      <c r="H8" s="42">
        <f t="shared" si="2"/>
        <v>104000</v>
      </c>
      <c r="I8" s="42">
        <f t="shared" si="3"/>
        <v>13000</v>
      </c>
      <c r="J8" s="42">
        <f t="shared" si="4"/>
        <v>52000</v>
      </c>
      <c r="K8" s="56">
        <f t="shared" si="5"/>
        <v>0</v>
      </c>
      <c r="L8" s="56">
        <f t="shared" si="6"/>
        <v>0</v>
      </c>
      <c r="M8" s="25">
        <v>0.75</v>
      </c>
      <c r="N8" s="25">
        <v>0.75</v>
      </c>
      <c r="O8" s="42">
        <f t="shared" si="7"/>
        <v>9750</v>
      </c>
      <c r="P8" s="42">
        <f t="shared" si="8"/>
        <v>78000</v>
      </c>
      <c r="Q8" s="42">
        <f t="shared" si="9"/>
        <v>9750</v>
      </c>
      <c r="R8" s="42">
        <f t="shared" si="10"/>
        <v>39000</v>
      </c>
      <c r="T8" s="8">
        <v>0.25</v>
      </c>
      <c r="U8" s="8">
        <v>0.25</v>
      </c>
      <c r="V8" s="42">
        <f t="shared" si="11"/>
        <v>3250</v>
      </c>
      <c r="W8" s="42">
        <f t="shared" si="12"/>
        <v>26000</v>
      </c>
      <c r="X8" s="42">
        <f t="shared" si="13"/>
        <v>3250</v>
      </c>
      <c r="Y8" s="42">
        <f t="shared" si="14"/>
        <v>13000</v>
      </c>
      <c r="AC8" s="42">
        <f t="shared" si="15"/>
        <v>0</v>
      </c>
      <c r="AD8" s="42">
        <f t="shared" si="16"/>
        <v>0</v>
      </c>
      <c r="AE8" s="42">
        <f t="shared" si="17"/>
        <v>0</v>
      </c>
      <c r="AF8" s="42">
        <f t="shared" si="18"/>
        <v>0</v>
      </c>
      <c r="AJ8" s="42">
        <f t="shared" si="19"/>
        <v>0</v>
      </c>
      <c r="AK8" s="42">
        <f t="shared" si="20"/>
        <v>0</v>
      </c>
      <c r="AL8" s="42">
        <f t="shared" si="21"/>
        <v>0</v>
      </c>
      <c r="AM8" s="42">
        <f t="shared" si="22"/>
        <v>0</v>
      </c>
    </row>
    <row r="9" spans="2:39" ht="14.25" customHeight="1" x14ac:dyDescent="0.35">
      <c r="B9" s="18" t="s">
        <v>48</v>
      </c>
      <c r="C9" s="57">
        <f t="shared" ref="C9:D9" si="25">M9+T9+AA9+AH9</f>
        <v>5</v>
      </c>
      <c r="D9" s="57">
        <f t="shared" si="25"/>
        <v>5</v>
      </c>
      <c r="E9">
        <v>1</v>
      </c>
      <c r="F9" s="17">
        <v>18000</v>
      </c>
      <c r="G9" s="42">
        <f t="shared" si="1"/>
        <v>90000</v>
      </c>
      <c r="H9" s="42">
        <f t="shared" si="2"/>
        <v>720000</v>
      </c>
      <c r="I9" s="42">
        <f t="shared" si="3"/>
        <v>90000</v>
      </c>
      <c r="J9" s="42">
        <f t="shared" si="4"/>
        <v>360000</v>
      </c>
      <c r="K9" s="56">
        <f t="shared" si="5"/>
        <v>0</v>
      </c>
      <c r="L9" s="56">
        <f t="shared" si="6"/>
        <v>0</v>
      </c>
      <c r="M9" s="25">
        <v>3</v>
      </c>
      <c r="N9" s="25">
        <v>3</v>
      </c>
      <c r="O9" s="42">
        <f t="shared" si="7"/>
        <v>54000</v>
      </c>
      <c r="P9" s="42">
        <f t="shared" si="8"/>
        <v>432000</v>
      </c>
      <c r="Q9" s="42">
        <f t="shared" si="9"/>
        <v>54000</v>
      </c>
      <c r="R9" s="42">
        <f t="shared" si="10"/>
        <v>216000</v>
      </c>
      <c r="T9" s="8">
        <v>2</v>
      </c>
      <c r="U9" s="8">
        <v>2</v>
      </c>
      <c r="V9" s="42">
        <f t="shared" si="11"/>
        <v>36000</v>
      </c>
      <c r="W9" s="42">
        <f t="shared" si="12"/>
        <v>288000</v>
      </c>
      <c r="X9" s="42">
        <f t="shared" si="13"/>
        <v>36000</v>
      </c>
      <c r="Y9" s="42">
        <f t="shared" si="14"/>
        <v>144000</v>
      </c>
      <c r="AC9" s="42">
        <f t="shared" si="15"/>
        <v>0</v>
      </c>
      <c r="AD9" s="42">
        <f t="shared" si="16"/>
        <v>0</v>
      </c>
      <c r="AE9" s="42">
        <f t="shared" si="17"/>
        <v>0</v>
      </c>
      <c r="AF9" s="42">
        <f t="shared" si="18"/>
        <v>0</v>
      </c>
      <c r="AJ9" s="42">
        <f t="shared" si="19"/>
        <v>0</v>
      </c>
      <c r="AK9" s="42">
        <f t="shared" si="20"/>
        <v>0</v>
      </c>
      <c r="AL9" s="42">
        <f t="shared" si="21"/>
        <v>0</v>
      </c>
      <c r="AM9" s="42">
        <f t="shared" si="22"/>
        <v>0</v>
      </c>
    </row>
    <row r="10" spans="2:39" ht="14.25" customHeight="1" x14ac:dyDescent="0.35">
      <c r="B10" s="16" t="s">
        <v>49</v>
      </c>
      <c r="C10" s="57">
        <f t="shared" ref="C10:D10" si="26">M10+T10+AA10+AH10</f>
        <v>5</v>
      </c>
      <c r="D10">
        <f t="shared" si="26"/>
        <v>4</v>
      </c>
      <c r="E10">
        <v>1</v>
      </c>
      <c r="F10" s="17">
        <v>20000</v>
      </c>
      <c r="G10" s="42">
        <f t="shared" si="1"/>
        <v>100000</v>
      </c>
      <c r="H10" s="42">
        <f t="shared" si="2"/>
        <v>800000</v>
      </c>
      <c r="I10" s="42">
        <f t="shared" si="3"/>
        <v>80000</v>
      </c>
      <c r="J10" s="42">
        <f t="shared" si="4"/>
        <v>320000</v>
      </c>
      <c r="K10" s="56">
        <f t="shared" si="5"/>
        <v>0</v>
      </c>
      <c r="L10" s="56">
        <f t="shared" si="6"/>
        <v>0</v>
      </c>
      <c r="M10" s="26">
        <v>3</v>
      </c>
      <c r="N10" s="7">
        <v>2</v>
      </c>
      <c r="O10" s="42">
        <f t="shared" si="7"/>
        <v>60000</v>
      </c>
      <c r="P10" s="42">
        <f t="shared" si="8"/>
        <v>480000</v>
      </c>
      <c r="Q10" s="42">
        <f t="shared" si="9"/>
        <v>40000</v>
      </c>
      <c r="R10" s="42">
        <f t="shared" si="10"/>
        <v>160000</v>
      </c>
      <c r="T10" s="8">
        <v>2</v>
      </c>
      <c r="U10" s="8">
        <v>2</v>
      </c>
      <c r="V10" s="42">
        <f t="shared" si="11"/>
        <v>40000</v>
      </c>
      <c r="W10" s="42">
        <f t="shared" si="12"/>
        <v>320000</v>
      </c>
      <c r="X10" s="42">
        <f t="shared" si="13"/>
        <v>40000</v>
      </c>
      <c r="Y10" s="42">
        <f t="shared" si="14"/>
        <v>160000</v>
      </c>
      <c r="AC10" s="42">
        <f t="shared" si="15"/>
        <v>0</v>
      </c>
      <c r="AD10" s="42">
        <f t="shared" si="16"/>
        <v>0</v>
      </c>
      <c r="AE10" s="42">
        <f t="shared" si="17"/>
        <v>0</v>
      </c>
      <c r="AF10" s="42">
        <f t="shared" si="18"/>
        <v>0</v>
      </c>
      <c r="AJ10" s="42">
        <f t="shared" si="19"/>
        <v>0</v>
      </c>
      <c r="AK10" s="42">
        <f t="shared" si="20"/>
        <v>0</v>
      </c>
      <c r="AL10" s="42">
        <f t="shared" si="21"/>
        <v>0</v>
      </c>
      <c r="AM10" s="42">
        <f t="shared" si="22"/>
        <v>0</v>
      </c>
    </row>
    <row r="11" spans="2:39" ht="14.25" customHeight="1" x14ac:dyDescent="0.35">
      <c r="B11" s="16" t="s">
        <v>50</v>
      </c>
      <c r="C11" s="57">
        <f t="shared" ref="C11:D11" si="27">M11+T11+AA11+AH11</f>
        <v>1</v>
      </c>
      <c r="D11">
        <f t="shared" si="27"/>
        <v>1</v>
      </c>
      <c r="E11">
        <v>1</v>
      </c>
      <c r="F11" s="17">
        <v>12000</v>
      </c>
      <c r="G11" s="42">
        <f t="shared" si="1"/>
        <v>12000</v>
      </c>
      <c r="H11" s="42">
        <f t="shared" si="2"/>
        <v>96000</v>
      </c>
      <c r="I11" s="42">
        <f t="shared" si="3"/>
        <v>12000</v>
      </c>
      <c r="J11" s="42">
        <f t="shared" si="4"/>
        <v>48000</v>
      </c>
      <c r="K11" s="56">
        <f t="shared" si="5"/>
        <v>0</v>
      </c>
      <c r="L11" s="56">
        <f t="shared" si="6"/>
        <v>0</v>
      </c>
      <c r="M11" s="26">
        <v>0.75</v>
      </c>
      <c r="N11" s="7">
        <v>0.5</v>
      </c>
      <c r="O11" s="42">
        <f t="shared" si="7"/>
        <v>9000</v>
      </c>
      <c r="P11" s="42">
        <f t="shared" si="8"/>
        <v>72000</v>
      </c>
      <c r="Q11" s="42">
        <f t="shared" si="9"/>
        <v>6000</v>
      </c>
      <c r="R11" s="42">
        <f t="shared" si="10"/>
        <v>24000</v>
      </c>
      <c r="T11" s="8">
        <v>0.25</v>
      </c>
      <c r="U11" s="8">
        <v>0.5</v>
      </c>
      <c r="V11" s="42">
        <f t="shared" si="11"/>
        <v>3000</v>
      </c>
      <c r="W11" s="42">
        <f t="shared" si="12"/>
        <v>24000</v>
      </c>
      <c r="X11" s="42">
        <f t="shared" si="13"/>
        <v>6000</v>
      </c>
      <c r="Y11" s="42">
        <f t="shared" si="14"/>
        <v>24000</v>
      </c>
      <c r="AC11" s="42">
        <f t="shared" si="15"/>
        <v>0</v>
      </c>
      <c r="AD11" s="42">
        <f t="shared" si="16"/>
        <v>0</v>
      </c>
      <c r="AE11" s="42">
        <f t="shared" si="17"/>
        <v>0</v>
      </c>
      <c r="AF11" s="42">
        <f t="shared" si="18"/>
        <v>0</v>
      </c>
      <c r="AJ11" s="42">
        <f t="shared" si="19"/>
        <v>0</v>
      </c>
      <c r="AK11" s="42">
        <f t="shared" si="20"/>
        <v>0</v>
      </c>
      <c r="AL11" s="42">
        <f t="shared" si="21"/>
        <v>0</v>
      </c>
      <c r="AM11" s="42">
        <f t="shared" si="22"/>
        <v>0</v>
      </c>
    </row>
    <row r="12" spans="2:39" ht="14.25" customHeight="1" x14ac:dyDescent="0.35">
      <c r="G12" s="58">
        <f>SUM(G6:G11)</f>
        <v>575000</v>
      </c>
      <c r="H12" s="58">
        <f t="shared" si="2"/>
        <v>4600000</v>
      </c>
      <c r="I12" s="58">
        <f>SUM(I6:I11)</f>
        <v>375000</v>
      </c>
      <c r="J12" s="58">
        <f t="shared" si="4"/>
        <v>1500000</v>
      </c>
      <c r="K12" s="56">
        <f t="shared" si="5"/>
        <v>0</v>
      </c>
      <c r="L12" s="56">
        <f t="shared" si="6"/>
        <v>0</v>
      </c>
      <c r="O12" s="58">
        <f>SUM(O6:O11)</f>
        <v>420750</v>
      </c>
      <c r="P12" s="58">
        <f t="shared" si="8"/>
        <v>3366000</v>
      </c>
      <c r="Q12" s="58">
        <f>SUM(Q6:Q11)</f>
        <v>217750</v>
      </c>
      <c r="R12" s="58">
        <f t="shared" si="10"/>
        <v>871000</v>
      </c>
      <c r="V12" s="58">
        <f>SUM(V6:V11)</f>
        <v>154250</v>
      </c>
      <c r="W12" s="58">
        <f t="shared" si="12"/>
        <v>1234000</v>
      </c>
      <c r="X12" s="58">
        <f>SUM(X6:X11)</f>
        <v>157250</v>
      </c>
      <c r="Y12" s="58">
        <f t="shared" si="14"/>
        <v>629000</v>
      </c>
      <c r="AC12" s="58">
        <f>SUM(AC6:AC11)</f>
        <v>0</v>
      </c>
      <c r="AD12" s="58">
        <f t="shared" si="16"/>
        <v>0</v>
      </c>
      <c r="AE12" s="58">
        <f>SUM(AE6:AE11)</f>
        <v>0</v>
      </c>
      <c r="AF12" s="58">
        <f t="shared" si="18"/>
        <v>0</v>
      </c>
      <c r="AJ12" s="58">
        <f>SUM(AJ6:AJ11)</f>
        <v>0</v>
      </c>
      <c r="AK12" s="58">
        <f t="shared" si="20"/>
        <v>0</v>
      </c>
      <c r="AL12" s="58">
        <f>SUM(AL6:AL11)</f>
        <v>0</v>
      </c>
      <c r="AM12" s="58">
        <f t="shared" si="22"/>
        <v>0</v>
      </c>
    </row>
    <row r="13" spans="2:39" ht="14.25" customHeight="1" x14ac:dyDescent="0.35"/>
    <row r="14" spans="2:39" ht="14.25" customHeight="1" x14ac:dyDescent="0.35"/>
    <row r="15" spans="2:39" ht="14.25" customHeight="1" x14ac:dyDescent="0.35"/>
    <row r="16" spans="2:39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</sheetData>
  <mergeCells count="17">
    <mergeCell ref="B4:B5"/>
    <mergeCell ref="E4:E5"/>
    <mergeCell ref="F4:F5"/>
    <mergeCell ref="G4:H4"/>
    <mergeCell ref="I4:J4"/>
    <mergeCell ref="X4:Y4"/>
    <mergeCell ref="AC4:AD4"/>
    <mergeCell ref="AJ4:AK4"/>
    <mergeCell ref="M3:R3"/>
    <mergeCell ref="T3:Y3"/>
    <mergeCell ref="AA3:AF3"/>
    <mergeCell ref="AH3:AM3"/>
    <mergeCell ref="O4:P4"/>
    <mergeCell ref="AL4:AM4"/>
    <mergeCell ref="AE4:AF4"/>
    <mergeCell ref="Q4:R4"/>
    <mergeCell ref="V4:W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M100"/>
  <sheetViews>
    <sheetView workbookViewId="0"/>
  </sheetViews>
  <sheetFormatPr defaultColWidth="14.453125" defaultRowHeight="15" customHeight="1" x14ac:dyDescent="0.35"/>
  <cols>
    <col min="1" max="1" width="8.7265625" customWidth="1"/>
    <col min="2" max="2" width="39.54296875" customWidth="1"/>
    <col min="3" max="4" width="8.7265625" customWidth="1"/>
    <col min="5" max="10" width="15.7265625" customWidth="1"/>
    <col min="11" max="12" width="21.1796875" customWidth="1"/>
    <col min="13" max="14" width="8.7265625" customWidth="1"/>
    <col min="15" max="15" width="18.81640625" customWidth="1"/>
    <col min="16" max="16" width="20.26953125" customWidth="1"/>
    <col min="17" max="18" width="18.54296875" customWidth="1"/>
    <col min="19" max="21" width="8.7265625" customWidth="1"/>
    <col min="22" max="22" width="18.1796875" customWidth="1"/>
    <col min="23" max="23" width="18.54296875" customWidth="1"/>
    <col min="24" max="24" width="16" customWidth="1"/>
    <col min="25" max="25" width="18.81640625" customWidth="1"/>
    <col min="26" max="28" width="8.7265625" customWidth="1"/>
    <col min="29" max="32" width="15.7265625" customWidth="1"/>
    <col min="33" max="35" width="8.7265625" customWidth="1"/>
    <col min="36" max="39" width="15.7265625" customWidth="1"/>
  </cols>
  <sheetData>
    <row r="1" spans="2:39" ht="14.25" customHeight="1" x14ac:dyDescent="0.35"/>
    <row r="2" spans="2:39" ht="14.25" customHeight="1" x14ac:dyDescent="0.35">
      <c r="B2" s="21" t="s">
        <v>51</v>
      </c>
      <c r="C2" s="7"/>
      <c r="D2" s="7"/>
      <c r="E2" s="8"/>
      <c r="F2" s="8"/>
      <c r="G2" s="8"/>
      <c r="H2" s="8"/>
      <c r="I2" s="8"/>
      <c r="J2" s="8"/>
      <c r="K2" s="40"/>
      <c r="L2" s="40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</row>
    <row r="3" spans="2:39" ht="14.25" customHeight="1" x14ac:dyDescent="0.35">
      <c r="B3" s="8"/>
      <c r="C3" s="7"/>
      <c r="D3" s="7"/>
      <c r="E3" s="8"/>
      <c r="F3" s="8"/>
      <c r="G3" s="8"/>
      <c r="H3" s="8"/>
      <c r="I3" s="8"/>
      <c r="J3" s="8"/>
      <c r="K3" s="40"/>
      <c r="L3" s="40"/>
      <c r="M3" s="68" t="s">
        <v>12</v>
      </c>
      <c r="N3" s="69"/>
      <c r="O3" s="69"/>
      <c r="P3" s="69"/>
      <c r="Q3" s="69"/>
      <c r="R3" s="69"/>
      <c r="S3" s="8"/>
      <c r="T3" s="68" t="s">
        <v>13</v>
      </c>
      <c r="U3" s="69"/>
      <c r="V3" s="69"/>
      <c r="W3" s="69"/>
      <c r="X3" s="69"/>
      <c r="Y3" s="69"/>
      <c r="Z3" s="8"/>
      <c r="AA3" s="68" t="s">
        <v>14</v>
      </c>
      <c r="AB3" s="69"/>
      <c r="AC3" s="69"/>
      <c r="AD3" s="69"/>
      <c r="AE3" s="69"/>
      <c r="AF3" s="69"/>
      <c r="AG3" s="8"/>
      <c r="AH3" s="68" t="s">
        <v>15</v>
      </c>
      <c r="AI3" s="69"/>
      <c r="AJ3" s="69"/>
      <c r="AK3" s="69"/>
      <c r="AL3" s="69"/>
      <c r="AM3" s="69"/>
    </row>
    <row r="4" spans="2:39" ht="14.25" customHeight="1" x14ac:dyDescent="0.35">
      <c r="B4" s="72" t="s">
        <v>62</v>
      </c>
      <c r="C4" s="12" t="s">
        <v>17</v>
      </c>
      <c r="D4" s="13" t="s">
        <v>18</v>
      </c>
      <c r="E4" s="78" t="s">
        <v>63</v>
      </c>
      <c r="F4" s="76" t="s">
        <v>64</v>
      </c>
      <c r="G4" s="70" t="s">
        <v>20</v>
      </c>
      <c r="H4" s="71"/>
      <c r="I4" s="70" t="s">
        <v>2</v>
      </c>
      <c r="J4" s="71"/>
      <c r="K4" s="41"/>
      <c r="L4" s="41"/>
      <c r="M4" s="12" t="s">
        <v>17</v>
      </c>
      <c r="N4" s="13" t="s">
        <v>18</v>
      </c>
      <c r="O4" s="70" t="s">
        <v>20</v>
      </c>
      <c r="P4" s="71"/>
      <c r="Q4" s="70" t="s">
        <v>2</v>
      </c>
      <c r="R4" s="71"/>
      <c r="S4" s="8"/>
      <c r="T4" s="12" t="s">
        <v>17</v>
      </c>
      <c r="U4" s="13" t="s">
        <v>18</v>
      </c>
      <c r="V4" s="70" t="s">
        <v>20</v>
      </c>
      <c r="W4" s="71"/>
      <c r="X4" s="70" t="s">
        <v>2</v>
      </c>
      <c r="Y4" s="71"/>
      <c r="Z4" s="8"/>
      <c r="AA4" s="12" t="s">
        <v>17</v>
      </c>
      <c r="AB4" s="13" t="s">
        <v>18</v>
      </c>
      <c r="AC4" s="70" t="s">
        <v>20</v>
      </c>
      <c r="AD4" s="71"/>
      <c r="AE4" s="70" t="s">
        <v>2</v>
      </c>
      <c r="AF4" s="71"/>
      <c r="AG4" s="8"/>
      <c r="AH4" s="12" t="s">
        <v>17</v>
      </c>
      <c r="AI4" s="13" t="s">
        <v>18</v>
      </c>
      <c r="AJ4" s="70" t="s">
        <v>20</v>
      </c>
      <c r="AK4" s="71"/>
      <c r="AL4" s="70" t="s">
        <v>2</v>
      </c>
      <c r="AM4" s="71"/>
    </row>
    <row r="5" spans="2:39" ht="14.25" customHeight="1" x14ac:dyDescent="0.35">
      <c r="B5" s="73"/>
      <c r="C5" s="12" t="s">
        <v>65</v>
      </c>
      <c r="D5" s="12" t="s">
        <v>65</v>
      </c>
      <c r="E5" s="75"/>
      <c r="F5" s="73"/>
      <c r="G5" s="14" t="s">
        <v>22</v>
      </c>
      <c r="H5" s="15" t="s">
        <v>23</v>
      </c>
      <c r="I5" s="14" t="s">
        <v>22</v>
      </c>
      <c r="J5" s="15" t="s">
        <v>24</v>
      </c>
      <c r="K5" s="41"/>
      <c r="L5" s="41"/>
      <c r="M5" s="12" t="s">
        <v>65</v>
      </c>
      <c r="N5" s="12" t="s">
        <v>65</v>
      </c>
      <c r="O5" s="14" t="s">
        <v>22</v>
      </c>
      <c r="P5" s="15" t="s">
        <v>23</v>
      </c>
      <c r="Q5" s="14" t="s">
        <v>22</v>
      </c>
      <c r="R5" s="15" t="s">
        <v>24</v>
      </c>
      <c r="S5" s="8"/>
      <c r="T5" s="12" t="s">
        <v>65</v>
      </c>
      <c r="U5" s="12" t="s">
        <v>65</v>
      </c>
      <c r="V5" s="14" t="s">
        <v>22</v>
      </c>
      <c r="W5" s="15" t="s">
        <v>23</v>
      </c>
      <c r="X5" s="14" t="s">
        <v>22</v>
      </c>
      <c r="Y5" s="15" t="s">
        <v>24</v>
      </c>
      <c r="Z5" s="8"/>
      <c r="AA5" s="12" t="s">
        <v>65</v>
      </c>
      <c r="AB5" s="12" t="s">
        <v>65</v>
      </c>
      <c r="AC5" s="14" t="s">
        <v>22</v>
      </c>
      <c r="AD5" s="15" t="s">
        <v>23</v>
      </c>
      <c r="AE5" s="14" t="s">
        <v>22</v>
      </c>
      <c r="AF5" s="15" t="s">
        <v>24</v>
      </c>
      <c r="AG5" s="8"/>
      <c r="AH5" s="12" t="s">
        <v>65</v>
      </c>
      <c r="AI5" s="12" t="s">
        <v>65</v>
      </c>
      <c r="AJ5" s="14" t="s">
        <v>22</v>
      </c>
      <c r="AK5" s="15" t="s">
        <v>23</v>
      </c>
      <c r="AL5" s="14" t="s">
        <v>22</v>
      </c>
      <c r="AM5" s="15" t="s">
        <v>24</v>
      </c>
    </row>
    <row r="6" spans="2:39" ht="14.25" customHeight="1" x14ac:dyDescent="0.35">
      <c r="B6" s="18" t="s">
        <v>152</v>
      </c>
      <c r="C6" s="59">
        <f t="shared" ref="C6:D6" si="0">M6+T6+AA6+AH6</f>
        <v>10</v>
      </c>
      <c r="D6" s="59">
        <f t="shared" si="0"/>
        <v>10</v>
      </c>
      <c r="E6">
        <v>36</v>
      </c>
      <c r="F6" s="42"/>
      <c r="G6" s="42">
        <f t="shared" ref="G6:G12" si="1">C6*F6/E6</f>
        <v>0</v>
      </c>
      <c r="H6" s="42">
        <f t="shared" ref="H6:H13" si="2">G6*8</f>
        <v>0</v>
      </c>
      <c r="I6" s="42">
        <f t="shared" ref="I6:I12" si="3">D6*F6/E6</f>
        <v>0</v>
      </c>
      <c r="J6" s="42">
        <f t="shared" ref="J6:J13" si="4">I6*4</f>
        <v>0</v>
      </c>
      <c r="K6" s="56">
        <f t="shared" ref="K6:K10" si="5">(O6+V6+AC6+AJ6)-G6</f>
        <v>0</v>
      </c>
      <c r="L6" s="56">
        <f t="shared" ref="L6:L10" si="6">(Q6+X6+AE6+AL6)-I6</f>
        <v>0</v>
      </c>
      <c r="M6" s="7">
        <f>'AUC Total Manning'!F5+'AUC Total Manning'!F6+'AUC Total Manning'!F14+'AUC Total Manning'!F15+'AUC Total Manning'!F17</f>
        <v>6.5</v>
      </c>
      <c r="N6" s="7">
        <f>'AUC Total Manning'!G5+'AUC Total Manning'!G6+'AUC Total Manning'!G14+'AUC Total Manning'!G15+'AUC Total Manning'!G17</f>
        <v>6.5</v>
      </c>
      <c r="O6" s="42">
        <f t="shared" ref="O6:O12" si="7">M6*F6/E6</f>
        <v>0</v>
      </c>
      <c r="P6" s="42">
        <f t="shared" ref="P6:P13" si="8">O6*8</f>
        <v>0</v>
      </c>
      <c r="Q6" s="42">
        <f t="shared" ref="Q6:Q12" si="9">N6*F6/E6</f>
        <v>0</v>
      </c>
      <c r="R6" s="42">
        <f t="shared" ref="R6:R13" si="10">Q6*4</f>
        <v>0</v>
      </c>
      <c r="T6" s="10">
        <f>'AUC Total Manning'!I5+'AUC Total Manning'!I6+'AUC Total Manning'!I14+'AUC Total Manning'!I17</f>
        <v>3.5</v>
      </c>
      <c r="U6" s="10">
        <f>'AUC Total Manning'!J5+'AUC Total Manning'!J6+'AUC Total Manning'!J14+'AUC Total Manning'!J17</f>
        <v>3.5</v>
      </c>
      <c r="V6" s="42">
        <f t="shared" ref="V6:V12" si="11">T6*F6/E6</f>
        <v>0</v>
      </c>
      <c r="W6" s="42">
        <f t="shared" ref="W6:W13" si="12">V6*8</f>
        <v>0</v>
      </c>
      <c r="X6" s="42">
        <f t="shared" ref="X6:X12" si="13">U6*F6/E6</f>
        <v>0</v>
      </c>
      <c r="Y6" s="42">
        <f t="shared" ref="Y6:Y13" si="14">X6*4</f>
        <v>0</v>
      </c>
      <c r="AC6" s="42">
        <f t="shared" ref="AC6:AC12" si="15">AA6*F6/E6</f>
        <v>0</v>
      </c>
      <c r="AD6" s="42">
        <f t="shared" ref="AD6:AD13" si="16">AC6*8</f>
        <v>0</v>
      </c>
      <c r="AE6" s="42">
        <f t="shared" ref="AE6:AE12" si="17">AB6*F6/E6</f>
        <v>0</v>
      </c>
      <c r="AF6" s="42">
        <f t="shared" ref="AF6:AF13" si="18">AE6*4</f>
        <v>0</v>
      </c>
      <c r="AJ6" s="42">
        <f t="shared" ref="AJ6:AJ12" si="19">AH6*F6/E6</f>
        <v>0</v>
      </c>
      <c r="AK6" s="42">
        <f t="shared" ref="AK6:AK13" si="20">AJ6*8</f>
        <v>0</v>
      </c>
      <c r="AL6" s="42">
        <f t="shared" ref="AL6:AL12" si="21">AI6*F6/E6</f>
        <v>0</v>
      </c>
      <c r="AM6" s="42">
        <f t="shared" ref="AM6:AM13" si="22">AL6*4</f>
        <v>0</v>
      </c>
    </row>
    <row r="7" spans="2:39" ht="14.25" customHeight="1" x14ac:dyDescent="0.35">
      <c r="B7" s="16" t="s">
        <v>153</v>
      </c>
      <c r="C7" s="59">
        <f t="shared" ref="C7:D7" si="23">M7+T7+AA7+AH7</f>
        <v>10</v>
      </c>
      <c r="D7" s="59">
        <f t="shared" si="23"/>
        <v>10</v>
      </c>
      <c r="E7">
        <v>24</v>
      </c>
      <c r="F7" s="17"/>
      <c r="G7" s="42">
        <f t="shared" si="1"/>
        <v>0</v>
      </c>
      <c r="H7" s="42">
        <f t="shared" si="2"/>
        <v>0</v>
      </c>
      <c r="I7" s="42">
        <f t="shared" si="3"/>
        <v>0</v>
      </c>
      <c r="J7" s="42">
        <f t="shared" si="4"/>
        <v>0</v>
      </c>
      <c r="K7" s="56">
        <f t="shared" si="5"/>
        <v>0</v>
      </c>
      <c r="L7" s="56">
        <f t="shared" si="6"/>
        <v>0</v>
      </c>
      <c r="M7" s="7">
        <f t="shared" ref="M7:N7" si="24">M6</f>
        <v>6.5</v>
      </c>
      <c r="N7" s="7">
        <f t="shared" si="24"/>
        <v>6.5</v>
      </c>
      <c r="O7" s="42">
        <f t="shared" si="7"/>
        <v>0</v>
      </c>
      <c r="P7" s="42">
        <f t="shared" si="8"/>
        <v>0</v>
      </c>
      <c r="Q7" s="42">
        <f t="shared" si="9"/>
        <v>0</v>
      </c>
      <c r="R7" s="42">
        <f t="shared" si="10"/>
        <v>0</v>
      </c>
      <c r="T7" s="10">
        <f t="shared" ref="T7:U7" si="25">T6</f>
        <v>3.5</v>
      </c>
      <c r="U7" s="10">
        <f t="shared" si="25"/>
        <v>3.5</v>
      </c>
      <c r="V7" s="42">
        <f t="shared" si="11"/>
        <v>0</v>
      </c>
      <c r="W7" s="42">
        <f t="shared" si="12"/>
        <v>0</v>
      </c>
      <c r="X7" s="42">
        <f t="shared" si="13"/>
        <v>0</v>
      </c>
      <c r="Y7" s="42">
        <f t="shared" si="14"/>
        <v>0</v>
      </c>
      <c r="AC7" s="42">
        <f t="shared" si="15"/>
        <v>0</v>
      </c>
      <c r="AD7" s="42">
        <f t="shared" si="16"/>
        <v>0</v>
      </c>
      <c r="AE7" s="42">
        <f t="shared" si="17"/>
        <v>0</v>
      </c>
      <c r="AF7" s="42">
        <f t="shared" si="18"/>
        <v>0</v>
      </c>
      <c r="AJ7" s="42">
        <f t="shared" si="19"/>
        <v>0</v>
      </c>
      <c r="AK7" s="42">
        <f t="shared" si="20"/>
        <v>0</v>
      </c>
      <c r="AL7" s="42">
        <f t="shared" si="21"/>
        <v>0</v>
      </c>
      <c r="AM7" s="42">
        <f t="shared" si="22"/>
        <v>0</v>
      </c>
    </row>
    <row r="8" spans="2:39" ht="14.25" customHeight="1" x14ac:dyDescent="0.35">
      <c r="B8" s="18" t="s">
        <v>154</v>
      </c>
      <c r="C8" s="57">
        <f t="shared" ref="C8:D8" si="26">M8+T8+AA8+AH8</f>
        <v>3</v>
      </c>
      <c r="D8" s="57">
        <f t="shared" si="26"/>
        <v>3</v>
      </c>
      <c r="E8">
        <v>36</v>
      </c>
      <c r="F8" s="17"/>
      <c r="G8" s="42">
        <f t="shared" si="1"/>
        <v>0</v>
      </c>
      <c r="H8" s="42">
        <f t="shared" si="2"/>
        <v>0</v>
      </c>
      <c r="I8" s="42">
        <f t="shared" si="3"/>
        <v>0</v>
      </c>
      <c r="J8" s="42">
        <f t="shared" si="4"/>
        <v>0</v>
      </c>
      <c r="K8" s="56">
        <f t="shared" si="5"/>
        <v>0</v>
      </c>
      <c r="L8" s="56">
        <f t="shared" si="6"/>
        <v>0</v>
      </c>
      <c r="M8" s="25">
        <v>2</v>
      </c>
      <c r="N8" s="25">
        <v>2</v>
      </c>
      <c r="O8" s="42">
        <f t="shared" si="7"/>
        <v>0</v>
      </c>
      <c r="P8" s="42">
        <f t="shared" si="8"/>
        <v>0</v>
      </c>
      <c r="Q8" s="42">
        <f t="shared" si="9"/>
        <v>0</v>
      </c>
      <c r="R8" s="42">
        <f t="shared" si="10"/>
        <v>0</v>
      </c>
      <c r="T8" s="8">
        <v>1</v>
      </c>
      <c r="U8" s="8">
        <v>1</v>
      </c>
      <c r="V8" s="42">
        <f t="shared" si="11"/>
        <v>0</v>
      </c>
      <c r="W8" s="42">
        <f t="shared" si="12"/>
        <v>0</v>
      </c>
      <c r="X8" s="42">
        <f t="shared" si="13"/>
        <v>0</v>
      </c>
      <c r="Y8" s="42">
        <f t="shared" si="14"/>
        <v>0</v>
      </c>
      <c r="AC8" s="42">
        <f t="shared" si="15"/>
        <v>0</v>
      </c>
      <c r="AD8" s="42">
        <f t="shared" si="16"/>
        <v>0</v>
      </c>
      <c r="AE8" s="42">
        <f t="shared" si="17"/>
        <v>0</v>
      </c>
      <c r="AF8" s="42">
        <f t="shared" si="18"/>
        <v>0</v>
      </c>
      <c r="AJ8" s="42">
        <f t="shared" si="19"/>
        <v>0</v>
      </c>
      <c r="AK8" s="42">
        <f t="shared" si="20"/>
        <v>0</v>
      </c>
      <c r="AL8" s="42">
        <f t="shared" si="21"/>
        <v>0</v>
      </c>
      <c r="AM8" s="42">
        <f t="shared" si="22"/>
        <v>0</v>
      </c>
    </row>
    <row r="9" spans="2:39" ht="14.25" customHeight="1" x14ac:dyDescent="0.35">
      <c r="B9" s="18" t="s">
        <v>155</v>
      </c>
      <c r="C9" s="57">
        <f t="shared" ref="C9:D9" si="27">M9+T9+AA9+AH9</f>
        <v>35.75</v>
      </c>
      <c r="D9" s="57">
        <f t="shared" si="27"/>
        <v>30.75</v>
      </c>
      <c r="E9">
        <v>1</v>
      </c>
      <c r="F9" s="17"/>
      <c r="G9" s="42">
        <f t="shared" si="1"/>
        <v>0</v>
      </c>
      <c r="H9" s="42">
        <f t="shared" si="2"/>
        <v>0</v>
      </c>
      <c r="I9" s="42">
        <f t="shared" si="3"/>
        <v>0</v>
      </c>
      <c r="J9" s="42">
        <f t="shared" si="4"/>
        <v>0</v>
      </c>
      <c r="K9" s="56">
        <f t="shared" si="5"/>
        <v>0</v>
      </c>
      <c r="L9" s="56">
        <f t="shared" si="6"/>
        <v>0</v>
      </c>
      <c r="M9" s="25">
        <f>'AUC Total Manning'!F5+'AUC Total Manning'!F6+'AUC Total Manning'!F7+'AUC Total Manning'!F10+'AUC Total Manning'!F12+'AUC Total Manning'!F14+'AUC Total Manning'!F15+'AUC Total Manning'!F16+'AUC Total Manning'!F17+'AUC Total Manning'!F18</f>
        <v>18.25</v>
      </c>
      <c r="N9" s="25">
        <f>'AUC Total Manning'!G5+'AUC Total Manning'!G6+'AUC Total Manning'!G7+'AUC Total Manning'!G10+'AUC Total Manning'!G12+'AUC Total Manning'!G14+'AUC Total Manning'!G15+'AUC Total Manning'!G16+'AUC Total Manning'!G17+'AUC Total Manning'!G18</f>
        <v>17.25</v>
      </c>
      <c r="O9" s="42">
        <f t="shared" si="7"/>
        <v>0</v>
      </c>
      <c r="P9" s="42">
        <f t="shared" si="8"/>
        <v>0</v>
      </c>
      <c r="Q9" s="42">
        <f t="shared" si="9"/>
        <v>0</v>
      </c>
      <c r="R9" s="42">
        <f t="shared" si="10"/>
        <v>0</v>
      </c>
      <c r="T9" s="10">
        <f>'AUC Total Manning'!I5+'AUC Total Manning'!I6+'AUC Total Manning'!I7+'AUC Total Manning'!I8+'AUC Total Manning'!I10+'AUC Total Manning'!I11+'AUC Total Manning'!I14+'AUC Total Manning'!I15+'AUC Total Manning'!I16+'AUC Total Manning'!I18</f>
        <v>17.5</v>
      </c>
      <c r="U9" s="10">
        <f>'AUC Total Manning'!J5+'AUC Total Manning'!J6+'AUC Total Manning'!J7+'AUC Total Manning'!J8+'AUC Total Manning'!J10+'AUC Total Manning'!J11+'AUC Total Manning'!J14+'AUC Total Manning'!J15+'AUC Total Manning'!J16+'AUC Total Manning'!J18</f>
        <v>13.5</v>
      </c>
      <c r="V9" s="42">
        <f t="shared" si="11"/>
        <v>0</v>
      </c>
      <c r="W9" s="42">
        <f t="shared" si="12"/>
        <v>0</v>
      </c>
      <c r="X9" s="42">
        <f t="shared" si="13"/>
        <v>0</v>
      </c>
      <c r="Y9" s="42">
        <f t="shared" si="14"/>
        <v>0</v>
      </c>
      <c r="AC9" s="42">
        <f t="shared" si="15"/>
        <v>0</v>
      </c>
      <c r="AD9" s="42">
        <f t="shared" si="16"/>
        <v>0</v>
      </c>
      <c r="AE9" s="42">
        <f t="shared" si="17"/>
        <v>0</v>
      </c>
      <c r="AF9" s="42">
        <f t="shared" si="18"/>
        <v>0</v>
      </c>
      <c r="AJ9" s="42">
        <f t="shared" si="19"/>
        <v>0</v>
      </c>
      <c r="AK9" s="42">
        <f t="shared" si="20"/>
        <v>0</v>
      </c>
      <c r="AL9" s="42">
        <f t="shared" si="21"/>
        <v>0</v>
      </c>
      <c r="AM9" s="42">
        <f t="shared" si="22"/>
        <v>0</v>
      </c>
    </row>
    <row r="10" spans="2:39" ht="14.25" customHeight="1" x14ac:dyDescent="0.35">
      <c r="B10" s="18" t="s">
        <v>156</v>
      </c>
      <c r="C10" s="57">
        <f t="shared" ref="C10:D10" si="28">M10+T10+AA10+AH10</f>
        <v>10</v>
      </c>
      <c r="D10" s="57">
        <f t="shared" si="28"/>
        <v>10</v>
      </c>
      <c r="E10">
        <v>1</v>
      </c>
      <c r="F10" s="17"/>
      <c r="G10" s="42">
        <f t="shared" si="1"/>
        <v>0</v>
      </c>
      <c r="H10" s="42">
        <f t="shared" si="2"/>
        <v>0</v>
      </c>
      <c r="I10" s="42">
        <f t="shared" si="3"/>
        <v>0</v>
      </c>
      <c r="J10" s="42">
        <f t="shared" si="4"/>
        <v>0</v>
      </c>
      <c r="K10" s="56">
        <f t="shared" si="5"/>
        <v>0</v>
      </c>
      <c r="L10" s="56">
        <f t="shared" si="6"/>
        <v>0</v>
      </c>
      <c r="M10" s="26">
        <f t="shared" ref="M10:N10" si="29">M6</f>
        <v>6.5</v>
      </c>
      <c r="N10" s="26">
        <f t="shared" si="29"/>
        <v>6.5</v>
      </c>
      <c r="O10" s="42">
        <f t="shared" si="7"/>
        <v>0</v>
      </c>
      <c r="P10" s="42">
        <f t="shared" si="8"/>
        <v>0</v>
      </c>
      <c r="Q10" s="42">
        <f t="shared" si="9"/>
        <v>0</v>
      </c>
      <c r="R10" s="42">
        <f t="shared" si="10"/>
        <v>0</v>
      </c>
      <c r="T10" s="10">
        <f t="shared" ref="T10:U10" si="30">T6</f>
        <v>3.5</v>
      </c>
      <c r="U10" s="10">
        <f t="shared" si="30"/>
        <v>3.5</v>
      </c>
      <c r="V10" s="42">
        <f t="shared" si="11"/>
        <v>0</v>
      </c>
      <c r="W10" s="42">
        <f t="shared" si="12"/>
        <v>0</v>
      </c>
      <c r="X10" s="42">
        <f t="shared" si="13"/>
        <v>0</v>
      </c>
      <c r="Y10" s="42">
        <f t="shared" si="14"/>
        <v>0</v>
      </c>
      <c r="AC10" s="42">
        <f t="shared" si="15"/>
        <v>0</v>
      </c>
      <c r="AD10" s="42">
        <f t="shared" si="16"/>
        <v>0</v>
      </c>
      <c r="AE10" s="42">
        <f t="shared" si="17"/>
        <v>0</v>
      </c>
      <c r="AF10" s="42">
        <f t="shared" si="18"/>
        <v>0</v>
      </c>
      <c r="AJ10" s="42">
        <f t="shared" si="19"/>
        <v>0</v>
      </c>
      <c r="AK10" s="42">
        <f t="shared" si="20"/>
        <v>0</v>
      </c>
      <c r="AL10" s="42">
        <f t="shared" si="21"/>
        <v>0</v>
      </c>
      <c r="AM10" s="42">
        <f t="shared" si="22"/>
        <v>0</v>
      </c>
    </row>
    <row r="11" spans="2:39" ht="14.25" customHeight="1" x14ac:dyDescent="0.35">
      <c r="B11" s="18" t="s">
        <v>157</v>
      </c>
      <c r="C11" s="57">
        <f t="shared" ref="C11:D11" si="31">M11+T11+AA11+AH11</f>
        <v>10</v>
      </c>
      <c r="D11" s="57">
        <f t="shared" si="31"/>
        <v>10</v>
      </c>
      <c r="E11">
        <v>12</v>
      </c>
      <c r="F11" s="17"/>
      <c r="G11" s="42">
        <f t="shared" si="1"/>
        <v>0</v>
      </c>
      <c r="H11" s="42">
        <f t="shared" si="2"/>
        <v>0</v>
      </c>
      <c r="I11" s="42">
        <f t="shared" si="3"/>
        <v>0</v>
      </c>
      <c r="J11" s="42">
        <f t="shared" si="4"/>
        <v>0</v>
      </c>
      <c r="K11" s="56"/>
      <c r="L11" s="56"/>
      <c r="M11" s="26">
        <f t="shared" ref="M11:N11" si="32">M6</f>
        <v>6.5</v>
      </c>
      <c r="N11" s="26">
        <f t="shared" si="32"/>
        <v>6.5</v>
      </c>
      <c r="O11" s="42">
        <f t="shared" si="7"/>
        <v>0</v>
      </c>
      <c r="P11" s="42">
        <f t="shared" si="8"/>
        <v>0</v>
      </c>
      <c r="Q11" s="42">
        <f t="shared" si="9"/>
        <v>0</v>
      </c>
      <c r="R11" s="42">
        <f t="shared" si="10"/>
        <v>0</v>
      </c>
      <c r="T11" s="10">
        <f t="shared" ref="T11:U11" si="33">T6</f>
        <v>3.5</v>
      </c>
      <c r="U11" s="10">
        <f t="shared" si="33"/>
        <v>3.5</v>
      </c>
      <c r="V11" s="42">
        <f t="shared" si="11"/>
        <v>0</v>
      </c>
      <c r="W11" s="42">
        <f t="shared" si="12"/>
        <v>0</v>
      </c>
      <c r="X11" s="42">
        <f t="shared" si="13"/>
        <v>0</v>
      </c>
      <c r="Y11" s="42">
        <f t="shared" si="14"/>
        <v>0</v>
      </c>
      <c r="AC11" s="42">
        <f t="shared" si="15"/>
        <v>0</v>
      </c>
      <c r="AD11" s="42">
        <f t="shared" si="16"/>
        <v>0</v>
      </c>
      <c r="AE11" s="42">
        <f t="shared" si="17"/>
        <v>0</v>
      </c>
      <c r="AF11" s="42">
        <f t="shared" si="18"/>
        <v>0</v>
      </c>
      <c r="AJ11" s="42">
        <f t="shared" si="19"/>
        <v>0</v>
      </c>
      <c r="AK11" s="42">
        <f t="shared" si="20"/>
        <v>0</v>
      </c>
      <c r="AL11" s="42">
        <f t="shared" si="21"/>
        <v>0</v>
      </c>
      <c r="AM11" s="42">
        <f t="shared" si="22"/>
        <v>0</v>
      </c>
    </row>
    <row r="12" spans="2:39" ht="14.25" customHeight="1" x14ac:dyDescent="0.35">
      <c r="B12" s="16" t="s">
        <v>158</v>
      </c>
      <c r="C12">
        <f t="shared" ref="C12:D12" si="34">M12+T12+AA12+AH12</f>
        <v>2</v>
      </c>
      <c r="D12">
        <f t="shared" si="34"/>
        <v>2</v>
      </c>
      <c r="E12">
        <v>36</v>
      </c>
      <c r="F12" s="17"/>
      <c r="G12" s="42">
        <f t="shared" si="1"/>
        <v>0</v>
      </c>
      <c r="H12" s="42">
        <f t="shared" si="2"/>
        <v>0</v>
      </c>
      <c r="I12" s="42">
        <f t="shared" si="3"/>
        <v>0</v>
      </c>
      <c r="J12" s="42">
        <f t="shared" si="4"/>
        <v>0</v>
      </c>
      <c r="K12" s="56">
        <f t="shared" ref="K12:K13" si="35">(O12+V12+AC12+AJ12)-G12</f>
        <v>0</v>
      </c>
      <c r="L12" s="56">
        <f t="shared" ref="L12:L13" si="36">(Q12+X12+AE12+AL12)-I12</f>
        <v>0</v>
      </c>
      <c r="M12" s="60">
        <v>1</v>
      </c>
      <c r="N12" s="7">
        <v>1</v>
      </c>
      <c r="O12" s="42">
        <f t="shared" si="7"/>
        <v>0</v>
      </c>
      <c r="P12" s="42">
        <f t="shared" si="8"/>
        <v>0</v>
      </c>
      <c r="Q12" s="42">
        <f t="shared" si="9"/>
        <v>0</v>
      </c>
      <c r="R12" s="42">
        <f t="shared" si="10"/>
        <v>0</v>
      </c>
      <c r="T12" s="8">
        <v>1</v>
      </c>
      <c r="U12" s="8">
        <v>1</v>
      </c>
      <c r="V12" s="42">
        <f t="shared" si="11"/>
        <v>0</v>
      </c>
      <c r="W12" s="42">
        <f t="shared" si="12"/>
        <v>0</v>
      </c>
      <c r="X12" s="42">
        <f t="shared" si="13"/>
        <v>0</v>
      </c>
      <c r="Y12" s="42">
        <f t="shared" si="14"/>
        <v>0</v>
      </c>
      <c r="AC12" s="42">
        <f t="shared" si="15"/>
        <v>0</v>
      </c>
      <c r="AD12" s="42">
        <f t="shared" si="16"/>
        <v>0</v>
      </c>
      <c r="AE12" s="42">
        <f t="shared" si="17"/>
        <v>0</v>
      </c>
      <c r="AF12" s="42">
        <f t="shared" si="18"/>
        <v>0</v>
      </c>
      <c r="AJ12" s="42">
        <f t="shared" si="19"/>
        <v>0</v>
      </c>
      <c r="AK12" s="42">
        <f t="shared" si="20"/>
        <v>0</v>
      </c>
      <c r="AL12" s="42">
        <f t="shared" si="21"/>
        <v>0</v>
      </c>
      <c r="AM12" s="42">
        <f t="shared" si="22"/>
        <v>0</v>
      </c>
    </row>
    <row r="13" spans="2:39" ht="14.25" customHeight="1" x14ac:dyDescent="0.35">
      <c r="G13" s="58">
        <f>SUM(G6:G12)</f>
        <v>0</v>
      </c>
      <c r="H13" s="58">
        <f t="shared" si="2"/>
        <v>0</v>
      </c>
      <c r="I13" s="58">
        <f>SUM(I6:I12)</f>
        <v>0</v>
      </c>
      <c r="J13" s="58">
        <f t="shared" si="4"/>
        <v>0</v>
      </c>
      <c r="K13" s="56">
        <f t="shared" si="35"/>
        <v>0</v>
      </c>
      <c r="L13" s="56">
        <f t="shared" si="36"/>
        <v>0</v>
      </c>
      <c r="O13" s="58">
        <f>SUM(O6:O12)</f>
        <v>0</v>
      </c>
      <c r="P13" s="58">
        <f t="shared" si="8"/>
        <v>0</v>
      </c>
      <c r="Q13" s="58">
        <f>SUM(Q6:Q12)</f>
        <v>0</v>
      </c>
      <c r="R13" s="58">
        <f t="shared" si="10"/>
        <v>0</v>
      </c>
      <c r="V13" s="58">
        <f>SUM(V6:V12)</f>
        <v>0</v>
      </c>
      <c r="W13" s="58">
        <f t="shared" si="12"/>
        <v>0</v>
      </c>
      <c r="X13" s="58">
        <f>SUM(X6:X12)</f>
        <v>0</v>
      </c>
      <c r="Y13" s="58">
        <f t="shared" si="14"/>
        <v>0</v>
      </c>
      <c r="AC13" s="58">
        <f>SUM(AC6:AC12)</f>
        <v>0</v>
      </c>
      <c r="AD13" s="58">
        <f t="shared" si="16"/>
        <v>0</v>
      </c>
      <c r="AE13" s="58">
        <f>SUM(AE6:AE12)</f>
        <v>0</v>
      </c>
      <c r="AF13" s="58">
        <f t="shared" si="18"/>
        <v>0</v>
      </c>
      <c r="AJ13" s="58">
        <f>SUM(AJ6:AJ12)</f>
        <v>0</v>
      </c>
      <c r="AK13" s="58">
        <f t="shared" si="20"/>
        <v>0</v>
      </c>
      <c r="AL13" s="58">
        <f>SUM(AL6:AL12)</f>
        <v>0</v>
      </c>
      <c r="AM13" s="58">
        <f t="shared" si="22"/>
        <v>0</v>
      </c>
    </row>
    <row r="14" spans="2:39" ht="14.25" customHeight="1" x14ac:dyDescent="0.35"/>
    <row r="15" spans="2:39" ht="14.25" customHeight="1" x14ac:dyDescent="0.35"/>
    <row r="16" spans="2:39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</sheetData>
  <mergeCells count="17">
    <mergeCell ref="B4:B5"/>
    <mergeCell ref="E4:E5"/>
    <mergeCell ref="F4:F5"/>
    <mergeCell ref="G4:H4"/>
    <mergeCell ref="I4:J4"/>
    <mergeCell ref="X4:Y4"/>
    <mergeCell ref="AC4:AD4"/>
    <mergeCell ref="AJ4:AK4"/>
    <mergeCell ref="M3:R3"/>
    <mergeCell ref="T3:Y3"/>
    <mergeCell ref="AA3:AF3"/>
    <mergeCell ref="AH3:AM3"/>
    <mergeCell ref="O4:P4"/>
    <mergeCell ref="AL4:AM4"/>
    <mergeCell ref="AE4:AF4"/>
    <mergeCell ref="Q4:R4"/>
    <mergeCell ref="V4:W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AUC Grand Total  Budget </vt:lpstr>
      <vt:lpstr>Budget Items Summary</vt:lpstr>
      <vt:lpstr>AUC Total Manning</vt:lpstr>
      <vt:lpstr>AUC Total Equipment</vt:lpstr>
      <vt:lpstr>AUC Total Tools</vt:lpstr>
      <vt:lpstr>AUC Total Consumables</vt:lpstr>
      <vt:lpstr>AUC Total Transportation</vt:lpstr>
      <vt:lpstr>AUC Total IT &amp; Communication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PHQ Pricing Matrix</dc:title>
  <dc:creator/>
  <cp:lastModifiedBy>el mostawred AH</cp:lastModifiedBy>
  <dcterms:created xsi:type="dcterms:W3CDTF">2006-09-16T00:00:00Z</dcterms:created>
  <dcterms:modified xsi:type="dcterms:W3CDTF">2026-05-03T12:41:33Z</dcterms:modified>
</cp:coreProperties>
</file>