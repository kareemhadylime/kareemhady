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kareemhady\.claude\Documents\"/>
    </mc:Choice>
  </mc:AlternateContent>
  <xr:revisionPtr revIDLastSave="0" documentId="8_{4CF58BEE-1660-4A71-BB65-9191DC0E4C37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Balance Shee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8" i="3" l="1"/>
  <c r="C96" i="3"/>
  <c r="C87" i="3"/>
  <c r="C7" i="3"/>
  <c r="C106" i="3"/>
  <c r="C58" i="3"/>
  <c r="C54" i="3"/>
  <c r="C46" i="3"/>
  <c r="C44" i="3"/>
  <c r="C5" i="3" l="1"/>
  <c r="C86" i="3"/>
</calcChain>
</file>

<file path=xl/sharedStrings.xml><?xml version="1.0" encoding="utf-8"?>
<sst xmlns="http://schemas.openxmlformats.org/spreadsheetml/2006/main" count="141" uniqueCount="139">
  <si>
    <t>Balance</t>
  </si>
  <si>
    <t>As of 31/12/2025</t>
  </si>
  <si>
    <t>Code</t>
  </si>
  <si>
    <t>Account Name</t>
  </si>
  <si>
    <t>ASSETS</t>
  </si>
  <si>
    <t>Current Assets</t>
  </si>
  <si>
    <t>Bank and Cash Accounts</t>
  </si>
  <si>
    <t>121053</t>
  </si>
  <si>
    <t>Bank Misr 8439 AED</t>
  </si>
  <si>
    <t>121054</t>
  </si>
  <si>
    <t>Stripe</t>
  </si>
  <si>
    <t>Cash In EGP</t>
  </si>
  <si>
    <t>Cash in US Dollars</t>
  </si>
  <si>
    <t>Custody Of Ramadan Lawyer</t>
  </si>
  <si>
    <t>Mohamed Tarek custody</t>
  </si>
  <si>
    <t>Racha Omairi Custody</t>
  </si>
  <si>
    <t>Eng Muhammed El Sayed Custody</t>
  </si>
  <si>
    <t>Yassin Hady Custody</t>
  </si>
  <si>
    <t>Mohamed Nabil  Custody</t>
  </si>
  <si>
    <t>moez orri custody</t>
  </si>
  <si>
    <t>Mariam sherief custody</t>
  </si>
  <si>
    <t>Amr Ali Custody</t>
  </si>
  <si>
    <t>Karim ibrahem custody</t>
  </si>
  <si>
    <t>Abdelrahman hossam custody</t>
  </si>
  <si>
    <t>Ahmed Temraz Custody</t>
  </si>
  <si>
    <t>Bank Misr 0176 in EGP</t>
  </si>
  <si>
    <t>Rania Said custody</t>
  </si>
  <si>
    <t>Mahmoud  (Gouna) Custody</t>
  </si>
  <si>
    <t>Mariam Medhat Custody</t>
  </si>
  <si>
    <t>mustafa fady custody</t>
  </si>
  <si>
    <t>Shady Gouna Custody</t>
  </si>
  <si>
    <t>Mahmoud hanafy Custody</t>
  </si>
  <si>
    <t>Yassin Karim Custody</t>
  </si>
  <si>
    <t>Ahmed Kamel Custody</t>
  </si>
  <si>
    <t>Gehad Ashraf custody</t>
  </si>
  <si>
    <t>Abdelrahman Purchase custody</t>
  </si>
  <si>
    <t>Mohamed Ahmed Operation custody</t>
  </si>
  <si>
    <t>Dopey Account</t>
  </si>
  <si>
    <t>Custody Of Saeid  (الكهربائي )</t>
  </si>
  <si>
    <t>Mohamed Zedan Custody</t>
  </si>
  <si>
    <t>Walid Ahmed Custody</t>
  </si>
  <si>
    <t>Eman Mohamed Custody</t>
  </si>
  <si>
    <t>Abdelaziz Mohamed DRI Custody</t>
  </si>
  <si>
    <t>Amr Saad custody</t>
  </si>
  <si>
    <t>EG Bank in EGP</t>
  </si>
  <si>
    <t>Notes Payable - Short Term</t>
  </si>
  <si>
    <t>Receivables</t>
  </si>
  <si>
    <t>122001</t>
  </si>
  <si>
    <t>Customers</t>
  </si>
  <si>
    <t>121052</t>
  </si>
  <si>
    <t>Cash In Transit</t>
  </si>
  <si>
    <t>Contract Insurance - Guarantee</t>
  </si>
  <si>
    <t>other Debtors</t>
  </si>
  <si>
    <t>Deferred Expense</t>
  </si>
  <si>
    <t>Loans for employees</t>
  </si>
  <si>
    <t>Salaries in advance</t>
  </si>
  <si>
    <t>V.A.T On Purchase</t>
  </si>
  <si>
    <t>Prepayments</t>
  </si>
  <si>
    <t>124004</t>
  </si>
  <si>
    <t>Prepaid Expenses</t>
  </si>
  <si>
    <t>Prepaid Interest</t>
  </si>
  <si>
    <t>Furniture</t>
  </si>
  <si>
    <t>Accum. -Office Furniture</t>
  </si>
  <si>
    <t>Electrical Devices</t>
  </si>
  <si>
    <t>Accum. -electrical dev.</t>
  </si>
  <si>
    <t>Furnishings</t>
  </si>
  <si>
    <t>Accu  Dep - Furnishings</t>
  </si>
  <si>
    <t>Computers &amp;Net Work</t>
  </si>
  <si>
    <t>Accum. - Computers</t>
  </si>
  <si>
    <t>Tools Equipment</t>
  </si>
  <si>
    <t>Accum. Tools Equipment</t>
  </si>
  <si>
    <t>Lease Holding Improvements assets</t>
  </si>
  <si>
    <t>Accu  Dep - Lease holding improvment</t>
  </si>
  <si>
    <t>Safety&amp; Environmental equipment</t>
  </si>
  <si>
    <t>Accum. -Safety &amp; Environmental equipment</t>
  </si>
  <si>
    <t>Asset Accessories</t>
  </si>
  <si>
    <t>Accum. -Asset Accessories</t>
  </si>
  <si>
    <t>Lease Holding Improvements Under Implementation</t>
  </si>
  <si>
    <t>GYM Equipment</t>
  </si>
  <si>
    <t>Accum. -GYM Equipment</t>
  </si>
  <si>
    <t>vehicles</t>
  </si>
  <si>
    <t>Accum. -vehicles</t>
  </si>
  <si>
    <t>Cars</t>
  </si>
  <si>
    <t>Accum. -Cars</t>
  </si>
  <si>
    <t>Smart Devices</t>
  </si>
  <si>
    <t>Accum. -Smart Devices</t>
  </si>
  <si>
    <t>Machinery &amp; Equipment</t>
  </si>
  <si>
    <t>LIABILITIES</t>
  </si>
  <si>
    <t>Current Liabilities</t>
  </si>
  <si>
    <t>224001</t>
  </si>
  <si>
    <t>deferred Revenue</t>
  </si>
  <si>
    <t>227003</t>
  </si>
  <si>
    <t>City Tax</t>
  </si>
  <si>
    <t>concrete plus Loans (EGP)</t>
  </si>
  <si>
    <t>Total Lime Loan</t>
  </si>
  <si>
    <t>Accrued Salaries</t>
  </si>
  <si>
    <t>Accrued Others</t>
  </si>
  <si>
    <t>Accrued Expenses</t>
  </si>
  <si>
    <t>V.A.T On Sales</t>
  </si>
  <si>
    <t>with holding Tax</t>
  </si>
  <si>
    <t>Payables</t>
  </si>
  <si>
    <t>227002</t>
  </si>
  <si>
    <t>Suppliers</t>
  </si>
  <si>
    <t>Plus Non-current Liabilities</t>
  </si>
  <si>
    <t>EQUITY</t>
  </si>
  <si>
    <t>Current Year Unallocated Earnings</t>
  </si>
  <si>
    <t>Previous Years Unallocated Earnings</t>
  </si>
  <si>
    <t>Retained Earnings</t>
  </si>
  <si>
    <t>Capital</t>
  </si>
  <si>
    <t>LIABILITIES + EQUITY</t>
  </si>
  <si>
    <t>111008</t>
  </si>
  <si>
    <t>111009</t>
  </si>
  <si>
    <t>111010</t>
  </si>
  <si>
    <t>111011</t>
  </si>
  <si>
    <t>111012</t>
  </si>
  <si>
    <t>111013</t>
  </si>
  <si>
    <t>111014</t>
  </si>
  <si>
    <t>111015</t>
  </si>
  <si>
    <t>111016</t>
  </si>
  <si>
    <t>111017</t>
  </si>
  <si>
    <t>111018</t>
  </si>
  <si>
    <t>111019</t>
  </si>
  <si>
    <t>111020</t>
  </si>
  <si>
    <t>111021</t>
  </si>
  <si>
    <t>111022</t>
  </si>
  <si>
    <t>111023</t>
  </si>
  <si>
    <t>111024</t>
  </si>
  <si>
    <t>111025</t>
  </si>
  <si>
    <t>111026</t>
  </si>
  <si>
    <t>222006</t>
  </si>
  <si>
    <t>222008</t>
  </si>
  <si>
    <t>223005</t>
  </si>
  <si>
    <t>223004</t>
  </si>
  <si>
    <t>223001</t>
  </si>
  <si>
    <t>225001</t>
  </si>
  <si>
    <t>226002</t>
  </si>
  <si>
    <t>Fixed Assets</t>
  </si>
  <si>
    <t>Notes Payable - Long Term</t>
  </si>
  <si>
    <t>300200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</si>
</sst>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Lato"/>
      <family val="2"/>
    </font>
    <font>
      <b/>
      <sz val="13"/>
      <color rgb="FF666666"/>
      <name val="Lato"/>
      <family val="2"/>
    </font>
    <font>
      <sz val="12"/>
      <color rgb="FF666666"/>
      <name val="Lato"/>
      <family val="2"/>
    </font>
    <font>
      <b/>
      <sz val="11"/>
      <color theme="1"/>
      <name val="Calibri"/>
      <family val="2"/>
      <scheme val="minor"/>
    </font>
    <font>
      <b/>
      <sz val="12"/>
      <color rgb="FF666666"/>
      <name val="Lato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4" fontId="2" fillId="0" borderId="2" xfId="0" applyNumberFormat="1" applyFont="1" applyBorder="1"/>
    <xf numFmtId="4" fontId="3" fillId="0" borderId="0" xfId="0" applyNumberFormat="1" applyFont="1" applyAlignment="1">
      <alignment horizontal="left" indent="3"/>
    </xf>
    <xf numFmtId="4" fontId="3" fillId="0" borderId="0" xfId="0" applyNumberFormat="1" applyFont="1"/>
    <xf numFmtId="4" fontId="3" fillId="0" borderId="0" xfId="0" applyNumberFormat="1" applyFont="1" applyAlignment="1">
      <alignment horizontal="left" indent="5"/>
    </xf>
    <xf numFmtId="0" fontId="3" fillId="0" borderId="0" xfId="0" applyFont="1"/>
    <xf numFmtId="4" fontId="3" fillId="0" borderId="0" xfId="0" applyNumberFormat="1" applyFont="1" applyAlignment="1">
      <alignment horizontal="left" indent="6"/>
    </xf>
    <xf numFmtId="4" fontId="3" fillId="0" borderId="0" xfId="0" applyNumberFormat="1" applyFont="1" applyAlignment="1">
      <alignment horizontal="left" indent="4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/>
    </xf>
    <xf numFmtId="4" fontId="0" fillId="0" borderId="0" xfId="0" applyNumberFormat="1"/>
    <xf numFmtId="0" fontId="4" fillId="0" borderId="0" xfId="0" applyFont="1"/>
    <xf numFmtId="4" fontId="5" fillId="0" borderId="0" xfId="0" applyNumberFormat="1" applyFont="1" applyAlignment="1">
      <alignment horizontal="left" indent="5"/>
    </xf>
    <xf numFmtId="4" fontId="5" fillId="0" borderId="0" xfId="0" applyNumberFormat="1" applyFont="1" applyAlignment="1">
      <alignment horizontal="left" indent="3"/>
    </xf>
    <xf numFmtId="3" fontId="3" fillId="0" borderId="0" xfId="0" applyNumberFormat="1" applyFont="1"/>
    <xf numFmtId="3" fontId="2" fillId="0" borderId="2" xfId="0" applyNumberFormat="1" applyFont="1" applyBorder="1"/>
    <xf numFmtId="3" fontId="5" fillId="0" borderId="0" xfId="0" applyNumberFormat="1" applyFont="1"/>
    <xf numFmtId="3" fontId="0" fillId="0" borderId="0" xfId="0" applyNumberFormat="1"/>
    <xf numFmtId="0" fontId="4" fillId="0" borderId="0" xfId="0" applyFont="1" applyAlignment="1">
      <alignment horizontal="left"/>
    </xf>
    <xf numFmtId="4" fontId="3" fillId="0" borderId="0" xfId="0" applyNumberFormat="1" applyFont="1" applyAlignment="1">
      <alignment horizontal="left" vertical="top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1"/>
  <sheetViews>
    <sheetView tabSelected="1" workbookViewId="0">
      <selection activeCell="C110" sqref="C110"/>
    </sheetView>
  </sheetViews>
  <sheetFormatPr defaultRowHeight="14.25" outlineLevelRow="1" x14ac:dyDescent="0.45"/>
  <cols>
    <col min="1" max="1" width="13.6640625" customWidth="1"/>
    <col min="2" max="2" width="63.1328125" customWidth="1"/>
    <col min="3" max="3" width="19.1328125" customWidth="1"/>
    <col min="4" max="4" width="10.6640625" customWidth="1"/>
    <col min="5" max="5" width="11.46484375" bestFit="1" customWidth="1"/>
    <col min="6" max="6" width="12.796875" bestFit="1" customWidth="1"/>
    <col min="7" max="7" width="19.6640625" bestFit="1" customWidth="1"/>
    <col min="8" max="8" width="13.6640625" bestFit="1" customWidth="1"/>
  </cols>
  <sheetData>
    <row r="1" spans="1:3" ht="19.5" thickBot="1" x14ac:dyDescent="0.8">
      <c r="C1" s="1" t="s">
        <v>1</v>
      </c>
    </row>
    <row r="3" spans="1:3" ht="19.5" thickBot="1" x14ac:dyDescent="0.8">
      <c r="A3" s="1" t="s">
        <v>2</v>
      </c>
      <c r="B3" s="1" t="s">
        <v>3</v>
      </c>
      <c r="C3" s="1" t="s">
        <v>0</v>
      </c>
    </row>
    <row r="5" spans="1:3" ht="20.65" thickBot="1" x14ac:dyDescent="0.8">
      <c r="B5" s="2" t="s">
        <v>4</v>
      </c>
      <c r="C5" s="16">
        <f>C7+C44+C46+C54+C58</f>
        <v>76957973.680000007</v>
      </c>
    </row>
    <row r="6" spans="1:3" ht="19.5" thickTop="1" x14ac:dyDescent="0.75">
      <c r="B6" s="3"/>
      <c r="C6" s="4"/>
    </row>
    <row r="7" spans="1:3" ht="19.149999999999999" x14ac:dyDescent="0.75">
      <c r="A7" s="12"/>
      <c r="B7" s="13" t="s">
        <v>6</v>
      </c>
      <c r="C7" s="17">
        <f>SUM(C8:C43)</f>
        <v>707351.2100000002</v>
      </c>
    </row>
    <row r="8" spans="1:3" ht="19.149999999999999" outlineLevel="1" x14ac:dyDescent="0.75">
      <c r="A8" s="6" t="s">
        <v>7</v>
      </c>
      <c r="B8" s="7" t="s">
        <v>8</v>
      </c>
      <c r="C8" s="15">
        <v>408.08</v>
      </c>
    </row>
    <row r="9" spans="1:3" ht="19.149999999999999" outlineLevel="1" x14ac:dyDescent="0.75">
      <c r="A9" s="6" t="s">
        <v>9</v>
      </c>
      <c r="B9" s="7" t="s">
        <v>10</v>
      </c>
      <c r="C9" s="15">
        <v>308430.61</v>
      </c>
    </row>
    <row r="10" spans="1:3" ht="19.149999999999999" outlineLevel="1" x14ac:dyDescent="0.75">
      <c r="A10" s="9">
        <v>121001</v>
      </c>
      <c r="B10" s="7" t="s">
        <v>11</v>
      </c>
      <c r="C10" s="15">
        <v>6622.15</v>
      </c>
    </row>
    <row r="11" spans="1:3" ht="19.149999999999999" outlineLevel="1" x14ac:dyDescent="0.75">
      <c r="A11" s="10">
        <v>121002</v>
      </c>
      <c r="B11" s="7" t="s">
        <v>12</v>
      </c>
      <c r="C11" s="15">
        <v>22743.360000000001</v>
      </c>
    </row>
    <row r="12" spans="1:3" ht="19.149999999999999" outlineLevel="1" x14ac:dyDescent="0.75">
      <c r="A12" s="10">
        <v>121012</v>
      </c>
      <c r="B12" s="7" t="s">
        <v>13</v>
      </c>
      <c r="C12" s="15">
        <v>17813</v>
      </c>
    </row>
    <row r="13" spans="1:3" ht="19.149999999999999" outlineLevel="1" x14ac:dyDescent="0.75">
      <c r="A13" s="10">
        <v>121013</v>
      </c>
      <c r="B13" s="7" t="s">
        <v>14</v>
      </c>
      <c r="C13" s="15">
        <v>2150</v>
      </c>
    </row>
    <row r="14" spans="1:3" ht="19.149999999999999" outlineLevel="1" x14ac:dyDescent="0.75">
      <c r="A14" s="10">
        <v>121015</v>
      </c>
      <c r="B14" s="7" t="s">
        <v>15</v>
      </c>
      <c r="C14" s="15">
        <v>-129756.9</v>
      </c>
    </row>
    <row r="15" spans="1:3" ht="19.149999999999999" outlineLevel="1" x14ac:dyDescent="0.75">
      <c r="A15" s="10">
        <v>121016</v>
      </c>
      <c r="B15" s="7" t="s">
        <v>16</v>
      </c>
      <c r="C15" s="15">
        <v>78462</v>
      </c>
    </row>
    <row r="16" spans="1:3" ht="19.149999999999999" outlineLevel="1" x14ac:dyDescent="0.75">
      <c r="A16" s="10">
        <v>121017</v>
      </c>
      <c r="B16" s="7" t="s">
        <v>17</v>
      </c>
      <c r="C16" s="15">
        <v>1648.19</v>
      </c>
    </row>
    <row r="17" spans="1:3" ht="19.149999999999999" outlineLevel="1" x14ac:dyDescent="0.75">
      <c r="A17" s="10">
        <v>121019</v>
      </c>
      <c r="B17" s="7" t="s">
        <v>18</v>
      </c>
      <c r="C17" s="15">
        <v>-30521.85</v>
      </c>
    </row>
    <row r="18" spans="1:3" ht="19.149999999999999" outlineLevel="1" x14ac:dyDescent="0.75">
      <c r="A18" s="10">
        <v>121021</v>
      </c>
      <c r="B18" s="7" t="s">
        <v>19</v>
      </c>
      <c r="C18" s="15">
        <v>132765.04</v>
      </c>
    </row>
    <row r="19" spans="1:3" ht="19.149999999999999" outlineLevel="1" x14ac:dyDescent="0.75">
      <c r="A19" s="10">
        <v>121022</v>
      </c>
      <c r="B19" s="7" t="s">
        <v>20</v>
      </c>
      <c r="C19" s="15">
        <v>2578.31</v>
      </c>
    </row>
    <row r="20" spans="1:3" ht="19.149999999999999" outlineLevel="1" x14ac:dyDescent="0.75">
      <c r="A20" s="10">
        <v>121025</v>
      </c>
      <c r="B20" s="7" t="s">
        <v>21</v>
      </c>
      <c r="C20" s="15">
        <v>820</v>
      </c>
    </row>
    <row r="21" spans="1:3" ht="19.149999999999999" outlineLevel="1" x14ac:dyDescent="0.75">
      <c r="A21" s="10">
        <v>121026</v>
      </c>
      <c r="B21" s="7" t="s">
        <v>22</v>
      </c>
      <c r="C21" s="15">
        <v>20339.759999999998</v>
      </c>
    </row>
    <row r="22" spans="1:3" ht="19.149999999999999" outlineLevel="1" x14ac:dyDescent="0.75">
      <c r="A22" s="10">
        <v>121027</v>
      </c>
      <c r="B22" s="7" t="s">
        <v>23</v>
      </c>
      <c r="C22" s="15">
        <v>7340.44</v>
      </c>
    </row>
    <row r="23" spans="1:3" ht="19.149999999999999" outlineLevel="1" x14ac:dyDescent="0.75">
      <c r="A23" s="10">
        <v>121031</v>
      </c>
      <c r="B23" s="7" t="s">
        <v>24</v>
      </c>
      <c r="C23" s="15">
        <v>-12149.13</v>
      </c>
    </row>
    <row r="24" spans="1:3" ht="19.149999999999999" outlineLevel="1" x14ac:dyDescent="0.75">
      <c r="A24" s="10">
        <v>121034</v>
      </c>
      <c r="B24" s="7" t="s">
        <v>25</v>
      </c>
      <c r="C24" s="15">
        <v>67.88</v>
      </c>
    </row>
    <row r="25" spans="1:3" ht="19.149999999999999" outlineLevel="1" x14ac:dyDescent="0.75">
      <c r="A25" s="10">
        <v>121035</v>
      </c>
      <c r="B25" s="7" t="s">
        <v>26</v>
      </c>
      <c r="C25" s="15">
        <v>886</v>
      </c>
    </row>
    <row r="26" spans="1:3" ht="19.149999999999999" outlineLevel="1" x14ac:dyDescent="0.75">
      <c r="A26" s="10">
        <v>121036</v>
      </c>
      <c r="B26" s="7" t="s">
        <v>27</v>
      </c>
      <c r="C26" s="15">
        <v>6978</v>
      </c>
    </row>
    <row r="27" spans="1:3" ht="19.149999999999999" outlineLevel="1" x14ac:dyDescent="0.75">
      <c r="A27" s="10">
        <v>121037</v>
      </c>
      <c r="B27" s="7" t="s">
        <v>28</v>
      </c>
      <c r="C27" s="15">
        <v>901.12</v>
      </c>
    </row>
    <row r="28" spans="1:3" ht="19.149999999999999" outlineLevel="1" x14ac:dyDescent="0.75">
      <c r="A28" s="10">
        <v>121038</v>
      </c>
      <c r="B28" s="7" t="s">
        <v>29</v>
      </c>
      <c r="C28" s="15">
        <v>148.75</v>
      </c>
    </row>
    <row r="29" spans="1:3" ht="19.149999999999999" outlineLevel="1" x14ac:dyDescent="0.75">
      <c r="A29" s="10">
        <v>121039</v>
      </c>
      <c r="B29" s="7" t="s">
        <v>30</v>
      </c>
      <c r="C29" s="15">
        <v>-7200</v>
      </c>
    </row>
    <row r="30" spans="1:3" ht="19.149999999999999" outlineLevel="1" x14ac:dyDescent="0.75">
      <c r="A30" s="10">
        <v>121040</v>
      </c>
      <c r="B30" s="7" t="s">
        <v>31</v>
      </c>
      <c r="C30" s="15">
        <v>-23638.48</v>
      </c>
    </row>
    <row r="31" spans="1:3" ht="19.149999999999999" outlineLevel="1" x14ac:dyDescent="0.75">
      <c r="A31" s="10">
        <v>121041</v>
      </c>
      <c r="B31" s="7" t="s">
        <v>32</v>
      </c>
      <c r="C31" s="15">
        <v>13970</v>
      </c>
    </row>
    <row r="32" spans="1:3" ht="19.149999999999999" outlineLevel="1" x14ac:dyDescent="0.75">
      <c r="A32" s="10">
        <v>121042</v>
      </c>
      <c r="B32" s="7" t="s">
        <v>33</v>
      </c>
      <c r="C32" s="15">
        <v>7.32</v>
      </c>
    </row>
    <row r="33" spans="1:4" ht="19.149999999999999" outlineLevel="1" x14ac:dyDescent="0.75">
      <c r="A33" s="10">
        <v>121043</v>
      </c>
      <c r="B33" s="7" t="s">
        <v>34</v>
      </c>
      <c r="C33" s="15">
        <v>210</v>
      </c>
    </row>
    <row r="34" spans="1:4" ht="19.149999999999999" outlineLevel="1" x14ac:dyDescent="0.75">
      <c r="A34" s="10">
        <v>121048</v>
      </c>
      <c r="B34" s="7" t="s">
        <v>35</v>
      </c>
      <c r="C34" s="15">
        <v>-3907.5</v>
      </c>
    </row>
    <row r="35" spans="1:4" ht="19.149999999999999" outlineLevel="1" x14ac:dyDescent="0.75">
      <c r="A35" s="10">
        <v>121049</v>
      </c>
      <c r="B35" s="7" t="s">
        <v>36</v>
      </c>
      <c r="C35" s="15">
        <v>567</v>
      </c>
    </row>
    <row r="36" spans="1:4" ht="19.149999999999999" outlineLevel="1" x14ac:dyDescent="0.75">
      <c r="A36" s="10">
        <v>121055</v>
      </c>
      <c r="B36" s="7" t="s">
        <v>37</v>
      </c>
      <c r="C36" s="15">
        <v>254610</v>
      </c>
    </row>
    <row r="37" spans="1:4" ht="19.149999999999999" outlineLevel="1" x14ac:dyDescent="0.75">
      <c r="A37" s="10">
        <v>121056</v>
      </c>
      <c r="B37" s="7" t="s">
        <v>38</v>
      </c>
      <c r="C37" s="15">
        <v>-70</v>
      </c>
    </row>
    <row r="38" spans="1:4" ht="19.149999999999999" outlineLevel="1" x14ac:dyDescent="0.75">
      <c r="A38" s="10">
        <v>121058</v>
      </c>
      <c r="B38" s="7" t="s">
        <v>39</v>
      </c>
      <c r="C38" s="15">
        <v>28075</v>
      </c>
    </row>
    <row r="39" spans="1:4" ht="19.149999999999999" outlineLevel="1" x14ac:dyDescent="0.75">
      <c r="A39" s="10">
        <v>121059</v>
      </c>
      <c r="B39" s="7" t="s">
        <v>40</v>
      </c>
      <c r="C39" s="15">
        <v>200</v>
      </c>
    </row>
    <row r="40" spans="1:4" ht="19.149999999999999" outlineLevel="1" x14ac:dyDescent="0.75">
      <c r="A40" s="10">
        <v>121060</v>
      </c>
      <c r="B40" s="7" t="s">
        <v>41</v>
      </c>
      <c r="C40" s="15">
        <v>462</v>
      </c>
    </row>
    <row r="41" spans="1:4" ht="19.149999999999999" outlineLevel="1" x14ac:dyDescent="0.75">
      <c r="A41" s="10">
        <v>121062</v>
      </c>
      <c r="B41" s="7" t="s">
        <v>42</v>
      </c>
      <c r="C41" s="15">
        <v>998</v>
      </c>
    </row>
    <row r="42" spans="1:4" ht="19.149999999999999" outlineLevel="1" x14ac:dyDescent="0.75">
      <c r="A42" s="10">
        <v>121063</v>
      </c>
      <c r="B42" s="7" t="s">
        <v>43</v>
      </c>
      <c r="C42" s="15">
        <v>1000</v>
      </c>
    </row>
    <row r="43" spans="1:4" ht="19.149999999999999" outlineLevel="1" x14ac:dyDescent="0.75">
      <c r="A43" s="10">
        <v>121067</v>
      </c>
      <c r="B43" s="7" t="s">
        <v>44</v>
      </c>
      <c r="C43" s="15">
        <v>3393.06</v>
      </c>
    </row>
    <row r="44" spans="1:4" ht="19.149999999999999" x14ac:dyDescent="0.75">
      <c r="A44" s="12"/>
      <c r="B44" s="13" t="s">
        <v>46</v>
      </c>
      <c r="C44" s="17">
        <f>C45</f>
        <v>-796296.28</v>
      </c>
    </row>
    <row r="45" spans="1:4" ht="19.149999999999999" outlineLevel="1" x14ac:dyDescent="0.75">
      <c r="A45" s="6" t="s">
        <v>47</v>
      </c>
      <c r="B45" s="7" t="s">
        <v>48</v>
      </c>
      <c r="C45" s="15">
        <v>-796296.28</v>
      </c>
      <c r="D45" s="11"/>
    </row>
    <row r="46" spans="1:4" ht="19.149999999999999" x14ac:dyDescent="0.75">
      <c r="A46" s="12"/>
      <c r="B46" s="13" t="s">
        <v>5</v>
      </c>
      <c r="C46" s="17">
        <f>SUM(C47:C53)</f>
        <v>4806642.42</v>
      </c>
    </row>
    <row r="47" spans="1:4" ht="19.149999999999999" outlineLevel="1" x14ac:dyDescent="0.75">
      <c r="A47" s="6" t="s">
        <v>49</v>
      </c>
      <c r="B47" s="7" t="s">
        <v>50</v>
      </c>
      <c r="C47" s="15">
        <v>-2249.96</v>
      </c>
    </row>
    <row r="48" spans="1:4" ht="19.149999999999999" outlineLevel="1" x14ac:dyDescent="0.75">
      <c r="A48" s="10">
        <v>113002</v>
      </c>
      <c r="B48" s="7" t="s">
        <v>51</v>
      </c>
      <c r="C48" s="15">
        <v>2930825</v>
      </c>
    </row>
    <row r="49" spans="1:3" ht="19.149999999999999" outlineLevel="1" x14ac:dyDescent="0.75">
      <c r="A49" s="10">
        <v>122003</v>
      </c>
      <c r="B49" s="7" t="s">
        <v>52</v>
      </c>
      <c r="C49" s="15">
        <v>251.95</v>
      </c>
    </row>
    <row r="50" spans="1:3" ht="19.149999999999999" outlineLevel="1" x14ac:dyDescent="0.75">
      <c r="A50" s="10">
        <v>124001</v>
      </c>
      <c r="B50" s="7" t="s">
        <v>53</v>
      </c>
      <c r="C50" s="15">
        <v>481174.5</v>
      </c>
    </row>
    <row r="51" spans="1:3" ht="19.149999999999999" outlineLevel="1" x14ac:dyDescent="0.75">
      <c r="A51" s="10">
        <v>124005</v>
      </c>
      <c r="B51" s="7" t="s">
        <v>54</v>
      </c>
      <c r="C51" s="15">
        <v>27000</v>
      </c>
    </row>
    <row r="52" spans="1:3" ht="19.149999999999999" outlineLevel="1" x14ac:dyDescent="0.75">
      <c r="A52" s="10">
        <v>124006</v>
      </c>
      <c r="B52" s="7" t="s">
        <v>55</v>
      </c>
      <c r="C52" s="15">
        <v>6100</v>
      </c>
    </row>
    <row r="53" spans="1:3" ht="19.149999999999999" outlineLevel="1" x14ac:dyDescent="0.75">
      <c r="A53" s="10">
        <v>125001</v>
      </c>
      <c r="B53" s="7" t="s">
        <v>56</v>
      </c>
      <c r="C53" s="15">
        <v>1363540.93</v>
      </c>
    </row>
    <row r="54" spans="1:3" ht="19.149999999999999" x14ac:dyDescent="0.75">
      <c r="A54" s="12"/>
      <c r="B54" s="13" t="s">
        <v>57</v>
      </c>
      <c r="C54" s="17">
        <f>SUM(C55:C57)</f>
        <v>4713167.41</v>
      </c>
    </row>
    <row r="55" spans="1:3" ht="19.149999999999999" outlineLevel="1" x14ac:dyDescent="0.75">
      <c r="A55" s="6" t="s">
        <v>58</v>
      </c>
      <c r="B55" s="7" t="s">
        <v>59</v>
      </c>
      <c r="C55" s="15">
        <v>134231.9</v>
      </c>
    </row>
    <row r="56" spans="1:3" ht="19.149999999999999" outlineLevel="1" x14ac:dyDescent="0.75">
      <c r="A56" s="10">
        <v>124004</v>
      </c>
      <c r="B56" s="7" t="s">
        <v>59</v>
      </c>
      <c r="C56" s="15">
        <v>96704.92</v>
      </c>
    </row>
    <row r="57" spans="1:3" ht="19.149999999999999" outlineLevel="1" x14ac:dyDescent="0.75">
      <c r="A57" s="10">
        <v>124007</v>
      </c>
      <c r="B57" s="7" t="s">
        <v>60</v>
      </c>
      <c r="C57" s="15">
        <v>4482230.59</v>
      </c>
    </row>
    <row r="58" spans="1:3" ht="19.149999999999999" x14ac:dyDescent="0.75">
      <c r="A58" s="12"/>
      <c r="B58" s="13" t="s">
        <v>136</v>
      </c>
      <c r="C58" s="17">
        <f>SUM(C59:C84)</f>
        <v>67527108.920000002</v>
      </c>
    </row>
    <row r="59" spans="1:3" ht="19.149999999999999" outlineLevel="1" x14ac:dyDescent="0.75">
      <c r="A59" s="10">
        <v>111001</v>
      </c>
      <c r="B59" s="8" t="s">
        <v>61</v>
      </c>
      <c r="C59" s="15">
        <v>11752236.640000001</v>
      </c>
    </row>
    <row r="60" spans="1:3" ht="19.149999999999999" outlineLevel="1" x14ac:dyDescent="0.75">
      <c r="A60" s="10">
        <v>111002</v>
      </c>
      <c r="B60" s="8" t="s">
        <v>62</v>
      </c>
      <c r="C60" s="15">
        <v>-487640.03</v>
      </c>
    </row>
    <row r="61" spans="1:3" ht="19.149999999999999" outlineLevel="1" x14ac:dyDescent="0.75">
      <c r="A61" s="10">
        <v>111003</v>
      </c>
      <c r="B61" s="8" t="s">
        <v>63</v>
      </c>
      <c r="C61" s="15">
        <v>12095346.57</v>
      </c>
    </row>
    <row r="62" spans="1:3" ht="19.149999999999999" outlineLevel="1" x14ac:dyDescent="0.75">
      <c r="A62" s="10">
        <v>111004</v>
      </c>
      <c r="B62" s="8" t="s">
        <v>64</v>
      </c>
      <c r="C62" s="15">
        <v>-489529.69</v>
      </c>
    </row>
    <row r="63" spans="1:3" ht="19.149999999999999" outlineLevel="1" x14ac:dyDescent="0.75">
      <c r="A63" s="10">
        <v>111005</v>
      </c>
      <c r="B63" s="8" t="s">
        <v>65</v>
      </c>
      <c r="C63" s="15">
        <v>2938799.34</v>
      </c>
    </row>
    <row r="64" spans="1:3" ht="19.149999999999999" outlineLevel="1" x14ac:dyDescent="0.75">
      <c r="A64" s="10">
        <v>111006</v>
      </c>
      <c r="B64" s="8" t="s">
        <v>66</v>
      </c>
      <c r="C64" s="15">
        <v>-629098.6</v>
      </c>
    </row>
    <row r="65" spans="1:3" ht="19.149999999999999" outlineLevel="1" x14ac:dyDescent="0.75">
      <c r="A65" s="10">
        <v>111007</v>
      </c>
      <c r="B65" s="8" t="s">
        <v>67</v>
      </c>
      <c r="C65" s="15">
        <v>776641.2</v>
      </c>
    </row>
    <row r="66" spans="1:3" ht="19.149999999999999" outlineLevel="1" x14ac:dyDescent="0.75">
      <c r="A66" s="10" t="s">
        <v>110</v>
      </c>
      <c r="B66" s="8" t="s">
        <v>68</v>
      </c>
      <c r="C66" s="15">
        <v>-68132.34</v>
      </c>
    </row>
    <row r="67" spans="1:3" ht="19.149999999999999" outlineLevel="1" x14ac:dyDescent="0.75">
      <c r="A67" s="10" t="s">
        <v>111</v>
      </c>
      <c r="B67" s="8" t="s">
        <v>69</v>
      </c>
      <c r="C67" s="15">
        <v>267401.01</v>
      </c>
    </row>
    <row r="68" spans="1:3" ht="19.149999999999999" outlineLevel="1" x14ac:dyDescent="0.75">
      <c r="A68" s="10" t="s">
        <v>112</v>
      </c>
      <c r="B68" s="8" t="s">
        <v>70</v>
      </c>
      <c r="C68" s="15">
        <v>-45865.97</v>
      </c>
    </row>
    <row r="69" spans="1:3" ht="19.149999999999999" outlineLevel="1" x14ac:dyDescent="0.75">
      <c r="A69" s="10" t="s">
        <v>113</v>
      </c>
      <c r="B69" s="8" t="s">
        <v>71</v>
      </c>
      <c r="C69" s="15">
        <v>20540742.690000001</v>
      </c>
    </row>
    <row r="70" spans="1:3" ht="19.149999999999999" outlineLevel="1" x14ac:dyDescent="0.75">
      <c r="A70" s="10" t="s">
        <v>114</v>
      </c>
      <c r="B70" s="8" t="s">
        <v>72</v>
      </c>
      <c r="C70" s="15">
        <v>-925027.83</v>
      </c>
    </row>
    <row r="71" spans="1:3" ht="19.149999999999999" outlineLevel="1" x14ac:dyDescent="0.75">
      <c r="A71" s="10" t="s">
        <v>115</v>
      </c>
      <c r="B71" s="8" t="s">
        <v>73</v>
      </c>
      <c r="C71" s="15">
        <v>748355</v>
      </c>
    </row>
    <row r="72" spans="1:3" ht="19.149999999999999" outlineLevel="1" x14ac:dyDescent="0.75">
      <c r="A72" s="10" t="s">
        <v>116</v>
      </c>
      <c r="B72" s="8" t="s">
        <v>74</v>
      </c>
      <c r="C72" s="15">
        <v>-31105.61</v>
      </c>
    </row>
    <row r="73" spans="1:3" ht="19.149999999999999" outlineLevel="1" x14ac:dyDescent="0.75">
      <c r="A73" s="10" t="s">
        <v>117</v>
      </c>
      <c r="B73" s="8" t="s">
        <v>75</v>
      </c>
      <c r="C73" s="15">
        <v>646786.43999999994</v>
      </c>
    </row>
    <row r="74" spans="1:3" ht="19.149999999999999" outlineLevel="1" x14ac:dyDescent="0.75">
      <c r="A74" s="10" t="s">
        <v>118</v>
      </c>
      <c r="B74" s="8" t="s">
        <v>76</v>
      </c>
      <c r="C74" s="15">
        <v>-158120.91</v>
      </c>
    </row>
    <row r="75" spans="1:3" ht="19.149999999999999" outlineLevel="1" x14ac:dyDescent="0.75">
      <c r="A75" s="10" t="s">
        <v>119</v>
      </c>
      <c r="B75" s="8" t="s">
        <v>77</v>
      </c>
      <c r="C75" s="15">
        <v>11234501.34</v>
      </c>
    </row>
    <row r="76" spans="1:3" ht="19.149999999999999" outlineLevel="1" x14ac:dyDescent="0.75">
      <c r="A76" s="10" t="s">
        <v>120</v>
      </c>
      <c r="B76" s="8" t="s">
        <v>78</v>
      </c>
      <c r="C76" s="15">
        <v>338899</v>
      </c>
    </row>
    <row r="77" spans="1:3" ht="19.149999999999999" outlineLevel="1" x14ac:dyDescent="0.75">
      <c r="A77" s="10" t="s">
        <v>121</v>
      </c>
      <c r="B77" s="8" t="s">
        <v>79</v>
      </c>
      <c r="C77" s="15">
        <v>-46458.21</v>
      </c>
    </row>
    <row r="78" spans="1:3" ht="19.149999999999999" outlineLevel="1" x14ac:dyDescent="0.75">
      <c r="A78" s="10" t="s">
        <v>122</v>
      </c>
      <c r="B78" s="8" t="s">
        <v>80</v>
      </c>
      <c r="C78" s="15">
        <v>54000</v>
      </c>
    </row>
    <row r="79" spans="1:3" ht="19.149999999999999" outlineLevel="1" x14ac:dyDescent="0.75">
      <c r="A79" s="10" t="s">
        <v>123</v>
      </c>
      <c r="B79" s="8" t="s">
        <v>81</v>
      </c>
      <c r="C79" s="15">
        <v>-1350</v>
      </c>
    </row>
    <row r="80" spans="1:3" ht="19.149999999999999" outlineLevel="1" x14ac:dyDescent="0.75">
      <c r="A80" s="10" t="s">
        <v>124</v>
      </c>
      <c r="B80" s="8" t="s">
        <v>82</v>
      </c>
      <c r="C80" s="15">
        <v>7900000</v>
      </c>
    </row>
    <row r="81" spans="1:4" ht="19.149999999999999" outlineLevel="1" x14ac:dyDescent="0.75">
      <c r="A81" s="10" t="s">
        <v>125</v>
      </c>
      <c r="B81" s="8" t="s">
        <v>83</v>
      </c>
      <c r="C81" s="15">
        <v>-197500</v>
      </c>
    </row>
    <row r="82" spans="1:4" ht="19.149999999999999" outlineLevel="1" x14ac:dyDescent="0.75">
      <c r="A82" s="10" t="s">
        <v>126</v>
      </c>
      <c r="B82" s="8" t="s">
        <v>84</v>
      </c>
      <c r="C82" s="15">
        <v>776202.21</v>
      </c>
    </row>
    <row r="83" spans="1:4" ht="19.149999999999999" outlineLevel="1" x14ac:dyDescent="0.75">
      <c r="A83" s="10" t="s">
        <v>127</v>
      </c>
      <c r="B83" s="8" t="s">
        <v>85</v>
      </c>
      <c r="C83" s="15">
        <v>-12973.33</v>
      </c>
    </row>
    <row r="84" spans="1:4" ht="19.149999999999999" outlineLevel="1" x14ac:dyDescent="0.75">
      <c r="A84" s="10" t="s">
        <v>128</v>
      </c>
      <c r="B84" s="8" t="s">
        <v>86</v>
      </c>
      <c r="C84" s="15">
        <v>550000</v>
      </c>
    </row>
    <row r="86" spans="1:4" ht="20.65" thickBot="1" x14ac:dyDescent="0.8">
      <c r="B86" s="2" t="s">
        <v>87</v>
      </c>
      <c r="C86" s="16">
        <f>C87+C96+C98</f>
        <v>81323384.379999995</v>
      </c>
    </row>
    <row r="87" spans="1:4" s="12" customFormat="1" ht="19.5" thickTop="1" x14ac:dyDescent="0.75">
      <c r="B87" s="13" t="s">
        <v>88</v>
      </c>
      <c r="C87" s="17">
        <f>SUM(C88:C95)</f>
        <v>7993115.7300000004</v>
      </c>
    </row>
    <row r="88" spans="1:4" ht="19.149999999999999" outlineLevel="1" x14ac:dyDescent="0.75">
      <c r="A88" s="6" t="s">
        <v>89</v>
      </c>
      <c r="B88" s="7" t="s">
        <v>90</v>
      </c>
      <c r="C88" s="15">
        <v>968017.3</v>
      </c>
    </row>
    <row r="89" spans="1:4" ht="19.149999999999999" outlineLevel="1" x14ac:dyDescent="0.75">
      <c r="A89" s="6" t="s">
        <v>91</v>
      </c>
      <c r="B89" s="7" t="s">
        <v>92</v>
      </c>
      <c r="C89" s="15">
        <v>4341.9799999999996</v>
      </c>
      <c r="D89" s="11"/>
    </row>
    <row r="90" spans="1:4" ht="19.149999999999999" outlineLevel="1" x14ac:dyDescent="0.75">
      <c r="A90" s="10">
        <v>221002</v>
      </c>
      <c r="B90" s="7" t="s">
        <v>45</v>
      </c>
      <c r="C90" s="15">
        <v>6138396</v>
      </c>
    </row>
    <row r="91" spans="1:4" ht="19.149999999999999" outlineLevel="1" x14ac:dyDescent="0.75">
      <c r="A91" s="10" t="s">
        <v>133</v>
      </c>
      <c r="B91" s="7" t="s">
        <v>95</v>
      </c>
      <c r="C91" s="15">
        <v>254728.11</v>
      </c>
    </row>
    <row r="92" spans="1:4" ht="19.149999999999999" outlineLevel="1" x14ac:dyDescent="0.75">
      <c r="A92" s="10" t="s">
        <v>132</v>
      </c>
      <c r="B92" s="7" t="s">
        <v>96</v>
      </c>
      <c r="C92" s="15">
        <v>5659.32</v>
      </c>
    </row>
    <row r="93" spans="1:4" ht="19.149999999999999" outlineLevel="1" x14ac:dyDescent="0.75">
      <c r="A93" s="10" t="s">
        <v>131</v>
      </c>
      <c r="B93" s="7" t="s">
        <v>97</v>
      </c>
      <c r="C93" s="15">
        <v>74999.990000000005</v>
      </c>
    </row>
    <row r="94" spans="1:4" ht="19.149999999999999" outlineLevel="1" x14ac:dyDescent="0.75">
      <c r="A94" s="10" t="s">
        <v>134</v>
      </c>
      <c r="B94" s="7" t="s">
        <v>98</v>
      </c>
      <c r="C94" s="15">
        <v>543234.27</v>
      </c>
    </row>
    <row r="95" spans="1:4" ht="19.149999999999999" outlineLevel="1" x14ac:dyDescent="0.75">
      <c r="A95" s="10" t="s">
        <v>135</v>
      </c>
      <c r="B95" s="7" t="s">
        <v>99</v>
      </c>
      <c r="C95" s="15">
        <v>3738.76</v>
      </c>
    </row>
    <row r="96" spans="1:4" s="12" customFormat="1" ht="19.149999999999999" x14ac:dyDescent="0.75">
      <c r="B96" s="13" t="s">
        <v>100</v>
      </c>
      <c r="C96" s="17">
        <f>C97</f>
        <v>9081444.6500000004</v>
      </c>
    </row>
    <row r="97" spans="1:6" ht="19.149999999999999" outlineLevel="1" x14ac:dyDescent="0.75">
      <c r="A97" s="6" t="s">
        <v>101</v>
      </c>
      <c r="B97" s="7" t="s">
        <v>102</v>
      </c>
      <c r="C97" s="15">
        <v>9081444.6500000004</v>
      </c>
    </row>
    <row r="98" spans="1:6" ht="19.149999999999999" x14ac:dyDescent="0.75">
      <c r="A98" s="12"/>
      <c r="B98" s="14" t="s">
        <v>103</v>
      </c>
      <c r="C98" s="17">
        <f>SUM(C99:C102)</f>
        <v>64248824</v>
      </c>
    </row>
    <row r="99" spans="1:6" ht="19.149999999999999" outlineLevel="1" x14ac:dyDescent="0.75">
      <c r="A99" s="10">
        <v>221001</v>
      </c>
      <c r="B99" s="7" t="s">
        <v>137</v>
      </c>
      <c r="C99" s="15">
        <v>11937183</v>
      </c>
    </row>
    <row r="100" spans="1:6" ht="19.149999999999999" outlineLevel="1" x14ac:dyDescent="0.75">
      <c r="A100" s="10" t="s">
        <v>129</v>
      </c>
      <c r="B100" s="7" t="s">
        <v>93</v>
      </c>
      <c r="C100" s="15">
        <v>10000000</v>
      </c>
    </row>
    <row r="101" spans="1:6" ht="19.149999999999999" outlineLevel="1" x14ac:dyDescent="0.75">
      <c r="A101" s="10" t="s">
        <v>130</v>
      </c>
      <c r="B101" s="7" t="s">
        <v>94</v>
      </c>
      <c r="C101" s="15">
        <v>42311641</v>
      </c>
    </row>
    <row r="102" spans="1:6" ht="19.149999999999999" x14ac:dyDescent="0.75">
      <c r="F102" s="15"/>
    </row>
    <row r="103" spans="1:6" ht="20.65" thickBot="1" x14ac:dyDescent="0.8">
      <c r="B103" s="2" t="s">
        <v>104</v>
      </c>
      <c r="C103" s="16">
        <v>-4365411.1499999901</v>
      </c>
      <c r="E103" s="18"/>
    </row>
    <row r="104" spans="1:6" ht="19.5" thickTop="1" x14ac:dyDescent="0.75">
      <c r="A104" s="19"/>
      <c r="B104" s="14" t="s">
        <v>108</v>
      </c>
      <c r="C104" s="17">
        <v>1062500</v>
      </c>
    </row>
    <row r="105" spans="1:6" ht="19.149999999999999" outlineLevel="1" x14ac:dyDescent="0.75">
      <c r="A105" s="10" t="s">
        <v>138</v>
      </c>
      <c r="B105" s="20" t="s">
        <v>108</v>
      </c>
      <c r="C105" s="15">
        <v>1062500</v>
      </c>
      <c r="E105" s="18"/>
    </row>
    <row r="106" spans="1:6" ht="19.149999999999999" x14ac:dyDescent="0.75">
      <c r="A106" s="12"/>
      <c r="B106" s="14" t="s">
        <v>107</v>
      </c>
      <c r="C106" s="17">
        <f>C107+C108</f>
        <v>-5427911</v>
      </c>
    </row>
    <row r="107" spans="1:6" ht="19.149999999999999" outlineLevel="1" x14ac:dyDescent="0.75">
      <c r="B107" s="20" t="s">
        <v>105</v>
      </c>
      <c r="C107" s="15">
        <v>-4467066</v>
      </c>
    </row>
    <row r="108" spans="1:6" ht="19.149999999999999" outlineLevel="1" x14ac:dyDescent="0.75">
      <c r="B108" s="5" t="s">
        <v>106</v>
      </c>
      <c r="C108" s="15">
        <v>-960845</v>
      </c>
      <c r="E108" s="18"/>
    </row>
    <row r="109" spans="1:6" ht="19.149999999999999" x14ac:dyDescent="0.75">
      <c r="B109" s="5"/>
      <c r="C109" s="15"/>
      <c r="E109" s="18"/>
    </row>
    <row r="110" spans="1:6" ht="20.65" thickBot="1" x14ac:dyDescent="0.8">
      <c r="B110" s="2" t="s">
        <v>109</v>
      </c>
      <c r="C110" s="16">
        <v>76957974</v>
      </c>
    </row>
    <row r="111" spans="1:6" ht="14.65" thickTop="1" x14ac:dyDescent="0.4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Abdelhady</dc:creator>
  <cp:lastModifiedBy>Kareem Abdelhady</cp:lastModifiedBy>
  <dcterms:created xsi:type="dcterms:W3CDTF">2026-04-22T12:03:51Z</dcterms:created>
  <dcterms:modified xsi:type="dcterms:W3CDTF">2026-04-22T13:17:13Z</dcterms:modified>
</cp:coreProperties>
</file>