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areemhady\.claude\Documents\"/>
    </mc:Choice>
  </mc:AlternateContent>
  <xr:revisionPtr revIDLastSave="0" documentId="8_{F222CCEF-B05A-4579-B1EF-F304A2C530E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Balance She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6" i="3" l="1"/>
  <c r="C103" i="3" s="1"/>
  <c r="C98" i="3"/>
  <c r="C96" i="3"/>
  <c r="C87" i="3"/>
  <c r="C56" i="3"/>
  <c r="C52" i="3"/>
  <c r="C45" i="3"/>
  <c r="C6" i="3"/>
  <c r="C86" i="3" l="1"/>
  <c r="C110" i="3" s="1"/>
  <c r="C5" i="3"/>
</calcChain>
</file>

<file path=xl/sharedStrings.xml><?xml version="1.0" encoding="utf-8"?>
<sst xmlns="http://schemas.openxmlformats.org/spreadsheetml/2006/main" count="144" uniqueCount="142">
  <si>
    <t>Balance</t>
  </si>
  <si>
    <t>As of 28/02/2026</t>
  </si>
  <si>
    <t>Code</t>
  </si>
  <si>
    <t>Account Name</t>
  </si>
  <si>
    <t>ASSETS</t>
  </si>
  <si>
    <t>Current Assets</t>
  </si>
  <si>
    <t>Bank and Cash Accounts</t>
  </si>
  <si>
    <t>121053</t>
  </si>
  <si>
    <t>Bank Misr 8439 AED</t>
  </si>
  <si>
    <t>121054</t>
  </si>
  <si>
    <t>Stripe</t>
  </si>
  <si>
    <t>Cash In EGP</t>
  </si>
  <si>
    <t>Cash in US Dollars</t>
  </si>
  <si>
    <t>Custody Of Ramadan Lawyer</t>
  </si>
  <si>
    <t>Mohamed Tarek custody</t>
  </si>
  <si>
    <t>Eng Muhammed El Sayed Custody</t>
  </si>
  <si>
    <t>Yassin Hady Custody</t>
  </si>
  <si>
    <t>moez orri custody</t>
  </si>
  <si>
    <t>Mariam sherief custody</t>
  </si>
  <si>
    <t>Mahmoud Esa Custody</t>
  </si>
  <si>
    <t>Amr Ali Custody</t>
  </si>
  <si>
    <t>Karim ibrahem custody</t>
  </si>
  <si>
    <t>Abdelrahman hossam custody</t>
  </si>
  <si>
    <t>Ahmed Temraz Custody</t>
  </si>
  <si>
    <t>Bank Misr 0176 in EGP</t>
  </si>
  <si>
    <t>Rania Said custody</t>
  </si>
  <si>
    <t>Mahmoud  (Gouna) Custody</t>
  </si>
  <si>
    <t>Mariam Medhat Custody</t>
  </si>
  <si>
    <t>mustafa fady custody</t>
  </si>
  <si>
    <t>Shady Gouna Custody</t>
  </si>
  <si>
    <t>Mahmoud hanafy Custody</t>
  </si>
  <si>
    <t>Yassin Karim Custody</t>
  </si>
  <si>
    <t>Gehad Ashraf custody</t>
  </si>
  <si>
    <t>Mohamed Ahmed Operation custody</t>
  </si>
  <si>
    <t>Dopey Account</t>
  </si>
  <si>
    <t>Custody Of Saeid  (الكهربائي )</t>
  </si>
  <si>
    <t>Mohamed Zedan Custody</t>
  </si>
  <si>
    <t>Walid Ahmed Custody</t>
  </si>
  <si>
    <t>Eman Mohamed Custody</t>
  </si>
  <si>
    <t>Hussein Mohamed DRI Custody</t>
  </si>
  <si>
    <t>Abdelaziz Mohamed DRI Custody</t>
  </si>
  <si>
    <t>Amr Saad custody</t>
  </si>
  <si>
    <t>Ahmed Arnous Custody</t>
  </si>
  <si>
    <t>EG Bank in EGP</t>
  </si>
  <si>
    <t>Notes Payable - Short Term</t>
  </si>
  <si>
    <t>Receivables</t>
  </si>
  <si>
    <t>122001</t>
  </si>
  <si>
    <t>Customers</t>
  </si>
  <si>
    <t>121052</t>
  </si>
  <si>
    <t>Cash In Transit</t>
  </si>
  <si>
    <t>Contract Insurance - Guarantee</t>
  </si>
  <si>
    <t>other Debtors</t>
  </si>
  <si>
    <t>Deferred Expense</t>
  </si>
  <si>
    <t>Loans for employees</t>
  </si>
  <si>
    <t>V.A.T On Purchase</t>
  </si>
  <si>
    <t>Prepayments</t>
  </si>
  <si>
    <t>124004</t>
  </si>
  <si>
    <t>Prepaid Expenses</t>
  </si>
  <si>
    <t>Prepaid Interest</t>
  </si>
  <si>
    <t>Furniture</t>
  </si>
  <si>
    <t>Accum. -Office Furniture</t>
  </si>
  <si>
    <t>Electrical Devices</t>
  </si>
  <si>
    <t>Accum. -electrical dev.</t>
  </si>
  <si>
    <t>Furnishings</t>
  </si>
  <si>
    <t>Accu  Dep - Furnishings</t>
  </si>
  <si>
    <t>Computers &amp;Net Work</t>
  </si>
  <si>
    <t>Accum. - Computers</t>
  </si>
  <si>
    <t>Tools Equipment</t>
  </si>
  <si>
    <t>Accum. Tools Equipment</t>
  </si>
  <si>
    <t>Lease Holding Improvements assets</t>
  </si>
  <si>
    <t>Accu  Dep - Lease holding improvment</t>
  </si>
  <si>
    <t>Safety&amp; Environmental equipment</t>
  </si>
  <si>
    <t>Accum. -Safety &amp; Environmental equipment</t>
  </si>
  <si>
    <t>Asset Accessories</t>
  </si>
  <si>
    <t>Accum. -Asset Accessories</t>
  </si>
  <si>
    <t>Lease Holding Improvements Under Implementation</t>
  </si>
  <si>
    <t>GYM Equipment</t>
  </si>
  <si>
    <t>Accum. -GYM Equipment</t>
  </si>
  <si>
    <t>vehicles</t>
  </si>
  <si>
    <t>Accum. -vehicles</t>
  </si>
  <si>
    <t>Cars</t>
  </si>
  <si>
    <t>Accum. -Cars</t>
  </si>
  <si>
    <t>Smart Devices</t>
  </si>
  <si>
    <t>Accum. -Smart Devices</t>
  </si>
  <si>
    <t>Machinery &amp; Equipment</t>
  </si>
  <si>
    <t>Accum. -Machinery &amp; Equipment</t>
  </si>
  <si>
    <t>intangible assets</t>
  </si>
  <si>
    <t>LIABILITIES</t>
  </si>
  <si>
    <t>Current Liabilities</t>
  </si>
  <si>
    <t>224001</t>
  </si>
  <si>
    <t>deferred Revenue</t>
  </si>
  <si>
    <t>227003</t>
  </si>
  <si>
    <t>City Tax</t>
  </si>
  <si>
    <t>concrete plus Loans (EGP)</t>
  </si>
  <si>
    <t>Total Lime Loan</t>
  </si>
  <si>
    <t>Accrued Salaries</t>
  </si>
  <si>
    <t>Accrued Others</t>
  </si>
  <si>
    <t>Accrued Expenses</t>
  </si>
  <si>
    <t>V.A.T On Sales</t>
  </si>
  <si>
    <t>with holding Tax</t>
  </si>
  <si>
    <t>Payables</t>
  </si>
  <si>
    <t>227002</t>
  </si>
  <si>
    <t>Suppliers</t>
  </si>
  <si>
    <t>EQUITY</t>
  </si>
  <si>
    <t>Current Year Unallocated Earnings</t>
  </si>
  <si>
    <t>Previous Years Unallocated Earnings</t>
  </si>
  <si>
    <t>Retained Earnings</t>
  </si>
  <si>
    <t>LIABILITIES + EQUITY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</si>
  <si>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</si>
  <si>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</si>
  <si>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</si>
  <si>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</si>
  <si>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</si>
  <si>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</si>
  <si>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</si>
  <si>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</si>
  <si>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</si>
  <si>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</si>
  <si>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</si>
  <si>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</si>
  <si>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</si>
  <si>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</si>
  <si>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</si>
  <si>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</si>
  <si>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</si>
  <si>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</si>
  <si>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</si>
  <si>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</si>
  <si>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112001</t>
  </si>
  <si>
    <t>222006</t>
  </si>
  <si>
    <t>222008</t>
  </si>
  <si>
    <t>223001</t>
  </si>
  <si>
    <t>223004</t>
  </si>
  <si>
    <t>223005</t>
  </si>
  <si>
    <t>225001</t>
  </si>
  <si>
    <t>226002</t>
  </si>
  <si>
    <t>Capital</t>
  </si>
  <si>
    <t>300200</t>
  </si>
  <si>
    <t>221001</t>
  </si>
  <si>
    <t>Notes Payable - Long Term</t>
  </si>
  <si>
    <t>Fixed Assets</t>
  </si>
  <si>
    <t>Non-current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</si>
</sst>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1"/>
      <color theme="1"/>
      <name val="Calibri"/>
      <family val="2"/>
      <scheme val="minor"/>
    </font>
    <font>
      <b/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4" fontId="2" fillId="0" borderId="2" xfId="0" applyNumberFormat="1" applyFont="1" applyBorder="1"/>
    <xf numFmtId="4" fontId="3" fillId="0" borderId="0" xfId="0" applyNumberFormat="1" applyFont="1" applyAlignment="1">
      <alignment horizontal="left" indent="3"/>
    </xf>
    <xf numFmtId="4" fontId="3" fillId="0" borderId="0" xfId="0" applyNumberFormat="1" applyFont="1" applyAlignment="1">
      <alignment horizontal="left" indent="5"/>
    </xf>
    <xf numFmtId="4" fontId="3" fillId="0" borderId="0" xfId="0" applyNumberFormat="1" applyFont="1" applyAlignment="1">
      <alignment horizontal="left" indent="6"/>
    </xf>
    <xf numFmtId="4" fontId="3" fillId="0" borderId="0" xfId="0" applyNumberFormat="1" applyFont="1" applyAlignment="1">
      <alignment horizontal="left" indent="4"/>
    </xf>
    <xf numFmtId="0" fontId="3" fillId="0" borderId="0" xfId="0" applyFont="1" applyAlignment="1">
      <alignment horizontal="left" vertical="top"/>
    </xf>
    <xf numFmtId="4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" fontId="5" fillId="0" borderId="0" xfId="0" applyNumberFormat="1" applyFont="1" applyAlignment="1">
      <alignment horizontal="left" indent="3"/>
    </xf>
    <xf numFmtId="4" fontId="5" fillId="0" borderId="0" xfId="0" applyNumberFormat="1" applyFont="1" applyAlignment="1">
      <alignment horizontal="left" indent="5"/>
    </xf>
    <xf numFmtId="3" fontId="2" fillId="0" borderId="2" xfId="0" applyNumberFormat="1" applyFont="1" applyBorder="1"/>
    <xf numFmtId="3" fontId="5" fillId="0" borderId="0" xfId="0" applyNumberFormat="1" applyFont="1"/>
    <xf numFmtId="3" fontId="3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1"/>
  <sheetViews>
    <sheetView tabSelected="1" workbookViewId="0">
      <selection activeCell="A7" sqref="A7"/>
    </sheetView>
  </sheetViews>
  <sheetFormatPr defaultRowHeight="14.25" outlineLevelRow="1" x14ac:dyDescent="0.45"/>
  <cols>
    <col min="1" max="1" width="13.6640625" style="9" customWidth="1"/>
    <col min="2" max="2" width="63.1328125" customWidth="1"/>
    <col min="3" max="3" width="19.1328125" customWidth="1"/>
    <col min="4" max="4" width="10.6640625" customWidth="1"/>
    <col min="5" max="6" width="12.46484375" bestFit="1" customWidth="1"/>
  </cols>
  <sheetData>
    <row r="1" spans="1:7" ht="19.5" thickBot="1" x14ac:dyDescent="0.8">
      <c r="C1" s="1" t="s">
        <v>1</v>
      </c>
    </row>
    <row r="3" spans="1:7" ht="19.5" thickBot="1" x14ac:dyDescent="0.8">
      <c r="A3" s="10" t="s">
        <v>2</v>
      </c>
      <c r="B3" s="1" t="s">
        <v>3</v>
      </c>
      <c r="C3" s="1" t="s">
        <v>0</v>
      </c>
    </row>
    <row r="5" spans="1:7" ht="20.65" thickBot="1" x14ac:dyDescent="0.8">
      <c r="B5" s="2" t="s">
        <v>4</v>
      </c>
      <c r="C5" s="15">
        <f>C6+C43+C45+C52+C56</f>
        <v>96209738.429999992</v>
      </c>
    </row>
    <row r="6" spans="1:7" ht="19.5" thickTop="1" x14ac:dyDescent="0.75">
      <c r="A6" s="12"/>
      <c r="B6" s="14" t="s">
        <v>6</v>
      </c>
      <c r="C6" s="16">
        <f>SUM(C7:C41)</f>
        <v>9907443.9399999976</v>
      </c>
    </row>
    <row r="7" spans="1:7" ht="19.149999999999999" outlineLevel="1" x14ac:dyDescent="0.75">
      <c r="A7" s="11" t="s">
        <v>7</v>
      </c>
      <c r="B7" s="5" t="s">
        <v>8</v>
      </c>
      <c r="C7" s="17">
        <v>448265.58</v>
      </c>
    </row>
    <row r="8" spans="1:7" ht="19.149999999999999" outlineLevel="1" x14ac:dyDescent="0.75">
      <c r="A8" s="11" t="s">
        <v>9</v>
      </c>
      <c r="B8" s="5" t="s">
        <v>10</v>
      </c>
      <c r="C8" s="17">
        <v>41653.75</v>
      </c>
    </row>
    <row r="9" spans="1:7" ht="19.149999999999999" outlineLevel="1" x14ac:dyDescent="0.75">
      <c r="A9" s="7">
        <v>121001</v>
      </c>
      <c r="B9" s="5" t="s">
        <v>11</v>
      </c>
      <c r="C9" s="17">
        <v>9036054.1500000004</v>
      </c>
      <c r="G9" s="8"/>
    </row>
    <row r="10" spans="1:7" ht="19.149999999999999" outlineLevel="1" x14ac:dyDescent="0.75">
      <c r="A10" s="11">
        <v>121002</v>
      </c>
      <c r="B10" s="5" t="s">
        <v>12</v>
      </c>
      <c r="C10" s="17">
        <v>64172.19</v>
      </c>
    </row>
    <row r="11" spans="1:7" ht="19.149999999999999" outlineLevel="1" x14ac:dyDescent="0.75">
      <c r="A11" s="11">
        <v>121012</v>
      </c>
      <c r="B11" s="5" t="s">
        <v>13</v>
      </c>
      <c r="C11" s="17">
        <v>-2509</v>
      </c>
    </row>
    <row r="12" spans="1:7" ht="19.149999999999999" outlineLevel="1" x14ac:dyDescent="0.75">
      <c r="A12" s="11">
        <v>121013</v>
      </c>
      <c r="B12" s="5" t="s">
        <v>14</v>
      </c>
      <c r="C12" s="17">
        <v>2150</v>
      </c>
    </row>
    <row r="13" spans="1:7" ht="19.149999999999999" outlineLevel="1" x14ac:dyDescent="0.75">
      <c r="A13" s="11">
        <v>121016</v>
      </c>
      <c r="B13" s="5" t="s">
        <v>15</v>
      </c>
      <c r="C13" s="17">
        <v>49023</v>
      </c>
    </row>
    <row r="14" spans="1:7" ht="19.149999999999999" outlineLevel="1" x14ac:dyDescent="0.75">
      <c r="A14" s="11">
        <v>121017</v>
      </c>
      <c r="B14" s="5" t="s">
        <v>16</v>
      </c>
      <c r="C14" s="17">
        <v>1648.19</v>
      </c>
    </row>
    <row r="15" spans="1:7" ht="19.149999999999999" outlineLevel="1" x14ac:dyDescent="0.75">
      <c r="A15" s="11">
        <v>121021</v>
      </c>
      <c r="B15" s="5" t="s">
        <v>17</v>
      </c>
      <c r="C15" s="17">
        <v>132765.04</v>
      </c>
    </row>
    <row r="16" spans="1:7" ht="19.149999999999999" outlineLevel="1" x14ac:dyDescent="0.75">
      <c r="A16" s="11">
        <v>121022</v>
      </c>
      <c r="B16" s="5" t="s">
        <v>18</v>
      </c>
      <c r="C16" s="17">
        <v>2578.31</v>
      </c>
    </row>
    <row r="17" spans="1:3" ht="19.149999999999999" outlineLevel="1" x14ac:dyDescent="0.75">
      <c r="A17" s="11">
        <v>121023</v>
      </c>
      <c r="B17" s="5" t="s">
        <v>19</v>
      </c>
      <c r="C17" s="17">
        <v>41500</v>
      </c>
    </row>
    <row r="18" spans="1:3" ht="19.149999999999999" outlineLevel="1" x14ac:dyDescent="0.75">
      <c r="A18" s="11">
        <v>121025</v>
      </c>
      <c r="B18" s="5" t="s">
        <v>20</v>
      </c>
      <c r="C18" s="17">
        <v>820</v>
      </c>
    </row>
    <row r="19" spans="1:3" ht="19.149999999999999" outlineLevel="1" x14ac:dyDescent="0.75">
      <c r="A19" s="11">
        <v>121026</v>
      </c>
      <c r="B19" s="5" t="s">
        <v>21</v>
      </c>
      <c r="C19" s="17">
        <v>18483.849999999999</v>
      </c>
    </row>
    <row r="20" spans="1:3" ht="19.149999999999999" outlineLevel="1" x14ac:dyDescent="0.75">
      <c r="A20" s="11">
        <v>121027</v>
      </c>
      <c r="B20" s="5" t="s">
        <v>22</v>
      </c>
      <c r="C20" s="17">
        <v>13583.81</v>
      </c>
    </row>
    <row r="21" spans="1:3" ht="19.149999999999999" outlineLevel="1" x14ac:dyDescent="0.75">
      <c r="A21" s="11">
        <v>121031</v>
      </c>
      <c r="B21" s="5" t="s">
        <v>23</v>
      </c>
      <c r="C21" s="17">
        <v>-3523.13</v>
      </c>
    </row>
    <row r="22" spans="1:3" ht="19.149999999999999" outlineLevel="1" x14ac:dyDescent="0.75">
      <c r="A22" s="11">
        <v>121034</v>
      </c>
      <c r="B22" s="5" t="s">
        <v>24</v>
      </c>
      <c r="C22" s="17">
        <v>16080.58</v>
      </c>
    </row>
    <row r="23" spans="1:3" ht="19.149999999999999" outlineLevel="1" x14ac:dyDescent="0.75">
      <c r="A23" s="11">
        <v>121035</v>
      </c>
      <c r="B23" s="5" t="s">
        <v>25</v>
      </c>
      <c r="C23" s="17">
        <v>1986</v>
      </c>
    </row>
    <row r="24" spans="1:3" ht="19.149999999999999" outlineLevel="1" x14ac:dyDescent="0.75">
      <c r="A24" s="11">
        <v>121036</v>
      </c>
      <c r="B24" s="5" t="s">
        <v>26</v>
      </c>
      <c r="C24" s="17">
        <v>5275.5</v>
      </c>
    </row>
    <row r="25" spans="1:3" ht="19.149999999999999" outlineLevel="1" x14ac:dyDescent="0.75">
      <c r="A25" s="11">
        <v>121037</v>
      </c>
      <c r="B25" s="5" t="s">
        <v>27</v>
      </c>
      <c r="C25" s="17">
        <v>1158.19</v>
      </c>
    </row>
    <row r="26" spans="1:3" ht="19.149999999999999" outlineLevel="1" x14ac:dyDescent="0.75">
      <c r="A26" s="11">
        <v>121038</v>
      </c>
      <c r="B26" s="5" t="s">
        <v>28</v>
      </c>
      <c r="C26" s="17">
        <v>148.75</v>
      </c>
    </row>
    <row r="27" spans="1:3" ht="19.149999999999999" outlineLevel="1" x14ac:dyDescent="0.75">
      <c r="A27" s="11">
        <v>121039</v>
      </c>
      <c r="B27" s="5" t="s">
        <v>29</v>
      </c>
      <c r="C27" s="17">
        <v>-7200</v>
      </c>
    </row>
    <row r="28" spans="1:3" ht="19.149999999999999" outlineLevel="1" x14ac:dyDescent="0.75">
      <c r="A28" s="11">
        <v>121040</v>
      </c>
      <c r="B28" s="5" t="s">
        <v>30</v>
      </c>
      <c r="C28" s="17">
        <v>3593.77</v>
      </c>
    </row>
    <row r="29" spans="1:3" ht="19.149999999999999" outlineLevel="1" x14ac:dyDescent="0.75">
      <c r="A29" s="11">
        <v>121041</v>
      </c>
      <c r="B29" s="5" t="s">
        <v>31</v>
      </c>
      <c r="C29" s="17">
        <v>13970</v>
      </c>
    </row>
    <row r="30" spans="1:3" ht="19.149999999999999" outlineLevel="1" x14ac:dyDescent="0.75">
      <c r="A30" s="11">
        <v>121043</v>
      </c>
      <c r="B30" s="5" t="s">
        <v>32</v>
      </c>
      <c r="C30" s="17">
        <v>210</v>
      </c>
    </row>
    <row r="31" spans="1:3" ht="19.149999999999999" outlineLevel="1" x14ac:dyDescent="0.75">
      <c r="A31" s="11">
        <v>121049</v>
      </c>
      <c r="B31" s="5" t="s">
        <v>33</v>
      </c>
      <c r="C31" s="17">
        <v>567</v>
      </c>
    </row>
    <row r="32" spans="1:3" ht="19.149999999999999" outlineLevel="1" x14ac:dyDescent="0.75">
      <c r="A32" s="11">
        <v>121055</v>
      </c>
      <c r="B32" s="5" t="s">
        <v>34</v>
      </c>
      <c r="C32" s="17">
        <v>18333</v>
      </c>
    </row>
    <row r="33" spans="1:3" ht="19.149999999999999" outlineLevel="1" x14ac:dyDescent="0.75">
      <c r="A33" s="11">
        <v>121056</v>
      </c>
      <c r="B33" s="5" t="s">
        <v>35</v>
      </c>
      <c r="C33" s="17">
        <v>-146</v>
      </c>
    </row>
    <row r="34" spans="1:3" ht="19.149999999999999" outlineLevel="1" x14ac:dyDescent="0.75">
      <c r="A34" s="11">
        <v>121058</v>
      </c>
      <c r="B34" s="5" t="s">
        <v>36</v>
      </c>
      <c r="C34" s="17">
        <v>753.35</v>
      </c>
    </row>
    <row r="35" spans="1:3" ht="19.149999999999999" outlineLevel="1" x14ac:dyDescent="0.75">
      <c r="A35" s="11">
        <v>121059</v>
      </c>
      <c r="B35" s="5" t="s">
        <v>37</v>
      </c>
      <c r="C35" s="17">
        <v>200</v>
      </c>
    </row>
    <row r="36" spans="1:3" ht="19.149999999999999" outlineLevel="1" x14ac:dyDescent="0.75">
      <c r="A36" s="11">
        <v>121060</v>
      </c>
      <c r="B36" s="5" t="s">
        <v>38</v>
      </c>
      <c r="C36" s="17">
        <v>-68</v>
      </c>
    </row>
    <row r="37" spans="1:3" ht="19.149999999999999" outlineLevel="1" x14ac:dyDescent="0.75">
      <c r="A37" s="11">
        <v>121061</v>
      </c>
      <c r="B37" s="5" t="s">
        <v>39</v>
      </c>
      <c r="C37" s="17">
        <v>2000</v>
      </c>
    </row>
    <row r="38" spans="1:3" ht="19.149999999999999" outlineLevel="1" x14ac:dyDescent="0.75">
      <c r="A38" s="11">
        <v>121062</v>
      </c>
      <c r="B38" s="5" t="s">
        <v>40</v>
      </c>
      <c r="C38" s="17">
        <v>-2</v>
      </c>
    </row>
    <row r="39" spans="1:3" ht="19.149999999999999" outlineLevel="1" x14ac:dyDescent="0.75">
      <c r="A39" s="11">
        <v>121063</v>
      </c>
      <c r="B39" s="5" t="s">
        <v>41</v>
      </c>
      <c r="C39" s="17">
        <v>-500</v>
      </c>
    </row>
    <row r="40" spans="1:3" ht="19.149999999999999" outlineLevel="1" x14ac:dyDescent="0.75">
      <c r="A40" s="11">
        <v>121066</v>
      </c>
      <c r="B40" s="5" t="s">
        <v>42</v>
      </c>
      <c r="C40" s="17">
        <v>1025</v>
      </c>
    </row>
    <row r="41" spans="1:3" ht="19.149999999999999" outlineLevel="1" x14ac:dyDescent="0.75">
      <c r="A41" s="11">
        <v>121067</v>
      </c>
      <c r="B41" s="5" t="s">
        <v>43</v>
      </c>
      <c r="C41" s="17">
        <v>3393.06</v>
      </c>
    </row>
    <row r="42" spans="1:3" outlineLevel="1" x14ac:dyDescent="0.45">
      <c r="C42" s="18"/>
    </row>
    <row r="43" spans="1:3" ht="19.149999999999999" x14ac:dyDescent="0.75">
      <c r="A43" s="12"/>
      <c r="B43" s="14" t="s">
        <v>45</v>
      </c>
      <c r="C43" s="16">
        <v>751328.08000000007</v>
      </c>
    </row>
    <row r="44" spans="1:3" ht="19.149999999999999" outlineLevel="1" x14ac:dyDescent="0.75">
      <c r="A44" s="11" t="s">
        <v>46</v>
      </c>
      <c r="B44" s="4" t="s">
        <v>47</v>
      </c>
      <c r="C44" s="17">
        <v>751328.08</v>
      </c>
    </row>
    <row r="45" spans="1:3" ht="19.149999999999999" x14ac:dyDescent="0.75">
      <c r="A45" s="12"/>
      <c r="B45" s="14" t="s">
        <v>5</v>
      </c>
      <c r="C45" s="16">
        <f>SUM(C46:C51)</f>
        <v>5815804.79</v>
      </c>
    </row>
    <row r="46" spans="1:3" ht="19.149999999999999" outlineLevel="1" x14ac:dyDescent="0.75">
      <c r="A46" s="11" t="s">
        <v>48</v>
      </c>
      <c r="B46" s="4" t="s">
        <v>49</v>
      </c>
      <c r="C46" s="17">
        <v>78713.320000000007</v>
      </c>
    </row>
    <row r="47" spans="1:3" ht="19.149999999999999" outlineLevel="1" x14ac:dyDescent="0.75">
      <c r="A47" s="11">
        <v>113002</v>
      </c>
      <c r="B47" s="4" t="s">
        <v>50</v>
      </c>
      <c r="C47" s="17">
        <v>2945825</v>
      </c>
    </row>
    <row r="48" spans="1:3" ht="19.149999999999999" outlineLevel="1" x14ac:dyDescent="0.75">
      <c r="A48" s="11">
        <v>122003</v>
      </c>
      <c r="B48" s="4" t="s">
        <v>51</v>
      </c>
      <c r="C48" s="17">
        <v>251.95</v>
      </c>
    </row>
    <row r="49" spans="1:3" ht="19.149999999999999" outlineLevel="1" x14ac:dyDescent="0.75">
      <c r="A49" s="11">
        <v>124001</v>
      </c>
      <c r="B49" s="4" t="s">
        <v>52</v>
      </c>
      <c r="C49" s="17">
        <v>742109.35</v>
      </c>
    </row>
    <row r="50" spans="1:3" ht="19.149999999999999" outlineLevel="1" x14ac:dyDescent="0.75">
      <c r="A50" s="11">
        <v>124005</v>
      </c>
      <c r="B50" s="4" t="s">
        <v>53</v>
      </c>
      <c r="C50" s="17">
        <v>19000</v>
      </c>
    </row>
    <row r="51" spans="1:3" ht="19.149999999999999" outlineLevel="1" x14ac:dyDescent="0.75">
      <c r="A51" s="11">
        <v>125001</v>
      </c>
      <c r="B51" s="4" t="s">
        <v>54</v>
      </c>
      <c r="C51" s="17">
        <v>2029905.17</v>
      </c>
    </row>
    <row r="52" spans="1:3" ht="19.149999999999999" x14ac:dyDescent="0.75">
      <c r="A52" s="12"/>
      <c r="B52" s="14" t="s">
        <v>55</v>
      </c>
      <c r="C52" s="16">
        <f>SUM(C53:C55)</f>
        <v>4479090.25</v>
      </c>
    </row>
    <row r="53" spans="1:3" ht="19.149999999999999" outlineLevel="1" x14ac:dyDescent="0.75">
      <c r="A53" s="11" t="s">
        <v>56</v>
      </c>
      <c r="B53" s="4" t="s">
        <v>57</v>
      </c>
      <c r="C53" s="17">
        <v>64350.74</v>
      </c>
    </row>
    <row r="54" spans="1:3" ht="19.149999999999999" outlineLevel="1" x14ac:dyDescent="0.75">
      <c r="A54" s="11">
        <v>124004</v>
      </c>
      <c r="B54" s="4" t="s">
        <v>57</v>
      </c>
      <c r="C54" s="17">
        <v>96704.92</v>
      </c>
    </row>
    <row r="55" spans="1:3" ht="19.149999999999999" outlineLevel="1" x14ac:dyDescent="0.75">
      <c r="A55" s="11">
        <v>124007</v>
      </c>
      <c r="B55" s="4" t="s">
        <v>58</v>
      </c>
      <c r="C55" s="17">
        <v>4318034.59</v>
      </c>
    </row>
    <row r="56" spans="1:3" ht="19.149999999999999" x14ac:dyDescent="0.75">
      <c r="A56" s="12"/>
      <c r="B56" s="14" t="s">
        <v>140</v>
      </c>
      <c r="C56" s="16">
        <f>SUM(C57:C84)</f>
        <v>75256071.36999999</v>
      </c>
    </row>
    <row r="57" spans="1:3" ht="19.149999999999999" outlineLevel="1" x14ac:dyDescent="0.75">
      <c r="A57" s="11">
        <v>111001</v>
      </c>
      <c r="B57" s="6" t="s">
        <v>59</v>
      </c>
      <c r="C57" s="17">
        <v>11975276.640000001</v>
      </c>
    </row>
    <row r="58" spans="1:3" ht="19.149999999999999" outlineLevel="1" x14ac:dyDescent="0.75">
      <c r="A58" s="11">
        <v>111002</v>
      </c>
      <c r="B58" s="6" t="s">
        <v>60</v>
      </c>
      <c r="C58" s="17">
        <v>-684545.68</v>
      </c>
    </row>
    <row r="59" spans="1:3" ht="19.149999999999999" outlineLevel="1" x14ac:dyDescent="0.75">
      <c r="A59" s="11">
        <v>111003</v>
      </c>
      <c r="B59" s="6" t="s">
        <v>61</v>
      </c>
      <c r="C59" s="17">
        <v>14194576.25</v>
      </c>
    </row>
    <row r="60" spans="1:3" ht="19.149999999999999" outlineLevel="1" x14ac:dyDescent="0.75">
      <c r="A60" s="11">
        <v>111004</v>
      </c>
      <c r="B60" s="6" t="s">
        <v>62</v>
      </c>
      <c r="C60" s="17">
        <v>-661551.71</v>
      </c>
    </row>
    <row r="61" spans="1:3" ht="19.149999999999999" outlineLevel="1" x14ac:dyDescent="0.75">
      <c r="A61" s="11">
        <v>111005</v>
      </c>
      <c r="B61" s="6" t="s">
        <v>63</v>
      </c>
      <c r="C61" s="17">
        <v>4291420.37</v>
      </c>
    </row>
    <row r="62" spans="1:3" ht="19.149999999999999" outlineLevel="1" x14ac:dyDescent="0.75">
      <c r="A62" s="11">
        <v>111006</v>
      </c>
      <c r="B62" s="6" t="s">
        <v>64</v>
      </c>
      <c r="C62" s="17">
        <v>-957089.02</v>
      </c>
    </row>
    <row r="63" spans="1:3" ht="19.149999999999999" outlineLevel="1" x14ac:dyDescent="0.75">
      <c r="A63" s="11">
        <v>111007</v>
      </c>
      <c r="B63" s="6" t="s">
        <v>65</v>
      </c>
      <c r="C63" s="17">
        <v>1337249.76</v>
      </c>
    </row>
    <row r="64" spans="1:3" ht="19.149999999999999" outlineLevel="1" x14ac:dyDescent="0.75">
      <c r="A64" s="11" t="s">
        <v>108</v>
      </c>
      <c r="B64" s="6" t="s">
        <v>66</v>
      </c>
      <c r="C64" s="17">
        <v>-101997.01</v>
      </c>
    </row>
    <row r="65" spans="1:3" ht="19.149999999999999" outlineLevel="1" x14ac:dyDescent="0.75">
      <c r="A65" s="11" t="s">
        <v>109</v>
      </c>
      <c r="B65" s="6" t="s">
        <v>67</v>
      </c>
      <c r="C65" s="17">
        <v>415906.22</v>
      </c>
    </row>
    <row r="66" spans="1:3" ht="19.149999999999999" outlineLevel="1" x14ac:dyDescent="0.75">
      <c r="A66" s="11" t="s">
        <v>110</v>
      </c>
      <c r="B66" s="6" t="s">
        <v>68</v>
      </c>
      <c r="C66" s="17">
        <v>-72751.73</v>
      </c>
    </row>
    <row r="67" spans="1:3" ht="19.149999999999999" outlineLevel="1" x14ac:dyDescent="0.75">
      <c r="A67" s="11" t="s">
        <v>111</v>
      </c>
      <c r="B67" s="6" t="s">
        <v>69</v>
      </c>
      <c r="C67" s="17">
        <v>20540742.690000001</v>
      </c>
    </row>
    <row r="68" spans="1:3" ht="19.149999999999999" outlineLevel="1" x14ac:dyDescent="0.75">
      <c r="A68" s="11" t="s">
        <v>112</v>
      </c>
      <c r="B68" s="6" t="s">
        <v>70</v>
      </c>
      <c r="C68" s="17">
        <v>-1216829.08</v>
      </c>
    </row>
    <row r="69" spans="1:3" ht="19.149999999999999" outlineLevel="1" x14ac:dyDescent="0.75">
      <c r="A69" s="11" t="s">
        <v>113</v>
      </c>
      <c r="B69" s="6" t="s">
        <v>71</v>
      </c>
      <c r="C69" s="17">
        <v>885750</v>
      </c>
    </row>
    <row r="70" spans="1:3" ht="19.149999999999999" outlineLevel="1" x14ac:dyDescent="0.75">
      <c r="A70" s="11" t="s">
        <v>114</v>
      </c>
      <c r="B70" s="6" t="s">
        <v>72</v>
      </c>
      <c r="C70" s="17">
        <v>-43243.07</v>
      </c>
    </row>
    <row r="71" spans="1:3" ht="19.149999999999999" outlineLevel="1" x14ac:dyDescent="0.75">
      <c r="A71" s="11" t="s">
        <v>115</v>
      </c>
      <c r="B71" s="6" t="s">
        <v>73</v>
      </c>
      <c r="C71" s="17">
        <v>883486.98</v>
      </c>
    </row>
    <row r="72" spans="1:3" ht="19.149999999999999" outlineLevel="1" x14ac:dyDescent="0.75">
      <c r="A72" s="11" t="s">
        <v>116</v>
      </c>
      <c r="B72" s="6" t="s">
        <v>74</v>
      </c>
      <c r="C72" s="17">
        <v>-212618.75</v>
      </c>
    </row>
    <row r="73" spans="1:3" ht="19.149999999999999" outlineLevel="1" x14ac:dyDescent="0.75">
      <c r="A73" s="11" t="s">
        <v>117</v>
      </c>
      <c r="B73" s="6" t="s">
        <v>75</v>
      </c>
      <c r="C73" s="17">
        <v>15315979.119999999</v>
      </c>
    </row>
    <row r="74" spans="1:3" ht="19.149999999999999" outlineLevel="1" x14ac:dyDescent="0.75">
      <c r="A74" s="11" t="s">
        <v>118</v>
      </c>
      <c r="B74" s="6" t="s">
        <v>76</v>
      </c>
      <c r="C74" s="17">
        <v>338899</v>
      </c>
    </row>
    <row r="75" spans="1:3" ht="19.149999999999999" outlineLevel="1" x14ac:dyDescent="0.75">
      <c r="A75" s="11" t="s">
        <v>119</v>
      </c>
      <c r="B75" s="6" t="s">
        <v>77</v>
      </c>
      <c r="C75" s="17">
        <v>-65285.94</v>
      </c>
    </row>
    <row r="76" spans="1:3" ht="19.149999999999999" outlineLevel="1" x14ac:dyDescent="0.75">
      <c r="A76" s="11" t="s">
        <v>120</v>
      </c>
      <c r="B76" s="6" t="s">
        <v>78</v>
      </c>
      <c r="C76" s="17">
        <v>54000</v>
      </c>
    </row>
    <row r="77" spans="1:3" ht="19.149999999999999" outlineLevel="1" x14ac:dyDescent="0.75">
      <c r="A77" s="11" t="s">
        <v>121</v>
      </c>
      <c r="B77" s="6" t="s">
        <v>79</v>
      </c>
      <c r="C77" s="17">
        <v>-2250</v>
      </c>
    </row>
    <row r="78" spans="1:3" ht="19.149999999999999" outlineLevel="1" x14ac:dyDescent="0.75">
      <c r="A78" s="11" t="s">
        <v>122</v>
      </c>
      <c r="B78" s="6" t="s">
        <v>80</v>
      </c>
      <c r="C78" s="17">
        <v>7900000</v>
      </c>
    </row>
    <row r="79" spans="1:3" ht="19.149999999999999" outlineLevel="1" x14ac:dyDescent="0.75">
      <c r="A79" s="11" t="s">
        <v>123</v>
      </c>
      <c r="B79" s="6" t="s">
        <v>81</v>
      </c>
      <c r="C79" s="17">
        <v>-329166.65999999997</v>
      </c>
    </row>
    <row r="80" spans="1:3" ht="19.149999999999999" outlineLevel="1" x14ac:dyDescent="0.75">
      <c r="A80" s="11" t="s">
        <v>124</v>
      </c>
      <c r="B80" s="6" t="s">
        <v>82</v>
      </c>
      <c r="C80" s="17">
        <v>776202.21</v>
      </c>
    </row>
    <row r="81" spans="1:6" ht="19.149999999999999" outlineLevel="1" x14ac:dyDescent="0.75">
      <c r="A81" s="11" t="s">
        <v>125</v>
      </c>
      <c r="B81" s="6" t="s">
        <v>83</v>
      </c>
      <c r="C81" s="17">
        <v>-27580.73</v>
      </c>
    </row>
    <row r="82" spans="1:6" ht="19.149999999999999" outlineLevel="1" x14ac:dyDescent="0.75">
      <c r="A82" s="11" t="s">
        <v>126</v>
      </c>
      <c r="B82" s="6" t="s">
        <v>84</v>
      </c>
      <c r="C82" s="17">
        <v>550000</v>
      </c>
    </row>
    <row r="83" spans="1:6" ht="19.149999999999999" outlineLevel="1" x14ac:dyDescent="0.75">
      <c r="A83" s="11" t="s">
        <v>127</v>
      </c>
      <c r="B83" s="6" t="s">
        <v>85</v>
      </c>
      <c r="C83" s="17">
        <v>-3819.44</v>
      </c>
    </row>
    <row r="84" spans="1:6" ht="19.149999999999999" outlineLevel="1" x14ac:dyDescent="0.75">
      <c r="A84" s="11" t="s">
        <v>128</v>
      </c>
      <c r="B84" s="6" t="s">
        <v>86</v>
      </c>
      <c r="C84" s="17">
        <v>175310.95</v>
      </c>
    </row>
    <row r="85" spans="1:6" x14ac:dyDescent="0.45">
      <c r="C85" s="18"/>
    </row>
    <row r="86" spans="1:6" ht="20.65" thickBot="1" x14ac:dyDescent="0.8">
      <c r="B86" s="2" t="s">
        <v>87</v>
      </c>
      <c r="C86" s="15">
        <f>C87+C96+C98</f>
        <v>106015147.55000001</v>
      </c>
    </row>
    <row r="87" spans="1:6" ht="19.5" thickTop="1" x14ac:dyDescent="0.75">
      <c r="A87" s="12"/>
      <c r="B87" s="14" t="s">
        <v>88</v>
      </c>
      <c r="C87" s="16">
        <f>SUM(C88:C95)</f>
        <v>12216503.080000002</v>
      </c>
    </row>
    <row r="88" spans="1:6" ht="19.149999999999999" outlineLevel="1" x14ac:dyDescent="0.75">
      <c r="A88" s="11" t="s">
        <v>89</v>
      </c>
      <c r="B88" s="5" t="s">
        <v>90</v>
      </c>
      <c r="C88" s="17">
        <v>474008.13</v>
      </c>
    </row>
    <row r="89" spans="1:6" ht="19.149999999999999" outlineLevel="1" x14ac:dyDescent="0.75">
      <c r="A89" s="11" t="s">
        <v>91</v>
      </c>
      <c r="B89" s="5" t="s">
        <v>92</v>
      </c>
      <c r="C89" s="17">
        <v>4683</v>
      </c>
    </row>
    <row r="90" spans="1:6" ht="19.149999999999999" outlineLevel="1" x14ac:dyDescent="0.75">
      <c r="A90" s="11">
        <v>221002</v>
      </c>
      <c r="B90" s="5" t="s">
        <v>44</v>
      </c>
      <c r="C90" s="17">
        <v>8815782</v>
      </c>
      <c r="E90" s="8"/>
      <c r="F90" s="8"/>
    </row>
    <row r="91" spans="1:6" ht="19.149999999999999" outlineLevel="1" x14ac:dyDescent="0.75">
      <c r="A91" s="11" t="s">
        <v>131</v>
      </c>
      <c r="B91" s="5" t="s">
        <v>95</v>
      </c>
      <c r="C91" s="17">
        <v>1496232.97</v>
      </c>
    </row>
    <row r="92" spans="1:6" ht="19.149999999999999" outlineLevel="1" x14ac:dyDescent="0.75">
      <c r="A92" s="11" t="s">
        <v>132</v>
      </c>
      <c r="B92" s="5" t="s">
        <v>96</v>
      </c>
      <c r="C92" s="17">
        <v>5659.32</v>
      </c>
    </row>
    <row r="93" spans="1:6" ht="19.149999999999999" outlineLevel="1" x14ac:dyDescent="0.75">
      <c r="A93" s="11" t="s">
        <v>133</v>
      </c>
      <c r="B93" s="5" t="s">
        <v>97</v>
      </c>
      <c r="C93" s="17">
        <v>74999.990000000005</v>
      </c>
    </row>
    <row r="94" spans="1:6" ht="19.149999999999999" outlineLevel="1" x14ac:dyDescent="0.75">
      <c r="A94" s="11" t="s">
        <v>134</v>
      </c>
      <c r="B94" s="5" t="s">
        <v>98</v>
      </c>
      <c r="C94" s="17">
        <v>1295978.83</v>
      </c>
    </row>
    <row r="95" spans="1:6" ht="19.149999999999999" outlineLevel="1" x14ac:dyDescent="0.75">
      <c r="A95" s="11" t="s">
        <v>135</v>
      </c>
      <c r="B95" s="5" t="s">
        <v>99</v>
      </c>
      <c r="C95" s="17">
        <v>49158.84</v>
      </c>
    </row>
    <row r="96" spans="1:6" ht="19.149999999999999" x14ac:dyDescent="0.75">
      <c r="A96" s="12"/>
      <c r="B96" s="14" t="s">
        <v>100</v>
      </c>
      <c r="C96" s="16">
        <f>C97</f>
        <v>11890702.449999999</v>
      </c>
      <c r="F96" s="8"/>
    </row>
    <row r="97" spans="1:5" ht="19.149999999999999" outlineLevel="1" x14ac:dyDescent="0.75">
      <c r="A97" s="11" t="s">
        <v>101</v>
      </c>
      <c r="B97" s="5" t="s">
        <v>102</v>
      </c>
      <c r="C97" s="17">
        <v>11890702.449999999</v>
      </c>
    </row>
    <row r="98" spans="1:5" ht="19.149999999999999" x14ac:dyDescent="0.75">
      <c r="A98" s="12"/>
      <c r="B98" s="13" t="s">
        <v>141</v>
      </c>
      <c r="C98" s="16">
        <f>SUM(C99:C101)</f>
        <v>81907942.020000011</v>
      </c>
    </row>
    <row r="99" spans="1:5" ht="19.149999999999999" outlineLevel="1" x14ac:dyDescent="0.75">
      <c r="A99" s="11" t="s">
        <v>138</v>
      </c>
      <c r="B99" s="5" t="s">
        <v>139</v>
      </c>
      <c r="C99" s="17">
        <v>11937183</v>
      </c>
    </row>
    <row r="100" spans="1:5" ht="19.149999999999999" outlineLevel="1" x14ac:dyDescent="0.75">
      <c r="A100" s="11" t="s">
        <v>129</v>
      </c>
      <c r="B100" s="5" t="s">
        <v>93</v>
      </c>
      <c r="C100" s="17">
        <v>10000000</v>
      </c>
    </row>
    <row r="101" spans="1:5" ht="19.149999999999999" outlineLevel="1" x14ac:dyDescent="0.75">
      <c r="A101" s="11" t="s">
        <v>130</v>
      </c>
      <c r="B101" s="5" t="s">
        <v>94</v>
      </c>
      <c r="C101" s="17">
        <v>59970759.020000003</v>
      </c>
      <c r="E101" s="8"/>
    </row>
    <row r="102" spans="1:5" ht="19.149999999999999" x14ac:dyDescent="0.75">
      <c r="A102" s="11"/>
      <c r="B102" s="5"/>
      <c r="C102" s="17"/>
    </row>
    <row r="103" spans="1:5" ht="20.65" thickBot="1" x14ac:dyDescent="0.8">
      <c r="B103" s="2" t="s">
        <v>103</v>
      </c>
      <c r="C103" s="15">
        <f>C104+C106</f>
        <v>-9805409.1199999899</v>
      </c>
    </row>
    <row r="104" spans="1:5" ht="19.5" thickTop="1" x14ac:dyDescent="0.75">
      <c r="A104" s="12"/>
      <c r="B104" s="13" t="s">
        <v>136</v>
      </c>
      <c r="C104" s="16">
        <v>1062500</v>
      </c>
    </row>
    <row r="105" spans="1:5" ht="19.149999999999999" outlineLevel="1" x14ac:dyDescent="0.75">
      <c r="A105" s="11" t="s">
        <v>137</v>
      </c>
      <c r="B105" s="3" t="s">
        <v>136</v>
      </c>
      <c r="C105" s="17">
        <v>1062500</v>
      </c>
    </row>
    <row r="106" spans="1:5" ht="19.149999999999999" x14ac:dyDescent="0.75">
      <c r="A106" s="11"/>
      <c r="B106" s="13" t="s">
        <v>106</v>
      </c>
      <c r="C106" s="16">
        <f>SUM(C107:C108)</f>
        <v>-10867909.11999999</v>
      </c>
    </row>
    <row r="107" spans="1:5" ht="19.149999999999999" outlineLevel="1" x14ac:dyDescent="0.75">
      <c r="A107" s="11"/>
      <c r="B107" s="4" t="s">
        <v>104</v>
      </c>
      <c r="C107" s="17">
        <v>-1913243.189999999</v>
      </c>
    </row>
    <row r="108" spans="1:5" ht="19.149999999999999" outlineLevel="1" x14ac:dyDescent="0.75">
      <c r="A108" s="11"/>
      <c r="B108" s="4" t="s">
        <v>105</v>
      </c>
      <c r="C108" s="17">
        <v>-8954665.9299999904</v>
      </c>
    </row>
    <row r="109" spans="1:5" ht="19.149999999999999" x14ac:dyDescent="0.75">
      <c r="A109" s="11"/>
      <c r="C109" s="18"/>
    </row>
    <row r="110" spans="1:5" ht="20.65" thickBot="1" x14ac:dyDescent="0.8">
      <c r="A110" s="11"/>
      <c r="B110" s="2" t="s">
        <v>107</v>
      </c>
      <c r="C110" s="15">
        <f>C86+C103</f>
        <v>96209738.430000022</v>
      </c>
    </row>
    <row r="111" spans="1:5" ht="19.5" thickTop="1" x14ac:dyDescent="0.75">
      <c r="A11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Abdelhady</dc:creator>
  <cp:lastModifiedBy>Kareem Abdelhady</cp:lastModifiedBy>
  <dcterms:created xsi:type="dcterms:W3CDTF">2026-04-22T08:20:17Z</dcterms:created>
  <dcterms:modified xsi:type="dcterms:W3CDTF">2026-04-22T09:33:07Z</dcterms:modified>
</cp:coreProperties>
</file>